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<sst xmlns="http://schemas.openxmlformats.org/spreadsheetml/2006/main" count="41" uniqueCount="32">
  <si>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</si>
  <si>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</si>
  <si>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</si>
  <si>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</si>
  <si>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2024/2025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</si>
  <si>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</si>
  <si>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</si>
  <si>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</si>
  <si>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</si>
  <si>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</si>
  <si>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</si>
  <si>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</si>
  <si>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</si>
  <si>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</si>
  <si>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</si>
  <si>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</si>
  <si>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М. Н.</t>
  </si>
  <si>
    <t xml:space="preserve">профессор</t>
  </si>
  <si>
    <t xml:space="preserve">Филиппов И. И.</t>
  </si>
  <si>
    <t xml:space="preserve">преподаватель</t>
  </si>
  <si>
    <t xml:space="preserve">2. Внутренние совместители:</t>
  </si>
  <si>
    <t xml:space="preserve">Макевич П В</t>
  </si>
  <si>
    <t xml:space="preserve">зав.каф.</t>
  </si>
  <si>
    <t xml:space="preserve">Залилов Р Ю</t>
  </si>
  <si>
    <t xml:space="preserve">3. Внешние совместители:</t>
  </si>
  <si>
    <t xml:space="preserve">Цымбалюк А Е</t>
  </si>
  <si>
    <t xml:space="preserve">Алексеева Ю В</t>
  </si>
  <si>
    <t xml:space="preserve">4. Почасовики:</t>
  </si>
  <si>
    <t xml:space="preserve">Шаклеин В Г</t>
  </si>
  <si>
    <t xml:space="preserve">Кулаков И Ю</t>
  </si>
  <si>
    <t xml:space="preserve">Резерв</t>
  </si>
  <si>
    <t xml:space="preserve"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</si>
</sst>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2" fontId="11" fillId="0" borderId="4" xfId="0" applyNumberFormat="1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0" fontId="15" fillId="0" borderId="4" xfId="0" applyFont="1" applyBorder="1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4">
      <c r="A14" s="11"/>
      <c r="B14" s="11" t="s">
        <v>16</v>
      </c>
      <c r="C14" s="11" t="s">
        <v>17</v>
      </c>
      <c r="D14" s="11">
        <v>75</v>
      </c>
      <c r="E14" s="11">
        <v>0.10000000149011612</v>
      </c>
      <c r="F14" s="11">
        <v>-75</v>
      </c>
      <c r="G14" s="11">
        <v>-0.10000000149011612</v>
      </c>
      <c r="H14" s="11"/>
    </row>
    <row r="15">
      <c r="A15" s="11"/>
      <c r="B15" s="11" t="s">
        <v>18</v>
      </c>
      <c r="C15" s="11" t="s">
        <v>19</v>
      </c>
      <c r="D15" s="11">
        <v>188</v>
      </c>
      <c r="E15" s="11">
        <v>0.25</v>
      </c>
      <c r="F15" s="11">
        <v>-4</v>
      </c>
      <c r="G15" s="11">
        <v>-0.005333333276212215</v>
      </c>
      <c r="H15" s="11"/>
    </row>
    <row r="16">
      <c r="A16" s="10"/>
      <c r="B16" s="10" t="s">
        <v>20</v>
      </c>
      <c r="C16" s="10"/>
      <c r="D16" s="10"/>
      <c r="E16" s="10"/>
      <c r="F16" s="10"/>
      <c r="G16" s="10"/>
      <c r="H16" s="10"/>
    </row>
    <row r="17">
      <c r="A17" s="11"/>
      <c r="B17" s="11" t="s">
        <v>21</v>
      </c>
      <c r="C17" s="11" t="s">
        <v>22</v>
      </c>
      <c r="D17" s="11">
        <v>375</v>
      </c>
      <c r="E17" s="11">
        <v>0.5</v>
      </c>
      <c r="F17" s="11">
        <v>17</v>
      </c>
      <c r="G17" s="11">
        <v>0.02280000038444996</v>
      </c>
      <c r="H17" s="11"/>
    </row>
    <row r="18">
      <c r="A18" s="11"/>
      <c r="B18" s="11" t="s">
        <v>23</v>
      </c>
      <c r="C18" s="11" t="s">
        <v>17</v>
      </c>
      <c r="D18" s="11">
        <v>248</v>
      </c>
      <c r="E18" s="11">
        <v>0.33000001311302185</v>
      </c>
      <c r="F18" s="11">
        <v>18</v>
      </c>
      <c r="G18" s="11">
        <v>0.024000000208616257</v>
      </c>
      <c r="H18" s="11"/>
    </row>
    <row r="19">
      <c r="A19" s="10"/>
      <c r="B19" s="10" t="s">
        <v>24</v>
      </c>
      <c r="C19" s="10"/>
      <c r="D19" s="10"/>
      <c r="E19" s="10"/>
      <c r="F19" s="10"/>
      <c r="G19" s="10"/>
      <c r="H19" s="10"/>
    </row>
    <row r="20">
      <c r="A20" s="11"/>
      <c r="B20" s="11" t="s">
        <v>25</v>
      </c>
      <c r="C20" s="11" t="s">
        <v>19</v>
      </c>
      <c r="D20" s="11">
        <v>375</v>
      </c>
      <c r="E20" s="11">
        <v>0.5</v>
      </c>
      <c r="F20" s="11">
        <v>640</v>
      </c>
      <c r="G20" s="11">
        <v>0.853866696357727</v>
      </c>
      <c r="H20" s="11"/>
    </row>
    <row r="21">
      <c r="A21" s="11"/>
      <c r="B21" s="11" t="s">
        <v>26</v>
      </c>
      <c r="C21" s="11" t="s">
        <v>22</v>
      </c>
      <c r="D21" s="11">
        <v>150</v>
      </c>
      <c r="E21" s="11">
        <v>0.20000000298023224</v>
      </c>
      <c r="F21" s="11">
        <v>-17</v>
      </c>
      <c r="G21" s="11">
        <v>-0.02266666665673256</v>
      </c>
      <c r="H21" s="11"/>
    </row>
    <row r="22">
      <c r="A22" s="10"/>
      <c r="B22" s="10" t="s">
        <v>27</v>
      </c>
      <c r="C22" s="10"/>
      <c r="D22" s="10"/>
      <c r="E22" s="10"/>
      <c r="F22" s="10"/>
      <c r="G22" s="10"/>
      <c r="H22" s="10"/>
    </row>
    <row r="23">
      <c r="A23" s="11"/>
      <c r="B23" s="11" t="s">
        <v>28</v>
      </c>
      <c r="C23" s="11" t="s">
        <v>17</v>
      </c>
      <c r="D23" s="11"/>
      <c r="E23" s="11"/>
      <c r="F23" s="11">
        <v>75</v>
      </c>
      <c r="G23" s="11">
        <v>0.1003333330154419</v>
      </c>
      <c r="H23" s="11"/>
    </row>
    <row r="24">
      <c r="A24" s="11"/>
      <c r="B24" s="11" t="s">
        <v>29</v>
      </c>
      <c r="C24" s="11" t="s">
        <v>19</v>
      </c>
      <c r="D24" s="11">
        <v>750</v>
      </c>
      <c r="E24" s="11">
        <v>1</v>
      </c>
      <c r="F24" s="11">
        <v>1198</v>
      </c>
      <c r="G24" s="11">
        <v>1.5974667072296143</v>
      </c>
      <c r="H24" s="11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10" t="s">
        <v>30</v>
      </c>
      <c r="C26" s="7"/>
      <c r="D26" s="7"/>
      <c r="E26" s="7"/>
      <c r="F26" s="12">
        <f>G25*750</f>
        <v/>
      </c>
      <c r="G26" s="12">
        <f>13,2-SUM(G14:G24)</f>
        <v/>
      </c>
      <c r="H26" s="7"/>
    </row>
    <row r="27">
      <c r="A27" s="7"/>
      <c r="B27" s="7"/>
      <c r="C27" s="7"/>
      <c r="D27" s="7"/>
      <c r="E27" s="7"/>
      <c r="F27" s="7"/>
      <c r="G27" s="7"/>
      <c r="H27" s="7"/>
    </row>
    <row r="28">
      <c r="A28" s="7"/>
      <c r="B28" s="13" t="s">
        <v>31</v>
      </c>
      <c r="C28" s="7"/>
      <c r="D28" s="12">
        <f>SUM(D14:D24)</f>
        <v/>
      </c>
      <c r="E28" s="12">
        <f>SUM(E14:E24)</f>
        <v/>
      </c>
      <c r="F28" s="12">
        <f>SUM(F14:F24)</f>
        <v/>
      </c>
      <c r="G28" s="12">
        <f>SUM(G14:G24)</f>
        <v/>
      </c>
      <c r="H28" s="13">
        <f>E28+G28</f>
        <v/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2025-12-11T21:12:54Z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