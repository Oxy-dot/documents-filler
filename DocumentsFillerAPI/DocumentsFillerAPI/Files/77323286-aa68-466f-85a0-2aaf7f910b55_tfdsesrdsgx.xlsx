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<sst xmlns="http://schemas.openxmlformats.org/spreadsheetml/2006/main" count="33" uniqueCount="28">
  <si>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</si>
  <si>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</si>
  <si>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</si>
  <si>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</si>
  <si>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24/25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</si>
  <si>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</si>
  <si>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</si>
  <si>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</si>
  <si>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</si>
  <si>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</si>
  <si>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</si>
  <si>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</si>
  <si>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</si>
  <si>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</si>
  <si>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</si>
  <si>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</si>
  <si>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 Н</t>
  </si>
  <si>
    <t xml:space="preserve">профессор</t>
  </si>
  <si>
    <t xml:space="preserve">2. Внутренние совместители:</t>
  </si>
  <si>
    <t xml:space="preserve">Филиппов И И</t>
  </si>
  <si>
    <t xml:space="preserve">преподаватель</t>
  </si>
  <si>
    <t xml:space="preserve">3. Внешние совместители:</t>
  </si>
  <si>
    <t xml:space="preserve">Макевич П В</t>
  </si>
  <si>
    <t xml:space="preserve">зав.каф.</t>
  </si>
  <si>
    <t xml:space="preserve">4. Почасовики:</t>
  </si>
  <si>
    <t xml:space="preserve">Залилов Р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</si>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</sst>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justify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0" fontId="11" fillId="0" borderId="4" xfId="0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/>
      <c r="E14" s="11"/>
      <c r="F14" s="11"/>
      <c r="G14" s="11"/>
    </row>
    <row r="16">
      <c r="A16" s="10"/>
      <c r="B16" s="10" t="s">
        <v>18</v>
      </c>
      <c r="C16" s="10"/>
      <c r="D16" s="10"/>
      <c r="E16" s="10"/>
      <c r="F16" s="10"/>
      <c r="G16" s="10"/>
      <c r="H16" s="10"/>
    </row>
    <row r="17">
      <c r="A17" s="11"/>
      <c r="B17" s="11" t="s">
        <v>19</v>
      </c>
      <c r="C17" s="11" t="s">
        <v>20</v>
      </c>
      <c r="D17" s="11"/>
      <c r="E17" s="11"/>
      <c r="F17" s="11"/>
      <c r="G17" s="11"/>
    </row>
    <row r="19">
      <c r="A19" s="10"/>
      <c r="B19" s="10" t="s">
        <v>21</v>
      </c>
      <c r="C19" s="10"/>
      <c r="D19" s="10"/>
      <c r="E19" s="10"/>
      <c r="F19" s="10"/>
      <c r="G19" s="10"/>
      <c r="H19" s="10"/>
    </row>
    <row r="20">
      <c r="A20" s="11"/>
      <c r="B20" s="11" t="s">
        <v>22</v>
      </c>
      <c r="C20" s="11" t="s">
        <v>23</v>
      </c>
      <c r="D20" s="11"/>
      <c r="E20" s="11"/>
      <c r="F20" s="11"/>
      <c r="G20" s="11"/>
    </row>
    <row r="22">
      <c r="A22" s="10"/>
      <c r="B22" s="10" t="s">
        <v>24</v>
      </c>
      <c r="C22" s="10"/>
      <c r="D22" s="10"/>
      <c r="E22" s="10"/>
      <c r="F22" s="10"/>
      <c r="G22" s="10"/>
      <c r="H22" s="10"/>
    </row>
    <row r="23">
      <c r="A23" s="11"/>
      <c r="B23" s="11" t="s">
        <v>25</v>
      </c>
      <c r="C23" s="11" t="s">
        <v>17</v>
      </c>
      <c r="D23" s="11"/>
      <c r="E23" s="11"/>
      <c r="F23" s="11"/>
      <c r="G23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26</v>
      </c>
      <c r="C26" s="7"/>
      <c r="D26" s="7"/>
      <c r="E26" s="7"/>
      <c r="F26" s="12">
        <f>G25*750</f>
        <v/>
      </c>
      <c r="G26" s="12">
        <f>13.2-SUM(G14:G23)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3" t="s">
        <v>27</v>
      </c>
      <c r="C28" s="7"/>
      <c r="D28" s="12">
        <f>SUM(D14:D23)</f>
        <v/>
      </c>
      <c r="E28" s="12">
        <f>SUM(E14:E23)</f>
        <v/>
      </c>
      <c r="F28" s="12">
        <f>SUM(F14:F23)</f>
        <v/>
      </c>
      <c r="G28" s="12">
        <f>SUM(G14:G23)</f>
        <v/>
      </c>
      <c r="H28" s="13">
        <f>E23+G23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2025-12-11T19:56:28Z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