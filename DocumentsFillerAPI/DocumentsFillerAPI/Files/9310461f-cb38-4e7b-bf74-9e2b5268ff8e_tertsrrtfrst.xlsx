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0" sheetId="1" r:id="rId3"/>
  </sheets>
</workbook>
</file>

<file path=xl/sharedStrings.xml><?xml version="1.0" encoding="utf-8"?>
<sst xmlns="http://schemas.openxmlformats.org/spreadsheetml/2006/main" count="51" uniqueCount="42">
  <si>
    <t xml:space="preserve"/>
  </si>
  <si>
    <t xml:space="preserve">Проректору по ОД</t>
  </si>
  <si>
    <t xml:space="preserve">Данейкину Ю.В.</t>
  </si>
  <si>
    <t xml:space="preserve">служебная записка.</t>
  </si>
  <si>
    <r>
      <t xml:space="preserve">   1. Довожу до Вашего сведения распределение учебной нормативной и сверхнормативной нагрузки по преподавателям учебного подразделения кафедра информационных технологий и систем </t>
    </r>
    <r>
      <rPr>
        <sz val="12"/>
        <rFont val="Times New Roman"/>
        <b/>
        <i/>
      </rPr>
      <t xml:space="preserve">на 2024/2025 уч.г</t>
    </r>
    <r>
      <t xml:space="preserve">.</t>
    </r>
  </si>
  <si>
    <r>
      <t xml:space="preserve">    2. Прошу у</t>
    </r>
    <r>
      <rPr>
        <sz val="12"/>
        <rFont val="Times New Roman"/>
        <b/>
      </rPr>
      <t xml:space="preserve">становить (изменить)</t>
    </r>
    <r>
      <t xml:space="preserve"> д</t>
    </r>
    <r>
      <rPr>
        <sz val="12"/>
        <rFont val="Times New Roman"/>
      </rPr>
      <t xml:space="preserve">оплаты за сверхнормативную учебную нагрузку из ФОТ </t>
    </r>
    <r>
      <rPr>
        <sz val="12"/>
        <rFont val="Times New Roman"/>
        <i/>
      </rPr>
      <t xml:space="preserve">УП</t>
    </r>
    <r>
      <t xml:space="preserve"> </t>
    </r>
    <r>
      <rPr>
        <sz val="12"/>
        <rFont val="Times New Roman"/>
      </rPr>
      <t xml:space="preserve">с 01.01.2024 по 01.01.2025 ежемесячно следующим преподавателям</t>
    </r>
    <r>
      <t xml:space="preserve">:</t>
    </r>
  </si>
  <si>
    <t xml:space="preserve">№ п/п</t>
  </si>
  <si>
    <t xml:space="preserve">ФИО</t>
  </si>
  <si>
    <t xml:space="preserve">Должность</t>
  </si>
  <si>
    <t xml:space="preserve">Учебная нагрузка</t>
  </si>
  <si>
    <t xml:space="preserve">нормативная установленная с 01.01.2024</t>
  </si>
  <si>
    <t xml:space="preserve">Сверхнормативная (из ФОТ)</t>
  </si>
  <si>
    <t xml:space="preserve">часы</t>
  </si>
  <si>
    <t xml:space="preserve">доля ставки, ед.</t>
  </si>
  <si>
    <t xml:space="preserve">Доплата, руб.*</t>
  </si>
  <si>
    <t xml:space="preserve">1. Основной штат:</t>
  </si>
  <si>
    <t xml:space="preserve">Фуфин М. Н.</t>
  </si>
  <si>
    <t xml:space="preserve">профессор</t>
  </si>
  <si>
    <t xml:space="preserve">Филиппов И. И.</t>
  </si>
  <si>
    <t xml:space="preserve">преподаватель</t>
  </si>
  <si>
    <t xml:space="preserve">2. Внутренние совместители:</t>
  </si>
  <si>
    <t xml:space="preserve">Макевич П В</t>
  </si>
  <si>
    <t xml:space="preserve">зав.каф.</t>
  </si>
  <si>
    <t xml:space="preserve">Залилов Р Ю</t>
  </si>
  <si>
    <t xml:space="preserve">3. Внешние совместители:</t>
  </si>
  <si>
    <t xml:space="preserve">Цымбалюк А Е</t>
  </si>
  <si>
    <t xml:space="preserve">Алексеева Ю В</t>
  </si>
  <si>
    <t xml:space="preserve">4. Почасовики:</t>
  </si>
  <si>
    <t xml:space="preserve">Шаклеин В Г</t>
  </si>
  <si>
    <t xml:space="preserve">Кулаков И Ю</t>
  </si>
  <si>
    <t xml:space="preserve">Резерв</t>
  </si>
  <si>
    <t xml:space="preserve">ИТОГО:</t>
  </si>
  <si>
    <t xml:space="preserve">* – столбец «Доплата» заполняется специалистом ФЭУ (в зависимости от указанной учебной сверхнормативной нагрузки и занимаемой должности)</t>
  </si>
  <si>
    <t xml:space="preserve">Принято на заседании УП</t>
  </si>
  <si>
    <t xml:space="preserve">Протокол №12 от «13» декабря 2025г.</t>
  </si>
  <si>
    <t xml:space="preserve">Заведующий УП (ОП)</t>
  </si>
  <si>
    <t xml:space="preserve">Л.Н. Цымбалюк</t>
  </si>
  <si>
    <t xml:space="preserve">Согласовано:</t>
  </si>
  <si>
    <t xml:space="preserve">Замначальника УОП</t>
  </si>
  <si>
    <t xml:space="preserve">С.В. Фокеева</t>
  </si>
  <si>
    <t xml:space="preserve">Начальник ФЭУ</t>
  </si>
  <si>
    <t xml:space="preserve">Е. Ю. Цветкова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</si>
</sst>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9">
    <font>
      <sz val="11"/>
      <color indexed="8"/>
      <name val="Calibri"/>
      <family val="2"/>
      <scheme val="minor"/>
    </font>
    <font>
      <sz val="12"/>
      <name val="Times New Roman"/>
    </font>
    <font>
      <b/>
      <sz val="12"/>
      <name val="Times New Roman"/>
    </font>
    <font>
      <sz val="12"/>
      <name val="Times New Roman"/>
    </font>
    <font>
      <sz val="12"/>
      <name val="Times New Roman"/>
    </font>
    <font>
      <sz val="10"/>
      <name val="Times New Roman"/>
    </font>
    <font>
      <sz val="9"/>
      <name val="Times New Roman"/>
    </font>
    <font>
      <b/>
      <sz val="10"/>
      <name val="Times New Roman"/>
    </font>
    <font>
      <b/>
      <sz val="9"/>
      <name val="Times New Roman"/>
    </font>
    <font>
      <sz val="12"/>
      <name val="Times New Roman"/>
    </font>
    <font>
      <b/>
      <sz val="10"/>
      <name val="Times New Roman"/>
    </font>
    <font>
      <sz val="12"/>
      <name val="Times New Roman"/>
    </font>
    <font>
      <b/>
      <sz val="12"/>
      <name val="Times New Roman"/>
    </font>
    <font>
      <i/>
      <sz val="12"/>
      <name val="Times New Roman"/>
    </font>
    <font>
      <sz val="12"/>
      <name val="Times New Roman"/>
    </font>
    <font>
      <sz val="10"/>
      <name val="Times New Roman"/>
    </font>
    <font>
      <sz val="10"/>
      <name val="Times New Roman"/>
    </font>
    <font>
      <sz val="12"/>
      <name val="Times New Roman"/>
    </font>
    <font>
      <sz val="12"/>
      <name val="Times New Roman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>
      <alignment horizontal="left" vertical="center"/>
    </xf>
    <xf numFmtId="0" fontId="2" fillId="0" borderId="0" xfId="0" applyFont="1">
      <alignment horizontal="center" vertical="center" wrapText="1"/>
    </xf>
    <xf numFmtId="0" fontId="3" fillId="0" borderId="0" xfId="0" applyFont="1">
      <alignment horizontal="distributed" vertical="justify" wrapText="1"/>
    </xf>
    <xf numFmtId="0" fontId="4" fillId="0" borderId="0" xfId="0" applyFont="1">
      <alignment horizontal="justify" vertical="center" wrapText="1"/>
    </xf>
    <xf numFmtId="0" fontId="5" fillId="0" borderId="4" xfId="0" applyFont="1" applyBorder="1">
      <alignment horizontal="center" vertical="center" wrapText="1"/>
    </xf>
    <xf numFmtId="0" fontId="6" fillId="0" borderId="4" xfId="0" applyFont="1" applyBorder="1">
      <alignment horizontal="center" vertical="center" wrapText="1"/>
    </xf>
    <xf numFmtId="0" fontId="7" fillId="0" borderId="4" xfId="0" applyFont="1" applyBorder="1">
      <alignment horizontal="center" vertical="justify" wrapText="1"/>
    </xf>
    <xf numFmtId="0" fontId="8" fillId="0" borderId="4" xfId="0" applyFont="1" applyBorder="1">
      <alignment horizontal="center" vertical="center" wrapText="1"/>
    </xf>
    <xf numFmtId="0" fontId="9" fillId="0" borderId="0" xfId="0" applyFont="1">
      <alignment horizontal="center" vertical="justify" wrapText="1"/>
    </xf>
    <xf numFmtId="0" fontId="10" fillId="0" borderId="4" xfId="0" applyFont="1" applyBorder="1">
      <alignment horizontal="left" vertical="justify" wrapText="1"/>
    </xf>
    <xf numFmtId="2" fontId="11" fillId="0" borderId="4" xfId="0" applyNumberFormat="1" applyFont="1" applyBorder="1">
      <alignment horizontal="left" vertical="center"/>
    </xf>
    <xf numFmtId="0" fontId="14" fillId="0" borderId="4" xfId="0" applyFont="1" applyBorder="1">
      <alignment horizontal="center" vertical="center" wrapText="1"/>
    </xf>
    <xf numFmtId="2" fontId="15" fillId="0" borderId="4" xfId="0" applyNumberFormat="1" applyFont="1" applyBorder="1">
      <alignment horizontal="center" vertical="center" wrapText="1"/>
    </xf>
    <xf numFmtId="0" fontId="16" fillId="0" borderId="4" xfId="0" applyFont="1" applyBorder="1">
      <alignment horizontal="left" vertical="center" wrapText="1"/>
    </xf>
    <xf numFmtId="0" fontId="17" fillId="0" borderId="0" xfId="0" applyFont="1">
      <alignment horizontal="left" vertical="center"/>
    </xf>
    <xf numFmtId="0" fontId="18" fillId="0" borderId="0" xfId="0" applyFont="1">
      <alignment horizontal="lef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39"/>
  <sheetViews>
    <sheetView tabSelected="1" showRuler="1" showOutlineSymbols="1" defaultGridColor="1" colorId="64" zoomScale="100" workbookViewId="0"/>
  </sheetViews>
  <sheetFormatPr defaultColWidth="8.43" defaultRowHeight="15"/>
  <cols>
    <col min="1" max="1" width="3.2" customWidth="1"/>
    <col min="2" max="2" width="27" customWidth="1"/>
    <col min="3" max="3" width="12" customWidth="1"/>
    <col min="4" max="6" width="9.2" customWidth="1"/>
    <col min="7" max="7" width="6.2" customWidth="1"/>
    <col min="8" max="8" width="9.2" customWidth="1"/>
  </cols>
  <sheetData>
    <row r="1">
      <c r="G1" s="1" t="s">
        <v>1</v>
      </c>
    </row>
    <row r="2">
      <c r="G2" s="1" t="s">
        <v>2</v>
      </c>
    </row>
    <row r="5">
      <c r="B5" s="9" t="s">
        <v>3</v>
      </c>
    </row>
    <row r="7" ht="47.5" customHeight="1">
      <c r="A7" s="3" t="s">
        <v>4</v>
      </c>
    </row>
    <row r="8" ht="46.5" customHeight="1">
      <c r="A8" s="4" t="s">
        <v>5</v>
      </c>
    </row>
    <row r="10" ht="14.25" customHeight="1">
      <c r="A10" s="5" t="s">
        <v>6</v>
      </c>
      <c r="B10" s="5" t="s">
        <v>7</v>
      </c>
      <c r="C10" s="6" t="s">
        <v>8</v>
      </c>
      <c r="D10" s="7" t="s">
        <v>9</v>
      </c>
      <c r="E10" s="7"/>
      <c r="F10" s="7"/>
      <c r="G10" s="7"/>
      <c r="H10" s="7"/>
    </row>
    <row r="11" ht="33" customHeight="1">
      <c r="A11" s="8"/>
      <c r="B11" s="8"/>
      <c r="C11" s="8"/>
      <c r="D11" s="8" t="s">
        <v>10</v>
      </c>
      <c r="E11" s="8"/>
      <c r="F11" s="8" t="s">
        <v>11</v>
      </c>
      <c r="G11" s="8"/>
      <c r="H11" s="8"/>
    </row>
    <row r="12" ht="38.25" customHeight="1">
      <c r="A12" s="5"/>
      <c r="B12" s="5"/>
      <c r="C12" s="5"/>
      <c r="D12" s="5" t="s">
        <v>12</v>
      </c>
      <c r="E12" s="5" t="s">
        <v>13</v>
      </c>
      <c r="F12" s="5" t="s">
        <v>12</v>
      </c>
      <c r="G12" s="5" t="s">
        <v>13</v>
      </c>
      <c r="H12" s="5" t="s">
        <v>14</v>
      </c>
    </row>
    <row r="13">
      <c r="A13" s="10"/>
      <c r="B13" s="10" t="s">
        <v>15</v>
      </c>
      <c r="C13" s="10"/>
      <c r="D13" s="10"/>
      <c r="E13" s="10"/>
      <c r="F13" s="10"/>
      <c r="G13" s="10"/>
      <c r="H13" s="10"/>
    </row>
    <row r="14">
      <c r="A14" s="11"/>
      <c r="B14" s="11" t="s">
        <v>16</v>
      </c>
      <c r="C14" s="11" t="s">
        <v>17</v>
      </c>
      <c r="D14" s="11">
        <v>75</v>
      </c>
      <c r="E14" s="11">
        <v>0.10000000149011612</v>
      </c>
      <c r="F14" s="11">
        <v>-75</v>
      </c>
      <c r="G14" s="11">
        <v>-0.10000000149011612</v>
      </c>
      <c r="H14" s="11"/>
    </row>
    <row r="15">
      <c r="A15" s="11"/>
      <c r="B15" s="11" t="s">
        <v>18</v>
      </c>
      <c r="C15" s="11" t="s">
        <v>19</v>
      </c>
      <c r="D15" s="11">
        <v>188</v>
      </c>
      <c r="E15" s="11">
        <v>0.25</v>
      </c>
      <c r="F15" s="11">
        <v>-4</v>
      </c>
      <c r="G15" s="11">
        <v>-0.005333333276212215</v>
      </c>
      <c r="H15" s="11"/>
    </row>
    <row r="16">
      <c r="A16" s="10"/>
      <c r="B16" s="10" t="s">
        <v>20</v>
      </c>
      <c r="C16" s="10"/>
      <c r="D16" s="10"/>
      <c r="E16" s="10"/>
      <c r="F16" s="10"/>
      <c r="G16" s="10"/>
      <c r="H16" s="10"/>
    </row>
    <row r="17">
      <c r="A17" s="11"/>
      <c r="B17" s="11" t="s">
        <v>21</v>
      </c>
      <c r="C17" s="11" t="s">
        <v>22</v>
      </c>
      <c r="D17" s="11">
        <v>375</v>
      </c>
      <c r="E17" s="11">
        <v>0.5</v>
      </c>
      <c r="F17" s="11">
        <v>17</v>
      </c>
      <c r="G17" s="11">
        <v>0.02280000038444996</v>
      </c>
      <c r="H17" s="11"/>
    </row>
    <row r="18">
      <c r="A18" s="11"/>
      <c r="B18" s="11" t="s">
        <v>23</v>
      </c>
      <c r="C18" s="11" t="s">
        <v>17</v>
      </c>
      <c r="D18" s="11">
        <v>248</v>
      </c>
      <c r="E18" s="11">
        <v>0.33000001311302185</v>
      </c>
      <c r="F18" s="11">
        <v>18</v>
      </c>
      <c r="G18" s="11">
        <v>0.024000000208616257</v>
      </c>
      <c r="H18" s="11"/>
    </row>
    <row r="19">
      <c r="A19" s="10"/>
      <c r="B19" s="10" t="s">
        <v>24</v>
      </c>
      <c r="C19" s="10"/>
      <c r="D19" s="10"/>
      <c r="E19" s="10"/>
      <c r="F19" s="10"/>
      <c r="G19" s="10"/>
      <c r="H19" s="10"/>
    </row>
    <row r="20">
      <c r="A20" s="11"/>
      <c r="B20" s="11" t="s">
        <v>25</v>
      </c>
      <c r="C20" s="11" t="s">
        <v>19</v>
      </c>
      <c r="D20" s="11">
        <v>375</v>
      </c>
      <c r="E20" s="11">
        <v>0.5</v>
      </c>
      <c r="F20" s="11">
        <v>640</v>
      </c>
      <c r="G20" s="11">
        <v>0.853866696357727</v>
      </c>
      <c r="H20" s="11"/>
    </row>
    <row r="21">
      <c r="A21" s="11"/>
      <c r="B21" s="11" t="s">
        <v>26</v>
      </c>
      <c r="C21" s="11" t="s">
        <v>22</v>
      </c>
      <c r="D21" s="11">
        <v>150</v>
      </c>
      <c r="E21" s="11">
        <v>0.20000000298023224</v>
      </c>
      <c r="F21" s="11">
        <v>-17</v>
      </c>
      <c r="G21" s="11">
        <v>-0.02266666665673256</v>
      </c>
      <c r="H21" s="11"/>
    </row>
    <row r="22">
      <c r="A22" s="10"/>
      <c r="B22" s="10" t="s">
        <v>27</v>
      </c>
      <c r="C22" s="10"/>
      <c r="D22" s="10"/>
      <c r="E22" s="10"/>
      <c r="F22" s="10"/>
      <c r="G22" s="10"/>
      <c r="H22" s="10"/>
    </row>
    <row r="23">
      <c r="A23" s="11"/>
      <c r="B23" s="11" t="s">
        <v>28</v>
      </c>
      <c r="C23" s="11" t="s">
        <v>17</v>
      </c>
      <c r="D23" s="11"/>
      <c r="E23" s="11"/>
      <c r="F23" s="11">
        <v>75</v>
      </c>
      <c r="G23" s="11">
        <v>0.1003333330154419</v>
      </c>
      <c r="H23" s="11"/>
    </row>
    <row r="24">
      <c r="A24" s="11"/>
      <c r="B24" s="11" t="s">
        <v>29</v>
      </c>
      <c r="C24" s="11" t="s">
        <v>19</v>
      </c>
      <c r="D24" s="11">
        <v>750</v>
      </c>
      <c r="E24" s="11">
        <v>1</v>
      </c>
      <c r="F24" s="11">
        <v>1198</v>
      </c>
      <c r="G24" s="11">
        <v>1.5974667072296143</v>
      </c>
      <c r="H24" s="11"/>
    </row>
    <row r="25">
      <c r="A25" s="7"/>
      <c r="B25" s="7"/>
      <c r="C25" s="7"/>
      <c r="D25" s="7"/>
      <c r="E25" s="7"/>
      <c r="F25" s="7"/>
      <c r="G25" s="7"/>
      <c r="H25" s="7"/>
    </row>
    <row r="26">
      <c r="A26" s="7"/>
      <c r="B26" s="10" t="s">
        <v>30</v>
      </c>
      <c r="C26" s="7"/>
      <c r="D26" s="7"/>
      <c r="E26" s="7"/>
      <c r="F26" s="12">
        <f>G25*750</f>
        <v/>
      </c>
      <c r="G26" s="12">
        <f>13.2-SUM(G14:G24)</f>
        <v/>
      </c>
      <c r="H26" s="7"/>
    </row>
    <row r="27">
      <c r="A27" s="7"/>
      <c r="B27" s="7"/>
      <c r="C27" s="7"/>
      <c r="D27" s="7"/>
      <c r="E27" s="7"/>
      <c r="F27" s="7"/>
      <c r="G27" s="7"/>
      <c r="H27" s="7"/>
    </row>
    <row r="28">
      <c r="A28" s="7"/>
      <c r="B28" s="14" t="s">
        <v>31</v>
      </c>
      <c r="C28" s="7"/>
      <c r="D28" s="12">
        <f>SUM(D14:D24)</f>
        <v/>
      </c>
      <c r="E28" s="12">
        <f>SUM(E14:E24)</f>
        <v/>
      </c>
      <c r="F28" s="12">
        <f>SUM(F14:F24)</f>
        <v/>
      </c>
      <c r="G28" s="12">
        <f>SUM(G14:G24)</f>
        <v/>
      </c>
      <c r="H28" s="13">
        <f>E28+G28</f>
        <v/>
      </c>
    </row>
    <row r="29" ht="3.75" customHeight="1"/>
    <row r="30" ht="27" customHeight="1">
      <c r="A30" s="15" t="s">
        <v>32</v>
      </c>
    </row>
    <row r="31">
      <c r="C31" s="16" t="s">
        <v>33</v>
      </c>
    </row>
    <row r="32" ht="23.25" customHeight="1">
      <c r="C32" s="16" t="s">
        <v>34</v>
      </c>
    </row>
    <row r="33">
      <c r="B33" s="16" t="s">
        <v>35</v>
      </c>
      <c r="G33" s="16" t="s">
        <v>36</v>
      </c>
    </row>
    <row r="35">
      <c r="B35" s="16" t="s">
        <v>37</v>
      </c>
    </row>
    <row r="37">
      <c r="B37" s="16" t="s">
        <v>38</v>
      </c>
      <c r="G37" s="16" t="s">
        <v>39</v>
      </c>
    </row>
    <row r="39">
      <c r="B39" s="16" t="s">
        <v>40</v>
      </c>
      <c r="G39" s="16" t="s">
        <v>41</v>
      </c>
    </row>
  </sheetData>
  <mergeCells>
    <mergeCell ref="B5:H5"/>
    <mergeCell ref="A7:H7"/>
    <mergeCell ref="A8:H8"/>
    <mergeCell ref="A10:A12"/>
    <mergeCell ref="B10:B12"/>
    <mergeCell ref="C10:C12"/>
    <mergeCell ref="D10:H10"/>
    <mergeCell ref="D11:E11"/>
    <mergeCell ref="F11:H11"/>
    <mergeCell ref="A30:H30"/>
    <mergeCell ref="C31:H3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2025-12-13T15:32:52Z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2.7.5</lpwstr>
  </property>
</Properties>
</file>