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hahahaha\source\repos\documents-filler\DocumentsFillerAPI\TestProject\"/>
    </mc:Choice>
  </mc:AlternateContent>
  <xr:revisionPtr revIDLastSave="0" documentId="13_ncr:1_{3AE89DEC-AAFD-44D0-8AE6-11791474ED77}" xr6:coauthVersionLast="47" xr6:coauthVersionMax="47" xr10:uidLastSave="{00000000-0000-0000-0000-000000000000}"/>
  <bookViews>
    <workbookView xWindow="31695" yWindow="0" windowWidth="21600" windowHeight="11385" tabRatio="753" firstSheet="6" activeTab="11" xr2:uid="{CDF0C6A0-BE78-481B-8D84-E016AD060CCB}"/>
  </bookViews>
  <sheets>
    <sheet name="НагрузкаБюджет" sheetId="8" r:id="rId1"/>
    <sheet name="ОО-09" sheetId="1" r:id="rId2"/>
    <sheet name="ОО-09 (у)" sheetId="10" r:id="rId3"/>
    <sheet name="ОО-09 (м)" sheetId="14" r:id="rId4"/>
    <sheet name="ОО-ПТИ" sheetId="13" r:id="rId5"/>
    <sheet name="ООНЕ09" sheetId="3" r:id="rId6"/>
    <sheet name="ЗО-09" sheetId="4" r:id="rId7"/>
    <sheet name="ЗО-09 (с)" sheetId="12" r:id="rId8"/>
    <sheet name="ЗО-09 (у)" sheetId="11" r:id="rId9"/>
    <sheet name="ЗО-09 (м)" sheetId="15" r:id="rId10"/>
    <sheet name="ЗО" sheetId="2" r:id="rId11"/>
    <sheet name="ППС" sheetId="5" r:id="rId12"/>
    <sheet name="НагрузкаВнеБюджет" sheetId="9" r:id="rId13"/>
    <sheet name="В" sheetId="6" r:id="rId14"/>
    <sheet name="ЗО-ВБ" sheetId="7" r:id="rId15"/>
  </sheets>
  <definedNames>
    <definedName name="_xleta.SUBTOTAL" hidden="1" xlm="1">#NAME?</definedName>
    <definedName name="_xleta.SUM" hidden="1" xlm="1">#NAME?</definedName>
    <definedName name="_xlnm._FilterDatabase" localSheetId="10" hidden="1">ЗО!$A$1:$T$4</definedName>
    <definedName name="_xlnm._FilterDatabase" localSheetId="6" hidden="1">'ЗО-09'!$A$1:$M$93</definedName>
    <definedName name="_xlnm._FilterDatabase" localSheetId="9" hidden="1">'ЗО-09 (м)'!$A$1:$M$33</definedName>
    <definedName name="_xlnm._FilterDatabase" localSheetId="7" hidden="1">'ЗО-09 (с)'!$A$1:$M$64</definedName>
    <definedName name="_xlnm._FilterDatabase" localSheetId="8" hidden="1">'ЗО-09 (у)'!$A$1:$M$30</definedName>
    <definedName name="_xlnm._FilterDatabase" localSheetId="14" hidden="1">'ЗО-ВБ'!$A$1:$T$48</definedName>
    <definedName name="_xlnm._FilterDatabase" localSheetId="0" hidden="1">НагрузкаБюджет!$C$2:$Y$796</definedName>
    <definedName name="_xlnm._FilterDatabase" localSheetId="12" hidden="1">НагрузкаВнеБюджет!$B$2:$Q$142</definedName>
    <definedName name="_xlnm._FilterDatabase" localSheetId="1" hidden="1">'ОО-09'!$A$1:$N$77</definedName>
    <definedName name="_xlnm._FilterDatabase" localSheetId="3" hidden="1">'ОО-09 (м)'!$A$1:$N$41</definedName>
    <definedName name="_xlnm._FilterDatabase" localSheetId="2" hidden="1">'ОО-09 (у)'!$A$1:$N$39</definedName>
    <definedName name="_xlnm._FilterDatabase" localSheetId="5" hidden="1">ООНЕ09!$A$1:$T$11</definedName>
    <definedName name="_xlnm._FilterDatabase" localSheetId="4" hidden="1">'ОО-ПТИ'!$A$1:$T$6</definedName>
    <definedName name="_xlnm._FilterDatabase" localSheetId="11" hidden="1">ППС!$B$3:$AI$39</definedName>
    <definedName name="зо1" localSheetId="9">'ЗО-09 (м)'!$Q:$R</definedName>
    <definedName name="зо1" localSheetId="7">'ЗО-09 (с)'!$Q:$R</definedName>
    <definedName name="зо1" localSheetId="8">'ЗО-09 (у)'!$Q:$R</definedName>
    <definedName name="зо1">'ЗО-09'!$Q:$R</definedName>
    <definedName name="о1" localSheetId="3">'ОО-09 (м)'!$Q:$R</definedName>
    <definedName name="о1" localSheetId="2">'ОО-09 (у)'!$Q:$R</definedName>
    <definedName name="о1">'ОО-09'!$Q:$R</definedName>
    <definedName name="о2" localSheetId="3">'ОО-09 (м)'!$S:$T</definedName>
    <definedName name="о2" localSheetId="2">'ОО-09 (у)'!$S:$T</definedName>
    <definedName name="о2">'ОО-09'!$S:$T</definedName>
    <definedName name="о3" localSheetId="3">'ОО-09 (м)'!$U:$V</definedName>
    <definedName name="о3" localSheetId="2">'ОО-09 (у)'!$U:$V</definedName>
    <definedName name="о3">'ОО-09'!$U:$V</definedName>
    <definedName name="_xlnm.Print_Area" localSheetId="13">В!$A$1:$N$9</definedName>
    <definedName name="_xlnm.Print_Area" localSheetId="6">'ЗО-09'!$A$1:$N$93</definedName>
    <definedName name="_xlnm.Print_Area" localSheetId="9">'ЗО-09 (м)'!$A$1:$N$32</definedName>
    <definedName name="_xlnm.Print_Area" localSheetId="7">'ЗО-09 (с)'!$A$1:$N$63</definedName>
    <definedName name="_xlnm.Print_Area" localSheetId="8">'ЗО-09 (у)'!$A$1:$N$35</definedName>
    <definedName name="_xlnm.Print_Area" localSheetId="14">'ЗО-ВБ'!$A$1:$N$48</definedName>
    <definedName name="_xlnm.Print_Area" localSheetId="0">НагрузкаБюджет!$A$1:$S$796</definedName>
    <definedName name="_xlnm.Print_Area" localSheetId="12">НагрузкаВнеБюджет!$B$1:$Q$52</definedName>
    <definedName name="_xlnm.Print_Area" localSheetId="3">'ОО-09 (м)'!$A$1:$W$41</definedName>
    <definedName name="_xlnm.Print_Area" localSheetId="2">'ОО-09 (у)'!$A$1:$W$39</definedName>
    <definedName name="_xlnm.Print_Area" localSheetId="5">ООНЕ09!$A$1:$U$14</definedName>
    <definedName name="_xlnm.Print_Area" localSheetId="4">'ОО-ПТИ'!$A$1:$O$6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5" i="5" l="1"/>
  <c r="D37" i="5"/>
  <c r="F37" i="5"/>
  <c r="G37" i="5"/>
  <c r="H37" i="5"/>
  <c r="J37" i="5"/>
  <c r="K37" i="5"/>
  <c r="L37" i="5"/>
  <c r="N37" i="5"/>
  <c r="O37" i="5"/>
  <c r="P37" i="5"/>
  <c r="R37" i="5"/>
  <c r="S37" i="5"/>
  <c r="T37" i="5"/>
  <c r="U37" i="5"/>
  <c r="V37" i="5"/>
  <c r="W37" i="5"/>
  <c r="X37" i="5"/>
  <c r="AB37" i="5"/>
  <c r="AF37" i="5"/>
  <c r="AM37" i="5"/>
  <c r="AN37" i="5"/>
  <c r="L8" i="1"/>
  <c r="L29" i="4"/>
  <c r="D36" i="5"/>
  <c r="F36" i="5"/>
  <c r="G36" i="5"/>
  <c r="H36" i="5"/>
  <c r="J36" i="5"/>
  <c r="K36" i="5"/>
  <c r="L36" i="5"/>
  <c r="N36" i="5"/>
  <c r="O36" i="5"/>
  <c r="P36" i="5"/>
  <c r="R36" i="5"/>
  <c r="S36" i="5"/>
  <c r="T36" i="5"/>
  <c r="U36" i="5"/>
  <c r="V36" i="5"/>
  <c r="W36" i="5"/>
  <c r="X36" i="5"/>
  <c r="AB36" i="5"/>
  <c r="AF36" i="5"/>
  <c r="AM36" i="5"/>
  <c r="AN36" i="5"/>
  <c r="L3" i="10"/>
  <c r="R29" i="14"/>
  <c r="R17" i="1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8" i="5"/>
  <c r="D5" i="5"/>
  <c r="D6" i="5"/>
  <c r="D7" i="5"/>
  <c r="D8" i="5"/>
  <c r="D9" i="5"/>
  <c r="D10" i="5"/>
  <c r="D11" i="5"/>
  <c r="D12" i="5"/>
  <c r="R28" i="14"/>
  <c r="T27" i="14"/>
  <c r="T20" i="1"/>
  <c r="R20" i="1"/>
  <c r="R10" i="10"/>
  <c r="T23" i="10"/>
  <c r="R23" i="10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8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8" i="5"/>
  <c r="U6" i="5"/>
  <c r="U7" i="5"/>
  <c r="U8" i="5"/>
  <c r="U9" i="5"/>
  <c r="U10" i="5"/>
  <c r="U11" i="5"/>
  <c r="U12" i="5"/>
  <c r="U13" i="5"/>
  <c r="U14" i="5"/>
  <c r="U15" i="5"/>
  <c r="U16" i="5"/>
  <c r="U17" i="5"/>
  <c r="R6" i="5"/>
  <c r="R7" i="5"/>
  <c r="R9" i="5"/>
  <c r="R10" i="5"/>
  <c r="R11" i="5"/>
  <c r="R12" i="5"/>
  <c r="R14" i="5"/>
  <c r="R15" i="5"/>
  <c r="R16" i="5"/>
  <c r="R17" i="5"/>
  <c r="R18" i="5"/>
  <c r="R19" i="5"/>
  <c r="R20" i="5"/>
  <c r="R21" i="5"/>
  <c r="R22" i="5"/>
  <c r="R23" i="5"/>
  <c r="R24" i="5"/>
  <c r="R26" i="5"/>
  <c r="R27" i="5"/>
  <c r="R28" i="5"/>
  <c r="R29" i="5"/>
  <c r="R30" i="5"/>
  <c r="R31" i="5"/>
  <c r="R32" i="5"/>
  <c r="R33" i="5"/>
  <c r="R34" i="5"/>
  <c r="R35" i="5"/>
  <c r="R38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8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8" i="5"/>
  <c r="T5" i="5"/>
  <c r="U5" i="5"/>
  <c r="V34" i="11"/>
  <c r="V5" i="5"/>
  <c r="R35" i="11"/>
  <c r="R34" i="11"/>
  <c r="T33" i="11"/>
  <c r="R29" i="15"/>
  <c r="R30" i="15"/>
  <c r="L14" i="15"/>
  <c r="L17" i="15"/>
  <c r="L25" i="15"/>
  <c r="L26" i="15"/>
  <c r="L28" i="15"/>
  <c r="L29" i="15"/>
  <c r="L30" i="15"/>
  <c r="L31" i="15"/>
  <c r="L32" i="15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29" i="11"/>
  <c r="L30" i="11"/>
  <c r="L31" i="11"/>
  <c r="L32" i="11"/>
  <c r="L33" i="11"/>
  <c r="L34" i="11"/>
  <c r="L35" i="11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6" i="3"/>
  <c r="L10" i="3"/>
  <c r="L3" i="13"/>
  <c r="L4" i="13"/>
  <c r="L5" i="13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2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" i="1"/>
  <c r="L4" i="1"/>
  <c r="L5" i="1"/>
  <c r="L6" i="1"/>
  <c r="L7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2" i="4"/>
  <c r="L3" i="4"/>
  <c r="R25" i="10"/>
  <c r="T64" i="1"/>
  <c r="R64" i="1"/>
  <c r="R60" i="1"/>
  <c r="T43" i="1"/>
  <c r="R42" i="1"/>
  <c r="T28" i="1"/>
  <c r="L2" i="14"/>
  <c r="L3" i="14"/>
  <c r="R6" i="1"/>
  <c r="T7" i="1"/>
  <c r="V6" i="1"/>
  <c r="T6" i="1"/>
  <c r="T5" i="1"/>
  <c r="V3" i="1"/>
  <c r="T3" i="1"/>
  <c r="Y550" i="8" a="1"/>
  <c r="H550" i="8" a="1"/>
  <c r="M550" i="8" a="1"/>
  <c r="L550" i="8" a="1"/>
  <c r="X550" i="8" a="1"/>
  <c r="Q550" i="8" a="1"/>
  <c r="C550" i="8" a="1"/>
  <c r="E550" i="8" a="1"/>
  <c r="O550" i="8" a="1"/>
  <c r="F550" i="8" a="1"/>
  <c r="P550" i="8" a="1"/>
  <c r="V550" i="8" a="1"/>
  <c r="K550" i="8" a="1"/>
  <c r="G550" i="8" a="1"/>
  <c r="T550" i="8" a="1"/>
  <c r="W550" i="8" a="1"/>
  <c r="I550" i="8" a="1"/>
  <c r="D550" i="8" a="1"/>
  <c r="N550" i="8" a="1"/>
  <c r="J550" i="8" a="1"/>
  <c r="U550" i="8" a="1"/>
  <c r="R550" i="8" a="1"/>
  <c r="AO37" i="5" l="1"/>
  <c r="AO36" i="5"/>
  <c r="I37" i="5"/>
  <c r="Q37" i="5"/>
  <c r="M37" i="5"/>
  <c r="Q36" i="5"/>
  <c r="M36" i="5"/>
  <c r="I36" i="5"/>
  <c r="R550" i="8"/>
  <c r="N550" i="8"/>
  <c r="J550" i="8"/>
  <c r="F550" i="8"/>
  <c r="K550" i="8"/>
  <c r="V550" i="8"/>
  <c r="C550" i="8"/>
  <c r="Q550" i="8"/>
  <c r="M550" i="8"/>
  <c r="I550" i="8"/>
  <c r="E550" i="8"/>
  <c r="O550" i="8"/>
  <c r="Y550" i="8"/>
  <c r="U550" i="8"/>
  <c r="W550" i="8"/>
  <c r="P550" i="8"/>
  <c r="L550" i="8"/>
  <c r="H550" i="8"/>
  <c r="D550" i="8"/>
  <c r="G550" i="8"/>
  <c r="X550" i="8"/>
  <c r="T550" i="8"/>
  <c r="R34" i="14"/>
  <c r="R8" i="1"/>
  <c r="R39" i="12"/>
  <c r="R38" i="12"/>
  <c r="R17" i="10"/>
  <c r="F29" i="5"/>
  <c r="H29" i="5"/>
  <c r="K29" i="5"/>
  <c r="L29" i="5"/>
  <c r="O29" i="5"/>
  <c r="P29" i="5"/>
  <c r="W29" i="5"/>
  <c r="AB29" i="5"/>
  <c r="AF29" i="5"/>
  <c r="AM29" i="5"/>
  <c r="AN29" i="5"/>
  <c r="R44" i="1"/>
  <c r="R29" i="1"/>
  <c r="B39" i="5"/>
  <c r="O30" i="15"/>
  <c r="R93" i="4"/>
  <c r="T93" i="4"/>
  <c r="V93" i="4"/>
  <c r="T91" i="4"/>
  <c r="V92" i="4"/>
  <c r="O92" i="4" s="1"/>
  <c r="V91" i="4"/>
  <c r="R91" i="4"/>
  <c r="O90" i="4"/>
  <c r="R87" i="4"/>
  <c r="R85" i="4"/>
  <c r="R79" i="4"/>
  <c r="R78" i="4"/>
  <c r="R77" i="4"/>
  <c r="R80" i="4"/>
  <c r="R81" i="4"/>
  <c r="R82" i="4"/>
  <c r="R83" i="4"/>
  <c r="R84" i="4"/>
  <c r="R52" i="12"/>
  <c r="R49" i="12"/>
  <c r="R48" i="12"/>
  <c r="R47" i="12"/>
  <c r="R36" i="12"/>
  <c r="R37" i="12"/>
  <c r="R40" i="12"/>
  <c r="R41" i="12"/>
  <c r="R42" i="12"/>
  <c r="R43" i="12"/>
  <c r="R44" i="12"/>
  <c r="R45" i="12"/>
  <c r="V62" i="12"/>
  <c r="T62" i="12"/>
  <c r="R62" i="12"/>
  <c r="V61" i="12"/>
  <c r="T61" i="12"/>
  <c r="R61" i="12"/>
  <c r="V59" i="12"/>
  <c r="T59" i="12"/>
  <c r="R59" i="12"/>
  <c r="V58" i="12"/>
  <c r="T58" i="12"/>
  <c r="R58" i="12"/>
  <c r="V57" i="12"/>
  <c r="T57" i="12"/>
  <c r="R57" i="12"/>
  <c r="O56" i="12"/>
  <c r="R53" i="12"/>
  <c r="R6" i="2"/>
  <c r="R5" i="2"/>
  <c r="Q6" i="2"/>
  <c r="J2" i="2"/>
  <c r="R2" i="2" s="1"/>
  <c r="Q2" i="2"/>
  <c r="J3" i="2"/>
  <c r="R3" i="2" s="1"/>
  <c r="Q3" i="2"/>
  <c r="Q5" i="2"/>
  <c r="R23" i="12"/>
  <c r="R26" i="12"/>
  <c r="R19" i="12"/>
  <c r="R12" i="12"/>
  <c r="R11" i="12"/>
  <c r="R10" i="12"/>
  <c r="R9" i="12"/>
  <c r="R8" i="12"/>
  <c r="R7" i="12"/>
  <c r="R6" i="12"/>
  <c r="R5" i="12"/>
  <c r="R4" i="12"/>
  <c r="L4" i="12"/>
  <c r="R3" i="12"/>
  <c r="L3" i="12"/>
  <c r="V35" i="11"/>
  <c r="T35" i="11"/>
  <c r="O35" i="11"/>
  <c r="T34" i="11"/>
  <c r="O34" i="11"/>
  <c r="V33" i="11"/>
  <c r="R33" i="11"/>
  <c r="O31" i="11" s="1"/>
  <c r="O32" i="11"/>
  <c r="R29" i="11"/>
  <c r="R39" i="4"/>
  <c r="R36" i="4"/>
  <c r="R10" i="11"/>
  <c r="R38" i="4"/>
  <c r="R30" i="4"/>
  <c r="R21" i="4"/>
  <c r="R18" i="4"/>
  <c r="T16" i="10"/>
  <c r="R16" i="10"/>
  <c r="J29" i="5"/>
  <c r="R61" i="1"/>
  <c r="R31" i="1"/>
  <c r="L2" i="1"/>
  <c r="O68" i="1"/>
  <c r="G27" i="5"/>
  <c r="H27" i="5"/>
  <c r="K27" i="5"/>
  <c r="L27" i="5"/>
  <c r="O27" i="5"/>
  <c r="P27" i="5"/>
  <c r="AB27" i="5"/>
  <c r="AJ27" i="5"/>
  <c r="AM27" i="5"/>
  <c r="AN27" i="5"/>
  <c r="G29" i="5"/>
  <c r="T18" i="10"/>
  <c r="R18" i="10"/>
  <c r="R53" i="1"/>
  <c r="T53" i="1"/>
  <c r="V72" i="1"/>
  <c r="T72" i="1"/>
  <c r="R72" i="1"/>
  <c r="R74" i="1"/>
  <c r="T74" i="1"/>
  <c r="V74" i="1"/>
  <c r="V73" i="1"/>
  <c r="T73" i="1"/>
  <c r="R73" i="1"/>
  <c r="R71" i="1"/>
  <c r="V76" i="1"/>
  <c r="T76" i="1"/>
  <c r="R76" i="1"/>
  <c r="V75" i="1"/>
  <c r="T75" i="1"/>
  <c r="R75" i="1"/>
  <c r="V71" i="1"/>
  <c r="T71" i="1"/>
  <c r="O66" i="1"/>
  <c r="O67" i="1"/>
  <c r="R54" i="1"/>
  <c r="K54" i="1"/>
  <c r="R4" i="13"/>
  <c r="R25" i="5" s="1"/>
  <c r="T4" i="13"/>
  <c r="R8" i="5" s="1"/>
  <c r="J5" i="13"/>
  <c r="R5" i="13" s="1"/>
  <c r="T5" i="13"/>
  <c r="R48" i="1"/>
  <c r="R49" i="1"/>
  <c r="R32" i="1"/>
  <c r="T32" i="1"/>
  <c r="O35" i="14"/>
  <c r="O39" i="14"/>
  <c r="O40" i="14"/>
  <c r="O41" i="14"/>
  <c r="O38" i="14"/>
  <c r="T36" i="14"/>
  <c r="R36" i="14"/>
  <c r="R37" i="14"/>
  <c r="T37" i="14"/>
  <c r="V37" i="14"/>
  <c r="R37" i="10"/>
  <c r="V34" i="10"/>
  <c r="T34" i="10"/>
  <c r="R34" i="10"/>
  <c r="V33" i="10"/>
  <c r="T33" i="10"/>
  <c r="R33" i="10"/>
  <c r="O34" i="10"/>
  <c r="V35" i="10"/>
  <c r="T35" i="10"/>
  <c r="R35" i="10"/>
  <c r="R38" i="10"/>
  <c r="V36" i="10"/>
  <c r="T36" i="10"/>
  <c r="R36" i="10"/>
  <c r="V29" i="10"/>
  <c r="R29" i="10" s="1"/>
  <c r="T19" i="1"/>
  <c r="R20" i="10"/>
  <c r="R13" i="10"/>
  <c r="R9" i="10"/>
  <c r="J6" i="1"/>
  <c r="K6" i="1"/>
  <c r="T3" i="10"/>
  <c r="R3" i="10"/>
  <c r="I3" i="1"/>
  <c r="R3" i="1" s="1"/>
  <c r="J3" i="1"/>
  <c r="N2" i="8"/>
  <c r="R5" i="3"/>
  <c r="K4" i="3"/>
  <c r="I4" i="3"/>
  <c r="R7" i="3"/>
  <c r="K51" i="1"/>
  <c r="R51" i="1" s="1"/>
  <c r="J4" i="13"/>
  <c r="K45" i="1"/>
  <c r="R45" i="1" s="1"/>
  <c r="J46" i="1"/>
  <c r="K46" i="1"/>
  <c r="K6" i="3"/>
  <c r="K25" i="4"/>
  <c r="R25" i="4" s="1"/>
  <c r="K24" i="4"/>
  <c r="R24" i="4" s="1"/>
  <c r="J27" i="4"/>
  <c r="R27" i="4" s="1"/>
  <c r="R28" i="4"/>
  <c r="R23" i="4"/>
  <c r="R22" i="4"/>
  <c r="R31" i="4"/>
  <c r="K11" i="3"/>
  <c r="R11" i="3" s="1"/>
  <c r="R38" i="1"/>
  <c r="R36" i="1"/>
  <c r="R34" i="1"/>
  <c r="R35" i="1"/>
  <c r="K30" i="1"/>
  <c r="R37" i="1"/>
  <c r="T39" i="1"/>
  <c r="J39" i="1"/>
  <c r="R39" i="1" s="1"/>
  <c r="R19" i="15"/>
  <c r="R20" i="15"/>
  <c r="R21" i="15"/>
  <c r="R22" i="15"/>
  <c r="R23" i="15"/>
  <c r="R24" i="15"/>
  <c r="R18" i="15"/>
  <c r="R25" i="11"/>
  <c r="R26" i="11"/>
  <c r="R20" i="11"/>
  <c r="R21" i="11"/>
  <c r="R22" i="11"/>
  <c r="R23" i="11"/>
  <c r="R24" i="11"/>
  <c r="R27" i="11"/>
  <c r="R19" i="11"/>
  <c r="J11" i="4"/>
  <c r="K8" i="4"/>
  <c r="J8" i="4"/>
  <c r="R8" i="4" s="1"/>
  <c r="T19" i="10"/>
  <c r="R21" i="1"/>
  <c r="J23" i="1"/>
  <c r="K23" i="1"/>
  <c r="K19" i="1"/>
  <c r="R19" i="1" s="1"/>
  <c r="R10" i="3"/>
  <c r="R6" i="15"/>
  <c r="R7" i="15"/>
  <c r="R8" i="15"/>
  <c r="R9" i="15"/>
  <c r="R5" i="15"/>
  <c r="R24" i="14"/>
  <c r="R11" i="11"/>
  <c r="P650" i="8" a="1"/>
  <c r="G650" i="8" a="1"/>
  <c r="J650" i="8" a="1"/>
  <c r="H650" i="8" a="1"/>
  <c r="Q650" i="8" a="1"/>
  <c r="L650" i="8" a="1"/>
  <c r="K650" i="8" a="1"/>
  <c r="M650" i="8" a="1"/>
  <c r="R650" i="8" a="1"/>
  <c r="I650" i="8" a="1"/>
  <c r="D650" i="8" a="1"/>
  <c r="C650" i="8" a="1"/>
  <c r="N650" i="8" a="1"/>
  <c r="E650" i="8" a="1"/>
  <c r="F650" i="8" a="1"/>
  <c r="O650" i="8" a="1"/>
  <c r="Z37" i="5" l="1"/>
  <c r="AC37" i="5" s="1"/>
  <c r="AD37" i="5" s="1"/>
  <c r="AG37" i="5" s="1"/>
  <c r="Z36" i="5"/>
  <c r="AC36" i="5" s="1"/>
  <c r="AD36" i="5" s="1"/>
  <c r="AG36" i="5" s="1"/>
  <c r="O37" i="14"/>
  <c r="O36" i="14"/>
  <c r="O89" i="4"/>
  <c r="AO29" i="5"/>
  <c r="I29" i="5"/>
  <c r="M29" i="5"/>
  <c r="AO27" i="5"/>
  <c r="O91" i="4"/>
  <c r="O93" i="4"/>
  <c r="O61" i="12"/>
  <c r="O55" i="12"/>
  <c r="O58" i="12"/>
  <c r="O59" i="12"/>
  <c r="O57" i="12"/>
  <c r="O60" i="12"/>
  <c r="O62" i="12"/>
  <c r="O33" i="11"/>
  <c r="O72" i="1"/>
  <c r="P76" i="1"/>
  <c r="O73" i="1"/>
  <c r="O70" i="1"/>
  <c r="O76" i="1"/>
  <c r="O75" i="1"/>
  <c r="O71" i="1"/>
  <c r="O74" i="1"/>
  <c r="O37" i="10"/>
  <c r="O31" i="10"/>
  <c r="O33" i="10"/>
  <c r="O36" i="10"/>
  <c r="O35" i="10"/>
  <c r="O38" i="10"/>
  <c r="R650" i="8"/>
  <c r="N650" i="8"/>
  <c r="J650" i="8"/>
  <c r="F650" i="8"/>
  <c r="Q650" i="8"/>
  <c r="M650" i="8"/>
  <c r="I650" i="8"/>
  <c r="E650" i="8"/>
  <c r="O650" i="8"/>
  <c r="K650" i="8"/>
  <c r="P650" i="8"/>
  <c r="L650" i="8"/>
  <c r="H650" i="8"/>
  <c r="D650" i="8"/>
  <c r="G650" i="8"/>
  <c r="C650" i="8"/>
  <c r="R4" i="3"/>
  <c r="R23" i="1"/>
  <c r="R22" i="10"/>
  <c r="R21" i="10"/>
  <c r="R24" i="10"/>
  <c r="R15" i="10"/>
  <c r="R14" i="10"/>
  <c r="R5" i="4"/>
  <c r="R2" i="4"/>
  <c r="Q2" i="7"/>
  <c r="Q3" i="7"/>
  <c r="Q4" i="7"/>
  <c r="K5" i="7"/>
  <c r="R5" i="7" s="1"/>
  <c r="Q6" i="7"/>
  <c r="Q7" i="7"/>
  <c r="R7" i="7"/>
  <c r="K8" i="7"/>
  <c r="R8" i="7" s="1"/>
  <c r="Q8" i="7"/>
  <c r="J9" i="7"/>
  <c r="R9" i="7" s="1"/>
  <c r="Q9" i="7"/>
  <c r="Q10" i="7"/>
  <c r="Q11" i="7"/>
  <c r="R11" i="7"/>
  <c r="Q12" i="7"/>
  <c r="R13" i="7"/>
  <c r="J13" i="1"/>
  <c r="R21" i="14"/>
  <c r="R15" i="14"/>
  <c r="R11" i="14"/>
  <c r="R12" i="14"/>
  <c r="R10" i="14"/>
  <c r="R11" i="10"/>
  <c r="R8" i="10"/>
  <c r="R7" i="10"/>
  <c r="J5" i="1"/>
  <c r="J9" i="1"/>
  <c r="T8" i="1"/>
  <c r="K8" i="1"/>
  <c r="R7" i="14"/>
  <c r="R6" i="14"/>
  <c r="R3" i="14"/>
  <c r="R5" i="14"/>
  <c r="R4" i="10"/>
  <c r="R2" i="10"/>
  <c r="J3" i="13"/>
  <c r="R3" i="13" s="1"/>
  <c r="R13" i="5" s="1"/>
  <c r="T3" i="13"/>
  <c r="T2" i="1"/>
  <c r="K2" i="1"/>
  <c r="G26" i="5"/>
  <c r="H26" i="5"/>
  <c r="K26" i="5"/>
  <c r="L26" i="5"/>
  <c r="O26" i="5"/>
  <c r="P26" i="5"/>
  <c r="AB26" i="5"/>
  <c r="AJ26" i="5"/>
  <c r="AB25" i="5"/>
  <c r="R35" i="4"/>
  <c r="AJ23" i="5"/>
  <c r="AJ25" i="5"/>
  <c r="AJ24" i="5"/>
  <c r="AJ21" i="5"/>
  <c r="AJ20" i="5"/>
  <c r="AJ19" i="5"/>
  <c r="AJ18" i="5"/>
  <c r="AJ17" i="5"/>
  <c r="AJ16" i="5"/>
  <c r="AJ31" i="5"/>
  <c r="AJ15" i="5"/>
  <c r="AJ13" i="5"/>
  <c r="AJ12" i="5"/>
  <c r="AJ10" i="5"/>
  <c r="AJ6" i="5"/>
  <c r="AJ5" i="5"/>
  <c r="R63" i="4"/>
  <c r="AS3" i="5"/>
  <c r="AI37" i="5" s="1"/>
  <c r="K3" i="13"/>
  <c r="I2" i="1"/>
  <c r="R2" i="1" s="1"/>
  <c r="R74" i="4"/>
  <c r="R75" i="4"/>
  <c r="R56" i="4"/>
  <c r="R48" i="4"/>
  <c r="R47" i="4"/>
  <c r="R20" i="12"/>
  <c r="R44" i="4"/>
  <c r="R20" i="4"/>
  <c r="R8" i="3"/>
  <c r="J63" i="1"/>
  <c r="R63" i="1" s="1"/>
  <c r="B101" i="8"/>
  <c r="Q101" i="8" a="1"/>
  <c r="X101" i="8" a="1"/>
  <c r="G101" i="8" a="1"/>
  <c r="Y101" i="8" a="1"/>
  <c r="L101" i="8" a="1"/>
  <c r="D101" i="8" a="1"/>
  <c r="J101" i="8" a="1"/>
  <c r="W101" i="8" a="1"/>
  <c r="H101" i="8" a="1"/>
  <c r="N101" i="8" a="1"/>
  <c r="V101" i="8" a="1"/>
  <c r="U101" i="8" a="1"/>
  <c r="F101" i="8" a="1"/>
  <c r="C101" i="8" a="1"/>
  <c r="P101" i="8" a="1"/>
  <c r="I101" i="8" a="1"/>
  <c r="E101" i="8" a="1"/>
  <c r="O101" i="8" a="1"/>
  <c r="T101" i="8" a="1"/>
  <c r="M101" i="8" a="1"/>
  <c r="K101" i="8" a="1"/>
  <c r="R101" i="8" a="1"/>
  <c r="AA37" i="5" l="1"/>
  <c r="AI29" i="5"/>
  <c r="AI36" i="5"/>
  <c r="AA36" i="5"/>
  <c r="C101" i="8"/>
  <c r="G101" i="8"/>
  <c r="K101" i="8"/>
  <c r="O101" i="8"/>
  <c r="T101" i="8"/>
  <c r="X101" i="8"/>
  <c r="D101" i="8"/>
  <c r="H101" i="8"/>
  <c r="L101" i="8"/>
  <c r="P101" i="8"/>
  <c r="U101" i="8"/>
  <c r="Y101" i="8"/>
  <c r="E101" i="8"/>
  <c r="I101" i="8"/>
  <c r="M101" i="8"/>
  <c r="Q101" i="8"/>
  <c r="V101" i="8"/>
  <c r="F101" i="8"/>
  <c r="J101" i="8"/>
  <c r="N101" i="8"/>
  <c r="R101" i="8"/>
  <c r="W101" i="8"/>
  <c r="AI27" i="5"/>
  <c r="AK27" i="5"/>
  <c r="B102" i="8"/>
  <c r="AK21" i="5"/>
  <c r="AK11" i="5"/>
  <c r="AK13" i="5"/>
  <c r="AK26" i="5"/>
  <c r="AI26" i="5"/>
  <c r="AK19" i="5"/>
  <c r="AK15" i="5"/>
  <c r="AK24" i="5"/>
  <c r="AK31" i="5"/>
  <c r="AK25" i="5"/>
  <c r="AK5" i="5"/>
  <c r="AK16" i="5"/>
  <c r="AK23" i="5"/>
  <c r="AK6" i="5"/>
  <c r="AK17" i="5"/>
  <c r="AK10" i="5"/>
  <c r="AK18" i="5"/>
  <c r="AK12" i="5"/>
  <c r="AK20" i="5"/>
  <c r="AI5" i="5"/>
  <c r="AI19" i="5"/>
  <c r="AI28" i="5"/>
  <c r="AI30" i="5"/>
  <c r="AI11" i="5"/>
  <c r="AI22" i="5"/>
  <c r="AI18" i="5"/>
  <c r="AI12" i="5"/>
  <c r="AI33" i="5"/>
  <c r="AI25" i="5"/>
  <c r="AI17" i="5"/>
  <c r="AI35" i="5"/>
  <c r="AI6" i="5"/>
  <c r="AI13" i="5"/>
  <c r="AI24" i="5"/>
  <c r="AI23" i="5"/>
  <c r="AI16" i="5"/>
  <c r="AI34" i="5"/>
  <c r="AI32" i="5"/>
  <c r="AI10" i="5"/>
  <c r="AI38" i="5"/>
  <c r="AI15" i="5"/>
  <c r="AI9" i="5"/>
  <c r="AI7" i="5"/>
  <c r="AI21" i="5"/>
  <c r="AI31" i="5"/>
  <c r="AI20" i="5"/>
  <c r="AI14" i="5"/>
  <c r="AI8" i="5"/>
  <c r="Q102" i="8" a="1"/>
  <c r="I102" i="8" a="1"/>
  <c r="Y102" i="8" a="1"/>
  <c r="M102" i="8" a="1"/>
  <c r="O102" i="8" a="1"/>
  <c r="N102" i="8" a="1"/>
  <c r="F102" i="8" a="1"/>
  <c r="T102" i="8" a="1"/>
  <c r="V102" i="8" a="1"/>
  <c r="H102" i="8" a="1"/>
  <c r="C102" i="8" a="1"/>
  <c r="L102" i="8" a="1"/>
  <c r="X102" i="8" a="1"/>
  <c r="P102" i="8" a="1"/>
  <c r="U102" i="8" a="1"/>
  <c r="R102" i="8" a="1"/>
  <c r="K102" i="8" a="1"/>
  <c r="W102" i="8" a="1"/>
  <c r="D102" i="8" a="1"/>
  <c r="E102" i="8" a="1"/>
  <c r="J102" i="8" a="1"/>
  <c r="G102" i="8" a="1"/>
  <c r="U102" i="8" l="1"/>
  <c r="Y102" i="8"/>
  <c r="E102" i="8"/>
  <c r="I102" i="8"/>
  <c r="M102" i="8"/>
  <c r="Q102" i="8"/>
  <c r="V102" i="8"/>
  <c r="F102" i="8"/>
  <c r="J102" i="8"/>
  <c r="N102" i="8"/>
  <c r="R102" i="8"/>
  <c r="W102" i="8"/>
  <c r="C102" i="8"/>
  <c r="G102" i="8"/>
  <c r="K102" i="8"/>
  <c r="O102" i="8"/>
  <c r="T102" i="8"/>
  <c r="X102" i="8"/>
  <c r="P102" i="8"/>
  <c r="D102" i="8"/>
  <c r="H102" i="8"/>
  <c r="L102" i="8"/>
  <c r="B103" i="8"/>
  <c r="B104" i="8" s="1"/>
  <c r="AI39" i="5"/>
  <c r="P104" i="8" a="1"/>
  <c r="V104" i="8" a="1"/>
  <c r="Y103" i="8" a="1"/>
  <c r="U104" i="8" a="1"/>
  <c r="G103" i="8" a="1"/>
  <c r="J103" i="8" a="1"/>
  <c r="L104" i="8" a="1"/>
  <c r="G104" i="8" a="1"/>
  <c r="I103" i="8" a="1"/>
  <c r="Y104" i="8" a="1"/>
  <c r="Q104" i="8" a="1"/>
  <c r="Q103" i="8" a="1"/>
  <c r="V103" i="8" a="1"/>
  <c r="D103" i="8" a="1"/>
  <c r="I104" i="8" a="1"/>
  <c r="W103" i="8" a="1"/>
  <c r="X103" i="8" a="1"/>
  <c r="P103" i="8" a="1"/>
  <c r="K103" i="8" a="1"/>
  <c r="O104" i="8" a="1"/>
  <c r="J104" i="8" a="1"/>
  <c r="T104" i="8" a="1"/>
  <c r="N104" i="8" a="1"/>
  <c r="M103" i="8" a="1"/>
  <c r="F103" i="8" a="1"/>
  <c r="D104" i="8" a="1"/>
  <c r="N103" i="8" a="1"/>
  <c r="O103" i="8" a="1"/>
  <c r="W104" i="8" a="1"/>
  <c r="T103" i="8" a="1"/>
  <c r="F104" i="8" a="1"/>
  <c r="M104" i="8" a="1"/>
  <c r="H103" i="8" a="1"/>
  <c r="R103" i="8" a="1"/>
  <c r="E104" i="8" a="1"/>
  <c r="H104" i="8" a="1"/>
  <c r="E103" i="8" a="1"/>
  <c r="C103" i="8" a="1"/>
  <c r="L103" i="8" a="1"/>
  <c r="R104" i="8" a="1"/>
  <c r="X104" i="8" a="1"/>
  <c r="K104" i="8" a="1"/>
  <c r="C104" i="8" a="1"/>
  <c r="T104" i="8" l="1"/>
  <c r="X104" i="8"/>
  <c r="D104" i="8"/>
  <c r="H104" i="8"/>
  <c r="L104" i="8"/>
  <c r="P104" i="8"/>
  <c r="U104" i="8"/>
  <c r="Y104" i="8"/>
  <c r="E104" i="8"/>
  <c r="I104" i="8"/>
  <c r="M104" i="8"/>
  <c r="Q104" i="8"/>
  <c r="V104" i="8"/>
  <c r="F104" i="8"/>
  <c r="J104" i="8"/>
  <c r="N104" i="8"/>
  <c r="R104" i="8"/>
  <c r="W104" i="8"/>
  <c r="C104" i="8"/>
  <c r="K104" i="8"/>
  <c r="O104" i="8"/>
  <c r="G104" i="8"/>
  <c r="F103" i="8"/>
  <c r="J103" i="8"/>
  <c r="N103" i="8"/>
  <c r="R103" i="8"/>
  <c r="W103" i="8"/>
  <c r="C103" i="8"/>
  <c r="G103" i="8"/>
  <c r="K103" i="8"/>
  <c r="O103" i="8"/>
  <c r="T103" i="8"/>
  <c r="X103" i="8"/>
  <c r="D103" i="8"/>
  <c r="H103" i="8"/>
  <c r="L103" i="8"/>
  <c r="P103" i="8"/>
  <c r="Y103" i="8"/>
  <c r="E103" i="8"/>
  <c r="I103" i="8"/>
  <c r="M103" i="8"/>
  <c r="Q103" i="8"/>
  <c r="V103" i="8"/>
  <c r="B105" i="8"/>
  <c r="K105" i="8" a="1"/>
  <c r="X105" i="8" a="1"/>
  <c r="L105" i="8" a="1"/>
  <c r="Q105" i="8" a="1"/>
  <c r="I105" i="8" a="1"/>
  <c r="L100" i="8" a="1"/>
  <c r="Q100" i="8" a="1"/>
  <c r="V105" i="8" a="1"/>
  <c r="J105" i="8" a="1"/>
  <c r="I100" i="8" a="1"/>
  <c r="E100" i="8" a="1"/>
  <c r="M100" i="8" a="1"/>
  <c r="N100" i="8" a="1"/>
  <c r="F105" i="8" a="1"/>
  <c r="R100" i="8" a="1"/>
  <c r="N105" i="8" a="1"/>
  <c r="U105" i="8" a="1"/>
  <c r="D100" i="8" a="1"/>
  <c r="C105" i="8" a="1"/>
  <c r="F100" i="8" a="1"/>
  <c r="G100" i="8" a="1"/>
  <c r="M105" i="8" a="1"/>
  <c r="Y105" i="8" a="1"/>
  <c r="O105" i="8" a="1"/>
  <c r="J100" i="8" a="1"/>
  <c r="E105" i="8" a="1"/>
  <c r="O100" i="8" a="1"/>
  <c r="C100" i="8" a="1"/>
  <c r="W105" i="8" a="1"/>
  <c r="D105" i="8" a="1"/>
  <c r="P100" i="8" a="1"/>
  <c r="T105" i="8" a="1"/>
  <c r="H105" i="8" a="1"/>
  <c r="P105" i="8" a="1"/>
  <c r="H100" i="8" a="1"/>
  <c r="G105" i="8" a="1"/>
  <c r="R105" i="8" a="1"/>
  <c r="K100" i="8" a="1"/>
  <c r="E105" i="8" l="1"/>
  <c r="I105" i="8"/>
  <c r="M105" i="8"/>
  <c r="Q105" i="8"/>
  <c r="V105" i="8"/>
  <c r="F105" i="8"/>
  <c r="J105" i="8"/>
  <c r="N105" i="8"/>
  <c r="R105" i="8"/>
  <c r="W105" i="8"/>
  <c r="C105" i="8"/>
  <c r="G105" i="8"/>
  <c r="K105" i="8"/>
  <c r="O105" i="8"/>
  <c r="T105" i="8"/>
  <c r="X105" i="8"/>
  <c r="D105" i="8"/>
  <c r="H105" i="8"/>
  <c r="L105" i="8"/>
  <c r="P105" i="8"/>
  <c r="U105" i="8"/>
  <c r="Y105" i="8"/>
  <c r="B106" i="8"/>
  <c r="L100" i="8"/>
  <c r="E100" i="8"/>
  <c r="G100" i="8"/>
  <c r="O100" i="8"/>
  <c r="J100" i="8"/>
  <c r="K100" i="8"/>
  <c r="D100" i="8"/>
  <c r="M100" i="8"/>
  <c r="Q100" i="8"/>
  <c r="N100" i="8"/>
  <c r="C100" i="8"/>
  <c r="I100" i="8"/>
  <c r="R100" i="8"/>
  <c r="F100" i="8"/>
  <c r="P100" i="8"/>
  <c r="H100" i="8"/>
  <c r="C106" i="8" a="1"/>
  <c r="N106" i="8" a="1"/>
  <c r="T106" i="8" a="1"/>
  <c r="E106" i="8" a="1"/>
  <c r="W106" i="8" a="1"/>
  <c r="X106" i="8" a="1"/>
  <c r="P106" i="8" a="1"/>
  <c r="D106" i="8" a="1"/>
  <c r="Y106" i="8" a="1"/>
  <c r="I106" i="8" a="1"/>
  <c r="U106" i="8" a="1"/>
  <c r="O106" i="8" a="1"/>
  <c r="R106" i="8" a="1"/>
  <c r="G106" i="8" a="1"/>
  <c r="H106" i="8" a="1"/>
  <c r="M106" i="8" a="1"/>
  <c r="V106" i="8" a="1"/>
  <c r="K106" i="8" a="1"/>
  <c r="L106" i="8" a="1"/>
  <c r="Q106" i="8" a="1"/>
  <c r="F106" i="8" a="1"/>
  <c r="J106" i="8" a="1"/>
  <c r="W106" i="8" l="1"/>
  <c r="C106" i="8"/>
  <c r="G106" i="8"/>
  <c r="K106" i="8"/>
  <c r="O106" i="8"/>
  <c r="T106" i="8"/>
  <c r="X106" i="8"/>
  <c r="D106" i="8"/>
  <c r="H106" i="8"/>
  <c r="L106" i="8"/>
  <c r="P106" i="8"/>
  <c r="U106" i="8"/>
  <c r="Y106" i="8"/>
  <c r="E106" i="8"/>
  <c r="I106" i="8"/>
  <c r="M106" i="8"/>
  <c r="Q106" i="8"/>
  <c r="V106" i="8"/>
  <c r="F106" i="8"/>
  <c r="J106" i="8"/>
  <c r="N106" i="8"/>
  <c r="R106" i="8"/>
  <c r="B107" i="8"/>
  <c r="Q107" i="8" a="1"/>
  <c r="P107" i="8" a="1"/>
  <c r="T107" i="8" a="1"/>
  <c r="D107" i="8" a="1"/>
  <c r="H107" i="8" a="1"/>
  <c r="V107" i="8" a="1"/>
  <c r="F107" i="8" a="1"/>
  <c r="N107" i="8" a="1"/>
  <c r="Y107" i="8" a="1"/>
  <c r="W107" i="8" a="1"/>
  <c r="K107" i="8" a="1"/>
  <c r="O107" i="8" a="1"/>
  <c r="I107" i="8" a="1"/>
  <c r="E107" i="8" a="1"/>
  <c r="G107" i="8" a="1"/>
  <c r="R107" i="8" a="1"/>
  <c r="M107" i="8" a="1"/>
  <c r="U107" i="8" a="1"/>
  <c r="X107" i="8" a="1"/>
  <c r="J107" i="8" a="1"/>
  <c r="L107" i="8" a="1"/>
  <c r="C107" i="8" a="1"/>
  <c r="D107" i="8" l="1"/>
  <c r="H107" i="8"/>
  <c r="L107" i="8"/>
  <c r="P107" i="8"/>
  <c r="U107" i="8"/>
  <c r="Y107" i="8"/>
  <c r="E107" i="8"/>
  <c r="I107" i="8"/>
  <c r="M107" i="8"/>
  <c r="Q107" i="8"/>
  <c r="V107" i="8"/>
  <c r="F107" i="8"/>
  <c r="J107" i="8"/>
  <c r="N107" i="8"/>
  <c r="R107" i="8"/>
  <c r="W107" i="8"/>
  <c r="C107" i="8"/>
  <c r="G107" i="8"/>
  <c r="K107" i="8"/>
  <c r="O107" i="8"/>
  <c r="T107" i="8"/>
  <c r="X107" i="8"/>
  <c r="B108" i="8"/>
  <c r="M108" i="8" a="1"/>
  <c r="X108" i="8" a="1"/>
  <c r="O108" i="8" a="1"/>
  <c r="Y108" i="8" a="1"/>
  <c r="L108" i="8" a="1"/>
  <c r="G108" i="8" a="1"/>
  <c r="R108" i="8" a="1"/>
  <c r="H108" i="8" a="1"/>
  <c r="V108" i="8" a="1"/>
  <c r="K108" i="8" a="1"/>
  <c r="W108" i="8" a="1"/>
  <c r="U108" i="8" a="1"/>
  <c r="P108" i="8" a="1"/>
  <c r="F108" i="8" a="1"/>
  <c r="D108" i="8" a="1"/>
  <c r="N108" i="8" a="1"/>
  <c r="I108" i="8" a="1"/>
  <c r="E108" i="8" a="1"/>
  <c r="C108" i="8" a="1"/>
  <c r="J108" i="8" a="1"/>
  <c r="T108" i="8" a="1"/>
  <c r="Q108" i="8" a="1"/>
  <c r="V108" i="8" l="1"/>
  <c r="F108" i="8"/>
  <c r="J108" i="8"/>
  <c r="N108" i="8"/>
  <c r="R108" i="8"/>
  <c r="W108" i="8"/>
  <c r="C108" i="8"/>
  <c r="G108" i="8"/>
  <c r="K108" i="8"/>
  <c r="O108" i="8"/>
  <c r="T108" i="8"/>
  <c r="X108" i="8"/>
  <c r="D108" i="8"/>
  <c r="H108" i="8"/>
  <c r="L108" i="8"/>
  <c r="P108" i="8"/>
  <c r="U108" i="8"/>
  <c r="Y108" i="8"/>
  <c r="I108" i="8"/>
  <c r="Q108" i="8"/>
  <c r="E108" i="8"/>
  <c r="M108" i="8"/>
  <c r="B109" i="8"/>
  <c r="F109" i="8" a="1"/>
  <c r="O109" i="8" a="1"/>
  <c r="Q109" i="8" a="1"/>
  <c r="E109" i="8" a="1"/>
  <c r="R109" i="8" a="1"/>
  <c r="T109" i="8" a="1"/>
  <c r="G109" i="8" a="1"/>
  <c r="N109" i="8" a="1"/>
  <c r="D109" i="8" a="1"/>
  <c r="X109" i="8" a="1"/>
  <c r="V109" i="8" a="1"/>
  <c r="J109" i="8" a="1"/>
  <c r="K109" i="8" a="1"/>
  <c r="L109" i="8" a="1"/>
  <c r="I109" i="8" a="1"/>
  <c r="W109" i="8" a="1"/>
  <c r="C109" i="8" a="1"/>
  <c r="P109" i="8" a="1"/>
  <c r="U109" i="8" a="1"/>
  <c r="M109" i="8" a="1"/>
  <c r="Y109" i="8" a="1"/>
  <c r="H109" i="8" a="1"/>
  <c r="C109" i="8" l="1"/>
  <c r="G109" i="8"/>
  <c r="K109" i="8"/>
  <c r="O109" i="8"/>
  <c r="T109" i="8"/>
  <c r="X109" i="8"/>
  <c r="D109" i="8"/>
  <c r="H109" i="8"/>
  <c r="L109" i="8"/>
  <c r="P109" i="8"/>
  <c r="U109" i="8"/>
  <c r="Y109" i="8"/>
  <c r="E109" i="8"/>
  <c r="I109" i="8"/>
  <c r="M109" i="8"/>
  <c r="Q109" i="8"/>
  <c r="V109" i="8"/>
  <c r="F109" i="8"/>
  <c r="J109" i="8"/>
  <c r="N109" i="8"/>
  <c r="R109" i="8"/>
  <c r="W109" i="8"/>
  <c r="B110" i="8"/>
  <c r="L110" i="8" a="1"/>
  <c r="I110" i="8" a="1"/>
  <c r="J110" i="8" a="1"/>
  <c r="O110" i="8" a="1"/>
  <c r="U110" i="8" a="1"/>
  <c r="T110" i="8" a="1"/>
  <c r="H110" i="8" a="1"/>
  <c r="C110" i="8" a="1"/>
  <c r="K110" i="8" a="1"/>
  <c r="E110" i="8" a="1"/>
  <c r="Q110" i="8" a="1"/>
  <c r="F110" i="8" a="1"/>
  <c r="V110" i="8" a="1"/>
  <c r="D110" i="8" a="1"/>
  <c r="P110" i="8" a="1"/>
  <c r="W110" i="8" a="1"/>
  <c r="R110" i="8" a="1"/>
  <c r="Y110" i="8" a="1"/>
  <c r="G110" i="8" a="1"/>
  <c r="X110" i="8" a="1"/>
  <c r="N110" i="8" a="1"/>
  <c r="M110" i="8" a="1"/>
  <c r="U110" i="8" l="1"/>
  <c r="Y110" i="8"/>
  <c r="E110" i="8"/>
  <c r="I110" i="8"/>
  <c r="M110" i="8"/>
  <c r="Q110" i="8"/>
  <c r="V110" i="8"/>
  <c r="F110" i="8"/>
  <c r="J110" i="8"/>
  <c r="N110" i="8"/>
  <c r="R110" i="8"/>
  <c r="W110" i="8"/>
  <c r="C110" i="8"/>
  <c r="G110" i="8"/>
  <c r="K110" i="8"/>
  <c r="O110" i="8"/>
  <c r="T110" i="8"/>
  <c r="X110" i="8"/>
  <c r="D110" i="8"/>
  <c r="H110" i="8"/>
  <c r="L110" i="8"/>
  <c r="P110" i="8"/>
  <c r="B111" i="8"/>
  <c r="I111" i="8" a="1"/>
  <c r="D111" i="8" a="1"/>
  <c r="F111" i="8" a="1"/>
  <c r="M111" i="8" a="1"/>
  <c r="P111" i="8" a="1"/>
  <c r="Q111" i="8" a="1"/>
  <c r="T111" i="8" a="1"/>
  <c r="O111" i="8" a="1"/>
  <c r="G111" i="8" a="1"/>
  <c r="V111" i="8" a="1"/>
  <c r="E111" i="8" a="1"/>
  <c r="J111" i="8" a="1"/>
  <c r="K111" i="8" a="1"/>
  <c r="C111" i="8" a="1"/>
  <c r="H111" i="8" a="1"/>
  <c r="L111" i="8" a="1"/>
  <c r="W111" i="8" a="1"/>
  <c r="X111" i="8" a="1"/>
  <c r="R111" i="8" a="1"/>
  <c r="N111" i="8" a="1"/>
  <c r="Y111" i="8" a="1"/>
  <c r="U111" i="8" a="1"/>
  <c r="F111" i="8" l="1"/>
  <c r="J111" i="8"/>
  <c r="N111" i="8"/>
  <c r="R111" i="8"/>
  <c r="W111" i="8"/>
  <c r="C111" i="8"/>
  <c r="G111" i="8"/>
  <c r="K111" i="8"/>
  <c r="O111" i="8"/>
  <c r="T111" i="8"/>
  <c r="X111" i="8"/>
  <c r="D111" i="8"/>
  <c r="H111" i="8"/>
  <c r="L111" i="8"/>
  <c r="P111" i="8"/>
  <c r="U111" i="8"/>
  <c r="Y111" i="8"/>
  <c r="E111" i="8"/>
  <c r="I111" i="8"/>
  <c r="M111" i="8"/>
  <c r="Q111" i="8"/>
  <c r="V111" i="8"/>
  <c r="B112" i="8"/>
  <c r="L112" i="8" a="1"/>
  <c r="V112" i="8" a="1"/>
  <c r="U112" i="8" a="1"/>
  <c r="G112" i="8" a="1"/>
  <c r="H112" i="8" a="1"/>
  <c r="N112" i="8" a="1"/>
  <c r="W112" i="8" a="1"/>
  <c r="P112" i="8" a="1"/>
  <c r="C112" i="8" a="1"/>
  <c r="E112" i="8" a="1"/>
  <c r="F112" i="8" a="1"/>
  <c r="T112" i="8" a="1"/>
  <c r="R112" i="8" a="1"/>
  <c r="O112" i="8" a="1"/>
  <c r="D112" i="8" a="1"/>
  <c r="J112" i="8" a="1"/>
  <c r="K112" i="8" a="1"/>
  <c r="M112" i="8" a="1"/>
  <c r="X112" i="8" a="1"/>
  <c r="I112" i="8" a="1"/>
  <c r="Y112" i="8" a="1"/>
  <c r="Q112" i="8" a="1"/>
  <c r="T112" i="8" l="1"/>
  <c r="X112" i="8"/>
  <c r="D112" i="8"/>
  <c r="H112" i="8"/>
  <c r="L112" i="8"/>
  <c r="P112" i="8"/>
  <c r="U112" i="8"/>
  <c r="Y112" i="8"/>
  <c r="E112" i="8"/>
  <c r="I112" i="8"/>
  <c r="M112" i="8"/>
  <c r="Q112" i="8"/>
  <c r="V112" i="8"/>
  <c r="F112" i="8"/>
  <c r="J112" i="8"/>
  <c r="N112" i="8"/>
  <c r="R112" i="8"/>
  <c r="W112" i="8"/>
  <c r="O112" i="8"/>
  <c r="C112" i="8"/>
  <c r="G112" i="8"/>
  <c r="K112" i="8"/>
  <c r="B113" i="8"/>
  <c r="F113" i="8" a="1"/>
  <c r="O113" i="8" a="1"/>
  <c r="N113" i="8" a="1"/>
  <c r="H113" i="8" a="1"/>
  <c r="X113" i="8" a="1"/>
  <c r="C113" i="8" a="1"/>
  <c r="P113" i="8" a="1"/>
  <c r="R113" i="8" a="1"/>
  <c r="D113" i="8" a="1"/>
  <c r="L113" i="8" a="1"/>
  <c r="T113" i="8" a="1"/>
  <c r="V113" i="8" a="1"/>
  <c r="E113" i="8" a="1"/>
  <c r="M113" i="8" a="1"/>
  <c r="Q113" i="8" a="1"/>
  <c r="G113" i="8" a="1"/>
  <c r="K113" i="8" a="1"/>
  <c r="I113" i="8" a="1"/>
  <c r="J113" i="8" a="1"/>
  <c r="Y113" i="8" a="1"/>
  <c r="U113" i="8" a="1"/>
  <c r="W113" i="8" a="1"/>
  <c r="E113" i="8" l="1"/>
  <c r="I113" i="8"/>
  <c r="M113" i="8"/>
  <c r="Q113" i="8"/>
  <c r="V113" i="8"/>
  <c r="F113" i="8"/>
  <c r="J113" i="8"/>
  <c r="N113" i="8"/>
  <c r="R113" i="8"/>
  <c r="W113" i="8"/>
  <c r="C113" i="8"/>
  <c r="G113" i="8"/>
  <c r="K113" i="8"/>
  <c r="O113" i="8"/>
  <c r="T113" i="8"/>
  <c r="X113" i="8"/>
  <c r="D113" i="8"/>
  <c r="H113" i="8"/>
  <c r="L113" i="8"/>
  <c r="P113" i="8"/>
  <c r="Y113" i="8"/>
  <c r="U113" i="8"/>
  <c r="B114" i="8"/>
  <c r="O114" i="8" a="1"/>
  <c r="E114" i="8" a="1"/>
  <c r="J114" i="8" a="1"/>
  <c r="X114" i="8" a="1"/>
  <c r="R114" i="8" a="1"/>
  <c r="I114" i="8" a="1"/>
  <c r="Y114" i="8" a="1"/>
  <c r="W114" i="8" a="1"/>
  <c r="T114" i="8" a="1"/>
  <c r="V114" i="8" a="1"/>
  <c r="Q114" i="8" a="1"/>
  <c r="U114" i="8" a="1"/>
  <c r="G114" i="8" a="1"/>
  <c r="C114" i="8" a="1"/>
  <c r="P114" i="8" a="1"/>
  <c r="N114" i="8" a="1"/>
  <c r="D114" i="8" a="1"/>
  <c r="F114" i="8" a="1"/>
  <c r="K114" i="8" a="1"/>
  <c r="M114" i="8" a="1"/>
  <c r="L114" i="8" a="1"/>
  <c r="H114" i="8" a="1"/>
  <c r="W114" i="8" l="1"/>
  <c r="C114" i="8"/>
  <c r="G114" i="8"/>
  <c r="K114" i="8"/>
  <c r="O114" i="8"/>
  <c r="T114" i="8"/>
  <c r="X114" i="8"/>
  <c r="D114" i="8"/>
  <c r="H114" i="8"/>
  <c r="L114" i="8"/>
  <c r="P114" i="8"/>
  <c r="U114" i="8"/>
  <c r="Y114" i="8"/>
  <c r="E114" i="8"/>
  <c r="I114" i="8"/>
  <c r="M114" i="8"/>
  <c r="Q114" i="8"/>
  <c r="V114" i="8"/>
  <c r="J114" i="8"/>
  <c r="N114" i="8"/>
  <c r="R114" i="8"/>
  <c r="F114" i="8"/>
  <c r="B115" i="8"/>
  <c r="Y115" i="8" a="1"/>
  <c r="L115" i="8" a="1"/>
  <c r="E115" i="8" a="1"/>
  <c r="R115" i="8" a="1"/>
  <c r="H115" i="8" a="1"/>
  <c r="X115" i="8" a="1"/>
  <c r="U115" i="8" a="1"/>
  <c r="G115" i="8" a="1"/>
  <c r="Q115" i="8" a="1"/>
  <c r="W115" i="8" a="1"/>
  <c r="V115" i="8" a="1"/>
  <c r="F115" i="8" a="1"/>
  <c r="K115" i="8" a="1"/>
  <c r="D115" i="8" a="1"/>
  <c r="C115" i="8" a="1"/>
  <c r="I115" i="8" a="1"/>
  <c r="N115" i="8" a="1"/>
  <c r="P115" i="8" a="1"/>
  <c r="O115" i="8" a="1"/>
  <c r="M115" i="8" a="1"/>
  <c r="J115" i="8" a="1"/>
  <c r="T115" i="8" a="1"/>
  <c r="D115" i="8" l="1"/>
  <c r="H115" i="8"/>
  <c r="L115" i="8"/>
  <c r="P115" i="8"/>
  <c r="U115" i="8"/>
  <c r="Y115" i="8"/>
  <c r="E115" i="8"/>
  <c r="I115" i="8"/>
  <c r="M115" i="8"/>
  <c r="Q115" i="8"/>
  <c r="V115" i="8"/>
  <c r="F115" i="8"/>
  <c r="J115" i="8"/>
  <c r="N115" i="8"/>
  <c r="R115" i="8"/>
  <c r="W115" i="8"/>
  <c r="C115" i="8"/>
  <c r="G115" i="8"/>
  <c r="K115" i="8"/>
  <c r="O115" i="8"/>
  <c r="T115" i="8"/>
  <c r="X115" i="8"/>
  <c r="B116" i="8"/>
  <c r="Y116" i="8" a="1"/>
  <c r="M116" i="8" a="1"/>
  <c r="E116" i="8" a="1"/>
  <c r="T116" i="8" a="1"/>
  <c r="U116" i="8" a="1"/>
  <c r="R116" i="8" a="1"/>
  <c r="G116" i="8" a="1"/>
  <c r="V116" i="8" a="1"/>
  <c r="P116" i="8" a="1"/>
  <c r="C116" i="8" a="1"/>
  <c r="F116" i="8" a="1"/>
  <c r="O116" i="8" a="1"/>
  <c r="D116" i="8" a="1"/>
  <c r="Q116" i="8" a="1"/>
  <c r="W116" i="8" a="1"/>
  <c r="I116" i="8" a="1"/>
  <c r="X116" i="8" a="1"/>
  <c r="J116" i="8" a="1"/>
  <c r="H116" i="8" a="1"/>
  <c r="K116" i="8" a="1"/>
  <c r="L116" i="8" a="1"/>
  <c r="N116" i="8" a="1"/>
  <c r="F116" i="8" l="1"/>
  <c r="J116" i="8"/>
  <c r="N116" i="8"/>
  <c r="R116" i="8"/>
  <c r="W116" i="8"/>
  <c r="C116" i="8"/>
  <c r="G116" i="8"/>
  <c r="K116" i="8"/>
  <c r="O116" i="8"/>
  <c r="T116" i="8"/>
  <c r="X116" i="8"/>
  <c r="D116" i="8"/>
  <c r="H116" i="8"/>
  <c r="U116" i="8"/>
  <c r="Y116" i="8"/>
  <c r="I116" i="8"/>
  <c r="L116" i="8"/>
  <c r="V116" i="8"/>
  <c r="M116" i="8"/>
  <c r="P116" i="8"/>
  <c r="E116" i="8"/>
  <c r="Q116" i="8"/>
  <c r="B117" i="8"/>
  <c r="J117" i="8" a="1"/>
  <c r="K117" i="8" a="1"/>
  <c r="X117" i="8" a="1"/>
  <c r="W117" i="8" a="1"/>
  <c r="C117" i="8" a="1"/>
  <c r="N117" i="8" a="1"/>
  <c r="Q117" i="8" a="1"/>
  <c r="E117" i="8" a="1"/>
  <c r="F117" i="8" a="1"/>
  <c r="H117" i="8" a="1"/>
  <c r="P117" i="8" a="1"/>
  <c r="O117" i="8" a="1"/>
  <c r="L117" i="8" a="1"/>
  <c r="V117" i="8" a="1"/>
  <c r="D117" i="8" a="1"/>
  <c r="M117" i="8" a="1"/>
  <c r="I117" i="8" a="1"/>
  <c r="G117" i="8" a="1"/>
  <c r="T117" i="8" a="1"/>
  <c r="R117" i="8" a="1"/>
  <c r="Y117" i="8" a="1"/>
  <c r="T117" i="8" l="1"/>
  <c r="X117" i="8"/>
  <c r="D117" i="8"/>
  <c r="H117" i="8"/>
  <c r="L117" i="8"/>
  <c r="P117" i="8"/>
  <c r="Y117" i="8"/>
  <c r="E117" i="8"/>
  <c r="F117" i="8"/>
  <c r="J117" i="8"/>
  <c r="N117" i="8"/>
  <c r="R117" i="8"/>
  <c r="G117" i="8"/>
  <c r="O117" i="8"/>
  <c r="W117" i="8"/>
  <c r="K117" i="8"/>
  <c r="C117" i="8"/>
  <c r="M117" i="8"/>
  <c r="I117" i="8"/>
  <c r="Q117" i="8"/>
  <c r="V117" i="8"/>
  <c r="B118" i="8"/>
  <c r="R118" i="8" a="1"/>
  <c r="I118" i="8" a="1"/>
  <c r="O118" i="8" a="1"/>
  <c r="D118" i="8" a="1"/>
  <c r="T118" i="8" a="1"/>
  <c r="K118" i="8" a="1"/>
  <c r="U118" i="8" a="1"/>
  <c r="N118" i="8" a="1"/>
  <c r="F118" i="8" a="1"/>
  <c r="X118" i="8" a="1"/>
  <c r="P118" i="8" a="1"/>
  <c r="L118" i="8" a="1"/>
  <c r="J118" i="8" a="1"/>
  <c r="E118" i="8" a="1"/>
  <c r="M118" i="8" a="1"/>
  <c r="H118" i="8" a="1"/>
  <c r="Y118" i="8" a="1"/>
  <c r="C118" i="8" a="1"/>
  <c r="V118" i="8" a="1"/>
  <c r="G118" i="8" a="1"/>
  <c r="Q118" i="8" a="1"/>
  <c r="W118" i="8" a="1"/>
  <c r="E118" i="8" l="1"/>
  <c r="F118" i="8"/>
  <c r="J118" i="8"/>
  <c r="N118" i="8"/>
  <c r="R118" i="8"/>
  <c r="T118" i="8"/>
  <c r="X118" i="8"/>
  <c r="L118" i="8"/>
  <c r="Q118" i="8"/>
  <c r="W118" i="8"/>
  <c r="H118" i="8"/>
  <c r="M118" i="8"/>
  <c r="Y118" i="8"/>
  <c r="C118" i="8"/>
  <c r="I118" i="8"/>
  <c r="D118" i="8"/>
  <c r="O118" i="8"/>
  <c r="U118" i="8"/>
  <c r="P118" i="8"/>
  <c r="G118" i="8"/>
  <c r="K118" i="8"/>
  <c r="V118" i="8"/>
  <c r="B119" i="8"/>
  <c r="R119" i="8" a="1"/>
  <c r="P119" i="8" a="1"/>
  <c r="J119" i="8" a="1"/>
  <c r="Y119" i="8" a="1"/>
  <c r="M119" i="8" a="1"/>
  <c r="G119" i="8" a="1"/>
  <c r="N119" i="8" a="1"/>
  <c r="T119" i="8" a="1"/>
  <c r="K119" i="8" a="1"/>
  <c r="Q119" i="8" a="1"/>
  <c r="D119" i="8" a="1"/>
  <c r="C119" i="8" a="1"/>
  <c r="O119" i="8" a="1"/>
  <c r="H119" i="8" a="1"/>
  <c r="L119" i="8" a="1"/>
  <c r="E119" i="8" a="1"/>
  <c r="F119" i="8" a="1"/>
  <c r="U119" i="8" a="1"/>
  <c r="X119" i="8" a="1"/>
  <c r="I119" i="8" a="1"/>
  <c r="V119" i="8" a="1"/>
  <c r="W119" i="8" a="1"/>
  <c r="E119" i="8" l="1"/>
  <c r="V119" i="8"/>
  <c r="W119" i="8"/>
  <c r="G119" i="8"/>
  <c r="K119" i="8"/>
  <c r="O119" i="8"/>
  <c r="T119" i="8"/>
  <c r="X119" i="8"/>
  <c r="C119" i="8"/>
  <c r="H119" i="8"/>
  <c r="L119" i="8"/>
  <c r="P119" i="8"/>
  <c r="D119" i="8"/>
  <c r="U119" i="8"/>
  <c r="Y119" i="8"/>
  <c r="F119" i="8"/>
  <c r="I119" i="8"/>
  <c r="J119" i="8"/>
  <c r="M119" i="8"/>
  <c r="N119" i="8"/>
  <c r="Q119" i="8"/>
  <c r="R119" i="8"/>
  <c r="B120" i="8"/>
  <c r="L120" i="8" a="1"/>
  <c r="Q120" i="8" a="1"/>
  <c r="F120" i="8" a="1"/>
  <c r="K120" i="8" a="1"/>
  <c r="M120" i="8" a="1"/>
  <c r="J120" i="8" a="1"/>
  <c r="D120" i="8" a="1"/>
  <c r="X120" i="8" a="1"/>
  <c r="H120" i="8" a="1"/>
  <c r="C120" i="8" a="1"/>
  <c r="T120" i="8" a="1"/>
  <c r="P120" i="8" a="1"/>
  <c r="R120" i="8" a="1"/>
  <c r="V120" i="8" a="1"/>
  <c r="O120" i="8" a="1"/>
  <c r="E120" i="8" a="1"/>
  <c r="N120" i="8" a="1"/>
  <c r="U120" i="8" a="1"/>
  <c r="Y120" i="8" a="1"/>
  <c r="G120" i="8" a="1"/>
  <c r="W120" i="8" a="1"/>
  <c r="I120" i="8" a="1"/>
  <c r="C120" i="8" l="1"/>
  <c r="G120" i="8"/>
  <c r="K120" i="8"/>
  <c r="O120" i="8"/>
  <c r="D120" i="8"/>
  <c r="H120" i="8"/>
  <c r="L120" i="8"/>
  <c r="P120" i="8"/>
  <c r="U120" i="8"/>
  <c r="Y120" i="8"/>
  <c r="E120" i="8"/>
  <c r="I120" i="8"/>
  <c r="M120" i="8"/>
  <c r="Q120" i="8"/>
  <c r="V120" i="8"/>
  <c r="F120" i="8"/>
  <c r="J120" i="8"/>
  <c r="N120" i="8"/>
  <c r="R120" i="8"/>
  <c r="T120" i="8"/>
  <c r="W120" i="8"/>
  <c r="X120" i="8"/>
  <c r="B121" i="8"/>
  <c r="T121" i="8" a="1"/>
  <c r="V121" i="8" a="1"/>
  <c r="U121" i="8" a="1"/>
  <c r="E121" i="8" a="1"/>
  <c r="P121" i="8" a="1"/>
  <c r="I121" i="8" a="1"/>
  <c r="N121" i="8" a="1"/>
  <c r="R121" i="8" a="1"/>
  <c r="M121" i="8" a="1"/>
  <c r="F121" i="8" a="1"/>
  <c r="K121" i="8" a="1"/>
  <c r="J121" i="8" a="1"/>
  <c r="Q121" i="8" a="1"/>
  <c r="W121" i="8" a="1"/>
  <c r="L121" i="8" a="1"/>
  <c r="X121" i="8" a="1"/>
  <c r="Y121" i="8" a="1"/>
  <c r="D121" i="8" a="1"/>
  <c r="H121" i="8" a="1"/>
  <c r="C121" i="8" a="1"/>
  <c r="G121" i="8" a="1"/>
  <c r="O121" i="8" a="1"/>
  <c r="U121" i="8" l="1"/>
  <c r="Y121" i="8"/>
  <c r="V121" i="8"/>
  <c r="F121" i="8"/>
  <c r="J121" i="8"/>
  <c r="N121" i="8"/>
  <c r="R121" i="8"/>
  <c r="W121" i="8"/>
  <c r="C121" i="8"/>
  <c r="G121" i="8"/>
  <c r="K121" i="8"/>
  <c r="O121" i="8"/>
  <c r="T121" i="8"/>
  <c r="X121" i="8"/>
  <c r="I121" i="8"/>
  <c r="L121" i="8"/>
  <c r="M121" i="8"/>
  <c r="P121" i="8"/>
  <c r="H121" i="8"/>
  <c r="Q121" i="8"/>
  <c r="D121" i="8"/>
  <c r="E121" i="8"/>
  <c r="B122" i="8"/>
  <c r="N122" i="8" a="1"/>
  <c r="F122" i="8" a="1"/>
  <c r="C122" i="8" a="1"/>
  <c r="Q122" i="8" a="1"/>
  <c r="T122" i="8" a="1"/>
  <c r="E122" i="8" a="1"/>
  <c r="H122" i="8" a="1"/>
  <c r="R122" i="8" a="1"/>
  <c r="O122" i="8" a="1"/>
  <c r="P122" i="8" a="1"/>
  <c r="I122" i="8" a="1"/>
  <c r="L122" i="8" a="1"/>
  <c r="J122" i="8" a="1"/>
  <c r="G122" i="8" a="1"/>
  <c r="Y122" i="8" a="1"/>
  <c r="M122" i="8" a="1"/>
  <c r="X122" i="8" a="1"/>
  <c r="D122" i="8" a="1"/>
  <c r="U122" i="8" a="1"/>
  <c r="K122" i="8" a="1"/>
  <c r="V122" i="8" a="1"/>
  <c r="W122" i="8" a="1"/>
  <c r="F122" i="8" l="1"/>
  <c r="J122" i="8"/>
  <c r="N122" i="8"/>
  <c r="R122" i="8"/>
  <c r="C122" i="8"/>
  <c r="G122" i="8"/>
  <c r="K122" i="8"/>
  <c r="O122" i="8"/>
  <c r="T122" i="8"/>
  <c r="X122" i="8"/>
  <c r="D122" i="8"/>
  <c r="H122" i="8"/>
  <c r="L122" i="8"/>
  <c r="P122" i="8"/>
  <c r="U122" i="8"/>
  <c r="Y122" i="8"/>
  <c r="E122" i="8"/>
  <c r="I122" i="8"/>
  <c r="M122" i="8"/>
  <c r="Q122" i="8"/>
  <c r="V122" i="8"/>
  <c r="W122" i="8"/>
  <c r="B123" i="8"/>
  <c r="G123" i="8" a="1"/>
  <c r="E123" i="8" a="1"/>
  <c r="X123" i="8" a="1"/>
  <c r="T123" i="8" a="1"/>
  <c r="W123" i="8" a="1"/>
  <c r="K123" i="8" a="1"/>
  <c r="J123" i="8" a="1"/>
  <c r="N123" i="8" a="1"/>
  <c r="R123" i="8" a="1"/>
  <c r="F123" i="8" a="1"/>
  <c r="O123" i="8" a="1"/>
  <c r="Q123" i="8" a="1"/>
  <c r="M123" i="8" a="1"/>
  <c r="P123" i="8" a="1"/>
  <c r="V123" i="8" a="1"/>
  <c r="L123" i="8" a="1"/>
  <c r="I123" i="8" a="1"/>
  <c r="D123" i="8" a="1"/>
  <c r="C123" i="8" a="1"/>
  <c r="U123" i="8" a="1"/>
  <c r="Y123" i="8" a="1"/>
  <c r="H123" i="8" a="1"/>
  <c r="T123" i="8" l="1"/>
  <c r="X123" i="8"/>
  <c r="U123" i="8"/>
  <c r="Y123" i="8"/>
  <c r="E123" i="8"/>
  <c r="I123" i="8"/>
  <c r="M123" i="8"/>
  <c r="Q123" i="8"/>
  <c r="V123" i="8"/>
  <c r="F123" i="8"/>
  <c r="J123" i="8"/>
  <c r="N123" i="8"/>
  <c r="R123" i="8"/>
  <c r="W123" i="8"/>
  <c r="L123" i="8"/>
  <c r="K123" i="8"/>
  <c r="O123" i="8"/>
  <c r="P123" i="8"/>
  <c r="C123" i="8"/>
  <c r="D123" i="8"/>
  <c r="G123" i="8"/>
  <c r="H123" i="8"/>
  <c r="B124" i="8"/>
  <c r="H124" i="8" a="1"/>
  <c r="N124" i="8" a="1"/>
  <c r="T124" i="8" a="1"/>
  <c r="W124" i="8" a="1"/>
  <c r="X124" i="8" a="1"/>
  <c r="Y124" i="8" a="1"/>
  <c r="M124" i="8" a="1"/>
  <c r="F124" i="8" a="1"/>
  <c r="Q124" i="8" a="1"/>
  <c r="D124" i="8" a="1"/>
  <c r="V124" i="8" a="1"/>
  <c r="R124" i="8" a="1"/>
  <c r="C124" i="8" a="1"/>
  <c r="E124" i="8" a="1"/>
  <c r="U124" i="8" a="1"/>
  <c r="J124" i="8" a="1"/>
  <c r="I124" i="8" a="1"/>
  <c r="G124" i="8" a="1"/>
  <c r="O124" i="8" a="1"/>
  <c r="L124" i="8" a="1"/>
  <c r="K124" i="8" a="1"/>
  <c r="P124" i="8" a="1"/>
  <c r="E124" i="8" l="1"/>
  <c r="I124" i="8"/>
  <c r="M124" i="8"/>
  <c r="Q124" i="8"/>
  <c r="F124" i="8"/>
  <c r="J124" i="8"/>
  <c r="N124" i="8"/>
  <c r="R124" i="8"/>
  <c r="W124" i="8"/>
  <c r="C124" i="8"/>
  <c r="G124" i="8"/>
  <c r="K124" i="8"/>
  <c r="O124" i="8"/>
  <c r="T124" i="8"/>
  <c r="X124" i="8"/>
  <c r="D124" i="8"/>
  <c r="H124" i="8"/>
  <c r="L124" i="8"/>
  <c r="P124" i="8"/>
  <c r="V124" i="8"/>
  <c r="Y124" i="8"/>
  <c r="U124" i="8"/>
  <c r="B125" i="8"/>
  <c r="G125" i="8" a="1"/>
  <c r="Q125" i="8" a="1"/>
  <c r="C125" i="8" a="1"/>
  <c r="W125" i="8" a="1"/>
  <c r="N125" i="8" a="1"/>
  <c r="V125" i="8" a="1"/>
  <c r="X125" i="8" a="1"/>
  <c r="J125" i="8" a="1"/>
  <c r="I125" i="8" a="1"/>
  <c r="K125" i="8" a="1"/>
  <c r="L125" i="8" a="1"/>
  <c r="M125" i="8" a="1"/>
  <c r="D125" i="8" a="1"/>
  <c r="Y125" i="8" a="1"/>
  <c r="E125" i="8" a="1"/>
  <c r="H125" i="8" a="1"/>
  <c r="F125" i="8" a="1"/>
  <c r="O125" i="8" a="1"/>
  <c r="P125" i="8" a="1"/>
  <c r="T125" i="8" a="1"/>
  <c r="R125" i="8" a="1"/>
  <c r="W125" i="8" l="1"/>
  <c r="T125" i="8"/>
  <c r="X125" i="8"/>
  <c r="D125" i="8"/>
  <c r="H125" i="8"/>
  <c r="L125" i="8"/>
  <c r="P125" i="8"/>
  <c r="Y125" i="8"/>
  <c r="E125" i="8"/>
  <c r="I125" i="8"/>
  <c r="M125" i="8"/>
  <c r="Q125" i="8"/>
  <c r="V125" i="8"/>
  <c r="O125" i="8"/>
  <c r="R125" i="8"/>
  <c r="C125" i="8"/>
  <c r="F125" i="8"/>
  <c r="G125" i="8"/>
  <c r="N125" i="8"/>
  <c r="J125" i="8"/>
  <c r="K125" i="8"/>
  <c r="B126" i="8"/>
  <c r="D126" i="8" a="1"/>
  <c r="T126" i="8" a="1"/>
  <c r="F126" i="8" a="1"/>
  <c r="C126" i="8" a="1"/>
  <c r="J126" i="8" a="1"/>
  <c r="X126" i="8" a="1"/>
  <c r="L126" i="8" a="1"/>
  <c r="G126" i="8" a="1"/>
  <c r="K126" i="8" a="1"/>
  <c r="Q126" i="8" a="1"/>
  <c r="P126" i="8" a="1"/>
  <c r="H126" i="8" a="1"/>
  <c r="I126" i="8" a="1"/>
  <c r="W126" i="8" a="1"/>
  <c r="V126" i="8" a="1"/>
  <c r="N126" i="8" a="1"/>
  <c r="R126" i="8" a="1"/>
  <c r="Y126" i="8" a="1"/>
  <c r="E126" i="8" a="1"/>
  <c r="M126" i="8" a="1"/>
  <c r="O126" i="8" a="1"/>
  <c r="D126" i="8" l="1"/>
  <c r="H126" i="8"/>
  <c r="L126" i="8"/>
  <c r="P126" i="8"/>
  <c r="E126" i="8"/>
  <c r="I126" i="8"/>
  <c r="M126" i="8"/>
  <c r="Q126" i="8"/>
  <c r="V126" i="8"/>
  <c r="F126" i="8"/>
  <c r="J126" i="8"/>
  <c r="N126" i="8"/>
  <c r="R126" i="8"/>
  <c r="W126" i="8"/>
  <c r="C126" i="8"/>
  <c r="G126" i="8"/>
  <c r="K126" i="8"/>
  <c r="O126" i="8"/>
  <c r="Y126" i="8"/>
  <c r="X126" i="8"/>
  <c r="T126" i="8"/>
  <c r="B127" i="8"/>
  <c r="C127" i="8" a="1"/>
  <c r="F127" i="8" a="1"/>
  <c r="O127" i="8" a="1"/>
  <c r="U127" i="8" a="1"/>
  <c r="R127" i="8" a="1"/>
  <c r="G127" i="8" a="1"/>
  <c r="P127" i="8" a="1"/>
  <c r="D127" i="8" a="1"/>
  <c r="Q127" i="8" a="1"/>
  <c r="M127" i="8" a="1"/>
  <c r="X127" i="8" a="1"/>
  <c r="L127" i="8" a="1"/>
  <c r="Y127" i="8" a="1"/>
  <c r="H127" i="8" a="1"/>
  <c r="I127" i="8" a="1"/>
  <c r="N127" i="8" a="1"/>
  <c r="V127" i="8" a="1"/>
  <c r="W127" i="8" a="1"/>
  <c r="J127" i="8" a="1"/>
  <c r="E127" i="8" a="1"/>
  <c r="K127" i="8" a="1"/>
  <c r="T127" i="8" a="1"/>
  <c r="V127" i="8" l="1"/>
  <c r="W127" i="8"/>
  <c r="C127" i="8"/>
  <c r="G127" i="8"/>
  <c r="K127" i="8"/>
  <c r="O127" i="8"/>
  <c r="T127" i="8"/>
  <c r="X127" i="8"/>
  <c r="D127" i="8"/>
  <c r="H127" i="8"/>
  <c r="L127" i="8"/>
  <c r="P127" i="8"/>
  <c r="U127" i="8"/>
  <c r="Y127" i="8"/>
  <c r="R127" i="8"/>
  <c r="E127" i="8"/>
  <c r="Q127" i="8"/>
  <c r="F127" i="8"/>
  <c r="I127" i="8"/>
  <c r="J127" i="8"/>
  <c r="M127" i="8"/>
  <c r="N127" i="8"/>
  <c r="B128" i="8"/>
  <c r="C128" i="8" a="1"/>
  <c r="N128" i="8" a="1"/>
  <c r="J128" i="8" a="1"/>
  <c r="E128" i="8" a="1"/>
  <c r="H128" i="8" a="1"/>
  <c r="L128" i="8" a="1"/>
  <c r="D128" i="8" a="1"/>
  <c r="K128" i="8" a="1"/>
  <c r="P128" i="8" a="1"/>
  <c r="U128" i="8" a="1"/>
  <c r="M128" i="8" a="1"/>
  <c r="G128" i="8" a="1"/>
  <c r="I128" i="8" a="1"/>
  <c r="Y128" i="8" a="1"/>
  <c r="Q128" i="8" a="1"/>
  <c r="W128" i="8" a="1"/>
  <c r="F128" i="8" a="1"/>
  <c r="T128" i="8" a="1"/>
  <c r="V128" i="8" a="1"/>
  <c r="R128" i="8" a="1"/>
  <c r="O128" i="8" a="1"/>
  <c r="X128" i="8" a="1"/>
  <c r="C128" i="8" l="1"/>
  <c r="G128" i="8"/>
  <c r="K128" i="8"/>
  <c r="O128" i="8"/>
  <c r="D128" i="8"/>
  <c r="H128" i="8"/>
  <c r="L128" i="8"/>
  <c r="P128" i="8"/>
  <c r="U128" i="8"/>
  <c r="Y128" i="8"/>
  <c r="E128" i="8"/>
  <c r="I128" i="8"/>
  <c r="M128" i="8"/>
  <c r="Q128" i="8"/>
  <c r="V128" i="8"/>
  <c r="F128" i="8"/>
  <c r="J128" i="8"/>
  <c r="N128" i="8"/>
  <c r="R128" i="8"/>
  <c r="T128" i="8"/>
  <c r="W128" i="8"/>
  <c r="X128" i="8"/>
  <c r="B129" i="8"/>
  <c r="R129" i="8" a="1"/>
  <c r="V129" i="8" a="1"/>
  <c r="U129" i="8" a="1"/>
  <c r="D129" i="8" a="1"/>
  <c r="M129" i="8" a="1"/>
  <c r="J129" i="8" a="1"/>
  <c r="W129" i="8" a="1"/>
  <c r="P129" i="8" a="1"/>
  <c r="E129" i="8" a="1"/>
  <c r="K129" i="8" a="1"/>
  <c r="N129" i="8" a="1"/>
  <c r="C129" i="8" a="1"/>
  <c r="H129" i="8" a="1"/>
  <c r="F129" i="8" a="1"/>
  <c r="G129" i="8" a="1"/>
  <c r="T129" i="8" a="1"/>
  <c r="X129" i="8" a="1"/>
  <c r="L129" i="8" a="1"/>
  <c r="Q129" i="8" a="1"/>
  <c r="Y129" i="8" a="1"/>
  <c r="I129" i="8" a="1"/>
  <c r="O129" i="8" a="1"/>
  <c r="U129" i="8" l="1"/>
  <c r="Y129" i="8"/>
  <c r="V129" i="8"/>
  <c r="F129" i="8"/>
  <c r="J129" i="8"/>
  <c r="N129" i="8"/>
  <c r="R129" i="8"/>
  <c r="W129" i="8"/>
  <c r="C129" i="8"/>
  <c r="G129" i="8"/>
  <c r="K129" i="8"/>
  <c r="O129" i="8"/>
  <c r="T129" i="8"/>
  <c r="X129" i="8"/>
  <c r="E129" i="8"/>
  <c r="H129" i="8"/>
  <c r="I129" i="8"/>
  <c r="L129" i="8"/>
  <c r="M129" i="8"/>
  <c r="D129" i="8"/>
  <c r="P129" i="8"/>
  <c r="Q129" i="8"/>
  <c r="B130" i="8"/>
  <c r="V130" i="8" a="1"/>
  <c r="K130" i="8" a="1"/>
  <c r="I130" i="8" a="1"/>
  <c r="Y130" i="8" a="1"/>
  <c r="H130" i="8" a="1"/>
  <c r="R130" i="8" a="1"/>
  <c r="W130" i="8" a="1"/>
  <c r="D130" i="8" a="1"/>
  <c r="N130" i="8" a="1"/>
  <c r="L130" i="8" a="1"/>
  <c r="U130" i="8" a="1"/>
  <c r="G130" i="8" a="1"/>
  <c r="M130" i="8" a="1"/>
  <c r="T130" i="8" a="1"/>
  <c r="E130" i="8" a="1"/>
  <c r="C130" i="8" a="1"/>
  <c r="J130" i="8" a="1"/>
  <c r="X130" i="8" a="1"/>
  <c r="F130" i="8" a="1"/>
  <c r="P130" i="8" a="1"/>
  <c r="O130" i="8" a="1"/>
  <c r="F130" i="8" l="1"/>
  <c r="J130" i="8"/>
  <c r="N130" i="8"/>
  <c r="R130" i="8"/>
  <c r="C130" i="8"/>
  <c r="G130" i="8"/>
  <c r="K130" i="8"/>
  <c r="O130" i="8"/>
  <c r="T130" i="8"/>
  <c r="X130" i="8"/>
  <c r="D130" i="8"/>
  <c r="H130" i="8"/>
  <c r="L130" i="8"/>
  <c r="P130" i="8"/>
  <c r="U130" i="8"/>
  <c r="Y130" i="8"/>
  <c r="E130" i="8"/>
  <c r="I130" i="8"/>
  <c r="M130" i="8"/>
  <c r="V130" i="8"/>
  <c r="W130" i="8"/>
  <c r="B131" i="8"/>
  <c r="N131" i="8" a="1"/>
  <c r="D131" i="8" a="1"/>
  <c r="J131" i="8" a="1"/>
  <c r="Y131" i="8" a="1"/>
  <c r="P131" i="8" a="1"/>
  <c r="H131" i="8" a="1"/>
  <c r="K131" i="8" a="1"/>
  <c r="L131" i="8" a="1"/>
  <c r="X131" i="8" a="1"/>
  <c r="T131" i="8" a="1"/>
  <c r="G131" i="8" a="1"/>
  <c r="I131" i="8" a="1"/>
  <c r="V131" i="8" a="1"/>
  <c r="F131" i="8" a="1"/>
  <c r="C131" i="8" a="1"/>
  <c r="O131" i="8" a="1"/>
  <c r="R131" i="8" a="1"/>
  <c r="U131" i="8" a="1"/>
  <c r="E131" i="8" a="1"/>
  <c r="W131" i="8" a="1"/>
  <c r="M131" i="8" a="1"/>
  <c r="Q131" i="8" a="1"/>
  <c r="T131" i="8" l="1"/>
  <c r="X131" i="8"/>
  <c r="U131" i="8"/>
  <c r="Y131" i="8"/>
  <c r="E131" i="8"/>
  <c r="I131" i="8"/>
  <c r="M131" i="8"/>
  <c r="Q131" i="8"/>
  <c r="V131" i="8"/>
  <c r="F131" i="8"/>
  <c r="J131" i="8"/>
  <c r="N131" i="8"/>
  <c r="R131" i="8"/>
  <c r="W131" i="8"/>
  <c r="H131" i="8"/>
  <c r="K131" i="8"/>
  <c r="L131" i="8"/>
  <c r="O131" i="8"/>
  <c r="P131" i="8"/>
  <c r="C131" i="8"/>
  <c r="D131" i="8"/>
  <c r="G131" i="8"/>
  <c r="B132" i="8"/>
  <c r="D132" i="8" a="1"/>
  <c r="H132" i="8" a="1"/>
  <c r="C132" i="8" a="1"/>
  <c r="U132" i="8" a="1"/>
  <c r="P132" i="8" a="1"/>
  <c r="F132" i="8" a="1"/>
  <c r="V132" i="8" a="1"/>
  <c r="M132" i="8" a="1"/>
  <c r="K132" i="8" a="1"/>
  <c r="J132" i="8" a="1"/>
  <c r="R132" i="8" a="1"/>
  <c r="G132" i="8" a="1"/>
  <c r="I132" i="8" a="1"/>
  <c r="O132" i="8" a="1"/>
  <c r="Y132" i="8" a="1"/>
  <c r="W132" i="8" a="1"/>
  <c r="Q132" i="8" a="1"/>
  <c r="T132" i="8" a="1"/>
  <c r="N132" i="8" a="1"/>
  <c r="L132" i="8" a="1"/>
  <c r="E132" i="8" a="1"/>
  <c r="X132" i="8" a="1"/>
  <c r="E132" i="8" l="1"/>
  <c r="I132" i="8"/>
  <c r="M132" i="8"/>
  <c r="Q132" i="8"/>
  <c r="F132" i="8"/>
  <c r="J132" i="8"/>
  <c r="N132" i="8"/>
  <c r="R132" i="8"/>
  <c r="W132" i="8"/>
  <c r="C132" i="8"/>
  <c r="G132" i="8"/>
  <c r="K132" i="8"/>
  <c r="O132" i="8"/>
  <c r="T132" i="8"/>
  <c r="X132" i="8"/>
  <c r="D132" i="8"/>
  <c r="H132" i="8"/>
  <c r="L132" i="8"/>
  <c r="P132" i="8"/>
  <c r="U132" i="8"/>
  <c r="V132" i="8"/>
  <c r="Y132" i="8"/>
  <c r="B133" i="8"/>
  <c r="C133" i="8" a="1"/>
  <c r="G133" i="8" a="1"/>
  <c r="F133" i="8" a="1"/>
  <c r="W133" i="8" a="1"/>
  <c r="E133" i="8" a="1"/>
  <c r="Q133" i="8" a="1"/>
  <c r="R133" i="8" a="1"/>
  <c r="D133" i="8" a="1"/>
  <c r="I133" i="8" a="1"/>
  <c r="M133" i="8" a="1"/>
  <c r="N133" i="8" a="1"/>
  <c r="P133" i="8" a="1"/>
  <c r="Y133" i="8" a="1"/>
  <c r="O133" i="8" a="1"/>
  <c r="K133" i="8" a="1"/>
  <c r="X133" i="8" a="1"/>
  <c r="H133" i="8" a="1"/>
  <c r="U133" i="8" a="1"/>
  <c r="V133" i="8" a="1"/>
  <c r="T133" i="8" a="1"/>
  <c r="L133" i="8" a="1"/>
  <c r="J133" i="8" a="1"/>
  <c r="D133" i="8" l="1"/>
  <c r="H133" i="8"/>
  <c r="E133" i="8"/>
  <c r="I133" i="8"/>
  <c r="K133" i="8"/>
  <c r="U133" i="8"/>
  <c r="Y133" i="8"/>
  <c r="L133" i="8"/>
  <c r="Q133" i="8"/>
  <c r="V133" i="8"/>
  <c r="M133" i="8"/>
  <c r="R133" i="8"/>
  <c r="C133" i="8"/>
  <c r="N133" i="8"/>
  <c r="W133" i="8"/>
  <c r="F133" i="8"/>
  <c r="O133" i="8"/>
  <c r="G133" i="8"/>
  <c r="T133" i="8"/>
  <c r="X133" i="8"/>
  <c r="J133" i="8"/>
  <c r="P133" i="8"/>
  <c r="B134" i="8"/>
  <c r="C134" i="8" a="1"/>
  <c r="O134" i="8" a="1"/>
  <c r="U134" i="8" a="1"/>
  <c r="R134" i="8" a="1"/>
  <c r="M134" i="8" a="1"/>
  <c r="P134" i="8" a="1"/>
  <c r="F134" i="8" a="1"/>
  <c r="N134" i="8" a="1"/>
  <c r="T134" i="8" a="1"/>
  <c r="E134" i="8" a="1"/>
  <c r="W134" i="8" a="1"/>
  <c r="K134" i="8" a="1"/>
  <c r="H134" i="8" a="1"/>
  <c r="J134" i="8" a="1"/>
  <c r="V134" i="8" a="1"/>
  <c r="Y134" i="8" a="1"/>
  <c r="I134" i="8" a="1"/>
  <c r="Q134" i="8" a="1"/>
  <c r="G134" i="8" a="1"/>
  <c r="D134" i="8" a="1"/>
  <c r="X134" i="8" a="1"/>
  <c r="L134" i="8" a="1"/>
  <c r="F134" i="8" l="1"/>
  <c r="J134" i="8"/>
  <c r="N134" i="8"/>
  <c r="R134" i="8"/>
  <c r="W134" i="8"/>
  <c r="C134" i="8"/>
  <c r="G134" i="8"/>
  <c r="K134" i="8"/>
  <c r="O134" i="8"/>
  <c r="T134" i="8"/>
  <c r="X134" i="8"/>
  <c r="D134" i="8"/>
  <c r="H134" i="8"/>
  <c r="L134" i="8"/>
  <c r="P134" i="8"/>
  <c r="U134" i="8"/>
  <c r="Y134" i="8"/>
  <c r="E134" i="8"/>
  <c r="I134" i="8"/>
  <c r="M134" i="8"/>
  <c r="Q134" i="8"/>
  <c r="V134" i="8"/>
  <c r="B135" i="8"/>
  <c r="Y135" i="8" a="1"/>
  <c r="I135" i="8" a="1"/>
  <c r="D135" i="8" a="1"/>
  <c r="C135" i="8" a="1"/>
  <c r="R135" i="8" a="1"/>
  <c r="F135" i="8" a="1"/>
  <c r="H135" i="8" a="1"/>
  <c r="W135" i="8" a="1"/>
  <c r="Q135" i="8" a="1"/>
  <c r="M135" i="8" a="1"/>
  <c r="N135" i="8" a="1"/>
  <c r="G135" i="8" a="1"/>
  <c r="L135" i="8" a="1"/>
  <c r="O135" i="8" a="1"/>
  <c r="E135" i="8" a="1"/>
  <c r="V135" i="8" a="1"/>
  <c r="X135" i="8" a="1"/>
  <c r="J135" i="8" a="1"/>
  <c r="P135" i="8" a="1"/>
  <c r="K135" i="8" a="1"/>
  <c r="U135" i="8" a="1"/>
  <c r="T135" i="8" a="1"/>
  <c r="T135" i="8" l="1"/>
  <c r="X135" i="8"/>
  <c r="D135" i="8"/>
  <c r="H135" i="8"/>
  <c r="L135" i="8"/>
  <c r="P135" i="8"/>
  <c r="U135" i="8"/>
  <c r="Y135" i="8"/>
  <c r="E135" i="8"/>
  <c r="I135" i="8"/>
  <c r="M135" i="8"/>
  <c r="Q135" i="8"/>
  <c r="V135" i="8"/>
  <c r="F135" i="8"/>
  <c r="J135" i="8"/>
  <c r="N135" i="8"/>
  <c r="R135" i="8"/>
  <c r="W135" i="8"/>
  <c r="O135" i="8"/>
  <c r="C135" i="8"/>
  <c r="K135" i="8"/>
  <c r="G135" i="8"/>
  <c r="B136" i="8"/>
  <c r="D136" i="8" a="1"/>
  <c r="W136" i="8" a="1"/>
  <c r="P136" i="8" a="1"/>
  <c r="Q136" i="8" a="1"/>
  <c r="T136" i="8" a="1"/>
  <c r="I136" i="8" a="1"/>
  <c r="R136" i="8" a="1"/>
  <c r="O136" i="8" a="1"/>
  <c r="U136" i="8" a="1"/>
  <c r="E136" i="8" a="1"/>
  <c r="G136" i="8" a="1"/>
  <c r="F136" i="8" a="1"/>
  <c r="Y136" i="8" a="1"/>
  <c r="C136" i="8" a="1"/>
  <c r="J136" i="8" a="1"/>
  <c r="N136" i="8" a="1"/>
  <c r="K136" i="8" a="1"/>
  <c r="X136" i="8" a="1"/>
  <c r="V136" i="8" a="1"/>
  <c r="M136" i="8" a="1"/>
  <c r="L136" i="8" a="1"/>
  <c r="H136" i="8" a="1"/>
  <c r="E136" i="8" l="1"/>
  <c r="I136" i="8"/>
  <c r="M136" i="8"/>
  <c r="Q136" i="8"/>
  <c r="V136" i="8"/>
  <c r="F136" i="8"/>
  <c r="J136" i="8"/>
  <c r="N136" i="8"/>
  <c r="R136" i="8"/>
  <c r="W136" i="8"/>
  <c r="C136" i="8"/>
  <c r="G136" i="8"/>
  <c r="K136" i="8"/>
  <c r="O136" i="8"/>
  <c r="T136" i="8"/>
  <c r="X136" i="8"/>
  <c r="D136" i="8"/>
  <c r="H136" i="8"/>
  <c r="L136" i="8"/>
  <c r="P136" i="8"/>
  <c r="U136" i="8"/>
  <c r="Y136" i="8"/>
  <c r="B137" i="8"/>
  <c r="I137" i="8" a="1"/>
  <c r="W137" i="8" a="1"/>
  <c r="V137" i="8" a="1"/>
  <c r="M137" i="8" a="1"/>
  <c r="T137" i="8" a="1"/>
  <c r="F137" i="8" a="1"/>
  <c r="Q137" i="8" a="1"/>
  <c r="E137" i="8" a="1"/>
  <c r="N137" i="8" a="1"/>
  <c r="D137" i="8" a="1"/>
  <c r="R137" i="8" a="1"/>
  <c r="J137" i="8" a="1"/>
  <c r="X137" i="8" a="1"/>
  <c r="U137" i="8" a="1"/>
  <c r="O137" i="8" a="1"/>
  <c r="K137" i="8" a="1"/>
  <c r="L137" i="8" a="1"/>
  <c r="Y137" i="8" a="1"/>
  <c r="P137" i="8" a="1"/>
  <c r="G137" i="8" a="1"/>
  <c r="C137" i="8" a="1"/>
  <c r="H137" i="8" a="1"/>
  <c r="W137" i="8" l="1"/>
  <c r="C137" i="8"/>
  <c r="G137" i="8"/>
  <c r="K137" i="8"/>
  <c r="O137" i="8"/>
  <c r="T137" i="8"/>
  <c r="X137" i="8"/>
  <c r="D137" i="8"/>
  <c r="H137" i="8"/>
  <c r="L137" i="8"/>
  <c r="P137" i="8"/>
  <c r="U137" i="8"/>
  <c r="Y137" i="8"/>
  <c r="E137" i="8"/>
  <c r="I137" i="8"/>
  <c r="M137" i="8"/>
  <c r="Q137" i="8"/>
  <c r="V137" i="8"/>
  <c r="J137" i="8"/>
  <c r="N137" i="8"/>
  <c r="R137" i="8"/>
  <c r="F137" i="8"/>
  <c r="B138" i="8"/>
  <c r="M138" i="8" a="1"/>
  <c r="D138" i="8" a="1"/>
  <c r="J138" i="8" a="1"/>
  <c r="N138" i="8" a="1"/>
  <c r="U138" i="8" a="1"/>
  <c r="K138" i="8" a="1"/>
  <c r="F138" i="8" a="1"/>
  <c r="C138" i="8" a="1"/>
  <c r="L138" i="8" a="1"/>
  <c r="V138" i="8" a="1"/>
  <c r="X138" i="8" a="1"/>
  <c r="P138" i="8" a="1"/>
  <c r="G138" i="8" a="1"/>
  <c r="H138" i="8" a="1"/>
  <c r="T138" i="8" a="1"/>
  <c r="R138" i="8" a="1"/>
  <c r="Y138" i="8" a="1"/>
  <c r="W138" i="8" a="1"/>
  <c r="Q138" i="8" a="1"/>
  <c r="O138" i="8" a="1"/>
  <c r="E138" i="8" a="1"/>
  <c r="I138" i="8" a="1"/>
  <c r="D138" i="8" l="1"/>
  <c r="H138" i="8"/>
  <c r="L138" i="8"/>
  <c r="P138" i="8"/>
  <c r="U138" i="8"/>
  <c r="Y138" i="8"/>
  <c r="E138" i="8"/>
  <c r="I138" i="8"/>
  <c r="M138" i="8"/>
  <c r="Q138" i="8"/>
  <c r="V138" i="8"/>
  <c r="F138" i="8"/>
  <c r="J138" i="8"/>
  <c r="N138" i="8"/>
  <c r="R138" i="8"/>
  <c r="W138" i="8"/>
  <c r="C138" i="8"/>
  <c r="G138" i="8"/>
  <c r="K138" i="8"/>
  <c r="O138" i="8"/>
  <c r="T138" i="8"/>
  <c r="X138" i="8"/>
  <c r="B139" i="8"/>
  <c r="C139" i="8" a="1"/>
  <c r="F139" i="8" a="1"/>
  <c r="O139" i="8" a="1"/>
  <c r="K139" i="8" a="1"/>
  <c r="T139" i="8" a="1"/>
  <c r="I139" i="8" a="1"/>
  <c r="X139" i="8" a="1"/>
  <c r="P139" i="8" a="1"/>
  <c r="D139" i="8" a="1"/>
  <c r="U139" i="8" a="1"/>
  <c r="Y139" i="8" a="1"/>
  <c r="H139" i="8" a="1"/>
  <c r="R139" i="8" a="1"/>
  <c r="W139" i="8" a="1"/>
  <c r="N139" i="8" a="1"/>
  <c r="G139" i="8" a="1"/>
  <c r="V139" i="8" a="1"/>
  <c r="L139" i="8" a="1"/>
  <c r="M139" i="8" a="1"/>
  <c r="E139" i="8" a="1"/>
  <c r="Q139" i="8" a="1"/>
  <c r="J139" i="8" a="1"/>
  <c r="V139" i="8" l="1"/>
  <c r="F139" i="8"/>
  <c r="J139" i="8"/>
  <c r="N139" i="8"/>
  <c r="R139" i="8"/>
  <c r="W139" i="8"/>
  <c r="C139" i="8"/>
  <c r="G139" i="8"/>
  <c r="K139" i="8"/>
  <c r="O139" i="8"/>
  <c r="T139" i="8"/>
  <c r="X139" i="8"/>
  <c r="D139" i="8"/>
  <c r="H139" i="8"/>
  <c r="L139" i="8"/>
  <c r="P139" i="8"/>
  <c r="U139" i="8"/>
  <c r="Y139" i="8"/>
  <c r="E139" i="8"/>
  <c r="I139" i="8"/>
  <c r="Q139" i="8"/>
  <c r="M139" i="8"/>
  <c r="B140" i="8"/>
  <c r="Y140" i="8" a="1"/>
  <c r="J140" i="8" a="1"/>
  <c r="H140" i="8" a="1"/>
  <c r="E140" i="8" a="1"/>
  <c r="X140" i="8" a="1"/>
  <c r="P140" i="8" a="1"/>
  <c r="M140" i="8" a="1"/>
  <c r="V140" i="8" a="1"/>
  <c r="K140" i="8" a="1"/>
  <c r="O140" i="8" a="1"/>
  <c r="D140" i="8" a="1"/>
  <c r="U140" i="8" a="1"/>
  <c r="I140" i="8" a="1"/>
  <c r="Q140" i="8" a="1"/>
  <c r="C140" i="8" a="1"/>
  <c r="G140" i="8" a="1"/>
  <c r="W140" i="8" a="1"/>
  <c r="F140" i="8" a="1"/>
  <c r="L140" i="8" a="1"/>
  <c r="R140" i="8" a="1"/>
  <c r="T140" i="8" a="1"/>
  <c r="N140" i="8" a="1"/>
  <c r="C140" i="8" l="1"/>
  <c r="G140" i="8"/>
  <c r="K140" i="8"/>
  <c r="O140" i="8"/>
  <c r="T140" i="8"/>
  <c r="X140" i="8"/>
  <c r="D140" i="8"/>
  <c r="H140" i="8"/>
  <c r="L140" i="8"/>
  <c r="P140" i="8"/>
  <c r="U140" i="8"/>
  <c r="Y140" i="8"/>
  <c r="E140" i="8"/>
  <c r="I140" i="8"/>
  <c r="M140" i="8"/>
  <c r="Q140" i="8"/>
  <c r="V140" i="8"/>
  <c r="F140" i="8"/>
  <c r="J140" i="8"/>
  <c r="N140" i="8"/>
  <c r="R140" i="8"/>
  <c r="W140" i="8"/>
  <c r="B141" i="8"/>
  <c r="P141" i="8" a="1"/>
  <c r="F141" i="8" a="1"/>
  <c r="R141" i="8" a="1"/>
  <c r="K141" i="8" a="1"/>
  <c r="Q141" i="8" a="1"/>
  <c r="O141" i="8" a="1"/>
  <c r="E141" i="8" a="1"/>
  <c r="Y141" i="8" a="1"/>
  <c r="N141" i="8" a="1"/>
  <c r="M141" i="8" a="1"/>
  <c r="L141" i="8" a="1"/>
  <c r="H141" i="8" a="1"/>
  <c r="W141" i="8" a="1"/>
  <c r="I141" i="8" a="1"/>
  <c r="J141" i="8" a="1"/>
  <c r="C141" i="8" a="1"/>
  <c r="X141" i="8" a="1"/>
  <c r="D141" i="8" a="1"/>
  <c r="V141" i="8" a="1"/>
  <c r="T141" i="8" a="1"/>
  <c r="G141" i="8" a="1"/>
  <c r="U141" i="8" a="1"/>
  <c r="U141" i="8" l="1"/>
  <c r="Y141" i="8"/>
  <c r="E141" i="8"/>
  <c r="I141" i="8"/>
  <c r="M141" i="8"/>
  <c r="Q141" i="8"/>
  <c r="V141" i="8"/>
  <c r="F141" i="8"/>
  <c r="J141" i="8"/>
  <c r="N141" i="8"/>
  <c r="R141" i="8"/>
  <c r="W141" i="8"/>
  <c r="C141" i="8"/>
  <c r="G141" i="8"/>
  <c r="K141" i="8"/>
  <c r="O141" i="8"/>
  <c r="T141" i="8"/>
  <c r="X141" i="8"/>
  <c r="P141" i="8"/>
  <c r="D141" i="8"/>
  <c r="L141" i="8"/>
  <c r="H141" i="8"/>
  <c r="B142" i="8"/>
  <c r="T142" i="8" a="1"/>
  <c r="P142" i="8" a="1"/>
  <c r="E142" i="8" a="1"/>
  <c r="I142" i="8" a="1"/>
  <c r="M142" i="8" a="1"/>
  <c r="H142" i="8" a="1"/>
  <c r="Y142" i="8" a="1"/>
  <c r="Q142" i="8" a="1"/>
  <c r="O142" i="8" a="1"/>
  <c r="G142" i="8" a="1"/>
  <c r="U142" i="8" a="1"/>
  <c r="X142" i="8" a="1"/>
  <c r="L142" i="8" a="1"/>
  <c r="N142" i="8" a="1"/>
  <c r="C142" i="8" a="1"/>
  <c r="V142" i="8" a="1"/>
  <c r="F142" i="8" a="1"/>
  <c r="D142" i="8" a="1"/>
  <c r="K142" i="8" a="1"/>
  <c r="J142" i="8" a="1"/>
  <c r="W142" i="8" a="1"/>
  <c r="R142" i="8" a="1"/>
  <c r="F142" i="8" l="1"/>
  <c r="J142" i="8"/>
  <c r="N142" i="8"/>
  <c r="R142" i="8"/>
  <c r="W142" i="8"/>
  <c r="C142" i="8"/>
  <c r="G142" i="8"/>
  <c r="K142" i="8"/>
  <c r="O142" i="8"/>
  <c r="T142" i="8"/>
  <c r="X142" i="8"/>
  <c r="D142" i="8"/>
  <c r="H142" i="8"/>
  <c r="L142" i="8"/>
  <c r="P142" i="8"/>
  <c r="U142" i="8"/>
  <c r="Y142" i="8"/>
  <c r="E142" i="8"/>
  <c r="I142" i="8"/>
  <c r="M142" i="8"/>
  <c r="Q142" i="8"/>
  <c r="V142" i="8"/>
  <c r="B143" i="8"/>
  <c r="P143" i="8" a="1"/>
  <c r="Y143" i="8" a="1"/>
  <c r="U143" i="8" a="1"/>
  <c r="Q143" i="8" a="1"/>
  <c r="O143" i="8" a="1"/>
  <c r="I143" i="8" a="1"/>
  <c r="C143" i="8" a="1"/>
  <c r="T143" i="8" a="1"/>
  <c r="W143" i="8" a="1"/>
  <c r="E143" i="8" a="1"/>
  <c r="R143" i="8" a="1"/>
  <c r="H143" i="8" a="1"/>
  <c r="F143" i="8" a="1"/>
  <c r="N143" i="8" a="1"/>
  <c r="M143" i="8" a="1"/>
  <c r="G143" i="8" a="1"/>
  <c r="D143" i="8" a="1"/>
  <c r="L143" i="8" a="1"/>
  <c r="J143" i="8" a="1"/>
  <c r="V143" i="8" a="1"/>
  <c r="X143" i="8" a="1"/>
  <c r="K143" i="8" a="1"/>
  <c r="T143" i="8" l="1"/>
  <c r="X143" i="8"/>
  <c r="D143" i="8"/>
  <c r="H143" i="8"/>
  <c r="L143" i="8"/>
  <c r="P143" i="8"/>
  <c r="U143" i="8"/>
  <c r="Y143" i="8"/>
  <c r="E143" i="8"/>
  <c r="I143" i="8"/>
  <c r="M143" i="8"/>
  <c r="Q143" i="8"/>
  <c r="V143" i="8"/>
  <c r="F143" i="8"/>
  <c r="J143" i="8"/>
  <c r="N143" i="8"/>
  <c r="R143" i="8"/>
  <c r="W143" i="8"/>
  <c r="C143" i="8"/>
  <c r="G143" i="8"/>
  <c r="K143" i="8"/>
  <c r="O143" i="8"/>
  <c r="B144" i="8"/>
  <c r="W144" i="8" a="1"/>
  <c r="Y144" i="8" a="1"/>
  <c r="R144" i="8" a="1"/>
  <c r="I144" i="8" a="1"/>
  <c r="C144" i="8" a="1"/>
  <c r="J144" i="8" a="1"/>
  <c r="G144" i="8" a="1"/>
  <c r="T144" i="8" a="1"/>
  <c r="V144" i="8" a="1"/>
  <c r="L144" i="8" a="1"/>
  <c r="K144" i="8" a="1"/>
  <c r="H144" i="8" a="1"/>
  <c r="N144" i="8" a="1"/>
  <c r="D144" i="8" a="1"/>
  <c r="E144" i="8" a="1"/>
  <c r="O144" i="8" a="1"/>
  <c r="F144" i="8" a="1"/>
  <c r="X144" i="8" a="1"/>
  <c r="P144" i="8" a="1"/>
  <c r="U144" i="8" a="1"/>
  <c r="M144" i="8" a="1"/>
  <c r="Q144" i="8" a="1"/>
  <c r="E144" i="8" l="1"/>
  <c r="I144" i="8"/>
  <c r="M144" i="8"/>
  <c r="Q144" i="8"/>
  <c r="V144" i="8"/>
  <c r="F144" i="8"/>
  <c r="J144" i="8"/>
  <c r="N144" i="8"/>
  <c r="R144" i="8"/>
  <c r="W144" i="8"/>
  <c r="C144" i="8"/>
  <c r="G144" i="8"/>
  <c r="K144" i="8"/>
  <c r="O144" i="8"/>
  <c r="T144" i="8"/>
  <c r="X144" i="8"/>
  <c r="D144" i="8"/>
  <c r="H144" i="8"/>
  <c r="L144" i="8"/>
  <c r="P144" i="8"/>
  <c r="U144" i="8"/>
  <c r="Y144" i="8"/>
  <c r="B145" i="8"/>
  <c r="Y145" i="8" a="1"/>
  <c r="V145" i="8" a="1"/>
  <c r="K145" i="8" a="1"/>
  <c r="U145" i="8" a="1"/>
  <c r="G145" i="8" a="1"/>
  <c r="L145" i="8" a="1"/>
  <c r="R145" i="8" a="1"/>
  <c r="P145" i="8" a="1"/>
  <c r="I145" i="8" a="1"/>
  <c r="T145" i="8" a="1"/>
  <c r="J145" i="8" a="1"/>
  <c r="E145" i="8" a="1"/>
  <c r="H145" i="8" a="1"/>
  <c r="X145" i="8" a="1"/>
  <c r="M145" i="8" a="1"/>
  <c r="Q145" i="8" a="1"/>
  <c r="W145" i="8" a="1"/>
  <c r="D145" i="8" a="1"/>
  <c r="C145" i="8" a="1"/>
  <c r="F145" i="8" a="1"/>
  <c r="O145" i="8" a="1"/>
  <c r="N145" i="8" a="1"/>
  <c r="W145" i="8" l="1"/>
  <c r="C145" i="8"/>
  <c r="G145" i="8"/>
  <c r="K145" i="8"/>
  <c r="O145" i="8"/>
  <c r="T145" i="8"/>
  <c r="X145" i="8"/>
  <c r="D145" i="8"/>
  <c r="H145" i="8"/>
  <c r="L145" i="8"/>
  <c r="P145" i="8"/>
  <c r="U145" i="8"/>
  <c r="Y145" i="8"/>
  <c r="E145" i="8"/>
  <c r="I145" i="8"/>
  <c r="M145" i="8"/>
  <c r="Q145" i="8"/>
  <c r="V145" i="8"/>
  <c r="F145" i="8"/>
  <c r="J145" i="8"/>
  <c r="N145" i="8"/>
  <c r="R145" i="8"/>
  <c r="B146" i="8"/>
  <c r="C146" i="8" a="1"/>
  <c r="C146" i="8" l="1"/>
  <c r="B147" i="8"/>
  <c r="X146" i="8" a="1"/>
  <c r="J147" i="8" a="1"/>
  <c r="E146" i="8" a="1"/>
  <c r="C147" i="8" a="1"/>
  <c r="F146" i="8" a="1"/>
  <c r="D146" i="8" a="1"/>
  <c r="J146" i="8" a="1"/>
  <c r="K147" i="8" a="1"/>
  <c r="K146" i="8" a="1"/>
  <c r="I146" i="8" a="1"/>
  <c r="U146" i="8" a="1"/>
  <c r="L147" i="8" a="1"/>
  <c r="R146" i="8" a="1"/>
  <c r="Q147" i="8" a="1"/>
  <c r="V146" i="8" a="1"/>
  <c r="W146" i="8" a="1"/>
  <c r="H147" i="8" a="1"/>
  <c r="N146" i="8" a="1"/>
  <c r="L146" i="8" a="1"/>
  <c r="O146" i="8" a="1"/>
  <c r="Y146" i="8" a="1"/>
  <c r="T146" i="8" a="1"/>
  <c r="M146" i="8" a="1"/>
  <c r="G147" i="8" a="1"/>
  <c r="W147" i="8" a="1"/>
  <c r="Q146" i="8" a="1"/>
  <c r="G146" i="8" a="1"/>
  <c r="H146" i="8" a="1"/>
  <c r="P146" i="8" a="1"/>
  <c r="I147" i="8" a="1"/>
  <c r="P146" i="8" l="1"/>
  <c r="Q146" i="8"/>
  <c r="G146" i="8"/>
  <c r="T146" i="8"/>
  <c r="X146" i="8"/>
  <c r="J146" i="8"/>
  <c r="W146" i="8"/>
  <c r="M146" i="8"/>
  <c r="F146" i="8"/>
  <c r="V146" i="8"/>
  <c r="U146" i="8"/>
  <c r="O146" i="8"/>
  <c r="E146" i="8"/>
  <c r="K146" i="8"/>
  <c r="N146" i="8"/>
  <c r="I146" i="8"/>
  <c r="L146" i="8"/>
  <c r="D146" i="8"/>
  <c r="R146" i="8"/>
  <c r="Y146" i="8"/>
  <c r="H146" i="8"/>
  <c r="L147" i="8"/>
  <c r="Q147" i="8"/>
  <c r="C147" i="8"/>
  <c r="I147" i="8"/>
  <c r="H147" i="8"/>
  <c r="K147" i="8"/>
  <c r="W147" i="8"/>
  <c r="G147" i="8"/>
  <c r="J147" i="8"/>
  <c r="B148" i="8"/>
  <c r="Q148" i="8" a="1"/>
  <c r="Y148" i="8" a="1"/>
  <c r="U148" i="8" a="1"/>
  <c r="R148" i="8" a="1"/>
  <c r="G148" i="8" a="1"/>
  <c r="R147" i="8" a="1"/>
  <c r="J148" i="8" a="1"/>
  <c r="P148" i="8" a="1"/>
  <c r="O147" i="8" a="1"/>
  <c r="M148" i="8" a="1"/>
  <c r="E147" i="8" a="1"/>
  <c r="I148" i="8" a="1"/>
  <c r="K148" i="8" a="1"/>
  <c r="M147" i="8" a="1"/>
  <c r="P147" i="8" a="1"/>
  <c r="D148" i="8" a="1"/>
  <c r="V147" i="8" a="1"/>
  <c r="X147" i="8" a="1"/>
  <c r="D147" i="8" a="1"/>
  <c r="W148" i="8" a="1"/>
  <c r="N148" i="8" a="1"/>
  <c r="C148" i="8" a="1"/>
  <c r="Y147" i="8" a="1"/>
  <c r="U147" i="8" a="1"/>
  <c r="N147" i="8" a="1"/>
  <c r="F147" i="8" a="1"/>
  <c r="H148" i="8" a="1"/>
  <c r="O148" i="8" a="1"/>
  <c r="T147" i="8" a="1"/>
  <c r="L148" i="8" a="1"/>
  <c r="X147" i="8" l="1"/>
  <c r="D147" i="8"/>
  <c r="O147" i="8"/>
  <c r="V147" i="8"/>
  <c r="P147" i="8"/>
  <c r="E147" i="8"/>
  <c r="T147" i="8"/>
  <c r="M147" i="8"/>
  <c r="Y147" i="8"/>
  <c r="R147" i="8"/>
  <c r="N147" i="8"/>
  <c r="F147" i="8"/>
  <c r="U147" i="8"/>
  <c r="M148" i="8"/>
  <c r="D148" i="8"/>
  <c r="W148" i="8"/>
  <c r="R148" i="8"/>
  <c r="H148" i="8"/>
  <c r="L148" i="8"/>
  <c r="Q148" i="8"/>
  <c r="G148" i="8"/>
  <c r="P148" i="8"/>
  <c r="N148" i="8"/>
  <c r="U148" i="8"/>
  <c r="O148" i="8"/>
  <c r="Y148" i="8"/>
  <c r="J148" i="8"/>
  <c r="K148" i="8"/>
  <c r="C148" i="8"/>
  <c r="I148" i="8"/>
  <c r="B149" i="8"/>
  <c r="X149" i="8" a="1"/>
  <c r="V148" i="8" a="1"/>
  <c r="E148" i="8" a="1"/>
  <c r="M149" i="8" a="1"/>
  <c r="K149" i="8" a="1"/>
  <c r="F149" i="8" a="1"/>
  <c r="T149" i="8" a="1"/>
  <c r="D149" i="8" a="1"/>
  <c r="I149" i="8" a="1"/>
  <c r="O149" i="8" a="1"/>
  <c r="F148" i="8" a="1"/>
  <c r="W149" i="8" a="1"/>
  <c r="G149" i="8" a="1"/>
  <c r="V149" i="8" a="1"/>
  <c r="H149" i="8" a="1"/>
  <c r="X148" i="8" a="1"/>
  <c r="U149" i="8" a="1"/>
  <c r="C149" i="8" a="1"/>
  <c r="T148" i="8" a="1"/>
  <c r="N149" i="8" a="1"/>
  <c r="R149" i="8" a="1"/>
  <c r="Y149" i="8" a="1"/>
  <c r="Q149" i="8" a="1"/>
  <c r="J149" i="8" a="1"/>
  <c r="P149" i="8" a="1"/>
  <c r="L149" i="8" a="1"/>
  <c r="E149" i="8" a="1"/>
  <c r="F148" i="8" l="1"/>
  <c r="T148" i="8"/>
  <c r="E148" i="8"/>
  <c r="V148" i="8"/>
  <c r="X148" i="8"/>
  <c r="Y149" i="8"/>
  <c r="R149" i="8"/>
  <c r="F149" i="8"/>
  <c r="I149" i="8"/>
  <c r="K149" i="8"/>
  <c r="L149" i="8"/>
  <c r="D149" i="8"/>
  <c r="E149" i="8"/>
  <c r="T149" i="8"/>
  <c r="J149" i="8"/>
  <c r="N149" i="8"/>
  <c r="U149" i="8"/>
  <c r="O149" i="8"/>
  <c r="W149" i="8"/>
  <c r="P149" i="8"/>
  <c r="V149" i="8"/>
  <c r="H149" i="8"/>
  <c r="C149" i="8"/>
  <c r="G149" i="8"/>
  <c r="M149" i="8"/>
  <c r="X149" i="8"/>
  <c r="Q149" i="8"/>
  <c r="B150" i="8"/>
  <c r="T150" i="8" a="1"/>
  <c r="M150" i="8" a="1"/>
  <c r="Y150" i="8" a="1"/>
  <c r="F150" i="8" a="1"/>
  <c r="E150" i="8" a="1"/>
  <c r="R150" i="8" a="1"/>
  <c r="D150" i="8" a="1"/>
  <c r="O150" i="8" a="1"/>
  <c r="V150" i="8" a="1"/>
  <c r="X150" i="8" a="1"/>
  <c r="L150" i="8" a="1"/>
  <c r="K150" i="8" a="1"/>
  <c r="O150" i="8" l="1"/>
  <c r="Y150" i="8"/>
  <c r="T150" i="8"/>
  <c r="L150" i="8"/>
  <c r="D150" i="8"/>
  <c r="M150" i="8"/>
  <c r="E150" i="8"/>
  <c r="X150" i="8"/>
  <c r="K150" i="8"/>
  <c r="V150" i="8"/>
  <c r="R150" i="8"/>
  <c r="F150" i="8"/>
  <c r="B151" i="8"/>
  <c r="P150" i="8" a="1"/>
  <c r="I151" i="8" a="1"/>
  <c r="N150" i="8" a="1"/>
  <c r="P151" i="8" a="1"/>
  <c r="C151" i="8" a="1"/>
  <c r="U150" i="8" a="1"/>
  <c r="G151" i="8" a="1"/>
  <c r="J151" i="8" a="1"/>
  <c r="J150" i="8" a="1"/>
  <c r="V151" i="8" a="1"/>
  <c r="W151" i="8" a="1"/>
  <c r="Q150" i="8" a="1"/>
  <c r="O151" i="8" a="1"/>
  <c r="N151" i="8" a="1"/>
  <c r="T151" i="8" a="1"/>
  <c r="Q151" i="8" a="1"/>
  <c r="H150" i="8" a="1"/>
  <c r="M151" i="8" a="1"/>
  <c r="X151" i="8" a="1"/>
  <c r="Y151" i="8" a="1"/>
  <c r="I150" i="8" a="1"/>
  <c r="G150" i="8" a="1"/>
  <c r="R151" i="8" a="1"/>
  <c r="H151" i="8" a="1"/>
  <c r="D151" i="8" a="1"/>
  <c r="L151" i="8" a="1"/>
  <c r="K151" i="8" a="1"/>
  <c r="C150" i="8" a="1"/>
  <c r="F151" i="8" a="1"/>
  <c r="E151" i="8" a="1"/>
  <c r="W150" i="8" a="1"/>
  <c r="U151" i="8" a="1"/>
  <c r="G150" i="8" l="1"/>
  <c r="J150" i="8"/>
  <c r="H150" i="8"/>
  <c r="N150" i="8"/>
  <c r="W150" i="8"/>
  <c r="C150" i="8"/>
  <c r="U150" i="8"/>
  <c r="Q150" i="8"/>
  <c r="P150" i="8"/>
  <c r="I150" i="8"/>
  <c r="C151" i="8"/>
  <c r="W151" i="8"/>
  <c r="I151" i="8"/>
  <c r="V151" i="8"/>
  <c r="P151" i="8"/>
  <c r="F151" i="8"/>
  <c r="M151" i="8"/>
  <c r="O151" i="8"/>
  <c r="G151" i="8"/>
  <c r="L151" i="8"/>
  <c r="R151" i="8"/>
  <c r="Y151" i="8"/>
  <c r="Q151" i="8"/>
  <c r="J151" i="8"/>
  <c r="X151" i="8"/>
  <c r="E151" i="8"/>
  <c r="H151" i="8"/>
  <c r="U151" i="8"/>
  <c r="D151" i="8"/>
  <c r="T151" i="8"/>
  <c r="N151" i="8"/>
  <c r="K151" i="8"/>
  <c r="B152" i="8"/>
  <c r="Q152" i="8" a="1"/>
  <c r="U152" i="8" a="1"/>
  <c r="L152" i="8" a="1"/>
  <c r="E152" i="8" a="1"/>
  <c r="H152" i="8" a="1"/>
  <c r="D152" i="8" a="1"/>
  <c r="X152" i="8" a="1"/>
  <c r="V152" i="8" a="1"/>
  <c r="P152" i="8" a="1"/>
  <c r="Y152" i="8" a="1"/>
  <c r="K152" i="8" a="1"/>
  <c r="W152" i="8" a="1"/>
  <c r="M152" i="8" a="1"/>
  <c r="T152" i="8" a="1"/>
  <c r="G152" i="8" a="1"/>
  <c r="F152" i="8" a="1"/>
  <c r="O152" i="8" a="1"/>
  <c r="N152" i="8" a="1"/>
  <c r="I152" i="8" a="1"/>
  <c r="C152" i="8" a="1"/>
  <c r="J152" i="8" a="1"/>
  <c r="C152" i="8" l="1"/>
  <c r="O152" i="8"/>
  <c r="Y152" i="8"/>
  <c r="H152" i="8"/>
  <c r="M152" i="8"/>
  <c r="E152" i="8"/>
  <c r="X152" i="8"/>
  <c r="I152" i="8"/>
  <c r="P152" i="8"/>
  <c r="L152" i="8"/>
  <c r="D152" i="8"/>
  <c r="F152" i="8"/>
  <c r="K152" i="8"/>
  <c r="N152" i="8"/>
  <c r="W152" i="8"/>
  <c r="U152" i="8"/>
  <c r="J152" i="8"/>
  <c r="G152" i="8"/>
  <c r="T152" i="8"/>
  <c r="Q152" i="8"/>
  <c r="V152" i="8"/>
  <c r="B153" i="8"/>
  <c r="Y153" i="8" a="1"/>
  <c r="R152" i="8" a="1"/>
  <c r="R152" i="8" l="1"/>
  <c r="Y153" i="8"/>
  <c r="B154" i="8"/>
  <c r="N153" i="8" a="1"/>
  <c r="N154" i="8" a="1"/>
  <c r="F154" i="8" a="1"/>
  <c r="D154" i="8" a="1"/>
  <c r="O153" i="8" a="1"/>
  <c r="M153" i="8" a="1"/>
  <c r="D153" i="8" a="1"/>
  <c r="T153" i="8" a="1"/>
  <c r="H153" i="8" a="1"/>
  <c r="Q153" i="8" a="1"/>
  <c r="J154" i="8" a="1"/>
  <c r="C153" i="8" a="1"/>
  <c r="G153" i="8" a="1"/>
  <c r="I154" i="8" a="1"/>
  <c r="J153" i="8" a="1"/>
  <c r="V153" i="8" a="1"/>
  <c r="U153" i="8" a="1"/>
  <c r="I153" i="8" a="1"/>
  <c r="X154" i="8" a="1"/>
  <c r="U154" i="8" a="1"/>
  <c r="R153" i="8" a="1"/>
  <c r="L153" i="8" a="1"/>
  <c r="O154" i="8" a="1"/>
  <c r="E153" i="8" a="1"/>
  <c r="K153" i="8" a="1"/>
  <c r="P153" i="8" a="1"/>
  <c r="W153" i="8" a="1"/>
  <c r="X153" i="8" a="1"/>
  <c r="F153" i="8" a="1"/>
  <c r="E153" i="8" l="1"/>
  <c r="V153" i="8"/>
  <c r="Q153" i="8"/>
  <c r="K153" i="8"/>
  <c r="D153" i="8"/>
  <c r="L153" i="8"/>
  <c r="P153" i="8"/>
  <c r="M153" i="8"/>
  <c r="U153" i="8"/>
  <c r="F153" i="8"/>
  <c r="R153" i="8"/>
  <c r="W153" i="8"/>
  <c r="H153" i="8"/>
  <c r="T153" i="8"/>
  <c r="C153" i="8"/>
  <c r="J153" i="8"/>
  <c r="N153" i="8"/>
  <c r="I153" i="8"/>
  <c r="O153" i="8"/>
  <c r="G153" i="8"/>
  <c r="X153" i="8"/>
  <c r="J154" i="8"/>
  <c r="D154" i="8"/>
  <c r="F154" i="8"/>
  <c r="I154" i="8"/>
  <c r="X154" i="8"/>
  <c r="N154" i="8"/>
  <c r="O154" i="8"/>
  <c r="U154" i="8"/>
  <c r="B155" i="8"/>
  <c r="V154" i="8" a="1"/>
  <c r="W155" i="8" a="1"/>
  <c r="R155" i="8" a="1"/>
  <c r="E154" i="8" a="1"/>
  <c r="Y154" i="8" a="1"/>
  <c r="O155" i="8" a="1"/>
  <c r="W154" i="8" a="1"/>
  <c r="D155" i="8" a="1"/>
  <c r="C154" i="8" a="1"/>
  <c r="C155" i="8" a="1"/>
  <c r="G154" i="8" a="1"/>
  <c r="M155" i="8" a="1"/>
  <c r="K155" i="8" a="1"/>
  <c r="E155" i="8" a="1"/>
  <c r="M154" i="8" a="1"/>
  <c r="Y155" i="8" a="1"/>
  <c r="R154" i="8" a="1"/>
  <c r="T154" i="8" a="1"/>
  <c r="Q154" i="8" a="1"/>
  <c r="L154" i="8" a="1"/>
  <c r="H154" i="8" a="1"/>
  <c r="P154" i="8" a="1"/>
  <c r="L155" i="8" a="1"/>
  <c r="J155" i="8" a="1"/>
  <c r="K154" i="8" a="1"/>
  <c r="K154" i="8" l="1"/>
  <c r="C154" i="8"/>
  <c r="M154" i="8"/>
  <c r="T154" i="8"/>
  <c r="E154" i="8"/>
  <c r="Y154" i="8"/>
  <c r="W154" i="8"/>
  <c r="G154" i="8"/>
  <c r="H154" i="8"/>
  <c r="P154" i="8"/>
  <c r="L154" i="8"/>
  <c r="Q154" i="8"/>
  <c r="R154" i="8"/>
  <c r="V154" i="8"/>
  <c r="K155" i="8"/>
  <c r="W155" i="8"/>
  <c r="M155" i="8"/>
  <c r="J155" i="8"/>
  <c r="Y155" i="8"/>
  <c r="E155" i="8"/>
  <c r="O155" i="8"/>
  <c r="D155" i="8"/>
  <c r="C155" i="8"/>
  <c r="R155" i="8"/>
  <c r="L155" i="8"/>
  <c r="B156" i="8"/>
  <c r="D156" i="8" a="1"/>
  <c r="V155" i="8" a="1"/>
  <c r="H155" i="8" a="1"/>
  <c r="Q155" i="8" a="1"/>
  <c r="F155" i="8" a="1"/>
  <c r="P155" i="8" a="1"/>
  <c r="X155" i="8" a="1"/>
  <c r="T155" i="8" a="1"/>
  <c r="G155" i="8" a="1"/>
  <c r="U155" i="8" a="1"/>
  <c r="N155" i="8" a="1"/>
  <c r="I155" i="8" a="1"/>
  <c r="N155" i="8" l="1"/>
  <c r="U155" i="8"/>
  <c r="V155" i="8"/>
  <c r="T155" i="8"/>
  <c r="X155" i="8"/>
  <c r="Q155" i="8"/>
  <c r="H155" i="8"/>
  <c r="I155" i="8"/>
  <c r="P155" i="8"/>
  <c r="G155" i="8"/>
  <c r="F155" i="8"/>
  <c r="D156" i="8"/>
  <c r="B157" i="8"/>
  <c r="G156" i="8" a="1"/>
  <c r="U156" i="8" a="1"/>
  <c r="H156" i="8" a="1"/>
  <c r="F156" i="8" a="1"/>
  <c r="N156" i="8" a="1"/>
  <c r="T156" i="8" a="1"/>
  <c r="V156" i="8" a="1"/>
  <c r="E156" i="8" a="1"/>
  <c r="R156" i="8" a="1"/>
  <c r="J156" i="8" a="1"/>
  <c r="O156" i="8" a="1"/>
  <c r="L156" i="8" a="1"/>
  <c r="Q156" i="8" a="1"/>
  <c r="C156" i="8" a="1"/>
  <c r="X156" i="8" a="1"/>
  <c r="I156" i="8" a="1"/>
  <c r="W156" i="8" a="1"/>
  <c r="K156" i="8" a="1"/>
  <c r="M156" i="8" a="1"/>
  <c r="P156" i="8" a="1"/>
  <c r="Y156" i="8" a="1"/>
  <c r="F156" i="8" l="1"/>
  <c r="G156" i="8"/>
  <c r="Q156" i="8"/>
  <c r="Y156" i="8"/>
  <c r="C156" i="8"/>
  <c r="E156" i="8"/>
  <c r="J156" i="8"/>
  <c r="H156" i="8"/>
  <c r="N156" i="8"/>
  <c r="T156" i="8"/>
  <c r="K156" i="8"/>
  <c r="U156" i="8"/>
  <c r="P156" i="8"/>
  <c r="M156" i="8"/>
  <c r="R156" i="8"/>
  <c r="V156" i="8"/>
  <c r="O156" i="8"/>
  <c r="L156" i="8"/>
  <c r="X156" i="8"/>
  <c r="I156" i="8"/>
  <c r="W156" i="8"/>
  <c r="B158" i="8"/>
  <c r="M157" i="8" a="1"/>
  <c r="L157" i="8" a="1"/>
  <c r="K157" i="8" a="1"/>
  <c r="H157" i="8" a="1"/>
  <c r="P157" i="8" a="1"/>
  <c r="Q157" i="8" a="1"/>
  <c r="O157" i="8" a="1"/>
  <c r="G157" i="8" a="1"/>
  <c r="R157" i="8" a="1"/>
  <c r="J157" i="8" a="1"/>
  <c r="I157" i="8" a="1"/>
  <c r="F157" i="8" a="1"/>
  <c r="C157" i="8" a="1"/>
  <c r="N157" i="8" a="1"/>
  <c r="E157" i="8" a="1"/>
  <c r="D157" i="8" a="1"/>
  <c r="J157" i="8" l="1"/>
  <c r="L157" i="8"/>
  <c r="I157" i="8"/>
  <c r="R157" i="8"/>
  <c r="H157" i="8"/>
  <c r="F157" i="8"/>
  <c r="D157" i="8"/>
  <c r="P157" i="8"/>
  <c r="Q157" i="8"/>
  <c r="O157" i="8"/>
  <c r="M157" i="8"/>
  <c r="K157" i="8"/>
  <c r="G157" i="8"/>
  <c r="N157" i="8"/>
  <c r="E157" i="8"/>
  <c r="C157" i="8"/>
  <c r="B159" i="8"/>
  <c r="F158" i="8" a="1"/>
  <c r="N158" i="8" a="1"/>
  <c r="C158" i="8" a="1"/>
  <c r="J158" i="8" a="1"/>
  <c r="L158" i="8" a="1"/>
  <c r="G158" i="8" a="1"/>
  <c r="R158" i="8" a="1"/>
  <c r="O158" i="8" a="1"/>
  <c r="I158" i="8" a="1"/>
  <c r="Q158" i="8" a="1"/>
  <c r="P158" i="8" a="1"/>
  <c r="K158" i="8" a="1"/>
  <c r="D158" i="8" a="1"/>
  <c r="M158" i="8" a="1"/>
  <c r="H158" i="8" a="1"/>
  <c r="E158" i="8" a="1"/>
  <c r="Q158" i="8" l="1"/>
  <c r="O158" i="8"/>
  <c r="I158" i="8"/>
  <c r="G158" i="8"/>
  <c r="F158" i="8"/>
  <c r="M158" i="8"/>
  <c r="P158" i="8"/>
  <c r="C158" i="8"/>
  <c r="E158" i="8"/>
  <c r="K158" i="8"/>
  <c r="L158" i="8"/>
  <c r="R158" i="8"/>
  <c r="N158" i="8"/>
  <c r="H158" i="8"/>
  <c r="D158" i="8"/>
  <c r="J158" i="8"/>
  <c r="B160" i="8"/>
  <c r="E159" i="8" a="1"/>
  <c r="L159" i="8" a="1"/>
  <c r="C159" i="8" a="1"/>
  <c r="K159" i="8" a="1"/>
  <c r="Q159" i="8" a="1"/>
  <c r="G159" i="8" a="1"/>
  <c r="D159" i="8" a="1"/>
  <c r="F159" i="8" a="1"/>
  <c r="N159" i="8" a="1"/>
  <c r="I159" i="8" a="1"/>
  <c r="R159" i="8" a="1"/>
  <c r="J159" i="8" a="1"/>
  <c r="P159" i="8" a="1"/>
  <c r="O159" i="8" a="1"/>
  <c r="H159" i="8" a="1"/>
  <c r="M159" i="8" a="1"/>
  <c r="D159" i="8" l="1"/>
  <c r="J159" i="8"/>
  <c r="F159" i="8"/>
  <c r="O159" i="8"/>
  <c r="Q159" i="8"/>
  <c r="K159" i="8"/>
  <c r="M159" i="8"/>
  <c r="G159" i="8"/>
  <c r="I159" i="8"/>
  <c r="L159" i="8"/>
  <c r="C159" i="8"/>
  <c r="E159" i="8"/>
  <c r="H159" i="8"/>
  <c r="R159" i="8"/>
  <c r="P159" i="8"/>
  <c r="N159" i="8"/>
  <c r="B161" i="8"/>
  <c r="D160" i="8" a="1"/>
  <c r="H160" i="8" a="1"/>
  <c r="C160" i="8" a="1"/>
  <c r="J160" i="8" a="1"/>
  <c r="L160" i="8" a="1"/>
  <c r="M160" i="8" a="1"/>
  <c r="Q160" i="8" a="1"/>
  <c r="P160" i="8" a="1"/>
  <c r="N160" i="8" a="1"/>
  <c r="O160" i="8" a="1"/>
  <c r="K160" i="8" a="1"/>
  <c r="F160" i="8" a="1"/>
  <c r="R160" i="8" a="1"/>
  <c r="E160" i="8" a="1"/>
  <c r="G160" i="8" a="1"/>
  <c r="I160" i="8" a="1"/>
  <c r="H160" i="8" l="1"/>
  <c r="F160" i="8"/>
  <c r="D160" i="8"/>
  <c r="C160" i="8"/>
  <c r="Q160" i="8"/>
  <c r="K160" i="8"/>
  <c r="M160" i="8"/>
  <c r="G160" i="8"/>
  <c r="R160" i="8"/>
  <c r="P160" i="8"/>
  <c r="J160" i="8"/>
  <c r="O160" i="8"/>
  <c r="I160" i="8"/>
  <c r="E160" i="8"/>
  <c r="N160" i="8"/>
  <c r="L160" i="8"/>
  <c r="B162" i="8"/>
  <c r="K161" i="8" a="1"/>
  <c r="H161" i="8" a="1"/>
  <c r="G161" i="8" a="1"/>
  <c r="O161" i="8" a="1"/>
  <c r="M161" i="8" a="1"/>
  <c r="L161" i="8" a="1"/>
  <c r="Q161" i="8" a="1"/>
  <c r="F161" i="8" a="1"/>
  <c r="E161" i="8" a="1"/>
  <c r="D161" i="8" a="1"/>
  <c r="N161" i="8" a="1"/>
  <c r="I161" i="8" a="1"/>
  <c r="J161" i="8" a="1"/>
  <c r="C161" i="8" a="1"/>
  <c r="R161" i="8" a="1"/>
  <c r="P161" i="8" a="1"/>
  <c r="G161" i="8" l="1"/>
  <c r="P161" i="8"/>
  <c r="L161" i="8"/>
  <c r="F161" i="8"/>
  <c r="H161" i="8"/>
  <c r="I161" i="8"/>
  <c r="J161" i="8"/>
  <c r="N161" i="8"/>
  <c r="D161" i="8"/>
  <c r="Q161" i="8"/>
  <c r="O161" i="8"/>
  <c r="R161" i="8"/>
  <c r="M161" i="8"/>
  <c r="K161" i="8"/>
  <c r="E161" i="8"/>
  <c r="C161" i="8"/>
  <c r="B163" i="8"/>
  <c r="C162" i="8" a="1"/>
  <c r="H162" i="8" a="1"/>
  <c r="Q162" i="8" a="1"/>
  <c r="N162" i="8" a="1"/>
  <c r="D162" i="8" a="1"/>
  <c r="O162" i="8" a="1"/>
  <c r="J162" i="8" a="1"/>
  <c r="R162" i="8" a="1"/>
  <c r="F162" i="8" a="1"/>
  <c r="I162" i="8" a="1"/>
  <c r="M162" i="8" a="1"/>
  <c r="E162" i="8" a="1"/>
  <c r="P162" i="8" a="1"/>
  <c r="L162" i="8" a="1"/>
  <c r="K162" i="8" a="1"/>
  <c r="G162" i="8" a="1"/>
  <c r="J162" i="8" l="1"/>
  <c r="F162" i="8"/>
  <c r="I162" i="8"/>
  <c r="O162" i="8"/>
  <c r="Q162" i="8"/>
  <c r="K162" i="8"/>
  <c r="D162" i="8"/>
  <c r="M162" i="8"/>
  <c r="E162" i="8"/>
  <c r="C162" i="8"/>
  <c r="L162" i="8"/>
  <c r="R162" i="8"/>
  <c r="G162" i="8"/>
  <c r="P162" i="8"/>
  <c r="H162" i="8"/>
  <c r="N162" i="8"/>
  <c r="B164" i="8"/>
  <c r="E163" i="8" a="1"/>
  <c r="G163" i="8" a="1"/>
  <c r="C163" i="8" a="1"/>
  <c r="I163" i="8" a="1"/>
  <c r="M163" i="8" a="1"/>
  <c r="L163" i="8" a="1"/>
  <c r="F163" i="8" a="1"/>
  <c r="D163" i="8" a="1"/>
  <c r="R163" i="8" a="1"/>
  <c r="H163" i="8" a="1"/>
  <c r="K163" i="8" a="1"/>
  <c r="J163" i="8" a="1"/>
  <c r="Q163" i="8" a="1"/>
  <c r="N163" i="8" a="1"/>
  <c r="P163" i="8" a="1"/>
  <c r="O163" i="8" a="1"/>
  <c r="R163" i="8" l="1"/>
  <c r="D163" i="8"/>
  <c r="N163" i="8"/>
  <c r="F163" i="8"/>
  <c r="L163" i="8"/>
  <c r="O163" i="8"/>
  <c r="Q163" i="8"/>
  <c r="J163" i="8"/>
  <c r="K163" i="8"/>
  <c r="M163" i="8"/>
  <c r="G163" i="8"/>
  <c r="I163" i="8"/>
  <c r="P163" i="8"/>
  <c r="H163" i="8"/>
  <c r="C163" i="8"/>
  <c r="E163" i="8"/>
  <c r="B165" i="8"/>
  <c r="C164" i="8" a="1"/>
  <c r="R164" i="8" a="1"/>
  <c r="D164" i="8" a="1"/>
  <c r="E164" i="8" a="1"/>
  <c r="G164" i="8" a="1"/>
  <c r="N164" i="8" a="1"/>
  <c r="Q164" i="8" a="1"/>
  <c r="L164" i="8" a="1"/>
  <c r="P164" i="8" a="1"/>
  <c r="K164" i="8" a="1"/>
  <c r="O164" i="8" a="1"/>
  <c r="H164" i="8" a="1"/>
  <c r="F164" i="8" a="1"/>
  <c r="J164" i="8" a="1"/>
  <c r="I164" i="8" a="1"/>
  <c r="M164" i="8" a="1"/>
  <c r="O164" i="8" l="1"/>
  <c r="I164" i="8"/>
  <c r="C164" i="8"/>
  <c r="E164" i="8"/>
  <c r="G164" i="8"/>
  <c r="R164" i="8"/>
  <c r="P164" i="8"/>
  <c r="M164" i="8"/>
  <c r="N164" i="8"/>
  <c r="L164" i="8"/>
  <c r="H164" i="8"/>
  <c r="Q164" i="8"/>
  <c r="J164" i="8"/>
  <c r="K164" i="8"/>
  <c r="F164" i="8"/>
  <c r="D164" i="8"/>
  <c r="B166" i="8"/>
  <c r="M165" i="8" a="1"/>
  <c r="G165" i="8" a="1"/>
  <c r="O165" i="8" a="1"/>
  <c r="H165" i="8" a="1"/>
  <c r="D165" i="8" a="1"/>
  <c r="E165" i="8" a="1"/>
  <c r="K165" i="8" a="1"/>
  <c r="N165" i="8" a="1"/>
  <c r="L165" i="8" a="1"/>
  <c r="C165" i="8" a="1"/>
  <c r="Q165" i="8" a="1"/>
  <c r="F165" i="8" a="1"/>
  <c r="P165" i="8" a="1"/>
  <c r="J165" i="8" a="1"/>
  <c r="I165" i="8" a="1"/>
  <c r="R165" i="8" a="1"/>
  <c r="F165" i="8" l="1"/>
  <c r="E165" i="8"/>
  <c r="C165" i="8"/>
  <c r="N165" i="8"/>
  <c r="P165" i="8"/>
  <c r="H165" i="8"/>
  <c r="R165" i="8"/>
  <c r="D165" i="8"/>
  <c r="J165" i="8"/>
  <c r="Q165" i="8"/>
  <c r="O165" i="8"/>
  <c r="L165" i="8"/>
  <c r="M165" i="8"/>
  <c r="K165" i="8"/>
  <c r="I165" i="8"/>
  <c r="G165" i="8"/>
  <c r="B167" i="8"/>
  <c r="M166" i="8" a="1"/>
  <c r="O166" i="8" a="1"/>
  <c r="K166" i="8" a="1"/>
  <c r="Q166" i="8" a="1"/>
  <c r="G166" i="8" a="1"/>
  <c r="P166" i="8" a="1"/>
  <c r="L166" i="8" a="1"/>
  <c r="F166" i="8" a="1"/>
  <c r="J166" i="8" a="1"/>
  <c r="C166" i="8" a="1"/>
  <c r="I166" i="8" a="1"/>
  <c r="N166" i="8" a="1"/>
  <c r="E166" i="8" a="1"/>
  <c r="D166" i="8" a="1"/>
  <c r="H166" i="8" a="1"/>
  <c r="R166" i="8" a="1"/>
  <c r="C166" i="8" l="1"/>
  <c r="N166" i="8"/>
  <c r="H166" i="8"/>
  <c r="R166" i="8"/>
  <c r="P166" i="8"/>
  <c r="D166" i="8"/>
  <c r="Q166" i="8"/>
  <c r="I166" i="8"/>
  <c r="O166" i="8"/>
  <c r="M166" i="8"/>
  <c r="K166" i="8"/>
  <c r="E166" i="8"/>
  <c r="G166" i="8"/>
  <c r="J166" i="8"/>
  <c r="L166" i="8"/>
  <c r="F166" i="8"/>
  <c r="B168" i="8"/>
  <c r="H167" i="8" a="1"/>
  <c r="D167" i="8" a="1"/>
  <c r="K167" i="8" a="1"/>
  <c r="C167" i="8" a="1"/>
  <c r="G167" i="8" a="1"/>
  <c r="J167" i="8" a="1"/>
  <c r="L167" i="8" a="1"/>
  <c r="F167" i="8" a="1"/>
  <c r="M167" i="8" a="1"/>
  <c r="N167" i="8" a="1"/>
  <c r="E167" i="8" a="1"/>
  <c r="O167" i="8" a="1"/>
  <c r="I167" i="8" a="1"/>
  <c r="Q167" i="8" a="1"/>
  <c r="R167" i="8" a="1"/>
  <c r="P167" i="8" a="1"/>
  <c r="D167" i="8" l="1"/>
  <c r="M167" i="8"/>
  <c r="Q167" i="8"/>
  <c r="G167" i="8"/>
  <c r="K167" i="8"/>
  <c r="E167" i="8"/>
  <c r="P167" i="8"/>
  <c r="I167" i="8"/>
  <c r="N167" i="8"/>
  <c r="C167" i="8"/>
  <c r="J167" i="8"/>
  <c r="H167" i="8"/>
  <c r="R167" i="8"/>
  <c r="L167" i="8"/>
  <c r="O167" i="8"/>
  <c r="F167" i="8"/>
  <c r="B169" i="8"/>
  <c r="C168" i="8" a="1"/>
  <c r="Q168" i="8" a="1"/>
  <c r="R168" i="8" a="1"/>
  <c r="H168" i="8" a="1"/>
  <c r="O168" i="8" a="1"/>
  <c r="M168" i="8" a="1"/>
  <c r="P168" i="8" a="1"/>
  <c r="G168" i="8" a="1"/>
  <c r="J168" i="8" a="1"/>
  <c r="N168" i="8" a="1"/>
  <c r="E168" i="8" a="1"/>
  <c r="L168" i="8" a="1"/>
  <c r="I168" i="8" a="1"/>
  <c r="K168" i="8" a="1"/>
  <c r="D168" i="8" a="1"/>
  <c r="F168" i="8" a="1"/>
  <c r="H168" i="8" l="1"/>
  <c r="D168" i="8"/>
  <c r="O168" i="8"/>
  <c r="F168" i="8"/>
  <c r="P168" i="8"/>
  <c r="N168" i="8"/>
  <c r="C168" i="8"/>
  <c r="Q168" i="8"/>
  <c r="G168" i="8"/>
  <c r="M168" i="8"/>
  <c r="J168" i="8"/>
  <c r="R168" i="8"/>
  <c r="I168" i="8"/>
  <c r="L168" i="8"/>
  <c r="K168" i="8"/>
  <c r="E168" i="8"/>
  <c r="B170" i="8"/>
  <c r="O169" i="8" a="1"/>
  <c r="P169" i="8" a="1"/>
  <c r="E169" i="8" a="1"/>
  <c r="L169" i="8" a="1"/>
  <c r="Q169" i="8" a="1"/>
  <c r="C169" i="8" a="1"/>
  <c r="K169" i="8" a="1"/>
  <c r="D169" i="8" a="1"/>
  <c r="I169" i="8" a="1"/>
  <c r="H169" i="8" a="1"/>
  <c r="G169" i="8" a="1"/>
  <c r="M169" i="8" a="1"/>
  <c r="F169" i="8" a="1"/>
  <c r="N169" i="8" a="1"/>
  <c r="J169" i="8" a="1"/>
  <c r="R169" i="8" a="1"/>
  <c r="I169" i="8" l="1"/>
  <c r="C169" i="8"/>
  <c r="F169" i="8"/>
  <c r="O169" i="8"/>
  <c r="Q169" i="8"/>
  <c r="R169" i="8"/>
  <c r="E169" i="8"/>
  <c r="P169" i="8"/>
  <c r="L169" i="8"/>
  <c r="N169" i="8"/>
  <c r="G169" i="8"/>
  <c r="H169" i="8"/>
  <c r="K169" i="8"/>
  <c r="J169" i="8"/>
  <c r="M169" i="8"/>
  <c r="D169" i="8"/>
  <c r="B171" i="8"/>
  <c r="J170" i="8" a="1"/>
  <c r="H170" i="8" a="1"/>
  <c r="I170" i="8" a="1"/>
  <c r="F170" i="8" a="1"/>
  <c r="P170" i="8" a="1"/>
  <c r="K170" i="8" a="1"/>
  <c r="O170" i="8" a="1"/>
  <c r="D170" i="8" a="1"/>
  <c r="L170" i="8" a="1"/>
  <c r="M170" i="8" a="1"/>
  <c r="R170" i="8" a="1"/>
  <c r="Q170" i="8" a="1"/>
  <c r="G170" i="8" a="1"/>
  <c r="E170" i="8" a="1"/>
  <c r="N170" i="8" a="1"/>
  <c r="C170" i="8" a="1"/>
  <c r="Q170" i="8" l="1"/>
  <c r="I170" i="8"/>
  <c r="N170" i="8"/>
  <c r="D170" i="8"/>
  <c r="H170" i="8"/>
  <c r="F170" i="8"/>
  <c r="P170" i="8"/>
  <c r="R170" i="8"/>
  <c r="M170" i="8"/>
  <c r="K170" i="8"/>
  <c r="O170" i="8"/>
  <c r="G170" i="8"/>
  <c r="L170" i="8"/>
  <c r="J170" i="8"/>
  <c r="E170" i="8"/>
  <c r="C170" i="8"/>
  <c r="B172" i="8"/>
  <c r="F171" i="8" a="1"/>
  <c r="I171" i="8" a="1"/>
  <c r="D171" i="8" a="1"/>
  <c r="G171" i="8" a="1"/>
  <c r="K171" i="8" a="1"/>
  <c r="N171" i="8" a="1"/>
  <c r="L171" i="8" a="1"/>
  <c r="H171" i="8" a="1"/>
  <c r="R171" i="8" a="1"/>
  <c r="J171" i="8" a="1"/>
  <c r="M171" i="8" a="1"/>
  <c r="E171" i="8" a="1"/>
  <c r="Q171" i="8" a="1"/>
  <c r="C171" i="8" a="1"/>
  <c r="O171" i="8" a="1"/>
  <c r="P171" i="8" a="1"/>
  <c r="C171" i="8" l="1"/>
  <c r="H171" i="8"/>
  <c r="E171" i="8"/>
  <c r="O171" i="8"/>
  <c r="G171" i="8"/>
  <c r="M171" i="8"/>
  <c r="J171" i="8"/>
  <c r="Q171" i="8"/>
  <c r="N171" i="8"/>
  <c r="L171" i="8"/>
  <c r="P171" i="8"/>
  <c r="I171" i="8"/>
  <c r="F171" i="8"/>
  <c r="D171" i="8"/>
  <c r="K171" i="8"/>
  <c r="R171" i="8"/>
  <c r="B173" i="8"/>
  <c r="J172" i="8" a="1"/>
  <c r="P172" i="8" a="1"/>
  <c r="D172" i="8" a="1"/>
  <c r="C172" i="8" a="1"/>
  <c r="N172" i="8" a="1"/>
  <c r="F172" i="8" a="1"/>
  <c r="O172" i="8" a="1"/>
  <c r="I172" i="8" a="1"/>
  <c r="M172" i="8" a="1"/>
  <c r="G172" i="8" a="1"/>
  <c r="K172" i="8" a="1"/>
  <c r="H172" i="8" a="1"/>
  <c r="L172" i="8" a="1"/>
  <c r="R172" i="8" a="1"/>
  <c r="E172" i="8" a="1"/>
  <c r="Q172" i="8" a="1"/>
  <c r="R172" i="8" l="1"/>
  <c r="O172" i="8"/>
  <c r="G172" i="8"/>
  <c r="L172" i="8"/>
  <c r="N172" i="8"/>
  <c r="F172" i="8"/>
  <c r="Q172" i="8"/>
  <c r="I172" i="8"/>
  <c r="P172" i="8"/>
  <c r="M172" i="8"/>
  <c r="K172" i="8"/>
  <c r="D172" i="8"/>
  <c r="H172" i="8"/>
  <c r="E172" i="8"/>
  <c r="C172" i="8"/>
  <c r="J172" i="8"/>
  <c r="B174" i="8"/>
  <c r="P173" i="8" a="1"/>
  <c r="M173" i="8" a="1"/>
  <c r="R173" i="8" a="1"/>
  <c r="N173" i="8" a="1"/>
  <c r="O173" i="8" a="1"/>
  <c r="Q173" i="8" a="1"/>
  <c r="H173" i="8" a="1"/>
  <c r="D173" i="8" a="1"/>
  <c r="J173" i="8" a="1"/>
  <c r="I173" i="8" a="1"/>
  <c r="K173" i="8" a="1"/>
  <c r="E173" i="8" a="1"/>
  <c r="L173" i="8" a="1"/>
  <c r="F173" i="8" a="1"/>
  <c r="C173" i="8" a="1"/>
  <c r="G173" i="8" a="1"/>
  <c r="Q173" i="8" l="1"/>
  <c r="K173" i="8"/>
  <c r="F173" i="8"/>
  <c r="N173" i="8"/>
  <c r="H173" i="8"/>
  <c r="O173" i="8"/>
  <c r="R173" i="8"/>
  <c r="J173" i="8"/>
  <c r="L173" i="8"/>
  <c r="D173" i="8"/>
  <c r="E173" i="8"/>
  <c r="G173" i="8"/>
  <c r="M173" i="8"/>
  <c r="C173" i="8"/>
  <c r="P173" i="8"/>
  <c r="I173" i="8"/>
  <c r="B175" i="8"/>
  <c r="K174" i="8" a="1"/>
  <c r="N174" i="8" a="1"/>
  <c r="D174" i="8" a="1"/>
  <c r="M174" i="8" a="1"/>
  <c r="G174" i="8" a="1"/>
  <c r="R174" i="8" a="1"/>
  <c r="L174" i="8" a="1"/>
  <c r="J174" i="8" a="1"/>
  <c r="O174" i="8" a="1"/>
  <c r="C174" i="8" a="1"/>
  <c r="E174" i="8" a="1"/>
  <c r="Q174" i="8" a="1"/>
  <c r="P174" i="8" a="1"/>
  <c r="H174" i="8" a="1"/>
  <c r="F174" i="8" a="1"/>
  <c r="I174" i="8" a="1"/>
  <c r="L174" i="8" l="1"/>
  <c r="J174" i="8"/>
  <c r="R174" i="8"/>
  <c r="D174" i="8"/>
  <c r="P174" i="8"/>
  <c r="N174" i="8"/>
  <c r="G174" i="8"/>
  <c r="Q174" i="8"/>
  <c r="I174" i="8"/>
  <c r="K174" i="8"/>
  <c r="C174" i="8"/>
  <c r="E174" i="8"/>
  <c r="F174" i="8"/>
  <c r="H174" i="8"/>
  <c r="M174" i="8"/>
  <c r="O174" i="8"/>
  <c r="B176" i="8"/>
  <c r="J175" i="8" a="1"/>
  <c r="C175" i="8" a="1"/>
  <c r="R175" i="8" a="1"/>
  <c r="H175" i="8" a="1"/>
  <c r="Q175" i="8" a="1"/>
  <c r="M175" i="8" a="1"/>
  <c r="E175" i="8" a="1"/>
  <c r="I175" i="8" a="1"/>
  <c r="D175" i="8" a="1"/>
  <c r="O175" i="8" a="1"/>
  <c r="K175" i="8" a="1"/>
  <c r="L175" i="8" a="1"/>
  <c r="N175" i="8" a="1"/>
  <c r="F175" i="8" a="1"/>
  <c r="P175" i="8" a="1"/>
  <c r="G175" i="8" a="1"/>
  <c r="D175" i="8" l="1"/>
  <c r="Q175" i="8"/>
  <c r="C175" i="8"/>
  <c r="O175" i="8"/>
  <c r="R175" i="8"/>
  <c r="E175" i="8"/>
  <c r="K175" i="8"/>
  <c r="P175" i="8"/>
  <c r="M175" i="8"/>
  <c r="I175" i="8"/>
  <c r="F175" i="8"/>
  <c r="J175" i="8"/>
  <c r="H175" i="8"/>
  <c r="G175" i="8"/>
  <c r="L175" i="8"/>
  <c r="N175" i="8"/>
  <c r="B177" i="8"/>
  <c r="F176" i="8" a="1"/>
  <c r="G176" i="8" a="1"/>
  <c r="C176" i="8" a="1"/>
  <c r="I176" i="8" a="1"/>
  <c r="Q176" i="8" a="1"/>
  <c r="O176" i="8" a="1"/>
  <c r="J176" i="8" a="1"/>
  <c r="R176" i="8" a="1"/>
  <c r="M176" i="8" a="1"/>
  <c r="N176" i="8" a="1"/>
  <c r="D176" i="8" a="1"/>
  <c r="E176" i="8" a="1"/>
  <c r="H176" i="8" a="1"/>
  <c r="K176" i="8" a="1"/>
  <c r="L176" i="8" a="1"/>
  <c r="P176" i="8" a="1"/>
  <c r="H176" i="8" l="1"/>
  <c r="N176" i="8"/>
  <c r="R176" i="8"/>
  <c r="J176" i="8"/>
  <c r="Q176" i="8"/>
  <c r="M176" i="8"/>
  <c r="C176" i="8"/>
  <c r="O176" i="8"/>
  <c r="L176" i="8"/>
  <c r="P176" i="8"/>
  <c r="K176" i="8"/>
  <c r="I176" i="8"/>
  <c r="G176" i="8"/>
  <c r="E176" i="8"/>
  <c r="D176" i="8"/>
  <c r="F176" i="8"/>
  <c r="B178" i="8"/>
  <c r="F177" i="8" a="1"/>
  <c r="G177" i="8" a="1"/>
  <c r="I177" i="8" a="1"/>
  <c r="L177" i="8" a="1"/>
  <c r="R177" i="8" a="1"/>
  <c r="E177" i="8" a="1"/>
  <c r="K177" i="8" a="1"/>
  <c r="M177" i="8" a="1"/>
  <c r="D177" i="8" a="1"/>
  <c r="J177" i="8" a="1"/>
  <c r="C177" i="8" a="1"/>
  <c r="H177" i="8" a="1"/>
  <c r="N177" i="8" a="1"/>
  <c r="P177" i="8" a="1"/>
  <c r="O177" i="8" a="1"/>
  <c r="Q177" i="8" a="1"/>
  <c r="D177" i="8" l="1"/>
  <c r="R177" i="8"/>
  <c r="H177" i="8"/>
  <c r="O177" i="8"/>
  <c r="L177" i="8"/>
  <c r="J177" i="8"/>
  <c r="Q177" i="8"/>
  <c r="M177" i="8"/>
  <c r="I177" i="8"/>
  <c r="P177" i="8"/>
  <c r="G177" i="8"/>
  <c r="N177" i="8"/>
  <c r="K177" i="8"/>
  <c r="F177" i="8"/>
  <c r="C177" i="8"/>
  <c r="E177" i="8"/>
  <c r="B179" i="8"/>
  <c r="O178" i="8" a="1"/>
  <c r="Q178" i="8" a="1"/>
  <c r="N178" i="8" a="1"/>
  <c r="L178" i="8" a="1"/>
  <c r="G178" i="8" a="1"/>
  <c r="H178" i="8" a="1"/>
  <c r="F178" i="8" a="1"/>
  <c r="I178" i="8" a="1"/>
  <c r="J178" i="8" a="1"/>
  <c r="R178" i="8" a="1"/>
  <c r="E178" i="8" a="1"/>
  <c r="M178" i="8" a="1"/>
  <c r="C178" i="8" a="1"/>
  <c r="P178" i="8" a="1"/>
  <c r="D178" i="8" a="1"/>
  <c r="K178" i="8" a="1"/>
  <c r="K178" i="8" l="1"/>
  <c r="L178" i="8"/>
  <c r="F178" i="8"/>
  <c r="P178" i="8"/>
  <c r="H178" i="8"/>
  <c r="O178" i="8"/>
  <c r="J178" i="8"/>
  <c r="C178" i="8"/>
  <c r="M178" i="8"/>
  <c r="E178" i="8"/>
  <c r="I178" i="8"/>
  <c r="G178" i="8"/>
  <c r="D178" i="8"/>
  <c r="R178" i="8"/>
  <c r="N178" i="8"/>
  <c r="Q178" i="8"/>
  <c r="B180" i="8"/>
  <c r="I179" i="8" a="1"/>
  <c r="E179" i="8" a="1"/>
  <c r="G179" i="8" a="1"/>
  <c r="O179" i="8" a="1"/>
  <c r="N179" i="8" a="1"/>
  <c r="K179" i="8" a="1"/>
  <c r="Q179" i="8" a="1"/>
  <c r="R179" i="8" a="1"/>
  <c r="F179" i="8" a="1"/>
  <c r="J179" i="8" a="1"/>
  <c r="D179" i="8" a="1"/>
  <c r="M179" i="8" a="1"/>
  <c r="P179" i="8" a="1"/>
  <c r="C179" i="8" a="1"/>
  <c r="L179" i="8" a="1"/>
  <c r="H179" i="8" a="1"/>
  <c r="F179" i="8" l="1"/>
  <c r="J179" i="8"/>
  <c r="H179" i="8"/>
  <c r="E179" i="8"/>
  <c r="M179" i="8"/>
  <c r="K179" i="8"/>
  <c r="G179" i="8"/>
  <c r="O179" i="8"/>
  <c r="N179" i="8"/>
  <c r="L179" i="8"/>
  <c r="R179" i="8"/>
  <c r="Q179" i="8"/>
  <c r="I179" i="8"/>
  <c r="D179" i="8"/>
  <c r="C179" i="8"/>
  <c r="P179" i="8"/>
  <c r="B181" i="8"/>
  <c r="Q180" i="8" a="1"/>
  <c r="D180" i="8" a="1"/>
  <c r="N180" i="8" a="1"/>
  <c r="J180" i="8" a="1"/>
  <c r="K180" i="8" a="1"/>
  <c r="L180" i="8" a="1"/>
  <c r="P180" i="8" a="1"/>
  <c r="C180" i="8" a="1"/>
  <c r="G180" i="8" a="1"/>
  <c r="E180" i="8" a="1"/>
  <c r="F180" i="8" a="1"/>
  <c r="R180" i="8" a="1"/>
  <c r="M180" i="8" a="1"/>
  <c r="I180" i="8" a="1"/>
  <c r="H180" i="8" a="1"/>
  <c r="O180" i="8" a="1"/>
  <c r="J180" i="8" l="1"/>
  <c r="Q180" i="8"/>
  <c r="G180" i="8"/>
  <c r="M180" i="8"/>
  <c r="R180" i="8"/>
  <c r="H180" i="8"/>
  <c r="D180" i="8"/>
  <c r="F180" i="8"/>
  <c r="C180" i="8"/>
  <c r="K180" i="8"/>
  <c r="O180" i="8"/>
  <c r="P180" i="8"/>
  <c r="I180" i="8"/>
  <c r="N180" i="8"/>
  <c r="E180" i="8"/>
  <c r="L180" i="8"/>
  <c r="B182" i="8"/>
  <c r="H181" i="8" a="1"/>
  <c r="F181" i="8" a="1"/>
  <c r="O181" i="8" a="1"/>
  <c r="L181" i="8" a="1"/>
  <c r="R181" i="8" a="1"/>
  <c r="M181" i="8" a="1"/>
  <c r="J181" i="8" a="1"/>
  <c r="N181" i="8" a="1"/>
  <c r="D181" i="8" a="1"/>
  <c r="P181" i="8" a="1"/>
  <c r="Q181" i="8" a="1"/>
  <c r="E181" i="8" a="1"/>
  <c r="C181" i="8" a="1"/>
  <c r="K181" i="8" a="1"/>
  <c r="I181" i="8" a="1"/>
  <c r="G181" i="8" a="1"/>
  <c r="L181" i="8" l="1"/>
  <c r="N181" i="8"/>
  <c r="H181" i="8"/>
  <c r="D181" i="8"/>
  <c r="M181" i="8"/>
  <c r="R181" i="8"/>
  <c r="J181" i="8"/>
  <c r="O181" i="8"/>
  <c r="E181" i="8"/>
  <c r="I181" i="8"/>
  <c r="K181" i="8"/>
  <c r="G181" i="8"/>
  <c r="Q181" i="8"/>
  <c r="F181" i="8"/>
  <c r="P181" i="8"/>
  <c r="C181" i="8"/>
  <c r="B183" i="8"/>
  <c r="P182" i="8" a="1"/>
  <c r="E182" i="8" a="1"/>
  <c r="M182" i="8" a="1"/>
  <c r="L182" i="8" a="1"/>
  <c r="O182" i="8" a="1"/>
  <c r="N182" i="8" a="1"/>
  <c r="Q182" i="8" a="1"/>
  <c r="D182" i="8" a="1"/>
  <c r="K182" i="8" a="1"/>
  <c r="J182" i="8" a="1"/>
  <c r="G182" i="8" a="1"/>
  <c r="F182" i="8" a="1"/>
  <c r="I182" i="8" a="1"/>
  <c r="H182" i="8" a="1"/>
  <c r="C182" i="8" a="1"/>
  <c r="R182" i="8" a="1"/>
  <c r="J182" i="8" l="1"/>
  <c r="O182" i="8"/>
  <c r="K182" i="8"/>
  <c r="P182" i="8"/>
  <c r="G182" i="8"/>
  <c r="E182" i="8"/>
  <c r="C182" i="8"/>
  <c r="H182" i="8"/>
  <c r="Q182" i="8"/>
  <c r="D182" i="8"/>
  <c r="R182" i="8"/>
  <c r="N182" i="8"/>
  <c r="M182" i="8"/>
  <c r="L182" i="8"/>
  <c r="I182" i="8"/>
  <c r="F182" i="8"/>
  <c r="B184" i="8"/>
  <c r="O183" i="8" a="1"/>
  <c r="L183" i="8" a="1"/>
  <c r="M183" i="8" a="1"/>
  <c r="K183" i="8" a="1"/>
  <c r="C183" i="8" a="1"/>
  <c r="P183" i="8" a="1"/>
  <c r="I183" i="8" a="1"/>
  <c r="E183" i="8" a="1"/>
  <c r="J183" i="8" a="1"/>
  <c r="F183" i="8" a="1"/>
  <c r="R183" i="8" a="1"/>
  <c r="Q183" i="8" a="1"/>
  <c r="N183" i="8" a="1"/>
  <c r="D183" i="8" a="1"/>
  <c r="G183" i="8" a="1"/>
  <c r="H183" i="8" a="1"/>
  <c r="I183" i="8" l="1"/>
  <c r="P183" i="8"/>
  <c r="E183" i="8"/>
  <c r="R183" i="8"/>
  <c r="C183" i="8"/>
  <c r="N183" i="8"/>
  <c r="H183" i="8"/>
  <c r="D183" i="8"/>
  <c r="L183" i="8"/>
  <c r="J183" i="8"/>
  <c r="M183" i="8"/>
  <c r="G183" i="8"/>
  <c r="K183" i="8"/>
  <c r="F183" i="8"/>
  <c r="Q183" i="8"/>
  <c r="O183" i="8"/>
  <c r="B185" i="8"/>
  <c r="C184" i="8" a="1"/>
  <c r="J184" i="8" a="1"/>
  <c r="K184" i="8" a="1"/>
  <c r="D184" i="8" a="1"/>
  <c r="G184" i="8" a="1"/>
  <c r="E184" i="8" a="1"/>
  <c r="I184" i="8" a="1"/>
  <c r="R184" i="8" a="1"/>
  <c r="Q184" i="8" a="1"/>
  <c r="F184" i="8" a="1"/>
  <c r="L184" i="8" a="1"/>
  <c r="M184" i="8" a="1"/>
  <c r="N184" i="8" a="1"/>
  <c r="H184" i="8" a="1"/>
  <c r="O184" i="8" a="1"/>
  <c r="P184" i="8" a="1"/>
  <c r="G184" i="8" l="1"/>
  <c r="M184" i="8"/>
  <c r="I184" i="8"/>
  <c r="N184" i="8"/>
  <c r="E184" i="8"/>
  <c r="F184" i="8"/>
  <c r="O184" i="8"/>
  <c r="C184" i="8"/>
  <c r="P184" i="8"/>
  <c r="L184" i="8"/>
  <c r="Q184" i="8"/>
  <c r="J184" i="8"/>
  <c r="K184" i="8"/>
  <c r="H184" i="8"/>
  <c r="R184" i="8"/>
  <c r="D184" i="8"/>
  <c r="B186" i="8"/>
  <c r="G185" i="8" a="1"/>
  <c r="M185" i="8" a="1"/>
  <c r="O185" i="8" a="1"/>
  <c r="E185" i="8" a="1"/>
  <c r="F185" i="8" a="1"/>
  <c r="C185" i="8" a="1"/>
  <c r="I185" i="8" a="1"/>
  <c r="J185" i="8" a="1"/>
  <c r="H185" i="8" a="1"/>
  <c r="K185" i="8" a="1"/>
  <c r="R185" i="8" a="1"/>
  <c r="L185" i="8" a="1"/>
  <c r="Q185" i="8" a="1"/>
  <c r="D185" i="8" a="1"/>
  <c r="N185" i="8" a="1"/>
  <c r="P185" i="8" a="1"/>
  <c r="J185" i="8" l="1"/>
  <c r="I185" i="8"/>
  <c r="H185" i="8"/>
  <c r="R185" i="8"/>
  <c r="D185" i="8"/>
  <c r="Q185" i="8"/>
  <c r="L185" i="8"/>
  <c r="F185" i="8"/>
  <c r="O185" i="8"/>
  <c r="N185" i="8"/>
  <c r="K185" i="8"/>
  <c r="E185" i="8"/>
  <c r="G185" i="8"/>
  <c r="M185" i="8"/>
  <c r="P185" i="8"/>
  <c r="C185" i="8"/>
  <c r="B187" i="8"/>
  <c r="D186" i="8" a="1"/>
  <c r="M186" i="8" a="1"/>
  <c r="K186" i="8" a="1"/>
  <c r="I186" i="8" a="1"/>
  <c r="J186" i="8" a="1"/>
  <c r="L186" i="8" a="1"/>
  <c r="F186" i="8" a="1"/>
  <c r="E186" i="8" a="1"/>
  <c r="P186" i="8" a="1"/>
  <c r="Q186" i="8" a="1"/>
  <c r="H186" i="8" a="1"/>
  <c r="N186" i="8" a="1"/>
  <c r="G186" i="8" a="1"/>
  <c r="R186" i="8" a="1"/>
  <c r="O186" i="8" a="1"/>
  <c r="C186" i="8" a="1"/>
  <c r="K186" i="8" l="1"/>
  <c r="P186" i="8"/>
  <c r="E186" i="8"/>
  <c r="G186" i="8"/>
  <c r="O186" i="8"/>
  <c r="D186" i="8"/>
  <c r="C186" i="8"/>
  <c r="Q186" i="8"/>
  <c r="M186" i="8"/>
  <c r="R186" i="8"/>
  <c r="N186" i="8"/>
  <c r="L186" i="8"/>
  <c r="I186" i="8"/>
  <c r="J186" i="8"/>
  <c r="H186" i="8"/>
  <c r="F186" i="8"/>
  <c r="B188" i="8"/>
  <c r="M187" i="8" a="1"/>
  <c r="L187" i="8" a="1"/>
  <c r="I187" i="8" a="1"/>
  <c r="F187" i="8" a="1"/>
  <c r="Q187" i="8" a="1"/>
  <c r="E187" i="8" a="1"/>
  <c r="H187" i="8" a="1"/>
  <c r="P187" i="8" a="1"/>
  <c r="D187" i="8" a="1"/>
  <c r="C187" i="8" a="1"/>
  <c r="K187" i="8" a="1"/>
  <c r="J187" i="8" a="1"/>
  <c r="N187" i="8" a="1"/>
  <c r="G187" i="8" a="1"/>
  <c r="O187" i="8" a="1"/>
  <c r="R187" i="8" a="1"/>
  <c r="E187" i="8" l="1"/>
  <c r="L187" i="8"/>
  <c r="K187" i="8"/>
  <c r="J187" i="8"/>
  <c r="R187" i="8"/>
  <c r="P187" i="8"/>
  <c r="F187" i="8"/>
  <c r="H187" i="8"/>
  <c r="G187" i="8"/>
  <c r="N187" i="8"/>
  <c r="O187" i="8"/>
  <c r="Q187" i="8"/>
  <c r="C187" i="8"/>
  <c r="D187" i="8"/>
  <c r="M187" i="8"/>
  <c r="I187" i="8"/>
  <c r="B189" i="8"/>
  <c r="M188" i="8" a="1"/>
  <c r="K188" i="8" a="1"/>
  <c r="P188" i="8" a="1"/>
  <c r="J188" i="8" a="1"/>
  <c r="C188" i="8" a="1"/>
  <c r="G188" i="8" a="1"/>
  <c r="R188" i="8" a="1"/>
  <c r="I188" i="8" a="1"/>
  <c r="H188" i="8" a="1"/>
  <c r="L188" i="8" a="1"/>
  <c r="D188" i="8" a="1"/>
  <c r="O188" i="8" a="1"/>
  <c r="Q188" i="8" a="1"/>
  <c r="N188" i="8" a="1"/>
  <c r="E188" i="8" a="1"/>
  <c r="F188" i="8" a="1"/>
  <c r="O188" i="8" l="1"/>
  <c r="D188" i="8"/>
  <c r="Q188" i="8"/>
  <c r="N188" i="8"/>
  <c r="M188" i="8"/>
  <c r="G188" i="8"/>
  <c r="C188" i="8"/>
  <c r="K188" i="8"/>
  <c r="I188" i="8"/>
  <c r="E188" i="8"/>
  <c r="J188" i="8"/>
  <c r="P188" i="8"/>
  <c r="F188" i="8"/>
  <c r="L188" i="8"/>
  <c r="R188" i="8"/>
  <c r="H188" i="8"/>
  <c r="B190" i="8"/>
  <c r="G189" i="8" a="1"/>
  <c r="M189" i="8" a="1"/>
  <c r="I189" i="8" a="1"/>
  <c r="N189" i="8" a="1"/>
  <c r="O189" i="8" a="1"/>
  <c r="K189" i="8" a="1"/>
  <c r="P189" i="8" a="1"/>
  <c r="F189" i="8" a="1"/>
  <c r="Q189" i="8" a="1"/>
  <c r="E189" i="8" a="1"/>
  <c r="R189" i="8" a="1"/>
  <c r="J189" i="8" a="1"/>
  <c r="H189" i="8" a="1"/>
  <c r="C189" i="8" a="1"/>
  <c r="L189" i="8" a="1"/>
  <c r="D189" i="8" a="1"/>
  <c r="C189" i="8" l="1"/>
  <c r="L189" i="8"/>
  <c r="Q189" i="8"/>
  <c r="H189" i="8"/>
  <c r="G189" i="8"/>
  <c r="J189" i="8"/>
  <c r="R189" i="8"/>
  <c r="F189" i="8"/>
  <c r="D189" i="8"/>
  <c r="M189" i="8"/>
  <c r="I189" i="8"/>
  <c r="O189" i="8"/>
  <c r="P189" i="8"/>
  <c r="E189" i="8"/>
  <c r="N189" i="8"/>
  <c r="K189" i="8"/>
  <c r="B191" i="8"/>
  <c r="M190" i="8" a="1"/>
  <c r="F190" i="8" a="1"/>
  <c r="K190" i="8" a="1"/>
  <c r="N190" i="8" a="1"/>
  <c r="D190" i="8" a="1"/>
  <c r="E190" i="8" a="1"/>
  <c r="R190" i="8" a="1"/>
  <c r="O190" i="8" a="1"/>
  <c r="H190" i="8" a="1"/>
  <c r="I190" i="8" a="1"/>
  <c r="L190" i="8" a="1"/>
  <c r="J190" i="8" a="1"/>
  <c r="G190" i="8" a="1"/>
  <c r="Q190" i="8" a="1"/>
  <c r="C190" i="8" a="1"/>
  <c r="P190" i="8" a="1"/>
  <c r="L190" i="8" l="1"/>
  <c r="K190" i="8"/>
  <c r="O190" i="8"/>
  <c r="I190" i="8"/>
  <c r="G190" i="8"/>
  <c r="D190" i="8"/>
  <c r="H190" i="8"/>
  <c r="C190" i="8"/>
  <c r="Q190" i="8"/>
  <c r="R190" i="8"/>
  <c r="P190" i="8"/>
  <c r="N190" i="8"/>
  <c r="M190" i="8"/>
  <c r="E190" i="8"/>
  <c r="J190" i="8"/>
  <c r="F190" i="8"/>
  <c r="B192" i="8"/>
  <c r="K191" i="8" a="1"/>
  <c r="N191" i="8" a="1"/>
  <c r="H191" i="8" a="1"/>
  <c r="L191" i="8" a="1"/>
  <c r="J191" i="8" a="1"/>
  <c r="O191" i="8" a="1"/>
  <c r="R191" i="8" a="1"/>
  <c r="G191" i="8" a="1"/>
  <c r="C191" i="8" a="1"/>
  <c r="D191" i="8" a="1"/>
  <c r="I191" i="8" a="1"/>
  <c r="M191" i="8" a="1"/>
  <c r="P191" i="8" a="1"/>
  <c r="F191" i="8" a="1"/>
  <c r="Q191" i="8" a="1"/>
  <c r="E191" i="8" a="1"/>
  <c r="Q191" i="8" l="1"/>
  <c r="R191" i="8"/>
  <c r="N191" i="8"/>
  <c r="C191" i="8"/>
  <c r="J191" i="8"/>
  <c r="O191" i="8"/>
  <c r="D191" i="8"/>
  <c r="G191" i="8"/>
  <c r="F191" i="8"/>
  <c r="L191" i="8"/>
  <c r="K191" i="8"/>
  <c r="M191" i="8"/>
  <c r="H191" i="8"/>
  <c r="I191" i="8"/>
  <c r="P191" i="8"/>
  <c r="E191" i="8"/>
  <c r="B193" i="8"/>
  <c r="E192" i="8" a="1"/>
  <c r="C192" i="8" a="1"/>
  <c r="M192" i="8" a="1"/>
  <c r="H192" i="8" a="1"/>
  <c r="O192" i="8" a="1"/>
  <c r="G192" i="8" a="1"/>
  <c r="N192" i="8" a="1"/>
  <c r="I192" i="8" a="1"/>
  <c r="R192" i="8" a="1"/>
  <c r="J192" i="8" a="1"/>
  <c r="P192" i="8" a="1"/>
  <c r="Q192" i="8" a="1"/>
  <c r="D192" i="8" a="1"/>
  <c r="F192" i="8" a="1"/>
  <c r="K192" i="8" a="1"/>
  <c r="L192" i="8" a="1"/>
  <c r="Q192" i="8" l="1"/>
  <c r="M192" i="8"/>
  <c r="G192" i="8"/>
  <c r="E192" i="8"/>
  <c r="F192" i="8"/>
  <c r="P192" i="8"/>
  <c r="I192" i="8"/>
  <c r="O192" i="8"/>
  <c r="L192" i="8"/>
  <c r="R192" i="8"/>
  <c r="N192" i="8"/>
  <c r="H192" i="8"/>
  <c r="J192" i="8"/>
  <c r="K192" i="8"/>
  <c r="C192" i="8"/>
  <c r="D192" i="8"/>
  <c r="B194" i="8"/>
  <c r="G193" i="8" a="1"/>
  <c r="L193" i="8" a="1"/>
  <c r="H193" i="8" a="1"/>
  <c r="F193" i="8" a="1"/>
  <c r="Q193" i="8" a="1"/>
  <c r="P193" i="8" a="1"/>
  <c r="M193" i="8" a="1"/>
  <c r="N193" i="8" a="1"/>
  <c r="E193" i="8" a="1"/>
  <c r="J193" i="8" a="1"/>
  <c r="R193" i="8" a="1"/>
  <c r="D193" i="8" a="1"/>
  <c r="C193" i="8" a="1"/>
  <c r="I193" i="8" a="1"/>
  <c r="O193" i="8" a="1"/>
  <c r="K193" i="8" a="1"/>
  <c r="F193" i="8" l="1"/>
  <c r="L193" i="8"/>
  <c r="N193" i="8"/>
  <c r="H193" i="8"/>
  <c r="E193" i="8"/>
  <c r="Q193" i="8"/>
  <c r="J193" i="8"/>
  <c r="O193" i="8"/>
  <c r="D193" i="8"/>
  <c r="I193" i="8"/>
  <c r="K193" i="8"/>
  <c r="R193" i="8"/>
  <c r="G193" i="8"/>
  <c r="M193" i="8"/>
  <c r="P193" i="8"/>
  <c r="C193" i="8"/>
  <c r="B195" i="8"/>
  <c r="R194" i="8" a="1"/>
  <c r="H194" i="8" a="1"/>
  <c r="O194" i="8" a="1"/>
  <c r="K194" i="8" a="1"/>
  <c r="M194" i="8" a="1"/>
  <c r="G194" i="8" a="1"/>
  <c r="N194" i="8" a="1"/>
  <c r="C194" i="8" a="1"/>
  <c r="E194" i="8" a="1"/>
  <c r="L194" i="8" a="1"/>
  <c r="D194" i="8" a="1"/>
  <c r="Q194" i="8" a="1"/>
  <c r="F194" i="8" a="1"/>
  <c r="J194" i="8" a="1"/>
  <c r="P194" i="8" a="1"/>
  <c r="I194" i="8" a="1"/>
  <c r="H194" i="8" l="1"/>
  <c r="P194" i="8"/>
  <c r="K194" i="8"/>
  <c r="I194" i="8"/>
  <c r="O194" i="8"/>
  <c r="E194" i="8"/>
  <c r="C194" i="8"/>
  <c r="Q194" i="8"/>
  <c r="D194" i="8"/>
  <c r="G194" i="8"/>
  <c r="J194" i="8"/>
  <c r="M194" i="8"/>
  <c r="R194" i="8"/>
  <c r="L194" i="8"/>
  <c r="N194" i="8"/>
  <c r="F194" i="8"/>
  <c r="B196" i="8"/>
  <c r="M195" i="8" a="1"/>
  <c r="J195" i="8" a="1"/>
  <c r="H195" i="8" a="1"/>
  <c r="F195" i="8" a="1"/>
  <c r="O195" i="8" a="1"/>
  <c r="D195" i="8" a="1"/>
  <c r="R195" i="8" a="1"/>
  <c r="Q195" i="8" a="1"/>
  <c r="P195" i="8" a="1"/>
  <c r="K195" i="8" a="1"/>
  <c r="I195" i="8" a="1"/>
  <c r="G195" i="8" a="1"/>
  <c r="L195" i="8" a="1"/>
  <c r="E195" i="8" a="1"/>
  <c r="N195" i="8" a="1"/>
  <c r="C195" i="8" a="1"/>
  <c r="M195" i="8" l="1"/>
  <c r="Q195" i="8"/>
  <c r="D195" i="8"/>
  <c r="K195" i="8"/>
  <c r="P195" i="8"/>
  <c r="L195" i="8"/>
  <c r="F195" i="8"/>
  <c r="H195" i="8"/>
  <c r="E195" i="8"/>
  <c r="C195" i="8"/>
  <c r="R195" i="8"/>
  <c r="O195" i="8"/>
  <c r="N195" i="8"/>
  <c r="I195" i="8"/>
  <c r="G195" i="8"/>
  <c r="J195" i="8"/>
  <c r="B197" i="8"/>
  <c r="O196" i="8" a="1"/>
  <c r="D196" i="8" a="1"/>
  <c r="L196" i="8" a="1"/>
  <c r="E196" i="8" a="1"/>
  <c r="R196" i="8" a="1"/>
  <c r="K196" i="8" a="1"/>
  <c r="C196" i="8" a="1"/>
  <c r="J196" i="8" a="1"/>
  <c r="P196" i="8" a="1"/>
  <c r="H196" i="8" a="1"/>
  <c r="Q196" i="8" a="1"/>
  <c r="M196" i="8" a="1"/>
  <c r="F196" i="8" a="1"/>
  <c r="G196" i="8" a="1"/>
  <c r="N196" i="8" a="1"/>
  <c r="I196" i="8" a="1"/>
  <c r="F196" i="8" l="1"/>
  <c r="H196" i="8"/>
  <c r="L196" i="8"/>
  <c r="C196" i="8"/>
  <c r="D196" i="8"/>
  <c r="K196" i="8"/>
  <c r="I196" i="8"/>
  <c r="E196" i="8"/>
  <c r="P196" i="8"/>
  <c r="O196" i="8"/>
  <c r="R196" i="8"/>
  <c r="G196" i="8"/>
  <c r="M196" i="8"/>
  <c r="Q196" i="8"/>
  <c r="N196" i="8"/>
  <c r="J196" i="8"/>
  <c r="B198" i="8"/>
  <c r="O197" i="8" a="1"/>
  <c r="J197" i="8" a="1"/>
  <c r="M197" i="8" a="1"/>
  <c r="F197" i="8" a="1"/>
  <c r="E197" i="8" a="1"/>
  <c r="G197" i="8" a="1"/>
  <c r="C197" i="8" a="1"/>
  <c r="N197" i="8" a="1"/>
  <c r="K197" i="8" a="1"/>
  <c r="D197" i="8" a="1"/>
  <c r="H197" i="8" a="1"/>
  <c r="I197" i="8" a="1"/>
  <c r="P197" i="8" a="1"/>
  <c r="L197" i="8" a="1"/>
  <c r="R197" i="8" a="1"/>
  <c r="Q197" i="8" a="1"/>
  <c r="E197" i="8" l="1"/>
  <c r="K197" i="8"/>
  <c r="G197" i="8"/>
  <c r="C197" i="8"/>
  <c r="M197" i="8"/>
  <c r="R197" i="8"/>
  <c r="J197" i="8"/>
  <c r="L197" i="8"/>
  <c r="Q197" i="8"/>
  <c r="O197" i="8"/>
  <c r="N197" i="8"/>
  <c r="P197" i="8"/>
  <c r="D197" i="8"/>
  <c r="I197" i="8"/>
  <c r="F197" i="8"/>
  <c r="H197" i="8"/>
  <c r="B199" i="8"/>
  <c r="L198" i="8" a="1"/>
  <c r="G198" i="8" a="1"/>
  <c r="C198" i="8" a="1"/>
  <c r="N198" i="8" a="1"/>
  <c r="M198" i="8" a="1"/>
  <c r="F198" i="8" a="1"/>
  <c r="J198" i="8" a="1"/>
  <c r="H198" i="8" a="1"/>
  <c r="E198" i="8" a="1"/>
  <c r="K198" i="8" a="1"/>
  <c r="Q198" i="8" a="1"/>
  <c r="O198" i="8" a="1"/>
  <c r="R198" i="8" a="1"/>
  <c r="P198" i="8" a="1"/>
  <c r="D198" i="8" a="1"/>
  <c r="I198" i="8" a="1"/>
  <c r="O198" i="8" l="1"/>
  <c r="N198" i="8"/>
  <c r="P198" i="8"/>
  <c r="J198" i="8"/>
  <c r="M198" i="8"/>
  <c r="E198" i="8"/>
  <c r="H198" i="8"/>
  <c r="G198" i="8"/>
  <c r="F198" i="8"/>
  <c r="I198" i="8"/>
  <c r="L198" i="8"/>
  <c r="K198" i="8"/>
  <c r="R198" i="8"/>
  <c r="Q198" i="8"/>
  <c r="D198" i="8"/>
  <c r="C198" i="8"/>
  <c r="E199" i="8" a="1"/>
  <c r="G199" i="8" a="1"/>
  <c r="P199" i="8" a="1"/>
  <c r="I199" i="8" a="1"/>
  <c r="J199" i="8" a="1"/>
  <c r="O199" i="8" a="1"/>
  <c r="K199" i="8" a="1"/>
  <c r="M199" i="8" a="1"/>
  <c r="H199" i="8" a="1"/>
  <c r="Q199" i="8" a="1"/>
  <c r="L199" i="8" a="1"/>
  <c r="D199" i="8" a="1"/>
  <c r="F199" i="8" a="1"/>
  <c r="R199" i="8" a="1"/>
  <c r="N199" i="8" a="1"/>
  <c r="C199" i="8" a="1"/>
  <c r="K199" i="8" l="1"/>
  <c r="E199" i="8"/>
  <c r="M199" i="8"/>
  <c r="I199" i="8"/>
  <c r="H199" i="8"/>
  <c r="R199" i="8"/>
  <c r="P199" i="8"/>
  <c r="G199" i="8"/>
  <c r="C199" i="8"/>
  <c r="L199" i="8"/>
  <c r="N199" i="8"/>
  <c r="J199" i="8"/>
  <c r="Q199" i="8"/>
  <c r="D199" i="8"/>
  <c r="O199" i="8"/>
  <c r="F199" i="8"/>
  <c r="B4" i="8"/>
  <c r="O32" i="10"/>
  <c r="R56" i="1"/>
  <c r="R57" i="1"/>
  <c r="R55" i="1"/>
  <c r="J33" i="1"/>
  <c r="R33" i="1" s="1"/>
  <c r="AE42" i="5"/>
  <c r="H25" i="5"/>
  <c r="K25" i="5"/>
  <c r="L25" i="5"/>
  <c r="O25" i="5"/>
  <c r="P25" i="5"/>
  <c r="H24" i="5"/>
  <c r="K24" i="5"/>
  <c r="L24" i="5"/>
  <c r="O24" i="5"/>
  <c r="P24" i="5"/>
  <c r="AB24" i="5"/>
  <c r="G23" i="5"/>
  <c r="H23" i="5"/>
  <c r="O23" i="5"/>
  <c r="P23" i="5"/>
  <c r="AB23" i="5"/>
  <c r="K24" i="1"/>
  <c r="R24" i="1" s="1"/>
  <c r="J22" i="1"/>
  <c r="K17" i="1"/>
  <c r="G24" i="5"/>
  <c r="P11" i="5"/>
  <c r="AE39" i="5"/>
  <c r="B749" i="8"/>
  <c r="Q130" i="8" a="1"/>
  <c r="D749" i="8" a="1"/>
  <c r="F748" i="8" a="1"/>
  <c r="J4" i="8" a="1"/>
  <c r="F749" i="8" a="1"/>
  <c r="P4" i="8" a="1"/>
  <c r="Q4" i="8" a="1"/>
  <c r="V748" i="8" a="1"/>
  <c r="O749" i="8" a="1"/>
  <c r="P749" i="8" a="1"/>
  <c r="R4" i="8" a="1"/>
  <c r="H749" i="8" a="1"/>
  <c r="Q749" i="8" a="1"/>
  <c r="K748" i="8" a="1"/>
  <c r="R748" i="8" a="1"/>
  <c r="T4" i="8" a="1"/>
  <c r="V4" i="8" a="1"/>
  <c r="Y748" i="8" a="1"/>
  <c r="Q748" i="8" a="1"/>
  <c r="W748" i="8" a="1"/>
  <c r="P748" i="8" a="1"/>
  <c r="D748" i="8" a="1"/>
  <c r="T749" i="8" a="1"/>
  <c r="U749" i="8" a="1"/>
  <c r="I748" i="8" a="1"/>
  <c r="E749" i="8" a="1"/>
  <c r="H748" i="8" a="1"/>
  <c r="C749" i="8" a="1"/>
  <c r="X4" i="8" a="1"/>
  <c r="Y4" i="8" a="1"/>
  <c r="X748" i="8" a="1"/>
  <c r="K749" i="8" a="1"/>
  <c r="W749" i="8" a="1"/>
  <c r="G4" i="8" a="1"/>
  <c r="C4" i="8" a="1"/>
  <c r="N749" i="8" a="1"/>
  <c r="Y749" i="8" a="1"/>
  <c r="U4" i="8" a="1"/>
  <c r="J749" i="8" a="1"/>
  <c r="O4" i="8" a="1"/>
  <c r="R749" i="8" a="1"/>
  <c r="F4" i="8" a="1"/>
  <c r="N748" i="8" a="1"/>
  <c r="O748" i="8" a="1"/>
  <c r="M4" i="8" a="1"/>
  <c r="L4" i="8" a="1"/>
  <c r="C748" i="8" a="1"/>
  <c r="L749" i="8" a="1"/>
  <c r="K4" i="8" a="1"/>
  <c r="I4" i="8" a="1"/>
  <c r="E450" i="8" a="1"/>
  <c r="G749" i="8" a="1"/>
  <c r="E4" i="8" a="1"/>
  <c r="H4" i="8" a="1"/>
  <c r="G748" i="8" a="1"/>
  <c r="X749" i="8" a="1"/>
  <c r="E748" i="8" a="1"/>
  <c r="N4" i="8" a="1"/>
  <c r="V749" i="8" a="1"/>
  <c r="I749" i="8" a="1"/>
  <c r="D4" i="8" a="1"/>
  <c r="M749" i="8" a="1"/>
  <c r="M748" i="8" a="1"/>
  <c r="J748" i="8" a="1"/>
  <c r="W4" i="8" a="1"/>
  <c r="Q130" i="8" l="1"/>
  <c r="C4" i="8"/>
  <c r="G4" i="8"/>
  <c r="K4" i="8"/>
  <c r="O4" i="8"/>
  <c r="T4" i="8"/>
  <c r="X4" i="8"/>
  <c r="D4" i="8"/>
  <c r="H4" i="8"/>
  <c r="L4" i="8"/>
  <c r="P4" i="8"/>
  <c r="U4" i="8"/>
  <c r="Y4" i="8"/>
  <c r="E4" i="8"/>
  <c r="I4" i="8"/>
  <c r="M4" i="8"/>
  <c r="Q4" i="8"/>
  <c r="V4" i="8"/>
  <c r="F4" i="8"/>
  <c r="J4" i="8"/>
  <c r="N4" i="8"/>
  <c r="R4" i="8"/>
  <c r="W4" i="8"/>
  <c r="C749" i="8"/>
  <c r="G749" i="8"/>
  <c r="K749" i="8"/>
  <c r="O749" i="8"/>
  <c r="T749" i="8"/>
  <c r="X749" i="8"/>
  <c r="D749" i="8"/>
  <c r="H749" i="8"/>
  <c r="L749" i="8"/>
  <c r="P749" i="8"/>
  <c r="W749" i="8"/>
  <c r="U749" i="8"/>
  <c r="Y749" i="8"/>
  <c r="E749" i="8"/>
  <c r="I749" i="8"/>
  <c r="M749" i="8"/>
  <c r="Q749" i="8"/>
  <c r="V749" i="8"/>
  <c r="F749" i="8"/>
  <c r="J749" i="8"/>
  <c r="N749" i="8"/>
  <c r="R749" i="8"/>
  <c r="T17" i="1"/>
  <c r="B750" i="8"/>
  <c r="B5" i="8"/>
  <c r="K23" i="5"/>
  <c r="L23" i="5"/>
  <c r="T24" i="1"/>
  <c r="R9" i="1"/>
  <c r="R13" i="1"/>
  <c r="H31" i="5"/>
  <c r="E450" i="8"/>
  <c r="Y748" i="8"/>
  <c r="X748" i="8"/>
  <c r="W748" i="8"/>
  <c r="V748" i="8"/>
  <c r="R748" i="8"/>
  <c r="Q748" i="8"/>
  <c r="P748" i="8"/>
  <c r="O748" i="8"/>
  <c r="N748" i="8"/>
  <c r="M748" i="8"/>
  <c r="K748" i="8"/>
  <c r="J748" i="8"/>
  <c r="I748" i="8"/>
  <c r="H748" i="8"/>
  <c r="G748" i="8"/>
  <c r="F748" i="8"/>
  <c r="E748" i="8"/>
  <c r="D748" i="8"/>
  <c r="C748" i="8"/>
  <c r="H20" i="5"/>
  <c r="R27" i="14"/>
  <c r="H19" i="5"/>
  <c r="R19" i="10"/>
  <c r="G32" i="5"/>
  <c r="K53" i="1"/>
  <c r="R30" i="1"/>
  <c r="G21" i="5"/>
  <c r="G6" i="5"/>
  <c r="R13" i="4"/>
  <c r="K58" i="1"/>
  <c r="J58" i="1"/>
  <c r="R28" i="15"/>
  <c r="R25" i="12"/>
  <c r="R22" i="12"/>
  <c r="R21" i="12"/>
  <c r="R15" i="11"/>
  <c r="R14" i="11"/>
  <c r="R7" i="11"/>
  <c r="R4" i="11"/>
  <c r="R3" i="11"/>
  <c r="R68" i="4"/>
  <c r="R61" i="4"/>
  <c r="R66" i="4"/>
  <c r="R64" i="4"/>
  <c r="R62" i="4"/>
  <c r="R60" i="4"/>
  <c r="R59" i="4"/>
  <c r="R58" i="4"/>
  <c r="R53" i="4"/>
  <c r="R46" i="4"/>
  <c r="R17" i="15"/>
  <c r="R3" i="15"/>
  <c r="Q3" i="15"/>
  <c r="R2" i="15"/>
  <c r="Q2" i="15"/>
  <c r="R6" i="13"/>
  <c r="R2" i="13"/>
  <c r="R5" i="5" s="1"/>
  <c r="R6" i="3"/>
  <c r="P14" i="5"/>
  <c r="R26" i="14"/>
  <c r="L19" i="5"/>
  <c r="P19" i="5"/>
  <c r="AB19" i="5"/>
  <c r="AB11" i="5"/>
  <c r="H5" i="5"/>
  <c r="K5" i="5"/>
  <c r="L5" i="5"/>
  <c r="O5" i="5"/>
  <c r="P5" i="5"/>
  <c r="H32" i="5"/>
  <c r="K32" i="5"/>
  <c r="L32" i="5"/>
  <c r="O32" i="5"/>
  <c r="P32" i="5"/>
  <c r="K6" i="5"/>
  <c r="L6" i="5"/>
  <c r="O6" i="5"/>
  <c r="P6" i="5"/>
  <c r="G22" i="5"/>
  <c r="H22" i="5"/>
  <c r="K22" i="5"/>
  <c r="L22" i="5"/>
  <c r="O22" i="5"/>
  <c r="P22" i="5"/>
  <c r="G33" i="5"/>
  <c r="H33" i="5"/>
  <c r="K33" i="5"/>
  <c r="L33" i="5"/>
  <c r="O33" i="5"/>
  <c r="P33" i="5"/>
  <c r="G7" i="5"/>
  <c r="K7" i="5"/>
  <c r="L7" i="5"/>
  <c r="O7" i="5"/>
  <c r="P7" i="5"/>
  <c r="H8" i="5"/>
  <c r="K8" i="5"/>
  <c r="L8" i="5"/>
  <c r="O8" i="5"/>
  <c r="P8" i="5"/>
  <c r="G9" i="5"/>
  <c r="K9" i="5"/>
  <c r="L9" i="5"/>
  <c r="O9" i="5"/>
  <c r="P9" i="5"/>
  <c r="K10" i="5"/>
  <c r="L10" i="5"/>
  <c r="O10" i="5"/>
  <c r="P10" i="5"/>
  <c r="G34" i="5"/>
  <c r="H34" i="5"/>
  <c r="K34" i="5"/>
  <c r="L34" i="5"/>
  <c r="O34" i="5"/>
  <c r="P34" i="5"/>
  <c r="G35" i="5"/>
  <c r="H35" i="5"/>
  <c r="K35" i="5"/>
  <c r="L35" i="5"/>
  <c r="O35" i="5"/>
  <c r="P35" i="5"/>
  <c r="L11" i="5"/>
  <c r="O11" i="5"/>
  <c r="G12" i="5"/>
  <c r="K12" i="5"/>
  <c r="L12" i="5"/>
  <c r="O12" i="5"/>
  <c r="P12" i="5"/>
  <c r="H13" i="5"/>
  <c r="K13" i="5"/>
  <c r="L13" i="5"/>
  <c r="O13" i="5"/>
  <c r="P13" i="5"/>
  <c r="H14" i="5"/>
  <c r="K14" i="5"/>
  <c r="L14" i="5"/>
  <c r="O14" i="5"/>
  <c r="H15" i="5"/>
  <c r="K15" i="5"/>
  <c r="L15" i="5"/>
  <c r="O15" i="5"/>
  <c r="P15" i="5"/>
  <c r="K31" i="5"/>
  <c r="L31" i="5"/>
  <c r="P31" i="5"/>
  <c r="H16" i="5"/>
  <c r="K16" i="5"/>
  <c r="L16" i="5"/>
  <c r="O16" i="5"/>
  <c r="P16" i="5"/>
  <c r="H17" i="5"/>
  <c r="K17" i="5"/>
  <c r="L17" i="5"/>
  <c r="K30" i="5"/>
  <c r="L30" i="5"/>
  <c r="O30" i="5"/>
  <c r="H18" i="5"/>
  <c r="K18" i="5"/>
  <c r="L18" i="5"/>
  <c r="O18" i="5"/>
  <c r="P18" i="5"/>
  <c r="K20" i="5"/>
  <c r="L20" i="5"/>
  <c r="O20" i="5"/>
  <c r="P20" i="5"/>
  <c r="G38" i="5"/>
  <c r="H38" i="5"/>
  <c r="K38" i="5"/>
  <c r="L38" i="5"/>
  <c r="O38" i="5"/>
  <c r="P38" i="5"/>
  <c r="H21" i="5"/>
  <c r="K21" i="5"/>
  <c r="L21" i="5"/>
  <c r="K28" i="5"/>
  <c r="L28" i="5"/>
  <c r="O28" i="5"/>
  <c r="P28" i="5"/>
  <c r="R28" i="10"/>
  <c r="R27" i="10"/>
  <c r="K12" i="1"/>
  <c r="K15" i="1"/>
  <c r="R15" i="1" s="1"/>
  <c r="G30" i="5"/>
  <c r="R5" i="10"/>
  <c r="K43" i="1"/>
  <c r="R43" i="1" s="1"/>
  <c r="K28" i="1"/>
  <c r="R28" i="1" s="1"/>
  <c r="G18" i="5"/>
  <c r="G13" i="5"/>
  <c r="K27" i="1"/>
  <c r="R27" i="1" s="1"/>
  <c r="J21" i="1"/>
  <c r="K26" i="1"/>
  <c r="R26" i="1" s="1"/>
  <c r="H12" i="5"/>
  <c r="G31" i="5"/>
  <c r="H30" i="5"/>
  <c r="K59" i="1"/>
  <c r="R59" i="1" s="1"/>
  <c r="I750" i="8" a="1"/>
  <c r="P750" i="8" a="1"/>
  <c r="U750" i="8" a="1"/>
  <c r="F3" i="8" a="1"/>
  <c r="V750" i="8" a="1"/>
  <c r="L748" i="8" a="1"/>
  <c r="D5" i="8" a="1"/>
  <c r="U126" i="8" a="1"/>
  <c r="M5" i="8" a="1"/>
  <c r="C750" i="8" a="1"/>
  <c r="E3" i="8" a="1"/>
  <c r="Y750" i="8" a="1"/>
  <c r="E750" i="8" a="1"/>
  <c r="G750" i="8" a="1"/>
  <c r="E320" i="8" a="1"/>
  <c r="M750" i="8" a="1"/>
  <c r="F5" i="8" a="1"/>
  <c r="K5" i="8" a="1"/>
  <c r="U125" i="8" a="1"/>
  <c r="L5" i="8" a="1"/>
  <c r="E300" i="8" a="1"/>
  <c r="C5" i="8" a="1"/>
  <c r="U5" i="8" a="1"/>
  <c r="T750" i="8" a="1"/>
  <c r="O750" i="8" a="1"/>
  <c r="J750" i="8" a="1"/>
  <c r="P5" i="8" a="1"/>
  <c r="K750" i="8" a="1"/>
  <c r="Y5" i="8" a="1"/>
  <c r="U103" i="8" a="1"/>
  <c r="E200" i="8" a="1"/>
  <c r="V5" i="8" a="1"/>
  <c r="R750" i="8" a="1"/>
  <c r="T5" i="8" a="1"/>
  <c r="H5" i="8" a="1"/>
  <c r="G5" i="8" a="1"/>
  <c r="R5" i="8" a="1"/>
  <c r="W750" i="8" a="1"/>
  <c r="I5" i="8" a="1"/>
  <c r="W5" i="8" a="1"/>
  <c r="L750" i="8" a="1"/>
  <c r="O5" i="8" a="1"/>
  <c r="X5" i="8" a="1"/>
  <c r="N750" i="8" a="1"/>
  <c r="J5" i="8" a="1"/>
  <c r="N5" i="8" a="1"/>
  <c r="F750" i="8" a="1"/>
  <c r="X750" i="8" a="1"/>
  <c r="Q5" i="8" a="1"/>
  <c r="E5" i="8" a="1"/>
  <c r="D750" i="8" a="1"/>
  <c r="H750" i="8" a="1"/>
  <c r="E350" i="8" a="1"/>
  <c r="Q750" i="8" a="1"/>
  <c r="U117" i="8" a="1"/>
  <c r="U103" i="8" l="1"/>
  <c r="U117" i="8"/>
  <c r="U125" i="8"/>
  <c r="U126" i="8"/>
  <c r="U750" i="8"/>
  <c r="Y750" i="8"/>
  <c r="H750" i="8"/>
  <c r="L750" i="8"/>
  <c r="E750" i="8"/>
  <c r="I750" i="8"/>
  <c r="M750" i="8"/>
  <c r="Q750" i="8"/>
  <c r="D750" i="8"/>
  <c r="V750" i="8"/>
  <c r="F750" i="8"/>
  <c r="J750" i="8"/>
  <c r="N750" i="8"/>
  <c r="R750" i="8"/>
  <c r="W750" i="8"/>
  <c r="P750" i="8"/>
  <c r="C750" i="8"/>
  <c r="G750" i="8"/>
  <c r="K750" i="8"/>
  <c r="O750" i="8"/>
  <c r="T750" i="8"/>
  <c r="X750" i="8"/>
  <c r="U5" i="8"/>
  <c r="Y5" i="8"/>
  <c r="E5" i="8"/>
  <c r="I5" i="8"/>
  <c r="M5" i="8"/>
  <c r="Q5" i="8"/>
  <c r="V5" i="8"/>
  <c r="F5" i="8"/>
  <c r="J5" i="8"/>
  <c r="N5" i="8"/>
  <c r="R5" i="8"/>
  <c r="W5" i="8"/>
  <c r="C5" i="8"/>
  <c r="G5" i="8"/>
  <c r="K5" i="8"/>
  <c r="O5" i="8"/>
  <c r="T5" i="8"/>
  <c r="X5" i="8"/>
  <c r="P5" i="8"/>
  <c r="H5" i="8"/>
  <c r="L5" i="8"/>
  <c r="D5" i="8"/>
  <c r="B6" i="8"/>
  <c r="B7" i="8" s="1"/>
  <c r="B751" i="8"/>
  <c r="R12" i="1"/>
  <c r="T12" i="1"/>
  <c r="G8" i="5"/>
  <c r="G17" i="5"/>
  <c r="G25" i="5"/>
  <c r="G20" i="5"/>
  <c r="K19" i="5"/>
  <c r="O19" i="5"/>
  <c r="L748" i="8"/>
  <c r="R46" i="1"/>
  <c r="G28" i="5"/>
  <c r="H7" i="5"/>
  <c r="R58" i="1"/>
  <c r="R10" i="1"/>
  <c r="G15" i="5"/>
  <c r="E350" i="8"/>
  <c r="E320" i="8"/>
  <c r="E300" i="8"/>
  <c r="E200" i="8"/>
  <c r="E3" i="8"/>
  <c r="F3" i="8"/>
  <c r="R65" i="1"/>
  <c r="G14" i="5"/>
  <c r="G19" i="5"/>
  <c r="R52" i="1"/>
  <c r="H9" i="5"/>
  <c r="K14" i="1"/>
  <c r="R14" i="1" s="1"/>
  <c r="J12" i="1"/>
  <c r="V12" i="1" s="1"/>
  <c r="H11" i="5"/>
  <c r="H6" i="5"/>
  <c r="B651" i="8"/>
  <c r="B551" i="8"/>
  <c r="B451" i="8"/>
  <c r="B351" i="8"/>
  <c r="B321" i="8"/>
  <c r="B301" i="8"/>
  <c r="B201" i="8"/>
  <c r="AB10" i="5"/>
  <c r="P21" i="5"/>
  <c r="P30" i="5"/>
  <c r="O31" i="5"/>
  <c r="P17" i="5"/>
  <c r="R31" i="14"/>
  <c r="R30" i="14"/>
  <c r="R25" i="14"/>
  <c r="R22" i="14"/>
  <c r="R20" i="14"/>
  <c r="R19" i="14"/>
  <c r="R18" i="14"/>
  <c r="R14" i="14"/>
  <c r="R13" i="14"/>
  <c r="R4" i="14"/>
  <c r="R2" i="14"/>
  <c r="R2" i="12"/>
  <c r="Q2" i="12"/>
  <c r="R18" i="11"/>
  <c r="R2" i="11"/>
  <c r="AB5" i="5"/>
  <c r="AB32" i="5"/>
  <c r="AB6" i="5"/>
  <c r="AB22" i="5"/>
  <c r="AB33" i="5"/>
  <c r="AB7" i="5"/>
  <c r="AB8" i="5"/>
  <c r="AB9" i="5"/>
  <c r="AB34" i="5"/>
  <c r="AB35" i="5"/>
  <c r="AB12" i="5"/>
  <c r="AB13" i="5"/>
  <c r="AB14" i="5"/>
  <c r="AB15" i="5"/>
  <c r="AB31" i="5"/>
  <c r="AB16" i="5"/>
  <c r="AB17" i="5"/>
  <c r="AB30" i="5"/>
  <c r="AB18" i="5"/>
  <c r="AB20" i="5"/>
  <c r="AB38" i="5"/>
  <c r="AB21" i="5"/>
  <c r="AB28" i="5"/>
  <c r="R4" i="6"/>
  <c r="S5" i="9" s="1"/>
  <c r="Q29" i="9"/>
  <c r="Q13" i="9"/>
  <c r="R29" i="7"/>
  <c r="S27" i="9" s="1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T13" i="9"/>
  <c r="U13" i="9"/>
  <c r="V13" i="9"/>
  <c r="W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T14" i="9"/>
  <c r="U14" i="9"/>
  <c r="V14" i="9"/>
  <c r="W14" i="9"/>
  <c r="B15" i="9"/>
  <c r="C15" i="9"/>
  <c r="D15" i="9"/>
  <c r="E15" i="9"/>
  <c r="F15" i="9"/>
  <c r="G15" i="9"/>
  <c r="H15" i="9"/>
  <c r="I15" i="9"/>
  <c r="K15" i="9"/>
  <c r="L15" i="9"/>
  <c r="M15" i="9"/>
  <c r="N15" i="9"/>
  <c r="O15" i="9"/>
  <c r="P15" i="9"/>
  <c r="Q15" i="9"/>
  <c r="T15" i="9"/>
  <c r="U15" i="9"/>
  <c r="V15" i="9"/>
  <c r="W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T16" i="9"/>
  <c r="U16" i="9"/>
  <c r="V16" i="9"/>
  <c r="W16" i="9"/>
  <c r="B17" i="9"/>
  <c r="C17" i="9"/>
  <c r="D17" i="9"/>
  <c r="E17" i="9"/>
  <c r="F17" i="9"/>
  <c r="G17" i="9"/>
  <c r="H17" i="9"/>
  <c r="I17" i="9"/>
  <c r="K17" i="9"/>
  <c r="L17" i="9"/>
  <c r="M17" i="9"/>
  <c r="N17" i="9"/>
  <c r="O17" i="9"/>
  <c r="P17" i="9"/>
  <c r="Q17" i="9"/>
  <c r="T17" i="9"/>
  <c r="U17" i="9"/>
  <c r="V17" i="9"/>
  <c r="W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T18" i="9"/>
  <c r="U18" i="9"/>
  <c r="V18" i="9"/>
  <c r="W18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T19" i="9"/>
  <c r="U19" i="9"/>
  <c r="V19" i="9"/>
  <c r="W19" i="9"/>
  <c r="B20" i="9"/>
  <c r="C20" i="9"/>
  <c r="D20" i="9"/>
  <c r="E20" i="9"/>
  <c r="F20" i="9"/>
  <c r="G20" i="9"/>
  <c r="H20" i="9"/>
  <c r="I20" i="9"/>
  <c r="K20" i="9"/>
  <c r="L20" i="9"/>
  <c r="M20" i="9"/>
  <c r="N20" i="9"/>
  <c r="O20" i="9"/>
  <c r="P20" i="9"/>
  <c r="Q20" i="9"/>
  <c r="T20" i="9"/>
  <c r="U20" i="9"/>
  <c r="V20" i="9"/>
  <c r="W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T21" i="9"/>
  <c r="U21" i="9"/>
  <c r="V21" i="9"/>
  <c r="W21" i="9"/>
  <c r="B22" i="9"/>
  <c r="C22" i="9"/>
  <c r="D22" i="9"/>
  <c r="E22" i="9"/>
  <c r="F22" i="9"/>
  <c r="G22" i="9"/>
  <c r="H22" i="9"/>
  <c r="I22" i="9"/>
  <c r="K22" i="9"/>
  <c r="L22" i="9"/>
  <c r="M22" i="9"/>
  <c r="N22" i="9"/>
  <c r="O22" i="9"/>
  <c r="P22" i="9"/>
  <c r="Q22" i="9"/>
  <c r="T22" i="9"/>
  <c r="U22" i="9"/>
  <c r="V22" i="9"/>
  <c r="W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T23" i="9"/>
  <c r="U23" i="9"/>
  <c r="V23" i="9"/>
  <c r="W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T24" i="9"/>
  <c r="U24" i="9"/>
  <c r="V24" i="9"/>
  <c r="W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T25" i="9"/>
  <c r="U25" i="9"/>
  <c r="V25" i="9"/>
  <c r="W25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T26" i="9"/>
  <c r="U26" i="9"/>
  <c r="V26" i="9"/>
  <c r="W26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T27" i="9"/>
  <c r="U27" i="9"/>
  <c r="V27" i="9"/>
  <c r="W27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T28" i="9"/>
  <c r="U28" i="9"/>
  <c r="V28" i="9"/>
  <c r="W28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T29" i="9"/>
  <c r="U29" i="9"/>
  <c r="V29" i="9"/>
  <c r="W29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T30" i="9"/>
  <c r="U30" i="9"/>
  <c r="V30" i="9"/>
  <c r="W30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T31" i="9"/>
  <c r="U31" i="9"/>
  <c r="V31" i="9"/>
  <c r="W31" i="9"/>
  <c r="B32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T32" i="9"/>
  <c r="U32" i="9"/>
  <c r="V32" i="9"/>
  <c r="W32" i="9"/>
  <c r="B33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T33" i="9"/>
  <c r="U33" i="9"/>
  <c r="V33" i="9"/>
  <c r="W33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T34" i="9"/>
  <c r="U34" i="9"/>
  <c r="V34" i="9"/>
  <c r="W34" i="9"/>
  <c r="B35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T35" i="9"/>
  <c r="U35" i="9"/>
  <c r="V35" i="9"/>
  <c r="W35" i="9"/>
  <c r="B36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T36" i="9"/>
  <c r="U36" i="9"/>
  <c r="V36" i="9"/>
  <c r="W36" i="9"/>
  <c r="B37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T37" i="9"/>
  <c r="U37" i="9"/>
  <c r="V37" i="9"/>
  <c r="W37" i="9"/>
  <c r="B38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T38" i="9"/>
  <c r="U38" i="9"/>
  <c r="V38" i="9"/>
  <c r="W38" i="9"/>
  <c r="B39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T39" i="9"/>
  <c r="U39" i="9"/>
  <c r="V39" i="9"/>
  <c r="W39" i="9"/>
  <c r="B40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T40" i="9"/>
  <c r="U40" i="9"/>
  <c r="V40" i="9"/>
  <c r="W40" i="9"/>
  <c r="B41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T41" i="9"/>
  <c r="U41" i="9"/>
  <c r="V41" i="9"/>
  <c r="W41" i="9"/>
  <c r="B42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T42" i="9"/>
  <c r="U42" i="9"/>
  <c r="V42" i="9"/>
  <c r="W42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T43" i="9"/>
  <c r="U43" i="9"/>
  <c r="V43" i="9"/>
  <c r="W43" i="9"/>
  <c r="B44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T44" i="9"/>
  <c r="U44" i="9"/>
  <c r="V44" i="9"/>
  <c r="W44" i="9"/>
  <c r="B45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T45" i="9"/>
  <c r="U45" i="9"/>
  <c r="V45" i="9"/>
  <c r="W45" i="9"/>
  <c r="B46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T46" i="9"/>
  <c r="U46" i="9"/>
  <c r="V46" i="9"/>
  <c r="W46" i="9"/>
  <c r="B47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B48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B49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B50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B51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B52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B53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B54" i="9"/>
  <c r="C54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B56" i="9"/>
  <c r="C56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B57" i="9"/>
  <c r="C57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B58" i="9"/>
  <c r="C58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B59" i="9"/>
  <c r="C59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B60" i="9"/>
  <c r="C60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B61" i="9"/>
  <c r="C61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B62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B63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B64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B65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B66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B67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B68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B69" i="9"/>
  <c r="C69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B70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B71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B72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B73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B74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B75" i="9"/>
  <c r="C75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B76" i="9"/>
  <c r="C76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B77" i="9"/>
  <c r="C77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B78" i="9"/>
  <c r="C78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B79" i="9"/>
  <c r="C79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B80" i="9"/>
  <c r="C80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B81" i="9"/>
  <c r="C81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B82" i="9"/>
  <c r="C82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B83" i="9"/>
  <c r="C83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B84" i="9"/>
  <c r="C84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B85" i="9"/>
  <c r="C85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B86" i="9"/>
  <c r="C86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B87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B88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B89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B90" i="9"/>
  <c r="C90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B91" i="9"/>
  <c r="C91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B92" i="9"/>
  <c r="C92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B93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B94" i="9"/>
  <c r="C94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B95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B96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B97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B98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B99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B100" i="9"/>
  <c r="C100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B101" i="9"/>
  <c r="C101" i="9"/>
  <c r="D101" i="9"/>
  <c r="E101" i="9"/>
  <c r="F101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B102" i="9"/>
  <c r="C102" i="9"/>
  <c r="D102" i="9"/>
  <c r="E102" i="9"/>
  <c r="F102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B103" i="9"/>
  <c r="C103" i="9"/>
  <c r="D103" i="9"/>
  <c r="E103" i="9"/>
  <c r="F103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B104" i="9"/>
  <c r="C104" i="9"/>
  <c r="D104" i="9"/>
  <c r="E104" i="9"/>
  <c r="F104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B105" i="9"/>
  <c r="C105" i="9"/>
  <c r="D105" i="9"/>
  <c r="E105" i="9"/>
  <c r="F105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B106" i="9"/>
  <c r="C106" i="9"/>
  <c r="D106" i="9"/>
  <c r="E106" i="9"/>
  <c r="F106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B107" i="9"/>
  <c r="C107" i="9"/>
  <c r="D107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B108" i="9"/>
  <c r="C108" i="9"/>
  <c r="D108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B109" i="9"/>
  <c r="C109" i="9"/>
  <c r="D109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B110" i="9"/>
  <c r="C110" i="9"/>
  <c r="D110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B111" i="9"/>
  <c r="C111" i="9"/>
  <c r="D111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B112" i="9"/>
  <c r="C112" i="9"/>
  <c r="D112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B113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W113" i="9"/>
  <c r="B114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B115" i="9"/>
  <c r="C115" i="9"/>
  <c r="D115" i="9"/>
  <c r="E115" i="9"/>
  <c r="F115" i="9"/>
  <c r="G115" i="9"/>
  <c r="H115" i="9"/>
  <c r="I115" i="9"/>
  <c r="J115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B116" i="9"/>
  <c r="C116" i="9"/>
  <c r="D116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W116" i="9"/>
  <c r="B117" i="9"/>
  <c r="C117" i="9"/>
  <c r="D117" i="9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B118" i="9"/>
  <c r="C118" i="9"/>
  <c r="D118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W118" i="9"/>
  <c r="B119" i="9"/>
  <c r="C119" i="9"/>
  <c r="D119" i="9"/>
  <c r="E119" i="9"/>
  <c r="F119" i="9"/>
  <c r="G119" i="9"/>
  <c r="H119" i="9"/>
  <c r="I119" i="9"/>
  <c r="J119" i="9"/>
  <c r="K119" i="9"/>
  <c r="L119" i="9"/>
  <c r="M119" i="9"/>
  <c r="N119" i="9"/>
  <c r="O119" i="9"/>
  <c r="P119" i="9"/>
  <c r="Q119" i="9"/>
  <c r="R119" i="9"/>
  <c r="S119" i="9"/>
  <c r="T119" i="9"/>
  <c r="U119" i="9"/>
  <c r="V119" i="9"/>
  <c r="W119" i="9"/>
  <c r="B120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Q120" i="9"/>
  <c r="R120" i="9"/>
  <c r="S120" i="9"/>
  <c r="T120" i="9"/>
  <c r="U120" i="9"/>
  <c r="V120" i="9"/>
  <c r="W120" i="9"/>
  <c r="B121" i="9"/>
  <c r="C121" i="9"/>
  <c r="D121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W121" i="9"/>
  <c r="B122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W122" i="9"/>
  <c r="B123" i="9"/>
  <c r="C123" i="9"/>
  <c r="D123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W123" i="9"/>
  <c r="B124" i="9"/>
  <c r="C124" i="9"/>
  <c r="D124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Q124" i="9"/>
  <c r="R124" i="9"/>
  <c r="S124" i="9"/>
  <c r="T124" i="9"/>
  <c r="U124" i="9"/>
  <c r="V124" i="9"/>
  <c r="W124" i="9"/>
  <c r="B125" i="9"/>
  <c r="C125" i="9"/>
  <c r="D125" i="9"/>
  <c r="E125" i="9"/>
  <c r="F125" i="9"/>
  <c r="G125" i="9"/>
  <c r="H125" i="9"/>
  <c r="I125" i="9"/>
  <c r="J125" i="9"/>
  <c r="K125" i="9"/>
  <c r="L125" i="9"/>
  <c r="M125" i="9"/>
  <c r="N125" i="9"/>
  <c r="O125" i="9"/>
  <c r="P125" i="9"/>
  <c r="Q125" i="9"/>
  <c r="R125" i="9"/>
  <c r="S125" i="9"/>
  <c r="T125" i="9"/>
  <c r="U125" i="9"/>
  <c r="V125" i="9"/>
  <c r="W125" i="9"/>
  <c r="B126" i="9"/>
  <c r="C126" i="9"/>
  <c r="D126" i="9"/>
  <c r="E126" i="9"/>
  <c r="F126" i="9"/>
  <c r="G126" i="9"/>
  <c r="H126" i="9"/>
  <c r="I126" i="9"/>
  <c r="J126" i="9"/>
  <c r="K126" i="9"/>
  <c r="L126" i="9"/>
  <c r="M126" i="9"/>
  <c r="N126" i="9"/>
  <c r="O126" i="9"/>
  <c r="P126" i="9"/>
  <c r="Q126" i="9"/>
  <c r="R126" i="9"/>
  <c r="S126" i="9"/>
  <c r="T126" i="9"/>
  <c r="U126" i="9"/>
  <c r="V126" i="9"/>
  <c r="W126" i="9"/>
  <c r="B127" i="9"/>
  <c r="C127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W127" i="9"/>
  <c r="B128" i="9"/>
  <c r="C128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B129" i="9"/>
  <c r="C129" i="9"/>
  <c r="D129" i="9"/>
  <c r="E129" i="9"/>
  <c r="F129" i="9"/>
  <c r="G129" i="9"/>
  <c r="H129" i="9"/>
  <c r="I129" i="9"/>
  <c r="J129" i="9"/>
  <c r="K129" i="9"/>
  <c r="L129" i="9"/>
  <c r="M129" i="9"/>
  <c r="N129" i="9"/>
  <c r="O129" i="9"/>
  <c r="P129" i="9"/>
  <c r="Q129" i="9"/>
  <c r="R129" i="9"/>
  <c r="S129" i="9"/>
  <c r="T129" i="9"/>
  <c r="U129" i="9"/>
  <c r="V129" i="9"/>
  <c r="W129" i="9"/>
  <c r="B130" i="9"/>
  <c r="C130" i="9"/>
  <c r="D130" i="9"/>
  <c r="E130" i="9"/>
  <c r="F130" i="9"/>
  <c r="G130" i="9"/>
  <c r="H130" i="9"/>
  <c r="I130" i="9"/>
  <c r="J130" i="9"/>
  <c r="K130" i="9"/>
  <c r="L130" i="9"/>
  <c r="M130" i="9"/>
  <c r="N130" i="9"/>
  <c r="O130" i="9"/>
  <c r="P130" i="9"/>
  <c r="Q130" i="9"/>
  <c r="R130" i="9"/>
  <c r="S130" i="9"/>
  <c r="T130" i="9"/>
  <c r="U130" i="9"/>
  <c r="V130" i="9"/>
  <c r="W130" i="9"/>
  <c r="B131" i="9"/>
  <c r="C131" i="9"/>
  <c r="D131" i="9"/>
  <c r="E131" i="9"/>
  <c r="F131" i="9"/>
  <c r="G131" i="9"/>
  <c r="H131" i="9"/>
  <c r="I131" i="9"/>
  <c r="J131" i="9"/>
  <c r="K131" i="9"/>
  <c r="L131" i="9"/>
  <c r="M131" i="9"/>
  <c r="N131" i="9"/>
  <c r="O131" i="9"/>
  <c r="P131" i="9"/>
  <c r="Q131" i="9"/>
  <c r="R131" i="9"/>
  <c r="S131" i="9"/>
  <c r="T131" i="9"/>
  <c r="U131" i="9"/>
  <c r="V131" i="9"/>
  <c r="W131" i="9"/>
  <c r="B132" i="9"/>
  <c r="C132" i="9"/>
  <c r="D132" i="9"/>
  <c r="E132" i="9"/>
  <c r="F132" i="9"/>
  <c r="G132" i="9"/>
  <c r="H132" i="9"/>
  <c r="I132" i="9"/>
  <c r="J132" i="9"/>
  <c r="K132" i="9"/>
  <c r="L132" i="9"/>
  <c r="M132" i="9"/>
  <c r="N132" i="9"/>
  <c r="O132" i="9"/>
  <c r="P132" i="9"/>
  <c r="Q132" i="9"/>
  <c r="R132" i="9"/>
  <c r="S132" i="9"/>
  <c r="T132" i="9"/>
  <c r="U132" i="9"/>
  <c r="V132" i="9"/>
  <c r="W132" i="9"/>
  <c r="B133" i="9"/>
  <c r="C133" i="9"/>
  <c r="D133" i="9"/>
  <c r="E133" i="9"/>
  <c r="F133" i="9"/>
  <c r="G133" i="9"/>
  <c r="H133" i="9"/>
  <c r="I133" i="9"/>
  <c r="J133" i="9"/>
  <c r="K133" i="9"/>
  <c r="L133" i="9"/>
  <c r="M133" i="9"/>
  <c r="N133" i="9"/>
  <c r="O133" i="9"/>
  <c r="P133" i="9"/>
  <c r="Q133" i="9"/>
  <c r="R133" i="9"/>
  <c r="S133" i="9"/>
  <c r="T133" i="9"/>
  <c r="U133" i="9"/>
  <c r="V133" i="9"/>
  <c r="W133" i="9"/>
  <c r="B134" i="9"/>
  <c r="C134" i="9"/>
  <c r="D134" i="9"/>
  <c r="E134" i="9"/>
  <c r="F134" i="9"/>
  <c r="G134" i="9"/>
  <c r="H134" i="9"/>
  <c r="I134" i="9"/>
  <c r="J134" i="9"/>
  <c r="K134" i="9"/>
  <c r="L134" i="9"/>
  <c r="M134" i="9"/>
  <c r="N134" i="9"/>
  <c r="O134" i="9"/>
  <c r="P134" i="9"/>
  <c r="Q134" i="9"/>
  <c r="R134" i="9"/>
  <c r="S134" i="9"/>
  <c r="T134" i="9"/>
  <c r="U134" i="9"/>
  <c r="V134" i="9"/>
  <c r="W134" i="9"/>
  <c r="B135" i="9"/>
  <c r="C135" i="9"/>
  <c r="D135" i="9"/>
  <c r="E135" i="9"/>
  <c r="F135" i="9"/>
  <c r="G135" i="9"/>
  <c r="H135" i="9"/>
  <c r="I135" i="9"/>
  <c r="J135" i="9"/>
  <c r="K135" i="9"/>
  <c r="L135" i="9"/>
  <c r="M135" i="9"/>
  <c r="N135" i="9"/>
  <c r="O135" i="9"/>
  <c r="P135" i="9"/>
  <c r="Q135" i="9"/>
  <c r="R135" i="9"/>
  <c r="S135" i="9"/>
  <c r="T135" i="9"/>
  <c r="U135" i="9"/>
  <c r="V135" i="9"/>
  <c r="W135" i="9"/>
  <c r="B136" i="9"/>
  <c r="C136" i="9"/>
  <c r="D136" i="9"/>
  <c r="E136" i="9"/>
  <c r="F136" i="9"/>
  <c r="G136" i="9"/>
  <c r="H136" i="9"/>
  <c r="I136" i="9"/>
  <c r="J136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W136" i="9"/>
  <c r="B137" i="9"/>
  <c r="C137" i="9"/>
  <c r="D137" i="9"/>
  <c r="E137" i="9"/>
  <c r="F137" i="9"/>
  <c r="G137" i="9"/>
  <c r="H137" i="9"/>
  <c r="I137" i="9"/>
  <c r="J137" i="9"/>
  <c r="K137" i="9"/>
  <c r="L137" i="9"/>
  <c r="M137" i="9"/>
  <c r="N137" i="9"/>
  <c r="O137" i="9"/>
  <c r="P137" i="9"/>
  <c r="Q137" i="9"/>
  <c r="R137" i="9"/>
  <c r="S137" i="9"/>
  <c r="T137" i="9"/>
  <c r="U137" i="9"/>
  <c r="V137" i="9"/>
  <c r="W137" i="9"/>
  <c r="B138" i="9"/>
  <c r="C138" i="9"/>
  <c r="D138" i="9"/>
  <c r="E138" i="9"/>
  <c r="F138" i="9"/>
  <c r="G138" i="9"/>
  <c r="H138" i="9"/>
  <c r="I138" i="9"/>
  <c r="J138" i="9"/>
  <c r="K138" i="9"/>
  <c r="L138" i="9"/>
  <c r="M138" i="9"/>
  <c r="N138" i="9"/>
  <c r="O138" i="9"/>
  <c r="P138" i="9"/>
  <c r="Q138" i="9"/>
  <c r="R138" i="9"/>
  <c r="S138" i="9"/>
  <c r="T138" i="9"/>
  <c r="U138" i="9"/>
  <c r="V138" i="9"/>
  <c r="W138" i="9"/>
  <c r="B139" i="9"/>
  <c r="C139" i="9"/>
  <c r="D139" i="9"/>
  <c r="E139" i="9"/>
  <c r="F139" i="9"/>
  <c r="G139" i="9"/>
  <c r="H139" i="9"/>
  <c r="I139" i="9"/>
  <c r="J139" i="9"/>
  <c r="K139" i="9"/>
  <c r="L139" i="9"/>
  <c r="M139" i="9"/>
  <c r="N139" i="9"/>
  <c r="O139" i="9"/>
  <c r="P139" i="9"/>
  <c r="Q139" i="9"/>
  <c r="R139" i="9"/>
  <c r="S139" i="9"/>
  <c r="T139" i="9"/>
  <c r="U139" i="9"/>
  <c r="V139" i="9"/>
  <c r="W139" i="9"/>
  <c r="B140" i="9"/>
  <c r="C140" i="9"/>
  <c r="D140" i="9"/>
  <c r="E140" i="9"/>
  <c r="F140" i="9"/>
  <c r="G140" i="9"/>
  <c r="H140" i="9"/>
  <c r="I140" i="9"/>
  <c r="J140" i="9"/>
  <c r="K140" i="9"/>
  <c r="L140" i="9"/>
  <c r="M140" i="9"/>
  <c r="N140" i="9"/>
  <c r="O140" i="9"/>
  <c r="P140" i="9"/>
  <c r="Q140" i="9"/>
  <c r="R140" i="9"/>
  <c r="S140" i="9"/>
  <c r="T140" i="9"/>
  <c r="U140" i="9"/>
  <c r="V140" i="9"/>
  <c r="W140" i="9"/>
  <c r="B141" i="9"/>
  <c r="C141" i="9"/>
  <c r="D141" i="9"/>
  <c r="E141" i="9"/>
  <c r="F141" i="9"/>
  <c r="G141" i="9"/>
  <c r="H141" i="9"/>
  <c r="I141" i="9"/>
  <c r="J141" i="9"/>
  <c r="K141" i="9"/>
  <c r="L141" i="9"/>
  <c r="M141" i="9"/>
  <c r="N141" i="9"/>
  <c r="O141" i="9"/>
  <c r="P141" i="9"/>
  <c r="Q141" i="9"/>
  <c r="R141" i="9"/>
  <c r="S141" i="9"/>
  <c r="T141" i="9"/>
  <c r="U141" i="9"/>
  <c r="V141" i="9"/>
  <c r="W141" i="9"/>
  <c r="B142" i="9"/>
  <c r="C142" i="9"/>
  <c r="D142" i="9"/>
  <c r="E142" i="9"/>
  <c r="F142" i="9"/>
  <c r="G142" i="9"/>
  <c r="H142" i="9"/>
  <c r="I142" i="9"/>
  <c r="J142" i="9"/>
  <c r="K142" i="9"/>
  <c r="L142" i="9"/>
  <c r="M142" i="9"/>
  <c r="N142" i="9"/>
  <c r="O142" i="9"/>
  <c r="P142" i="9"/>
  <c r="Q142" i="9"/>
  <c r="R142" i="9"/>
  <c r="S142" i="9"/>
  <c r="T142" i="9"/>
  <c r="U142" i="9"/>
  <c r="V142" i="9"/>
  <c r="W14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T12" i="9"/>
  <c r="U12" i="9"/>
  <c r="V12" i="9"/>
  <c r="W12" i="9"/>
  <c r="B12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T4" i="9"/>
  <c r="U4" i="9"/>
  <c r="V4" i="9"/>
  <c r="W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T5" i="9"/>
  <c r="U5" i="9"/>
  <c r="V5" i="9"/>
  <c r="W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T6" i="9"/>
  <c r="U6" i="9"/>
  <c r="V6" i="9"/>
  <c r="W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T7" i="9"/>
  <c r="U7" i="9"/>
  <c r="V7" i="9"/>
  <c r="W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T8" i="9"/>
  <c r="U8" i="9"/>
  <c r="V8" i="9"/>
  <c r="W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T9" i="9"/>
  <c r="U9" i="9"/>
  <c r="V9" i="9"/>
  <c r="W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T10" i="9"/>
  <c r="U10" i="9"/>
  <c r="V10" i="9"/>
  <c r="W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T3" i="9"/>
  <c r="U3" i="9"/>
  <c r="V3" i="9"/>
  <c r="W3" i="9"/>
  <c r="B3" i="9"/>
  <c r="R36" i="7"/>
  <c r="S34" i="9" s="1"/>
  <c r="R37" i="7"/>
  <c r="S35" i="9" s="1"/>
  <c r="R38" i="7"/>
  <c r="S36" i="9" s="1"/>
  <c r="R39" i="7"/>
  <c r="S37" i="9" s="1"/>
  <c r="R15" i="7"/>
  <c r="S13" i="9" s="1"/>
  <c r="R16" i="7"/>
  <c r="S14" i="9" s="1"/>
  <c r="R17" i="7"/>
  <c r="S15" i="9" s="1"/>
  <c r="R18" i="7"/>
  <c r="S16" i="9" s="1"/>
  <c r="R19" i="7"/>
  <c r="S17" i="9" s="1"/>
  <c r="R20" i="7"/>
  <c r="S18" i="9" s="1"/>
  <c r="R21" i="7"/>
  <c r="S19" i="9" s="1"/>
  <c r="R22" i="7"/>
  <c r="S20" i="9" s="1"/>
  <c r="R23" i="7"/>
  <c r="S21" i="9" s="1"/>
  <c r="R24" i="7"/>
  <c r="S22" i="9" s="1"/>
  <c r="R25" i="7"/>
  <c r="S23" i="9" s="1"/>
  <c r="R26" i="7"/>
  <c r="S24" i="9" s="1"/>
  <c r="R27" i="7"/>
  <c r="S25" i="9" s="1"/>
  <c r="R28" i="7"/>
  <c r="S26" i="9" s="1"/>
  <c r="R30" i="7"/>
  <c r="S28" i="9" s="1"/>
  <c r="R31" i="7"/>
  <c r="S29" i="9" s="1"/>
  <c r="R32" i="7"/>
  <c r="S30" i="9" s="1"/>
  <c r="R33" i="7"/>
  <c r="S31" i="9" s="1"/>
  <c r="R34" i="7"/>
  <c r="S32" i="9" s="1"/>
  <c r="R35" i="7"/>
  <c r="S33" i="9" s="1"/>
  <c r="R40" i="7"/>
  <c r="S38" i="9" s="1"/>
  <c r="R41" i="7"/>
  <c r="S39" i="9" s="1"/>
  <c r="R42" i="7"/>
  <c r="S40" i="9" s="1"/>
  <c r="R43" i="7"/>
  <c r="S41" i="9" s="1"/>
  <c r="R44" i="7"/>
  <c r="S42" i="9" s="1"/>
  <c r="R45" i="7"/>
  <c r="S43" i="9" s="1"/>
  <c r="R46" i="7"/>
  <c r="S44" i="9" s="1"/>
  <c r="R47" i="7"/>
  <c r="S45" i="9" s="1"/>
  <c r="R48" i="7"/>
  <c r="S46" i="9" s="1"/>
  <c r="R14" i="7"/>
  <c r="S12" i="9" s="1"/>
  <c r="Q15" i="7"/>
  <c r="R13" i="9" s="1"/>
  <c r="R3" i="6"/>
  <c r="S4" i="9" s="1"/>
  <c r="R2" i="6"/>
  <c r="S3" i="9" s="1"/>
  <c r="R9" i="6"/>
  <c r="S10" i="9" s="1"/>
  <c r="R8" i="6"/>
  <c r="S9" i="9" s="1"/>
  <c r="R5" i="6"/>
  <c r="S6" i="9" s="1"/>
  <c r="R6" i="6"/>
  <c r="S7" i="9" s="1"/>
  <c r="R7" i="6"/>
  <c r="S8" i="9" s="1"/>
  <c r="R6" i="8" a="1"/>
  <c r="Q751" i="8" a="1"/>
  <c r="F321" i="8" a="1"/>
  <c r="K351" i="8" a="1"/>
  <c r="F351" i="8" a="1"/>
  <c r="W751" i="8" a="1"/>
  <c r="N751" i="8" a="1"/>
  <c r="Y301" i="8" a="1"/>
  <c r="D301" i="8" a="1"/>
  <c r="L321" i="8" a="1"/>
  <c r="G551" i="8" a="1"/>
  <c r="P351" i="8" a="1"/>
  <c r="I551" i="8" a="1"/>
  <c r="Y751" i="8" a="1"/>
  <c r="G6" i="8" a="1"/>
  <c r="O351" i="8" a="1"/>
  <c r="H751" i="8" a="1"/>
  <c r="I201" i="8" a="1"/>
  <c r="C651" i="8" a="1"/>
  <c r="I301" i="8" a="1"/>
  <c r="F201" i="8" a="1"/>
  <c r="P321" i="8" a="1"/>
  <c r="T751" i="8" a="1"/>
  <c r="W551" i="8" a="1"/>
  <c r="F7" i="8" a="1"/>
  <c r="D321" i="8" a="1"/>
  <c r="Q551" i="8" a="1"/>
  <c r="C7" i="8" a="1"/>
  <c r="U748" i="8" a="1"/>
  <c r="T201" i="8" a="1"/>
  <c r="K651" i="8" a="1"/>
  <c r="Y321" i="8" a="1"/>
  <c r="V301" i="8" a="1"/>
  <c r="Q301" i="8" a="1"/>
  <c r="D551" i="8" a="1"/>
  <c r="X7" i="8" a="1"/>
  <c r="W201" i="8" a="1"/>
  <c r="O7" i="8" a="1"/>
  <c r="G351" i="8" a="1"/>
  <c r="W651" i="8" a="1"/>
  <c r="M351" i="8" a="1"/>
  <c r="H301" i="8" a="1"/>
  <c r="I751" i="8" a="1"/>
  <c r="K321" i="8" a="1"/>
  <c r="C301" i="8" a="1"/>
  <c r="R651" i="8" a="1"/>
  <c r="K301" i="8" a="1"/>
  <c r="D7" i="8" a="1"/>
  <c r="V751" i="8" a="1"/>
  <c r="X301" i="8" a="1"/>
  <c r="Y7" i="8" a="1"/>
  <c r="O551" i="8" a="1"/>
  <c r="G751" i="8" a="1"/>
  <c r="N651" i="8" a="1"/>
  <c r="P551" i="8" a="1"/>
  <c r="D751" i="8" a="1"/>
  <c r="R321" i="8" a="1"/>
  <c r="P201" i="8" a="1"/>
  <c r="E451" i="8" a="1"/>
  <c r="U551" i="8" a="1"/>
  <c r="V321" i="8" a="1"/>
  <c r="F651" i="8" a="1"/>
  <c r="J321" i="8" a="1"/>
  <c r="Q6" i="8" a="1"/>
  <c r="T651" i="8" a="1"/>
  <c r="H321" i="8" a="1"/>
  <c r="E301" i="8" a="1"/>
  <c r="N201" i="8" a="1"/>
  <c r="N301" i="8" a="1"/>
  <c r="H201" i="8" a="1"/>
  <c r="G301" i="8" a="1"/>
  <c r="K201" i="8" a="1"/>
  <c r="T301" i="8" a="1"/>
  <c r="I7" i="8" a="1"/>
  <c r="O751" i="8" a="1"/>
  <c r="W301" i="8" a="1"/>
  <c r="K551" i="8" a="1"/>
  <c r="P7" i="8" a="1"/>
  <c r="N7" i="8" a="1"/>
  <c r="G201" i="8" a="1"/>
  <c r="F751" i="8" a="1"/>
  <c r="D6" i="8" a="1"/>
  <c r="M301" i="8" a="1"/>
  <c r="T6" i="8" a="1"/>
  <c r="N351" i="8" a="1"/>
  <c r="U6" i="8" a="1"/>
  <c r="J7" i="8" a="1"/>
  <c r="E351" i="8" a="1"/>
  <c r="P6" i="8" a="1"/>
  <c r="M201" i="8" a="1"/>
  <c r="K751" i="8" a="1"/>
  <c r="Y651" i="8" a="1"/>
  <c r="U751" i="8" a="1"/>
  <c r="X551" i="8" a="1"/>
  <c r="D651" i="8" a="1"/>
  <c r="H351" i="8" a="1"/>
  <c r="P301" i="8" a="1"/>
  <c r="X351" i="8" a="1"/>
  <c r="V201" i="8" a="1"/>
  <c r="H551" i="8" a="1"/>
  <c r="L651" i="8" a="1"/>
  <c r="M751" i="8" a="1"/>
  <c r="E321" i="8" a="1"/>
  <c r="M551" i="8" a="1"/>
  <c r="O6" i="8" a="1"/>
  <c r="L351" i="8" a="1"/>
  <c r="O301" i="8" a="1"/>
  <c r="C6" i="8" a="1"/>
  <c r="U651" i="8" a="1"/>
  <c r="E201" i="8" a="1"/>
  <c r="X751" i="8" a="1"/>
  <c r="W351" i="8" a="1"/>
  <c r="I651" i="8" a="1"/>
  <c r="K6" i="8" a="1"/>
  <c r="X321" i="8" a="1"/>
  <c r="I321" i="8" a="1"/>
  <c r="Y201" i="8" a="1"/>
  <c r="C321" i="8" a="1"/>
  <c r="V351" i="8" a="1"/>
  <c r="U7" i="8" a="1"/>
  <c r="J201" i="8" a="1"/>
  <c r="C201" i="8" a="1"/>
  <c r="I6" i="8" a="1"/>
  <c r="J551" i="8" a="1"/>
  <c r="X651" i="8" a="1"/>
  <c r="V7" i="8" a="1"/>
  <c r="N6" i="8" a="1"/>
  <c r="W7" i="8" a="1"/>
  <c r="T7" i="8" a="1"/>
  <c r="Q7" i="8" a="1"/>
  <c r="E651" i="8" a="1"/>
  <c r="N321" i="8" a="1"/>
  <c r="R301" i="8" a="1"/>
  <c r="R751" i="8" a="1"/>
  <c r="Y551" i="8" a="1"/>
  <c r="O201" i="8" a="1"/>
  <c r="F301" i="8" a="1"/>
  <c r="W321" i="8" a="1"/>
  <c r="R551" i="8" a="1"/>
  <c r="F6" i="8" a="1"/>
  <c r="M6" i="8" a="1"/>
  <c r="T351" i="8" a="1"/>
  <c r="L7" i="8" a="1"/>
  <c r="C551" i="8" a="1"/>
  <c r="Q321" i="8" a="1"/>
  <c r="U201" i="8" a="1"/>
  <c r="V651" i="8" a="1"/>
  <c r="O651" i="8" a="1"/>
  <c r="Q351" i="8" a="1"/>
  <c r="J651" i="8" a="1"/>
  <c r="J301" i="8" a="1"/>
  <c r="M321" i="8" a="1"/>
  <c r="D351" i="8" a="1"/>
  <c r="J751" i="8" a="1"/>
  <c r="H6" i="8" a="1"/>
  <c r="R201" i="8" a="1"/>
  <c r="J6" i="8" a="1"/>
  <c r="C351" i="8" a="1"/>
  <c r="L751" i="8" a="1"/>
  <c r="U351" i="8" a="1"/>
  <c r="L6" i="8" a="1"/>
  <c r="Y6" i="8" a="1"/>
  <c r="G321" i="8" a="1"/>
  <c r="E751" i="8" a="1"/>
  <c r="C751" i="8" a="1"/>
  <c r="F551" i="8" a="1"/>
  <c r="D201" i="8" a="1"/>
  <c r="R7" i="8" a="1"/>
  <c r="O321" i="8" a="1"/>
  <c r="P651" i="8" a="1"/>
  <c r="P751" i="8" a="1"/>
  <c r="L201" i="8" a="1"/>
  <c r="W6" i="8" a="1"/>
  <c r="X201" i="8" a="1"/>
  <c r="E551" i="8" a="1"/>
  <c r="Q651" i="8" a="1"/>
  <c r="L301" i="8" a="1"/>
  <c r="U301" i="8" a="1"/>
  <c r="L551" i="8" a="1"/>
  <c r="M651" i="8" a="1"/>
  <c r="M7" i="8" a="1"/>
  <c r="Y351" i="8" a="1"/>
  <c r="E6" i="8" a="1"/>
  <c r="R351" i="8" a="1"/>
  <c r="Q201" i="8" a="1"/>
  <c r="X6" i="8" a="1"/>
  <c r="E7" i="8" a="1"/>
  <c r="H651" i="8" a="1"/>
  <c r="K7" i="8" a="1"/>
  <c r="J351" i="8" a="1"/>
  <c r="G7" i="8" a="1"/>
  <c r="G651" i="8" a="1"/>
  <c r="H7" i="8" a="1"/>
  <c r="V6" i="8" a="1"/>
  <c r="I351" i="8" a="1"/>
  <c r="V551" i="8" a="1"/>
  <c r="F751" i="8" l="1"/>
  <c r="J751" i="8"/>
  <c r="N751" i="8"/>
  <c r="R751" i="8"/>
  <c r="W751" i="8"/>
  <c r="C751" i="8"/>
  <c r="G751" i="8"/>
  <c r="K751" i="8"/>
  <c r="O751" i="8"/>
  <c r="T751" i="8"/>
  <c r="X751" i="8"/>
  <c r="D751" i="8"/>
  <c r="H751" i="8"/>
  <c r="L751" i="8"/>
  <c r="P751" i="8"/>
  <c r="U751" i="8"/>
  <c r="Y751" i="8"/>
  <c r="E751" i="8"/>
  <c r="I751" i="8"/>
  <c r="M751" i="8"/>
  <c r="Q751" i="8"/>
  <c r="V751" i="8"/>
  <c r="F6" i="8"/>
  <c r="J6" i="8"/>
  <c r="N6" i="8"/>
  <c r="R6" i="8"/>
  <c r="W6" i="8"/>
  <c r="C6" i="8"/>
  <c r="G6" i="8"/>
  <c r="K6" i="8"/>
  <c r="O6" i="8"/>
  <c r="T6" i="8"/>
  <c r="X6" i="8"/>
  <c r="D6" i="8"/>
  <c r="H6" i="8"/>
  <c r="L6" i="8"/>
  <c r="P6" i="8"/>
  <c r="U6" i="8"/>
  <c r="Y6" i="8"/>
  <c r="E6" i="8"/>
  <c r="I6" i="8"/>
  <c r="M6" i="8"/>
  <c r="Q6" i="8"/>
  <c r="V6" i="8"/>
  <c r="C201" i="8"/>
  <c r="G201" i="8"/>
  <c r="K201" i="8"/>
  <c r="O201" i="8"/>
  <c r="T201" i="8"/>
  <c r="X201" i="8"/>
  <c r="D201" i="8"/>
  <c r="H201" i="8"/>
  <c r="L201" i="8"/>
  <c r="P201" i="8"/>
  <c r="U201" i="8"/>
  <c r="Y201" i="8"/>
  <c r="E201" i="8"/>
  <c r="I201" i="8"/>
  <c r="M201" i="8"/>
  <c r="Q201" i="8"/>
  <c r="V201" i="8"/>
  <c r="F201" i="8"/>
  <c r="J201" i="8"/>
  <c r="N201" i="8"/>
  <c r="R201" i="8"/>
  <c r="W201" i="8"/>
  <c r="T301" i="8"/>
  <c r="X301" i="8"/>
  <c r="W301" i="8"/>
  <c r="C301" i="8"/>
  <c r="D301" i="8"/>
  <c r="H301" i="8"/>
  <c r="L301" i="8"/>
  <c r="P301" i="8"/>
  <c r="U301" i="8"/>
  <c r="Y301" i="8"/>
  <c r="G301" i="8"/>
  <c r="E301" i="8"/>
  <c r="I301" i="8"/>
  <c r="M301" i="8"/>
  <c r="Q301" i="8"/>
  <c r="K301" i="8"/>
  <c r="V301" i="8"/>
  <c r="F301" i="8"/>
  <c r="J301" i="8"/>
  <c r="N301" i="8"/>
  <c r="R301" i="8"/>
  <c r="O301" i="8"/>
  <c r="C321" i="8"/>
  <c r="G321" i="8"/>
  <c r="K321" i="8"/>
  <c r="O321" i="8"/>
  <c r="X321" i="8"/>
  <c r="D321" i="8"/>
  <c r="H321" i="8"/>
  <c r="L321" i="8"/>
  <c r="P321" i="8"/>
  <c r="Y321" i="8"/>
  <c r="E321" i="8"/>
  <c r="I321" i="8"/>
  <c r="M321" i="8"/>
  <c r="Q321" i="8"/>
  <c r="V321" i="8"/>
  <c r="F321" i="8"/>
  <c r="J321" i="8"/>
  <c r="N321" i="8"/>
  <c r="R321" i="8"/>
  <c r="W321" i="8"/>
  <c r="C351" i="8"/>
  <c r="G351" i="8"/>
  <c r="K351" i="8"/>
  <c r="O351" i="8"/>
  <c r="T351" i="8"/>
  <c r="X351" i="8"/>
  <c r="D351" i="8"/>
  <c r="H351" i="8"/>
  <c r="L351" i="8"/>
  <c r="P351" i="8"/>
  <c r="U351" i="8"/>
  <c r="Y351" i="8"/>
  <c r="E351" i="8"/>
  <c r="I351" i="8"/>
  <c r="M351" i="8"/>
  <c r="Q351" i="8"/>
  <c r="V351" i="8"/>
  <c r="F351" i="8"/>
  <c r="J351" i="8"/>
  <c r="N351" i="8"/>
  <c r="R351" i="8"/>
  <c r="W351" i="8"/>
  <c r="T7" i="8"/>
  <c r="X7" i="8"/>
  <c r="D7" i="8"/>
  <c r="H7" i="8"/>
  <c r="L7" i="8"/>
  <c r="P7" i="8"/>
  <c r="U7" i="8"/>
  <c r="Y7" i="8"/>
  <c r="E7" i="8"/>
  <c r="I7" i="8"/>
  <c r="M7" i="8"/>
  <c r="Q7" i="8"/>
  <c r="V7" i="8"/>
  <c r="F7" i="8"/>
  <c r="J7" i="8"/>
  <c r="N7" i="8"/>
  <c r="R7" i="8"/>
  <c r="W7" i="8"/>
  <c r="C7" i="8"/>
  <c r="G7" i="8"/>
  <c r="K7" i="8"/>
  <c r="O7" i="8"/>
  <c r="B752" i="8"/>
  <c r="B753" i="8" s="1"/>
  <c r="C551" i="8"/>
  <c r="G551" i="8"/>
  <c r="K551" i="8"/>
  <c r="O551" i="8"/>
  <c r="D551" i="8"/>
  <c r="H551" i="8"/>
  <c r="L551" i="8"/>
  <c r="P551" i="8"/>
  <c r="E551" i="8"/>
  <c r="I551" i="8"/>
  <c r="M551" i="8"/>
  <c r="Q551" i="8"/>
  <c r="F551" i="8"/>
  <c r="J551" i="8"/>
  <c r="R551" i="8"/>
  <c r="C651" i="8"/>
  <c r="G651" i="8"/>
  <c r="K651" i="8"/>
  <c r="O651" i="8"/>
  <c r="E651" i="8"/>
  <c r="I651" i="8"/>
  <c r="D651" i="8"/>
  <c r="H651" i="8"/>
  <c r="L651" i="8"/>
  <c r="P651" i="8"/>
  <c r="M651" i="8"/>
  <c r="Q651" i="8"/>
  <c r="F651" i="8"/>
  <c r="J651" i="8"/>
  <c r="N651" i="8"/>
  <c r="R651" i="8"/>
  <c r="K11" i="5"/>
  <c r="B8" i="8"/>
  <c r="AB39" i="5"/>
  <c r="U748" i="8"/>
  <c r="X551" i="8"/>
  <c r="U551" i="8"/>
  <c r="V551" i="8"/>
  <c r="W551" i="8"/>
  <c r="Y551" i="8"/>
  <c r="T651" i="8"/>
  <c r="X651" i="8"/>
  <c r="Y651" i="8"/>
  <c r="U651" i="8"/>
  <c r="V651" i="8"/>
  <c r="W651" i="8"/>
  <c r="B552" i="8"/>
  <c r="B652" i="8"/>
  <c r="E451" i="8"/>
  <c r="B452" i="8"/>
  <c r="G5" i="5"/>
  <c r="H10" i="5"/>
  <c r="G16" i="5"/>
  <c r="H28" i="5"/>
  <c r="G10" i="5"/>
  <c r="B202" i="8"/>
  <c r="B302" i="8"/>
  <c r="B322" i="8"/>
  <c r="B352" i="8"/>
  <c r="O21" i="5"/>
  <c r="O17" i="5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M1" i="9" a="1"/>
  <c r="M1" i="9" s="1"/>
  <c r="Q4" i="2"/>
  <c r="K3" i="3"/>
  <c r="I3" i="3"/>
  <c r="Q3" i="3"/>
  <c r="T6" i="3"/>
  <c r="R2" i="3"/>
  <c r="Q4" i="6"/>
  <c r="R5" i="9" s="1"/>
  <c r="R34" i="4"/>
  <c r="R33" i="4"/>
  <c r="R19" i="4"/>
  <c r="R12" i="4"/>
  <c r="R11" i="4"/>
  <c r="R7" i="4"/>
  <c r="N1" i="8" a="1"/>
  <c r="N1" i="8" s="1"/>
  <c r="G11" i="5"/>
  <c r="R47" i="1"/>
  <c r="R2" i="8"/>
  <c r="Y2" i="8"/>
  <c r="X2" i="8"/>
  <c r="W2" i="8"/>
  <c r="V2" i="8"/>
  <c r="U2" i="8"/>
  <c r="T2" i="8"/>
  <c r="Q2" i="8"/>
  <c r="O2" i="8"/>
  <c r="P2" i="8"/>
  <c r="M2" i="8"/>
  <c r="D2" i="8"/>
  <c r="E2" i="8"/>
  <c r="F2" i="8"/>
  <c r="G2" i="8"/>
  <c r="H2" i="8"/>
  <c r="I2" i="8"/>
  <c r="J2" i="8"/>
  <c r="K2" i="8"/>
  <c r="L2" i="8"/>
  <c r="C2" i="8"/>
  <c r="R22" i="1"/>
  <c r="Q2" i="3"/>
  <c r="W26" i="5"/>
  <c r="Q3" i="6"/>
  <c r="R4" i="9" s="1"/>
  <c r="Q5" i="6"/>
  <c r="R6" i="9" s="1"/>
  <c r="Q6" i="6"/>
  <c r="R7" i="9" s="1"/>
  <c r="Q7" i="6"/>
  <c r="R8" i="9" s="1"/>
  <c r="Q8" i="6"/>
  <c r="R9" i="9" s="1"/>
  <c r="Q9" i="6"/>
  <c r="R10" i="9" s="1"/>
  <c r="Q2" i="6"/>
  <c r="Q16" i="7"/>
  <c r="R14" i="9" s="1"/>
  <c r="Q17" i="7"/>
  <c r="R15" i="9" s="1"/>
  <c r="Q18" i="7"/>
  <c r="R16" i="9" s="1"/>
  <c r="Q19" i="7"/>
  <c r="R17" i="9" s="1"/>
  <c r="Q20" i="7"/>
  <c r="R18" i="9" s="1"/>
  <c r="Q21" i="7"/>
  <c r="R19" i="9" s="1"/>
  <c r="R20" i="9"/>
  <c r="Q23" i="7"/>
  <c r="R21" i="9" s="1"/>
  <c r="Q24" i="7"/>
  <c r="R22" i="9" s="1"/>
  <c r="Q25" i="7"/>
  <c r="R23" i="9" s="1"/>
  <c r="Q26" i="7"/>
  <c r="R24" i="9" s="1"/>
  <c r="Q27" i="7"/>
  <c r="R25" i="9" s="1"/>
  <c r="Q28" i="7"/>
  <c r="R26" i="9" s="1"/>
  <c r="Q29" i="7"/>
  <c r="R27" i="9" s="1"/>
  <c r="Q30" i="7"/>
  <c r="R28" i="9" s="1"/>
  <c r="Q31" i="7"/>
  <c r="R29" i="9" s="1"/>
  <c r="Q32" i="7"/>
  <c r="R30" i="9" s="1"/>
  <c r="Q33" i="7"/>
  <c r="R31" i="9" s="1"/>
  <c r="Q34" i="7"/>
  <c r="R32" i="9" s="1"/>
  <c r="Q35" i="7"/>
  <c r="R33" i="9" s="1"/>
  <c r="Q36" i="7"/>
  <c r="R34" i="9" s="1"/>
  <c r="Q37" i="7"/>
  <c r="R35" i="9" s="1"/>
  <c r="Q38" i="7"/>
  <c r="R36" i="9" s="1"/>
  <c r="Q39" i="7"/>
  <c r="R37" i="9" s="1"/>
  <c r="Q40" i="7"/>
  <c r="R38" i="9" s="1"/>
  <c r="Q41" i="7"/>
  <c r="R39" i="9" s="1"/>
  <c r="Q42" i="7"/>
  <c r="R40" i="9" s="1"/>
  <c r="Q43" i="7"/>
  <c r="R41" i="9" s="1"/>
  <c r="Q44" i="7"/>
  <c r="R42" i="9" s="1"/>
  <c r="Q45" i="7"/>
  <c r="R43" i="9" s="1"/>
  <c r="Q46" i="7"/>
  <c r="R44" i="9" s="1"/>
  <c r="Q47" i="7"/>
  <c r="R45" i="9" s="1"/>
  <c r="Q48" i="7"/>
  <c r="R46" i="9" s="1"/>
  <c r="Q14" i="7"/>
  <c r="Y8" i="8" a="1"/>
  <c r="G652" i="8" a="1"/>
  <c r="R752" i="8" a="1"/>
  <c r="C352" i="8" a="1"/>
  <c r="W752" i="8" a="1"/>
  <c r="L452" i="8" a="1"/>
  <c r="Q322" i="8" a="1"/>
  <c r="G753" i="8" a="1"/>
  <c r="U352" i="8" a="1"/>
  <c r="R8" i="8" a="1"/>
  <c r="U8" i="8" a="1"/>
  <c r="F552" i="8" a="1"/>
  <c r="E752" i="8" a="1"/>
  <c r="N352" i="8" a="1"/>
  <c r="G552" i="8" a="1"/>
  <c r="F753" i="8" a="1"/>
  <c r="W753" i="8" a="1"/>
  <c r="D302" i="8" a="1"/>
  <c r="N552" i="8" a="1"/>
  <c r="Q752" i="8" a="1"/>
  <c r="C322" i="8" a="1"/>
  <c r="E652" i="8" a="1"/>
  <c r="M302" i="8" a="1"/>
  <c r="J652" i="8" a="1"/>
  <c r="H352" i="8" a="1"/>
  <c r="V753" i="8" a="1"/>
  <c r="D322" i="8" a="1"/>
  <c r="F752" i="8" a="1"/>
  <c r="J202" i="8" a="1"/>
  <c r="E552" i="8" a="1"/>
  <c r="F352" i="8" a="1"/>
  <c r="R452" i="8" a="1"/>
  <c r="V322" i="8" a="1"/>
  <c r="Q552" i="8" a="1"/>
  <c r="R202" i="8" a="1"/>
  <c r="E753" i="8" a="1"/>
  <c r="P202" i="8" a="1"/>
  <c r="V752" i="8" a="1"/>
  <c r="Q652" i="8" a="1"/>
  <c r="T552" i="8" a="1"/>
  <c r="X753" i="8" a="1"/>
  <c r="O302" i="8" a="1"/>
  <c r="T452" i="8" a="1"/>
  <c r="H322" i="8" a="1"/>
  <c r="G8" i="8" a="1"/>
  <c r="E302" i="8" a="1"/>
  <c r="H753" i="8" a="1"/>
  <c r="M452" i="8" a="1"/>
  <c r="G202" i="8" a="1"/>
  <c r="H552" i="8" a="1"/>
  <c r="H652" i="8" a="1"/>
  <c r="L352" i="8" a="1"/>
  <c r="Q202" i="8" a="1"/>
  <c r="W302" i="8" a="1"/>
  <c r="H452" i="8" a="1"/>
  <c r="P302" i="8" a="1"/>
  <c r="H752" i="8" a="1"/>
  <c r="E8" i="8" a="1"/>
  <c r="I202" i="8" a="1"/>
  <c r="P352" i="8" a="1"/>
  <c r="P452" i="8" a="1"/>
  <c r="R322" i="8" a="1"/>
  <c r="L752" i="8" a="1"/>
  <c r="V552" i="8" a="1"/>
  <c r="P552" i="8" a="1"/>
  <c r="N452" i="8" a="1"/>
  <c r="T302" i="8" a="1"/>
  <c r="O752" i="8" a="1"/>
  <c r="M753" i="8" a="1"/>
  <c r="D552" i="8" a="1"/>
  <c r="Y753" i="8" a="1"/>
  <c r="Y302" i="8" a="1"/>
  <c r="U202" i="8" a="1"/>
  <c r="F452" i="8" a="1"/>
  <c r="Y202" i="8" a="1"/>
  <c r="T8" i="8" a="1"/>
  <c r="G302" i="8" a="1"/>
  <c r="L302" i="8" a="1"/>
  <c r="L552" i="8" a="1"/>
  <c r="F302" i="8" a="1"/>
  <c r="Y652" i="8" a="1"/>
  <c r="V352" i="8" a="1"/>
  <c r="H8" i="8" a="1"/>
  <c r="V202" i="8" a="1"/>
  <c r="Q352" i="8" a="1"/>
  <c r="K8" i="8" a="1"/>
  <c r="D652" i="8" a="1"/>
  <c r="U753" i="8" a="1"/>
  <c r="X202" i="8" a="1"/>
  <c r="C8" i="8" a="1"/>
  <c r="K452" i="8" a="1"/>
  <c r="O452" i="8" a="1"/>
  <c r="V8" i="8" a="1"/>
  <c r="O552" i="8" a="1"/>
  <c r="I322" i="8" a="1"/>
  <c r="K302" i="8" a="1"/>
  <c r="J552" i="8" a="1"/>
  <c r="F652" i="8" a="1"/>
  <c r="Y752" i="8" a="1"/>
  <c r="C652" i="8" a="1"/>
  <c r="F322" i="8" a="1"/>
  <c r="J302" i="8" a="1"/>
  <c r="P8" i="8" a="1"/>
  <c r="T321" i="8" a="1"/>
  <c r="G752" i="8" a="1"/>
  <c r="I652" i="8" a="1"/>
  <c r="W352" i="8" a="1"/>
  <c r="T753" i="8" a="1"/>
  <c r="J752" i="8" a="1"/>
  <c r="R652" i="8" a="1"/>
  <c r="O753" i="8" a="1"/>
  <c r="U452" i="8" a="1"/>
  <c r="C753" i="8" a="1"/>
  <c r="W452" i="8" a="1"/>
  <c r="D752" i="8" a="1"/>
  <c r="R552" i="8" a="1"/>
  <c r="K202" i="8" a="1"/>
  <c r="M752" i="8" a="1"/>
  <c r="X452" i="8" a="1"/>
  <c r="L8" i="8" a="1"/>
  <c r="Y322" i="8" a="1"/>
  <c r="C552" i="8" a="1"/>
  <c r="K552" i="8" a="1"/>
  <c r="M8" i="8" a="1"/>
  <c r="M322" i="8" a="1"/>
  <c r="M552" i="8" a="1"/>
  <c r="V652" i="8" a="1"/>
  <c r="C202" i="8" a="1"/>
  <c r="I452" i="8" a="1"/>
  <c r="I352" i="8" a="1"/>
  <c r="F202" i="8" a="1"/>
  <c r="W202" i="8" a="1"/>
  <c r="O652" i="8" a="1"/>
  <c r="J8" i="8" a="1"/>
  <c r="J322" i="8" a="1"/>
  <c r="G352" i="8" a="1"/>
  <c r="R753" i="8" a="1"/>
  <c r="D452" i="8" a="1"/>
  <c r="T322" i="8" a="1"/>
  <c r="I302" i="8" a="1"/>
  <c r="H302" i="8" a="1"/>
  <c r="T352" i="8" a="1"/>
  <c r="J753" i="8" a="1"/>
  <c r="D352" i="8" a="1"/>
  <c r="Y452" i="8" a="1"/>
  <c r="X352" i="8" a="1"/>
  <c r="N752" i="8" a="1"/>
  <c r="T748" i="8" a="1"/>
  <c r="C452" i="8" a="1"/>
  <c r="O8" i="8" a="1"/>
  <c r="I752" i="8" a="1"/>
  <c r="O352" i="8" a="1"/>
  <c r="N753" i="8" a="1"/>
  <c r="W8" i="8" a="1"/>
  <c r="W322" i="8" a="1"/>
  <c r="C752" i="8" a="1"/>
  <c r="X552" i="8" a="1"/>
  <c r="U552" i="8" a="1"/>
  <c r="X302" i="8" a="1"/>
  <c r="I552" i="8" a="1"/>
  <c r="P322" i="8" a="1"/>
  <c r="P752" i="8" a="1"/>
  <c r="Q8" i="8" a="1"/>
  <c r="X8" i="8" a="1"/>
  <c r="U652" i="8" a="1"/>
  <c r="K752" i="8" a="1"/>
  <c r="E202" i="8" a="1"/>
  <c r="K753" i="8" a="1"/>
  <c r="D8" i="8" a="1"/>
  <c r="X752" i="8" a="1"/>
  <c r="K652" i="8" a="1"/>
  <c r="D753" i="8" a="1"/>
  <c r="E322" i="8" a="1"/>
  <c r="Q753" i="8" a="1"/>
  <c r="X652" i="8" a="1"/>
  <c r="U302" i="8" a="1"/>
  <c r="F8" i="8" a="1"/>
  <c r="H202" i="8" a="1"/>
  <c r="J352" i="8" a="1"/>
  <c r="L753" i="8" a="1"/>
  <c r="E452" i="8" a="1"/>
  <c r="R302" i="8" a="1"/>
  <c r="K322" i="8" a="1"/>
  <c r="C302" i="8" a="1"/>
  <c r="Y552" i="8" a="1"/>
  <c r="D202" i="8" a="1"/>
  <c r="N302" i="8" a="1"/>
  <c r="U322" i="8" a="1"/>
  <c r="L202" i="8" a="1"/>
  <c r="O202" i="8" a="1"/>
  <c r="L652" i="8" a="1"/>
  <c r="T752" i="8" a="1"/>
  <c r="G452" i="8" a="1"/>
  <c r="G322" i="8" a="1"/>
  <c r="E352" i="8" a="1"/>
  <c r="W552" i="8" a="1"/>
  <c r="O322" i="8" a="1"/>
  <c r="K352" i="8" a="1"/>
  <c r="M652" i="8" a="1"/>
  <c r="P652" i="8" a="1"/>
  <c r="M352" i="8" a="1"/>
  <c r="I753" i="8" a="1"/>
  <c r="V302" i="8" a="1"/>
  <c r="U752" i="8" a="1"/>
  <c r="X322" i="8" a="1"/>
  <c r="Y352" i="8" a="1"/>
  <c r="T202" i="8" a="1"/>
  <c r="V452" i="8" a="1"/>
  <c r="M202" i="8" a="1"/>
  <c r="L322" i="8" a="1"/>
  <c r="N8" i="8" a="1"/>
  <c r="Q452" i="8" a="1"/>
  <c r="R352" i="8" a="1"/>
  <c r="Q302" i="8" a="1"/>
  <c r="N202" i="8" a="1"/>
  <c r="I8" i="8" a="1"/>
  <c r="W652" i="8" a="1"/>
  <c r="J452" i="8" a="1"/>
  <c r="P753" i="8" a="1"/>
  <c r="T321" i="8" l="1"/>
  <c r="C552" i="8"/>
  <c r="G552" i="8"/>
  <c r="K552" i="8"/>
  <c r="O552" i="8"/>
  <c r="T552" i="8"/>
  <c r="X552" i="8"/>
  <c r="D552" i="8"/>
  <c r="H552" i="8"/>
  <c r="L552" i="8"/>
  <c r="P552" i="8"/>
  <c r="U552" i="8"/>
  <c r="Y552" i="8"/>
  <c r="E552" i="8"/>
  <c r="I552" i="8"/>
  <c r="M552" i="8"/>
  <c r="Q552" i="8"/>
  <c r="W552" i="8"/>
  <c r="V552" i="8"/>
  <c r="F552" i="8"/>
  <c r="J552" i="8"/>
  <c r="N552" i="8"/>
  <c r="R552" i="8"/>
  <c r="C452" i="8"/>
  <c r="G452" i="8"/>
  <c r="K452" i="8"/>
  <c r="O452" i="8"/>
  <c r="T452" i="8"/>
  <c r="X452" i="8"/>
  <c r="D452" i="8"/>
  <c r="H452" i="8"/>
  <c r="L452" i="8"/>
  <c r="P452" i="8"/>
  <c r="U452" i="8"/>
  <c r="Y452" i="8"/>
  <c r="E452" i="8"/>
  <c r="I452" i="8"/>
  <c r="M452" i="8"/>
  <c r="Q452" i="8"/>
  <c r="V452" i="8"/>
  <c r="F452" i="8"/>
  <c r="J452" i="8"/>
  <c r="N452" i="8"/>
  <c r="R452" i="8"/>
  <c r="W452" i="8"/>
  <c r="E753" i="8"/>
  <c r="I753" i="8"/>
  <c r="M753" i="8"/>
  <c r="Q753" i="8"/>
  <c r="V753" i="8"/>
  <c r="F753" i="8"/>
  <c r="J753" i="8"/>
  <c r="N753" i="8"/>
  <c r="R753" i="8"/>
  <c r="W753" i="8"/>
  <c r="C753" i="8"/>
  <c r="G753" i="8"/>
  <c r="K753" i="8"/>
  <c r="O753" i="8"/>
  <c r="U753" i="8"/>
  <c r="T753" i="8"/>
  <c r="X753" i="8"/>
  <c r="D753" i="8"/>
  <c r="H753" i="8"/>
  <c r="L753" i="8"/>
  <c r="P753" i="8"/>
  <c r="Y753" i="8"/>
  <c r="U352" i="8"/>
  <c r="Y352" i="8"/>
  <c r="E352" i="8"/>
  <c r="I352" i="8"/>
  <c r="M352" i="8"/>
  <c r="Q352" i="8"/>
  <c r="V352" i="8"/>
  <c r="F352" i="8"/>
  <c r="J352" i="8"/>
  <c r="N352" i="8"/>
  <c r="R352" i="8"/>
  <c r="W352" i="8"/>
  <c r="C352" i="8"/>
  <c r="G352" i="8"/>
  <c r="K352" i="8"/>
  <c r="O352" i="8"/>
  <c r="T352" i="8"/>
  <c r="X352" i="8"/>
  <c r="P352" i="8"/>
  <c r="D352" i="8"/>
  <c r="H352" i="8"/>
  <c r="L352" i="8"/>
  <c r="U202" i="8"/>
  <c r="Y202" i="8"/>
  <c r="E202" i="8"/>
  <c r="I202" i="8"/>
  <c r="M202" i="8"/>
  <c r="Q202" i="8"/>
  <c r="V202" i="8"/>
  <c r="F202" i="8"/>
  <c r="J202" i="8"/>
  <c r="N202" i="8"/>
  <c r="R202" i="8"/>
  <c r="W202" i="8"/>
  <c r="C202" i="8"/>
  <c r="G202" i="8"/>
  <c r="K202" i="8"/>
  <c r="O202" i="8"/>
  <c r="T202" i="8"/>
  <c r="X202" i="8"/>
  <c r="P202" i="8"/>
  <c r="D202" i="8"/>
  <c r="H202" i="8"/>
  <c r="L202" i="8"/>
  <c r="U322" i="8"/>
  <c r="Y322" i="8"/>
  <c r="E322" i="8"/>
  <c r="I322" i="8"/>
  <c r="M322" i="8"/>
  <c r="Q322" i="8"/>
  <c r="V322" i="8"/>
  <c r="F322" i="8"/>
  <c r="J322" i="8"/>
  <c r="R322" i="8"/>
  <c r="W322" i="8"/>
  <c r="C322" i="8"/>
  <c r="G322" i="8"/>
  <c r="K322" i="8"/>
  <c r="O322" i="8"/>
  <c r="T322" i="8"/>
  <c r="X322" i="8"/>
  <c r="P322" i="8"/>
  <c r="D322" i="8"/>
  <c r="L322" i="8"/>
  <c r="H322" i="8"/>
  <c r="E302" i="8"/>
  <c r="I302" i="8"/>
  <c r="M302" i="8"/>
  <c r="Q302" i="8"/>
  <c r="V302" i="8"/>
  <c r="L302" i="8"/>
  <c r="F302" i="8"/>
  <c r="J302" i="8"/>
  <c r="N302" i="8"/>
  <c r="R302" i="8"/>
  <c r="H302" i="8"/>
  <c r="Y302" i="8"/>
  <c r="W302" i="8"/>
  <c r="C302" i="8"/>
  <c r="G302" i="8"/>
  <c r="K302" i="8"/>
  <c r="O302" i="8"/>
  <c r="D302" i="8"/>
  <c r="T302" i="8"/>
  <c r="X302" i="8"/>
  <c r="P302" i="8"/>
  <c r="U302" i="8"/>
  <c r="E8" i="8"/>
  <c r="I8" i="8"/>
  <c r="M8" i="8"/>
  <c r="Q8" i="8"/>
  <c r="V8" i="8"/>
  <c r="F8" i="8"/>
  <c r="J8" i="8"/>
  <c r="N8" i="8"/>
  <c r="R8" i="8"/>
  <c r="W8" i="8"/>
  <c r="C8" i="8"/>
  <c r="G8" i="8"/>
  <c r="K8" i="8"/>
  <c r="O8" i="8"/>
  <c r="T8" i="8"/>
  <c r="X8" i="8"/>
  <c r="D8" i="8"/>
  <c r="H8" i="8"/>
  <c r="L8" i="8"/>
  <c r="P8" i="8"/>
  <c r="U8" i="8"/>
  <c r="Y8" i="8"/>
  <c r="T752" i="8"/>
  <c r="X752" i="8"/>
  <c r="C752" i="8"/>
  <c r="D752" i="8"/>
  <c r="H752" i="8"/>
  <c r="L752" i="8"/>
  <c r="P752" i="8"/>
  <c r="U752" i="8"/>
  <c r="Y752" i="8"/>
  <c r="K752" i="8"/>
  <c r="E752" i="8"/>
  <c r="I752" i="8"/>
  <c r="M752" i="8"/>
  <c r="Q752" i="8"/>
  <c r="G752" i="8"/>
  <c r="V752" i="8"/>
  <c r="F752" i="8"/>
  <c r="J752" i="8"/>
  <c r="N752" i="8"/>
  <c r="R752" i="8"/>
  <c r="O752" i="8"/>
  <c r="W752" i="8"/>
  <c r="S112" i="8"/>
  <c r="S103" i="8"/>
  <c r="S142" i="8"/>
  <c r="S134" i="8"/>
  <c r="S107" i="8"/>
  <c r="S138" i="8"/>
  <c r="S5" i="8"/>
  <c r="S750" i="8"/>
  <c r="S130" i="8"/>
  <c r="S140" i="8"/>
  <c r="S115" i="8"/>
  <c r="S121" i="8"/>
  <c r="S101" i="8"/>
  <c r="S132" i="8"/>
  <c r="S145" i="8"/>
  <c r="S351" i="8"/>
  <c r="S201" i="8"/>
  <c r="S109" i="8"/>
  <c r="S127" i="8"/>
  <c r="S136" i="8"/>
  <c r="S104" i="8"/>
  <c r="S118" i="8"/>
  <c r="S550" i="8"/>
  <c r="S116" i="8"/>
  <c r="S144" i="8"/>
  <c r="S114" i="8"/>
  <c r="S135" i="8"/>
  <c r="S125" i="8"/>
  <c r="S110" i="8"/>
  <c r="S749" i="8"/>
  <c r="S143" i="8"/>
  <c r="S751" i="8"/>
  <c r="S111" i="8"/>
  <c r="S106" i="8"/>
  <c r="S120" i="8"/>
  <c r="S113" i="8"/>
  <c r="S139" i="8"/>
  <c r="S7" i="8"/>
  <c r="S137" i="8"/>
  <c r="S123" i="8"/>
  <c r="S126" i="8"/>
  <c r="S105" i="8"/>
  <c r="S301" i="8"/>
  <c r="S4" i="8"/>
  <c r="S141" i="8"/>
  <c r="S124" i="8"/>
  <c r="S119" i="8"/>
  <c r="S122" i="8"/>
  <c r="S6" i="8"/>
  <c r="S117" i="8"/>
  <c r="S129" i="8"/>
  <c r="S131" i="8"/>
  <c r="S108" i="8"/>
  <c r="S102" i="8"/>
  <c r="S128" i="8"/>
  <c r="S133" i="8"/>
  <c r="T748" i="8"/>
  <c r="W27" i="5"/>
  <c r="B303" i="8"/>
  <c r="B353" i="8"/>
  <c r="S651" i="8"/>
  <c r="AN26" i="5"/>
  <c r="AM26" i="5"/>
  <c r="B9" i="8"/>
  <c r="S146" i="8"/>
  <c r="S147" i="8"/>
  <c r="S148" i="8"/>
  <c r="S149" i="8"/>
  <c r="S150" i="8"/>
  <c r="S151" i="8"/>
  <c r="S152" i="8"/>
  <c r="S153" i="8"/>
  <c r="S154" i="8"/>
  <c r="S155" i="8"/>
  <c r="S156" i="8"/>
  <c r="W25" i="5"/>
  <c r="R3" i="3"/>
  <c r="AM25" i="5"/>
  <c r="AN25" i="5"/>
  <c r="W19" i="5"/>
  <c r="AM24" i="5"/>
  <c r="AM23" i="5"/>
  <c r="AM19" i="5"/>
  <c r="AN24" i="5"/>
  <c r="AN23" i="5"/>
  <c r="AN19" i="5"/>
  <c r="W23" i="5"/>
  <c r="W24" i="5"/>
  <c r="W652" i="8"/>
  <c r="C652" i="8"/>
  <c r="F652" i="8"/>
  <c r="J652" i="8"/>
  <c r="R652" i="8"/>
  <c r="Q652" i="8"/>
  <c r="H652" i="8"/>
  <c r="M652" i="8"/>
  <c r="D652" i="8"/>
  <c r="I652" i="8"/>
  <c r="X652" i="8"/>
  <c r="E652" i="8"/>
  <c r="Y652" i="8"/>
  <c r="O652" i="8"/>
  <c r="U652" i="8"/>
  <c r="K652" i="8"/>
  <c r="L652" i="8"/>
  <c r="P652" i="8"/>
  <c r="G652" i="8"/>
  <c r="V652" i="8"/>
  <c r="B653" i="8"/>
  <c r="B553" i="8"/>
  <c r="B453" i="8"/>
  <c r="B754" i="8"/>
  <c r="B203" i="8"/>
  <c r="B323" i="8"/>
  <c r="W10" i="5"/>
  <c r="AM10" i="5"/>
  <c r="AN10" i="5"/>
  <c r="R9" i="3"/>
  <c r="AN38" i="5"/>
  <c r="AN21" i="5"/>
  <c r="R3" i="9"/>
  <c r="W21" i="5"/>
  <c r="W38" i="5"/>
  <c r="R12" i="9"/>
  <c r="AM21" i="5"/>
  <c r="AM38" i="5"/>
  <c r="AM35" i="5"/>
  <c r="AM18" i="5"/>
  <c r="AM33" i="5"/>
  <c r="AM22" i="5"/>
  <c r="AN35" i="5"/>
  <c r="W6" i="5"/>
  <c r="W35" i="5"/>
  <c r="AN7" i="5"/>
  <c r="AN20" i="5"/>
  <c r="AN14" i="5"/>
  <c r="AN33" i="5"/>
  <c r="W17" i="5"/>
  <c r="W18" i="5"/>
  <c r="W13" i="5"/>
  <c r="W22" i="5"/>
  <c r="W11" i="5"/>
  <c r="W32" i="5"/>
  <c r="W34" i="5"/>
  <c r="W16" i="5"/>
  <c r="W9" i="5"/>
  <c r="W28" i="5"/>
  <c r="W31" i="5"/>
  <c r="W8" i="5"/>
  <c r="W15" i="5"/>
  <c r="W7" i="5"/>
  <c r="W20" i="5"/>
  <c r="W14" i="5"/>
  <c r="W33" i="5"/>
  <c r="W30" i="5"/>
  <c r="W12" i="5"/>
  <c r="AM30" i="5"/>
  <c r="AM12" i="5"/>
  <c r="AM6" i="5"/>
  <c r="AM17" i="5"/>
  <c r="AM11" i="5"/>
  <c r="AM32" i="5"/>
  <c r="AM34" i="5"/>
  <c r="AM5" i="5"/>
  <c r="AM16" i="5"/>
  <c r="AM9" i="5"/>
  <c r="AM13" i="5"/>
  <c r="AM28" i="5"/>
  <c r="AM31" i="5"/>
  <c r="AM8" i="5"/>
  <c r="AM15" i="5"/>
  <c r="AM7" i="5"/>
  <c r="AM20" i="5"/>
  <c r="AM14" i="5"/>
  <c r="AN18" i="5"/>
  <c r="AN13" i="5"/>
  <c r="AN22" i="5"/>
  <c r="AN30" i="5"/>
  <c r="AN12" i="5"/>
  <c r="AN6" i="5"/>
  <c r="AN17" i="5"/>
  <c r="AN11" i="5"/>
  <c r="AN32" i="5"/>
  <c r="AN34" i="5"/>
  <c r="AN5" i="5"/>
  <c r="AN16" i="5"/>
  <c r="AN9" i="5"/>
  <c r="AN28" i="5"/>
  <c r="AN31" i="5"/>
  <c r="AN8" i="5"/>
  <c r="AN15" i="5"/>
  <c r="K553" i="8" a="1"/>
  <c r="U553" i="8" a="1"/>
  <c r="J9" i="8" a="1"/>
  <c r="E9" i="8" a="1"/>
  <c r="O653" i="8" a="1"/>
  <c r="R9" i="8" a="1"/>
  <c r="R353" i="8" a="1"/>
  <c r="K453" i="8" a="1"/>
  <c r="I353" i="8" a="1"/>
  <c r="P754" i="8" a="1"/>
  <c r="F754" i="8" a="1"/>
  <c r="T553" i="8" a="1"/>
  <c r="U323" i="8" a="1"/>
  <c r="I553" i="8" a="1"/>
  <c r="T353" i="8" a="1"/>
  <c r="O203" i="8" a="1"/>
  <c r="V754" i="8" a="1"/>
  <c r="T754" i="8" a="1"/>
  <c r="T303" i="8" a="1"/>
  <c r="L553" i="8" a="1"/>
  <c r="T203" i="8" a="1"/>
  <c r="R203" i="8" a="1"/>
  <c r="F353" i="8" a="1"/>
  <c r="G9" i="8" a="1"/>
  <c r="H323" i="8" a="1"/>
  <c r="O9" i="8" a="1"/>
  <c r="R323" i="8" a="1"/>
  <c r="X303" i="8" a="1"/>
  <c r="I323" i="8" a="1"/>
  <c r="F553" i="8" a="1"/>
  <c r="L353" i="8" a="1"/>
  <c r="T323" i="8" a="1"/>
  <c r="K754" i="8" a="1"/>
  <c r="M553" i="8" a="1"/>
  <c r="Y754" i="8" a="1"/>
  <c r="Q203" i="8" a="1"/>
  <c r="V553" i="8" a="1"/>
  <c r="M203" i="8" a="1"/>
  <c r="H653" i="8" a="1"/>
  <c r="L9" i="8" a="1"/>
  <c r="Y553" i="8" a="1"/>
  <c r="U9" i="8" a="1"/>
  <c r="J553" i="8" a="1"/>
  <c r="J323" i="8" a="1"/>
  <c r="G754" i="8" a="1"/>
  <c r="I9" i="8" a="1"/>
  <c r="W754" i="8" a="1"/>
  <c r="N9" i="8" a="1"/>
  <c r="N453" i="8" a="1"/>
  <c r="E303" i="8" a="1"/>
  <c r="Y453" i="8" a="1"/>
  <c r="Y353" i="8" a="1"/>
  <c r="H453" i="8" a="1"/>
  <c r="R453" i="8" a="1"/>
  <c r="X653" i="8" a="1"/>
  <c r="R754" i="8" a="1"/>
  <c r="R553" i="8" a="1"/>
  <c r="O323" i="8" a="1"/>
  <c r="E203" i="8" a="1"/>
  <c r="X323" i="8" a="1"/>
  <c r="Q653" i="8" a="1"/>
  <c r="K9" i="8" a="1"/>
  <c r="U754" i="8" a="1"/>
  <c r="D203" i="8" a="1"/>
  <c r="O453" i="8" a="1"/>
  <c r="F203" i="8" a="1"/>
  <c r="M353" i="8" a="1"/>
  <c r="C203" i="8" a="1"/>
  <c r="G653" i="8" a="1"/>
  <c r="O353" i="8" a="1"/>
  <c r="X9" i="8" a="1"/>
  <c r="X203" i="8" a="1"/>
  <c r="V453" i="8" a="1"/>
  <c r="K353" i="8" a="1"/>
  <c r="M754" i="8" a="1"/>
  <c r="N353" i="8" a="1"/>
  <c r="U203" i="8" a="1"/>
  <c r="C553" i="8" a="1"/>
  <c r="J353" i="8" a="1"/>
  <c r="E453" i="8" a="1"/>
  <c r="I203" i="8" a="1"/>
  <c r="H203" i="8" a="1"/>
  <c r="V353" i="8" a="1"/>
  <c r="D323" i="8" a="1"/>
  <c r="W203" i="8" a="1"/>
  <c r="W9" i="8" a="1"/>
  <c r="E353" i="8" a="1"/>
  <c r="L653" i="8" a="1"/>
  <c r="U353" i="8" a="1"/>
  <c r="P553" i="8" a="1"/>
  <c r="C303" i="8" a="1"/>
  <c r="E653" i="8" a="1"/>
  <c r="K653" i="8" a="1"/>
  <c r="V323" i="8" a="1"/>
  <c r="Y303" i="8" a="1"/>
  <c r="I453" i="8" a="1"/>
  <c r="P653" i="8" a="1"/>
  <c r="E323" i="8" a="1"/>
  <c r="N553" i="8" a="1"/>
  <c r="V9" i="8" a="1"/>
  <c r="L453" i="8" a="1"/>
  <c r="M653" i="8" a="1"/>
  <c r="C453" i="8" a="1"/>
  <c r="K323" i="8" a="1"/>
  <c r="P9" i="8" a="1"/>
  <c r="R653" i="8" a="1"/>
  <c r="M453" i="8" a="1"/>
  <c r="U303" i="8" a="1"/>
  <c r="X553" i="8" a="1"/>
  <c r="G323" i="8" a="1"/>
  <c r="T453" i="8" a="1"/>
  <c r="H353" i="8" a="1"/>
  <c r="L754" i="8" a="1"/>
  <c r="D653" i="8" a="1"/>
  <c r="U321" i="8" a="1"/>
  <c r="Q9" i="8" a="1"/>
  <c r="P353" i="8" a="1"/>
  <c r="U653" i="8" a="1"/>
  <c r="U453" i="8" a="1"/>
  <c r="E754" i="8" a="1"/>
  <c r="D453" i="8" a="1"/>
  <c r="H754" i="8" a="1"/>
  <c r="D303" i="8" a="1"/>
  <c r="Y653" i="8" a="1"/>
  <c r="V203" i="8" a="1"/>
  <c r="W353" i="8" a="1"/>
  <c r="I754" i="8" a="1"/>
  <c r="W323" i="8" a="1"/>
  <c r="C353" i="8" a="1"/>
  <c r="H9" i="8" a="1"/>
  <c r="Q353" i="8" a="1"/>
  <c r="N303" i="8" a="1"/>
  <c r="D9" i="8" a="1"/>
  <c r="R303" i="8" a="1"/>
  <c r="G453" i="8" a="1"/>
  <c r="Q323" i="8" a="1"/>
  <c r="F323" i="8" a="1"/>
  <c r="L203" i="8" a="1"/>
  <c r="I653" i="8" a="1"/>
  <c r="P303" i="8" a="1"/>
  <c r="H303" i="8" a="1"/>
  <c r="V303" i="8" a="1"/>
  <c r="F9" i="8" a="1"/>
  <c r="L323" i="8" a="1"/>
  <c r="N754" i="8" a="1"/>
  <c r="D754" i="8" a="1"/>
  <c r="G553" i="8" a="1"/>
  <c r="E553" i="8" a="1"/>
  <c r="C9" i="8" a="1"/>
  <c r="M323" i="8" a="1"/>
  <c r="L303" i="8" a="1"/>
  <c r="G353" i="8" a="1"/>
  <c r="K203" i="8" a="1"/>
  <c r="X754" i="8" a="1"/>
  <c r="C653" i="8" a="1"/>
  <c r="W653" i="8" a="1"/>
  <c r="M303" i="8" a="1"/>
  <c r="F303" i="8" a="1"/>
  <c r="O754" i="8" a="1"/>
  <c r="W303" i="8" a="1"/>
  <c r="P203" i="8" a="1"/>
  <c r="D553" i="8" a="1"/>
  <c r="Y203" i="8" a="1"/>
  <c r="V653" i="8" a="1"/>
  <c r="J754" i="8" a="1"/>
  <c r="J653" i="8" a="1"/>
  <c r="P323" i="8" a="1"/>
  <c r="I303" i="8" a="1"/>
  <c r="Y323" i="8" a="1"/>
  <c r="F453" i="8" a="1"/>
  <c r="K303" i="8" a="1"/>
  <c r="O553" i="8" a="1"/>
  <c r="J453" i="8" a="1"/>
  <c r="G303" i="8" a="1"/>
  <c r="Y9" i="8" a="1"/>
  <c r="Q453" i="8" a="1"/>
  <c r="J203" i="8" a="1"/>
  <c r="C323" i="8" a="1"/>
  <c r="H553" i="8" a="1"/>
  <c r="F653" i="8" a="1"/>
  <c r="X353" i="8" a="1"/>
  <c r="Q303" i="8" a="1"/>
  <c r="W453" i="8" a="1"/>
  <c r="O303" i="8" a="1"/>
  <c r="W553" i="8" a="1"/>
  <c r="J303" i="8" a="1"/>
  <c r="G203" i="8" a="1"/>
  <c r="M9" i="8" a="1"/>
  <c r="Q553" i="8" a="1"/>
  <c r="D353" i="8" a="1"/>
  <c r="C754" i="8" a="1"/>
  <c r="Q754" i="8" a="1"/>
  <c r="N203" i="8" a="1"/>
  <c r="P453" i="8" a="1"/>
  <c r="X453" i="8" a="1"/>
  <c r="T9" i="8" a="1"/>
  <c r="U321" i="8" l="1"/>
  <c r="S321" i="8" s="1"/>
  <c r="S452" i="8"/>
  <c r="S552" i="8"/>
  <c r="U553" i="8"/>
  <c r="Y553" i="8"/>
  <c r="E553" i="8"/>
  <c r="I553" i="8"/>
  <c r="M553" i="8"/>
  <c r="Q553" i="8"/>
  <c r="V553" i="8"/>
  <c r="F553" i="8"/>
  <c r="J553" i="8"/>
  <c r="N553" i="8"/>
  <c r="R553" i="8"/>
  <c r="P553" i="8"/>
  <c r="W553" i="8"/>
  <c r="L553" i="8"/>
  <c r="C553" i="8"/>
  <c r="G553" i="8"/>
  <c r="K553" i="8"/>
  <c r="O553" i="8"/>
  <c r="D553" i="8"/>
  <c r="T553" i="8"/>
  <c r="X553" i="8"/>
  <c r="H553" i="8"/>
  <c r="C653" i="8"/>
  <c r="G653" i="8"/>
  <c r="K653" i="8"/>
  <c r="O653" i="8"/>
  <c r="X653" i="8"/>
  <c r="D653" i="8"/>
  <c r="H653" i="8"/>
  <c r="L653" i="8"/>
  <c r="P653" i="8"/>
  <c r="U653" i="8"/>
  <c r="Y653" i="8"/>
  <c r="E653" i="8"/>
  <c r="I653" i="8"/>
  <c r="M653" i="8"/>
  <c r="Q653" i="8"/>
  <c r="V653" i="8"/>
  <c r="F653" i="8"/>
  <c r="J653" i="8"/>
  <c r="R653" i="8"/>
  <c r="W653" i="8"/>
  <c r="U453" i="8"/>
  <c r="Y453" i="8"/>
  <c r="E453" i="8"/>
  <c r="I453" i="8"/>
  <c r="M453" i="8"/>
  <c r="Q453" i="8"/>
  <c r="V453" i="8"/>
  <c r="F453" i="8"/>
  <c r="J453" i="8"/>
  <c r="N453" i="8"/>
  <c r="R453" i="8"/>
  <c r="W453" i="8"/>
  <c r="C453" i="8"/>
  <c r="G453" i="8"/>
  <c r="K453" i="8"/>
  <c r="O453" i="8"/>
  <c r="T453" i="8"/>
  <c r="X453" i="8"/>
  <c r="P453" i="8"/>
  <c r="D453" i="8"/>
  <c r="H453" i="8"/>
  <c r="L453" i="8"/>
  <c r="S202" i="8"/>
  <c r="S8" i="8"/>
  <c r="S352" i="8"/>
  <c r="S322" i="8"/>
  <c r="S302" i="8"/>
  <c r="S752" i="8"/>
  <c r="S753" i="8"/>
  <c r="F353" i="8"/>
  <c r="J353" i="8"/>
  <c r="N353" i="8"/>
  <c r="R353" i="8"/>
  <c r="W353" i="8"/>
  <c r="C353" i="8"/>
  <c r="G353" i="8"/>
  <c r="K353" i="8"/>
  <c r="O353" i="8"/>
  <c r="T353" i="8"/>
  <c r="X353" i="8"/>
  <c r="D353" i="8"/>
  <c r="H353" i="8"/>
  <c r="L353" i="8"/>
  <c r="P353" i="8"/>
  <c r="U353" i="8"/>
  <c r="Y353" i="8"/>
  <c r="E353" i="8"/>
  <c r="I353" i="8"/>
  <c r="M353" i="8"/>
  <c r="Q353" i="8"/>
  <c r="V353" i="8"/>
  <c r="W303" i="8"/>
  <c r="J303" i="8"/>
  <c r="C303" i="8"/>
  <c r="G303" i="8"/>
  <c r="K303" i="8"/>
  <c r="O303" i="8"/>
  <c r="N303" i="8"/>
  <c r="T303" i="8"/>
  <c r="X303" i="8"/>
  <c r="R303" i="8"/>
  <c r="D303" i="8"/>
  <c r="H303" i="8"/>
  <c r="L303" i="8"/>
  <c r="P303" i="8"/>
  <c r="V303" i="8"/>
  <c r="F303" i="8"/>
  <c r="U303" i="8"/>
  <c r="Y303" i="8"/>
  <c r="E303" i="8"/>
  <c r="I303" i="8"/>
  <c r="M303" i="8"/>
  <c r="Q303" i="8"/>
  <c r="F323" i="8"/>
  <c r="J323" i="8"/>
  <c r="R323" i="8"/>
  <c r="W323" i="8"/>
  <c r="C323" i="8"/>
  <c r="G323" i="8"/>
  <c r="K323" i="8"/>
  <c r="O323" i="8"/>
  <c r="T323" i="8"/>
  <c r="X323" i="8"/>
  <c r="D323" i="8"/>
  <c r="H323" i="8"/>
  <c r="L323" i="8"/>
  <c r="P323" i="8"/>
  <c r="U323" i="8"/>
  <c r="Y323" i="8"/>
  <c r="E323" i="8"/>
  <c r="I323" i="8"/>
  <c r="M323" i="8"/>
  <c r="Q323" i="8"/>
  <c r="V323" i="8"/>
  <c r="F203" i="8"/>
  <c r="J203" i="8"/>
  <c r="N203" i="8"/>
  <c r="R203" i="8"/>
  <c r="W203" i="8"/>
  <c r="C203" i="8"/>
  <c r="G203" i="8"/>
  <c r="K203" i="8"/>
  <c r="O203" i="8"/>
  <c r="T203" i="8"/>
  <c r="X203" i="8"/>
  <c r="D203" i="8"/>
  <c r="H203" i="8"/>
  <c r="L203" i="8"/>
  <c r="P203" i="8"/>
  <c r="U203" i="8"/>
  <c r="Y203" i="8"/>
  <c r="E203" i="8"/>
  <c r="I203" i="8"/>
  <c r="M203" i="8"/>
  <c r="Q203" i="8"/>
  <c r="V203" i="8"/>
  <c r="W754" i="8"/>
  <c r="R754" i="8"/>
  <c r="C754" i="8"/>
  <c r="G754" i="8"/>
  <c r="K754" i="8"/>
  <c r="O754" i="8"/>
  <c r="T754" i="8"/>
  <c r="X754" i="8"/>
  <c r="N754" i="8"/>
  <c r="D754" i="8"/>
  <c r="H754" i="8"/>
  <c r="L754" i="8"/>
  <c r="P754" i="8"/>
  <c r="J754" i="8"/>
  <c r="U754" i="8"/>
  <c r="Y754" i="8"/>
  <c r="E754" i="8"/>
  <c r="I754" i="8"/>
  <c r="M754" i="8"/>
  <c r="Q754" i="8"/>
  <c r="F754" i="8"/>
  <c r="V754" i="8"/>
  <c r="W9" i="8"/>
  <c r="C9" i="8"/>
  <c r="G9" i="8"/>
  <c r="K9" i="8"/>
  <c r="O9" i="8"/>
  <c r="T9" i="8"/>
  <c r="X9" i="8"/>
  <c r="D9" i="8"/>
  <c r="H9" i="8"/>
  <c r="L9" i="8"/>
  <c r="P9" i="8"/>
  <c r="U9" i="8"/>
  <c r="Y9" i="8"/>
  <c r="E9" i="8"/>
  <c r="I9" i="8"/>
  <c r="M9" i="8"/>
  <c r="Q9" i="8"/>
  <c r="V9" i="8"/>
  <c r="F9" i="8"/>
  <c r="N9" i="8"/>
  <c r="R9" i="8"/>
  <c r="J9" i="8"/>
  <c r="B354" i="8"/>
  <c r="B304" i="8"/>
  <c r="B305" i="8" s="1"/>
  <c r="AO26" i="5"/>
  <c r="B454" i="8"/>
  <c r="B10" i="8"/>
  <c r="AO25" i="5"/>
  <c r="AO23" i="5"/>
  <c r="AO24" i="5"/>
  <c r="AO19" i="5"/>
  <c r="B554" i="8"/>
  <c r="B654" i="8"/>
  <c r="B755" i="8"/>
  <c r="B324" i="8"/>
  <c r="B204" i="8"/>
  <c r="AO21" i="5"/>
  <c r="AO10" i="5"/>
  <c r="W5" i="5"/>
  <c r="AO38" i="5"/>
  <c r="N1" i="9"/>
  <c r="AO22" i="5"/>
  <c r="AO35" i="5"/>
  <c r="AO32" i="5"/>
  <c r="AO18" i="5"/>
  <c r="AO31" i="5"/>
  <c r="AO34" i="5"/>
  <c r="AO11" i="5"/>
  <c r="AO28" i="5"/>
  <c r="AO30" i="5"/>
  <c r="AO17" i="5"/>
  <c r="AO33" i="5"/>
  <c r="AO13" i="5"/>
  <c r="AO16" i="5"/>
  <c r="AO12" i="5"/>
  <c r="AO14" i="5"/>
  <c r="AO7" i="5"/>
  <c r="AO9" i="5"/>
  <c r="AO6" i="5"/>
  <c r="AO20" i="5"/>
  <c r="AO15" i="5"/>
  <c r="AO5" i="5"/>
  <c r="AO8" i="5"/>
  <c r="P10" i="8" a="1"/>
  <c r="R324" i="8" a="1"/>
  <c r="E324" i="8" a="1"/>
  <c r="P654" i="8" a="1"/>
  <c r="N755" i="8" a="1"/>
  <c r="O10" i="8" a="1"/>
  <c r="H755" i="8" a="1"/>
  <c r="P554" i="8" a="1"/>
  <c r="M554" i="8" a="1"/>
  <c r="V755" i="8" a="1"/>
  <c r="Q654" i="8" a="1"/>
  <c r="U755" i="8" a="1"/>
  <c r="U354" i="8" a="1"/>
  <c r="K10" i="8" a="1"/>
  <c r="N324" i="8" a="1"/>
  <c r="W454" i="8" a="1"/>
  <c r="V654" i="8" a="1"/>
  <c r="O305" i="8" a="1"/>
  <c r="K554" i="8" a="1"/>
  <c r="D454" i="8" a="1"/>
  <c r="P204" i="8" a="1"/>
  <c r="O324" i="8" a="1"/>
  <c r="D654" i="8" a="1"/>
  <c r="Y454" i="8" a="1"/>
  <c r="C755" i="8" a="1"/>
  <c r="J324" i="8" a="1"/>
  <c r="W554" i="8" a="1"/>
  <c r="N454" i="8" a="1"/>
  <c r="F454" i="8" a="1"/>
  <c r="M204" i="8" a="1"/>
  <c r="O654" i="8" a="1"/>
  <c r="C654" i="8" a="1"/>
  <c r="K654" i="8" a="1"/>
  <c r="R454" i="8" a="1"/>
  <c r="O354" i="8" a="1"/>
  <c r="K304" i="8" a="1"/>
  <c r="P324" i="8" a="1"/>
  <c r="Q554" i="8" a="1"/>
  <c r="Y324" i="8" a="1"/>
  <c r="L305" i="8" a="1"/>
  <c r="X654" i="8" a="1"/>
  <c r="R10" i="8" a="1"/>
  <c r="T454" i="8" a="1"/>
  <c r="D755" i="8" a="1"/>
  <c r="K755" i="8" a="1"/>
  <c r="Y354" i="8" a="1"/>
  <c r="N554" i="8" a="1"/>
  <c r="L755" i="8" a="1"/>
  <c r="Q755" i="8" a="1"/>
  <c r="E554" i="8" a="1"/>
  <c r="G324" i="8" a="1"/>
  <c r="G305" i="8" a="1"/>
  <c r="H10" i="8" a="1"/>
  <c r="T324" i="8" a="1"/>
  <c r="H324" i="8" a="1"/>
  <c r="H305" i="8" a="1"/>
  <c r="E204" i="8" a="1"/>
  <c r="U10" i="8" a="1"/>
  <c r="W654" i="8" a="1"/>
  <c r="M354" i="8" a="1"/>
  <c r="P304" i="8" a="1"/>
  <c r="V554" i="8" a="1"/>
  <c r="G354" i="8" a="1"/>
  <c r="T204" i="8" a="1"/>
  <c r="I324" i="8" a="1"/>
  <c r="O755" i="8" a="1"/>
  <c r="C10" i="8" a="1"/>
  <c r="J305" i="8" a="1"/>
  <c r="O204" i="8" a="1"/>
  <c r="J204" i="8" a="1"/>
  <c r="Q304" i="8" a="1"/>
  <c r="D554" i="8" a="1"/>
  <c r="X204" i="8" a="1"/>
  <c r="F305" i="8" a="1"/>
  <c r="V324" i="8" a="1"/>
  <c r="D204" i="8" a="1"/>
  <c r="Q324" i="8" a="1"/>
  <c r="Y204" i="8" a="1"/>
  <c r="R654" i="8" a="1"/>
  <c r="U654" i="8" a="1"/>
  <c r="L354" i="8" a="1"/>
  <c r="M305" i="8" a="1"/>
  <c r="W305" i="8" a="1"/>
  <c r="H554" i="8" a="1"/>
  <c r="L654" i="8" a="1"/>
  <c r="C354" i="8" a="1"/>
  <c r="I204" i="8" a="1"/>
  <c r="H204" i="8" a="1"/>
  <c r="V204" i="8" a="1"/>
  <c r="T354" i="8" a="1"/>
  <c r="D354" i="8" a="1"/>
  <c r="U305" i="8" a="1"/>
  <c r="T10" i="8" a="1"/>
  <c r="V304" i="8" a="1"/>
  <c r="U324" i="8" a="1"/>
  <c r="Q305" i="8" a="1"/>
  <c r="H304" i="8" a="1"/>
  <c r="H354" i="8" a="1"/>
  <c r="X554" i="8" a="1"/>
  <c r="D305" i="8" a="1"/>
  <c r="C554" i="8" a="1"/>
  <c r="W204" i="8" a="1"/>
  <c r="M454" i="8" a="1"/>
  <c r="O304" i="8" a="1"/>
  <c r="I305" i="8" a="1"/>
  <c r="W755" i="8" a="1"/>
  <c r="Y654" i="8" a="1"/>
  <c r="X755" i="8" a="1"/>
  <c r="Y755" i="8" a="1"/>
  <c r="T304" i="8" a="1"/>
  <c r="R304" i="8" a="1"/>
  <c r="G10" i="8" a="1"/>
  <c r="X305" i="8" a="1"/>
  <c r="O454" i="8" a="1"/>
  <c r="G454" i="8" a="1"/>
  <c r="F554" i="8" a="1"/>
  <c r="F204" i="8" a="1"/>
  <c r="W324" i="8" a="1"/>
  <c r="F10" i="8" a="1"/>
  <c r="W354" i="8" a="1"/>
  <c r="E10" i="8" a="1"/>
  <c r="N10" i="8" a="1"/>
  <c r="J10" i="8" a="1"/>
  <c r="V305" i="8" a="1"/>
  <c r="Q204" i="8" a="1"/>
  <c r="I10" i="8" a="1"/>
  <c r="F654" i="8" a="1"/>
  <c r="R755" i="8" a="1"/>
  <c r="K454" i="8" a="1"/>
  <c r="N354" i="8" a="1"/>
  <c r="H454" i="8" a="1"/>
  <c r="I354" i="8" a="1"/>
  <c r="U554" i="8" a="1"/>
  <c r="E354" i="8" a="1"/>
  <c r="Y10" i="8" a="1"/>
  <c r="W304" i="8" a="1"/>
  <c r="K204" i="8" a="1"/>
  <c r="W10" i="8" a="1"/>
  <c r="J755" i="8" a="1"/>
  <c r="X10" i="8" a="1"/>
  <c r="U204" i="8" a="1"/>
  <c r="J454" i="8" a="1"/>
  <c r="X454" i="8" a="1"/>
  <c r="U454" i="8" a="1"/>
  <c r="L554" i="8" a="1"/>
  <c r="E654" i="8" a="1"/>
  <c r="Y554" i="8" a="1"/>
  <c r="O554" i="8" a="1"/>
  <c r="E305" i="8" a="1"/>
  <c r="I304" i="8" a="1"/>
  <c r="G554" i="8" a="1"/>
  <c r="E454" i="8" a="1"/>
  <c r="P305" i="8" a="1"/>
  <c r="C304" i="8" a="1"/>
  <c r="V10" i="8" a="1"/>
  <c r="D324" i="8" a="1"/>
  <c r="M10" i="8" a="1"/>
  <c r="V454" i="8" a="1"/>
  <c r="Q354" i="8" a="1"/>
  <c r="F324" i="8" a="1"/>
  <c r="N204" i="8" a="1"/>
  <c r="N305" i="8" a="1"/>
  <c r="F755" i="8" a="1"/>
  <c r="M324" i="8" a="1"/>
  <c r="V354" i="8" a="1"/>
  <c r="K354" i="8" a="1"/>
  <c r="E304" i="8" a="1"/>
  <c r="R354" i="8" a="1"/>
  <c r="G204" i="8" a="1"/>
  <c r="L10" i="8" a="1"/>
  <c r="P755" i="8" a="1"/>
  <c r="C324" i="8" a="1"/>
  <c r="L304" i="8" a="1"/>
  <c r="Q454" i="8" a="1"/>
  <c r="M304" i="8" a="1"/>
  <c r="J354" i="8" a="1"/>
  <c r="P354" i="8" a="1"/>
  <c r="M654" i="8" a="1"/>
  <c r="I755" i="8" a="1"/>
  <c r="U304" i="8" a="1"/>
  <c r="M755" i="8" a="1"/>
  <c r="L324" i="8" a="1"/>
  <c r="X354" i="8" a="1"/>
  <c r="H654" i="8" a="1"/>
  <c r="C305" i="8" a="1"/>
  <c r="G304" i="8" a="1"/>
  <c r="P454" i="8" a="1"/>
  <c r="D10" i="8" a="1"/>
  <c r="C454" i="8" a="1"/>
  <c r="Q10" i="8" a="1"/>
  <c r="F304" i="8" a="1"/>
  <c r="D304" i="8" a="1"/>
  <c r="J654" i="8" a="1"/>
  <c r="I454" i="8" a="1"/>
  <c r="J304" i="8" a="1"/>
  <c r="X324" i="8" a="1"/>
  <c r="R204" i="8" a="1"/>
  <c r="F354" i="8" a="1"/>
  <c r="E755" i="8" a="1"/>
  <c r="J554" i="8" a="1"/>
  <c r="I554" i="8" a="1"/>
  <c r="R305" i="8" a="1"/>
  <c r="K324" i="8" a="1"/>
  <c r="C204" i="8" a="1"/>
  <c r="G654" i="8" a="1"/>
  <c r="X304" i="8" a="1"/>
  <c r="I654" i="8" a="1"/>
  <c r="L454" i="8" a="1"/>
  <c r="T755" i="8" a="1"/>
  <c r="Y304" i="8" a="1"/>
  <c r="R554" i="8" a="1"/>
  <c r="T554" i="8" a="1"/>
  <c r="T305" i="8" a="1"/>
  <c r="L204" i="8" a="1"/>
  <c r="G755" i="8" a="1"/>
  <c r="Y305" i="8" a="1"/>
  <c r="K305" i="8" a="1"/>
  <c r="S553" i="8" l="1"/>
  <c r="F554" i="8"/>
  <c r="J554" i="8"/>
  <c r="N554" i="8"/>
  <c r="R554" i="8"/>
  <c r="W554" i="8"/>
  <c r="C554" i="8"/>
  <c r="G554" i="8"/>
  <c r="K554" i="8"/>
  <c r="O554" i="8"/>
  <c r="T554" i="8"/>
  <c r="X554" i="8"/>
  <c r="D554" i="8"/>
  <c r="H554" i="8"/>
  <c r="L554" i="8"/>
  <c r="P554" i="8"/>
  <c r="U554" i="8"/>
  <c r="Y554" i="8"/>
  <c r="V554" i="8"/>
  <c r="E554" i="8"/>
  <c r="I554" i="8"/>
  <c r="M554" i="8"/>
  <c r="Q554" i="8"/>
  <c r="F454" i="8"/>
  <c r="J454" i="8"/>
  <c r="N454" i="8"/>
  <c r="R454" i="8"/>
  <c r="W454" i="8"/>
  <c r="C454" i="8"/>
  <c r="G454" i="8"/>
  <c r="K454" i="8"/>
  <c r="O454" i="8"/>
  <c r="T454" i="8"/>
  <c r="X454" i="8"/>
  <c r="D454" i="8"/>
  <c r="H454" i="8"/>
  <c r="L454" i="8"/>
  <c r="P454" i="8"/>
  <c r="U454" i="8"/>
  <c r="Y454" i="8"/>
  <c r="E454" i="8"/>
  <c r="I454" i="8"/>
  <c r="M454" i="8"/>
  <c r="Q454" i="8"/>
  <c r="V454" i="8"/>
  <c r="U654" i="8"/>
  <c r="Y654" i="8"/>
  <c r="E654" i="8"/>
  <c r="I654" i="8"/>
  <c r="M654" i="8"/>
  <c r="Q654" i="8"/>
  <c r="V654" i="8"/>
  <c r="F654" i="8"/>
  <c r="J654" i="8"/>
  <c r="R654" i="8"/>
  <c r="W654" i="8"/>
  <c r="C654" i="8"/>
  <c r="G654" i="8"/>
  <c r="K654" i="8"/>
  <c r="O654" i="8"/>
  <c r="X654" i="8"/>
  <c r="P654" i="8"/>
  <c r="D654" i="8"/>
  <c r="H654" i="8"/>
  <c r="L654" i="8"/>
  <c r="S453" i="8"/>
  <c r="S323" i="8"/>
  <c r="S303" i="8"/>
  <c r="S9" i="8"/>
  <c r="S203" i="8"/>
  <c r="S353" i="8"/>
  <c r="V305" i="8"/>
  <c r="Q305" i="8"/>
  <c r="F305" i="8"/>
  <c r="J305" i="8"/>
  <c r="N305" i="8"/>
  <c r="R305" i="8"/>
  <c r="E305" i="8"/>
  <c r="W305" i="8"/>
  <c r="U305" i="8"/>
  <c r="M305" i="8"/>
  <c r="C305" i="8"/>
  <c r="G305" i="8"/>
  <c r="K305" i="8"/>
  <c r="O305" i="8"/>
  <c r="I305" i="8"/>
  <c r="T305" i="8"/>
  <c r="X305" i="8"/>
  <c r="Y305" i="8"/>
  <c r="D305" i="8"/>
  <c r="H305" i="8"/>
  <c r="L305" i="8"/>
  <c r="P305" i="8"/>
  <c r="D755" i="8"/>
  <c r="H755" i="8"/>
  <c r="L755" i="8"/>
  <c r="P755" i="8"/>
  <c r="U755" i="8"/>
  <c r="Y755" i="8"/>
  <c r="E755" i="8"/>
  <c r="I755" i="8"/>
  <c r="M755" i="8"/>
  <c r="Q755" i="8"/>
  <c r="V755" i="8"/>
  <c r="T755" i="8"/>
  <c r="F755" i="8"/>
  <c r="J755" i="8"/>
  <c r="N755" i="8"/>
  <c r="R755" i="8"/>
  <c r="W755" i="8"/>
  <c r="X755" i="8"/>
  <c r="C755" i="8"/>
  <c r="G755" i="8"/>
  <c r="K755" i="8"/>
  <c r="O755" i="8"/>
  <c r="T354" i="8"/>
  <c r="X354" i="8"/>
  <c r="D354" i="8"/>
  <c r="H354" i="8"/>
  <c r="L354" i="8"/>
  <c r="P354" i="8"/>
  <c r="U354" i="8"/>
  <c r="Y354" i="8"/>
  <c r="E354" i="8"/>
  <c r="I354" i="8"/>
  <c r="M354" i="8"/>
  <c r="Q354" i="8"/>
  <c r="V354" i="8"/>
  <c r="F354" i="8"/>
  <c r="J354" i="8"/>
  <c r="N354" i="8"/>
  <c r="R354" i="8"/>
  <c r="W354" i="8"/>
  <c r="C354" i="8"/>
  <c r="G354" i="8"/>
  <c r="K354" i="8"/>
  <c r="O354" i="8"/>
  <c r="D304" i="8"/>
  <c r="H304" i="8"/>
  <c r="L304" i="8"/>
  <c r="P304" i="8"/>
  <c r="C304" i="8"/>
  <c r="T304" i="8"/>
  <c r="U304" i="8"/>
  <c r="Y304" i="8"/>
  <c r="E304" i="8"/>
  <c r="I304" i="8"/>
  <c r="M304" i="8"/>
  <c r="Q304" i="8"/>
  <c r="G304" i="8"/>
  <c r="V304" i="8"/>
  <c r="F304" i="8"/>
  <c r="J304" i="8"/>
  <c r="R304" i="8"/>
  <c r="O304" i="8"/>
  <c r="W304" i="8"/>
  <c r="K304" i="8"/>
  <c r="X304" i="8"/>
  <c r="T204" i="8"/>
  <c r="X204" i="8"/>
  <c r="D204" i="8"/>
  <c r="H204" i="8"/>
  <c r="L204" i="8"/>
  <c r="P204" i="8"/>
  <c r="U204" i="8"/>
  <c r="Y204" i="8"/>
  <c r="E204" i="8"/>
  <c r="I204" i="8"/>
  <c r="M204" i="8"/>
  <c r="Q204" i="8"/>
  <c r="V204" i="8"/>
  <c r="F204" i="8"/>
  <c r="J204" i="8"/>
  <c r="N204" i="8"/>
  <c r="R204" i="8"/>
  <c r="W204" i="8"/>
  <c r="C204" i="8"/>
  <c r="G204" i="8"/>
  <c r="K204" i="8"/>
  <c r="O204" i="8"/>
  <c r="T324" i="8"/>
  <c r="X324" i="8"/>
  <c r="D324" i="8"/>
  <c r="H324" i="8"/>
  <c r="L324" i="8"/>
  <c r="P324" i="8"/>
  <c r="U324" i="8"/>
  <c r="Y324" i="8"/>
  <c r="E324" i="8"/>
  <c r="I324" i="8"/>
  <c r="M324" i="8"/>
  <c r="Q324" i="8"/>
  <c r="V324" i="8"/>
  <c r="F324" i="8"/>
  <c r="J324" i="8"/>
  <c r="N324" i="8"/>
  <c r="R324" i="8"/>
  <c r="W324" i="8"/>
  <c r="C324" i="8"/>
  <c r="G324" i="8"/>
  <c r="K324" i="8"/>
  <c r="O324" i="8"/>
  <c r="D10" i="8"/>
  <c r="H10" i="8"/>
  <c r="L10" i="8"/>
  <c r="P10" i="8"/>
  <c r="U10" i="8"/>
  <c r="Y10" i="8"/>
  <c r="E10" i="8"/>
  <c r="I10" i="8"/>
  <c r="M10" i="8"/>
  <c r="Q10" i="8"/>
  <c r="V10" i="8"/>
  <c r="F10" i="8"/>
  <c r="J10" i="8"/>
  <c r="N10" i="8"/>
  <c r="R10" i="8"/>
  <c r="W10" i="8"/>
  <c r="C10" i="8"/>
  <c r="G10" i="8"/>
  <c r="K10" i="8"/>
  <c r="O10" i="8"/>
  <c r="X10" i="8"/>
  <c r="T10" i="8"/>
  <c r="S754" i="8"/>
  <c r="B355" i="8"/>
  <c r="B455" i="8"/>
  <c r="B11" i="8"/>
  <c r="B555" i="8"/>
  <c r="B655" i="8"/>
  <c r="B756" i="8"/>
  <c r="B205" i="8"/>
  <c r="B325" i="8"/>
  <c r="B306" i="8"/>
  <c r="W11" i="8" a="1"/>
  <c r="I455" i="8" a="1"/>
  <c r="T455" i="8" a="1"/>
  <c r="F325" i="8" a="1"/>
  <c r="G756" i="8" a="1"/>
  <c r="D355" i="8" a="1"/>
  <c r="U555" i="8" a="1"/>
  <c r="D306" i="8" a="1"/>
  <c r="W655" i="8" a="1"/>
  <c r="L756" i="8" a="1"/>
  <c r="Q756" i="8" a="1"/>
  <c r="Q11" i="8" a="1"/>
  <c r="K756" i="8" a="1"/>
  <c r="O655" i="8" a="1"/>
  <c r="Y205" i="8" a="1"/>
  <c r="M306" i="8" a="1"/>
  <c r="N205" i="8" a="1"/>
  <c r="H205" i="8" a="1"/>
  <c r="Y655" i="8" a="1"/>
  <c r="I756" i="8" a="1"/>
  <c r="L205" i="8" a="1"/>
  <c r="X325" i="8" a="1"/>
  <c r="C325" i="8" a="1"/>
  <c r="G306" i="8" a="1"/>
  <c r="H756" i="8" a="1"/>
  <c r="K655" i="8" a="1"/>
  <c r="Q555" i="8" a="1"/>
  <c r="P655" i="8" a="1"/>
  <c r="H555" i="8" a="1"/>
  <c r="W756" i="8" a="1"/>
  <c r="F555" i="8" a="1"/>
  <c r="F455" i="8" a="1"/>
  <c r="K555" i="8" a="1"/>
  <c r="T555" i="8" a="1"/>
  <c r="E756" i="8" a="1"/>
  <c r="X655" i="8" a="1"/>
  <c r="H11" i="8" a="1"/>
  <c r="P205" i="8" a="1"/>
  <c r="M655" i="8" a="1"/>
  <c r="Y756" i="8" a="1"/>
  <c r="V205" i="8" a="1"/>
  <c r="T756" i="8" a="1"/>
  <c r="R355" i="8" a="1"/>
  <c r="Y11" i="8" a="1"/>
  <c r="L325" i="8" a="1"/>
  <c r="N306" i="8" a="1"/>
  <c r="K325" i="8" a="1"/>
  <c r="H325" i="8" a="1"/>
  <c r="D655" i="8" a="1"/>
  <c r="U325" i="8" a="1"/>
  <c r="Q655" i="8" a="1"/>
  <c r="T205" i="8" a="1"/>
  <c r="V756" i="8" a="1"/>
  <c r="P325" i="8" a="1"/>
  <c r="I205" i="8" a="1"/>
  <c r="I655" i="8" a="1"/>
  <c r="O325" i="8" a="1"/>
  <c r="M355" i="8" a="1"/>
  <c r="F11" i="8" a="1"/>
  <c r="R306" i="8" a="1"/>
  <c r="G355" i="8" a="1"/>
  <c r="M555" i="8" a="1"/>
  <c r="G455" i="8" a="1"/>
  <c r="C455" i="8" a="1"/>
  <c r="H455" i="8" a="1"/>
  <c r="M325" i="8" a="1"/>
  <c r="K205" i="8" a="1"/>
  <c r="J756" i="8" a="1"/>
  <c r="O205" i="8" a="1"/>
  <c r="G655" i="8" a="1"/>
  <c r="R655" i="8" a="1"/>
  <c r="C11" i="8" a="1"/>
  <c r="N756" i="8" a="1"/>
  <c r="D455" i="8" a="1"/>
  <c r="D205" i="8" a="1"/>
  <c r="P355" i="8" a="1"/>
  <c r="K306" i="8" a="1"/>
  <c r="O756" i="8" a="1"/>
  <c r="M205" i="8" a="1"/>
  <c r="X205" i="8" a="1"/>
  <c r="K355" i="8" a="1"/>
  <c r="G11" i="8" a="1"/>
  <c r="I306" i="8" a="1"/>
  <c r="C355" i="8" a="1"/>
  <c r="E455" i="8" a="1"/>
  <c r="M455" i="8" a="1"/>
  <c r="E205" i="8" a="1"/>
  <c r="N11" i="8" a="1"/>
  <c r="N355" i="8" a="1"/>
  <c r="U455" i="8" a="1"/>
  <c r="D555" i="8" a="1"/>
  <c r="U655" i="8" a="1"/>
  <c r="J325" i="8" a="1"/>
  <c r="L555" i="8" a="1"/>
  <c r="R11" i="8" a="1"/>
  <c r="N555" i="8" a="1"/>
  <c r="M756" i="8" a="1"/>
  <c r="W325" i="8" a="1"/>
  <c r="I555" i="8" a="1"/>
  <c r="Y355" i="8" a="1"/>
  <c r="V455" i="8" a="1"/>
  <c r="T11" i="8" a="1"/>
  <c r="W205" i="8" a="1"/>
  <c r="R325" i="8" a="1"/>
  <c r="Q325" i="8" a="1"/>
  <c r="U355" i="8" a="1"/>
  <c r="C555" i="8" a="1"/>
  <c r="W355" i="8" a="1"/>
  <c r="L455" i="8" a="1"/>
  <c r="V11" i="8" a="1"/>
  <c r="G205" i="8" a="1"/>
  <c r="V355" i="8" a="1"/>
  <c r="X555" i="8" a="1"/>
  <c r="Q355" i="8" a="1"/>
  <c r="W455" i="8" a="1"/>
  <c r="H655" i="8" a="1"/>
  <c r="Y325" i="8" a="1"/>
  <c r="J205" i="8" a="1"/>
  <c r="J455" i="8" a="1"/>
  <c r="I355" i="8" a="1"/>
  <c r="T355" i="8" a="1"/>
  <c r="P306" i="8" a="1"/>
  <c r="V655" i="8" a="1"/>
  <c r="U756" i="8" a="1"/>
  <c r="X455" i="8" a="1"/>
  <c r="H306" i="8" a="1"/>
  <c r="E355" i="8" a="1"/>
  <c r="K11" i="8" a="1"/>
  <c r="O355" i="8" a="1"/>
  <c r="Q205" i="8" a="1"/>
  <c r="J555" i="8" a="1"/>
  <c r="X355" i="8" a="1"/>
  <c r="R555" i="8" a="1"/>
  <c r="P11" i="8" a="1"/>
  <c r="R455" i="8" a="1"/>
  <c r="P455" i="8" a="1"/>
  <c r="M11" i="8" a="1"/>
  <c r="U11" i="8" a="1"/>
  <c r="C306" i="8" a="1"/>
  <c r="C756" i="8" a="1"/>
  <c r="G325" i="8" a="1"/>
  <c r="Q455" i="8" a="1"/>
  <c r="E655" i="8" a="1"/>
  <c r="W555" i="8" a="1"/>
  <c r="X11" i="8" a="1"/>
  <c r="O455" i="8" a="1"/>
  <c r="U205" i="8" a="1"/>
  <c r="Q306" i="8" a="1"/>
  <c r="J655" i="8" a="1"/>
  <c r="O11" i="8" a="1"/>
  <c r="P756" i="8" a="1"/>
  <c r="E11" i="8" a="1"/>
  <c r="E555" i="8" a="1"/>
  <c r="R205" i="8" a="1"/>
  <c r="X756" i="8" a="1"/>
  <c r="L11" i="8" a="1"/>
  <c r="I325" i="8" a="1"/>
  <c r="F655" i="8" a="1"/>
  <c r="D325" i="8" a="1"/>
  <c r="C205" i="8" a="1"/>
  <c r="J11" i="8" a="1"/>
  <c r="D756" i="8" a="1"/>
  <c r="L355" i="8" a="1"/>
  <c r="F205" i="8" a="1"/>
  <c r="R756" i="8" a="1"/>
  <c r="L306" i="8" a="1"/>
  <c r="K455" i="8" a="1"/>
  <c r="N455" i="8" a="1"/>
  <c r="J355" i="8" a="1"/>
  <c r="O306" i="8" a="1"/>
  <c r="V325" i="8" a="1"/>
  <c r="L655" i="8" a="1"/>
  <c r="V555" i="8" a="1"/>
  <c r="F756" i="8" a="1"/>
  <c r="F306" i="8" a="1"/>
  <c r="C655" i="8" a="1"/>
  <c r="J306" i="8" a="1"/>
  <c r="P555" i="8" a="1"/>
  <c r="G555" i="8" a="1"/>
  <c r="O555" i="8" a="1"/>
  <c r="T325" i="8" a="1"/>
  <c r="Y455" i="8" a="1"/>
  <c r="E306" i="8" a="1"/>
  <c r="E325" i="8" a="1"/>
  <c r="H355" i="8" a="1"/>
  <c r="Y555" i="8" a="1"/>
  <c r="D11" i="8" a="1"/>
  <c r="F355" i="8" a="1"/>
  <c r="I11" i="8" a="1"/>
  <c r="T455" i="8" l="1"/>
  <c r="X455" i="8"/>
  <c r="D455" i="8"/>
  <c r="H455" i="8"/>
  <c r="L455" i="8"/>
  <c r="P455" i="8"/>
  <c r="U455" i="8"/>
  <c r="Y455" i="8"/>
  <c r="E455" i="8"/>
  <c r="I455" i="8"/>
  <c r="M455" i="8"/>
  <c r="Q455" i="8"/>
  <c r="V455" i="8"/>
  <c r="F455" i="8"/>
  <c r="J455" i="8"/>
  <c r="N455" i="8"/>
  <c r="R455" i="8"/>
  <c r="W455" i="8"/>
  <c r="C455" i="8"/>
  <c r="G455" i="8"/>
  <c r="K455" i="8"/>
  <c r="O455" i="8"/>
  <c r="T555" i="8"/>
  <c r="X555" i="8"/>
  <c r="D555" i="8"/>
  <c r="H555" i="8"/>
  <c r="L555" i="8"/>
  <c r="P555" i="8"/>
  <c r="U555" i="8"/>
  <c r="Y555" i="8"/>
  <c r="E555" i="8"/>
  <c r="I555" i="8"/>
  <c r="M555" i="8"/>
  <c r="Q555" i="8"/>
  <c r="K555" i="8"/>
  <c r="V555" i="8"/>
  <c r="C555" i="8"/>
  <c r="F555" i="8"/>
  <c r="J555" i="8"/>
  <c r="N555" i="8"/>
  <c r="R555" i="8"/>
  <c r="O555" i="8"/>
  <c r="W555" i="8"/>
  <c r="G555" i="8"/>
  <c r="F655" i="8"/>
  <c r="J655" i="8"/>
  <c r="R655" i="8"/>
  <c r="W655" i="8"/>
  <c r="C655" i="8"/>
  <c r="G655" i="8"/>
  <c r="K655" i="8"/>
  <c r="O655" i="8"/>
  <c r="X655" i="8"/>
  <c r="D655" i="8"/>
  <c r="H655" i="8"/>
  <c r="L655" i="8"/>
  <c r="P655" i="8"/>
  <c r="U655" i="8"/>
  <c r="Y655" i="8"/>
  <c r="E655" i="8"/>
  <c r="I655" i="8"/>
  <c r="M655" i="8"/>
  <c r="Q655" i="8"/>
  <c r="V655" i="8"/>
  <c r="S454" i="8"/>
  <c r="S554" i="8"/>
  <c r="S304" i="8"/>
  <c r="S755" i="8"/>
  <c r="S10" i="8"/>
  <c r="E355" i="8"/>
  <c r="I355" i="8"/>
  <c r="M355" i="8"/>
  <c r="Q355" i="8"/>
  <c r="V355" i="8"/>
  <c r="F355" i="8"/>
  <c r="J355" i="8"/>
  <c r="N355" i="8"/>
  <c r="R355" i="8"/>
  <c r="W355" i="8"/>
  <c r="C355" i="8"/>
  <c r="G355" i="8"/>
  <c r="K355" i="8"/>
  <c r="O355" i="8"/>
  <c r="T355" i="8"/>
  <c r="X355" i="8"/>
  <c r="D355" i="8"/>
  <c r="H355" i="8"/>
  <c r="L355" i="8"/>
  <c r="P355" i="8"/>
  <c r="U355" i="8"/>
  <c r="Y355" i="8"/>
  <c r="E325" i="8"/>
  <c r="I325" i="8"/>
  <c r="M325" i="8"/>
  <c r="Q325" i="8"/>
  <c r="V325" i="8"/>
  <c r="F325" i="8"/>
  <c r="J325" i="8"/>
  <c r="R325" i="8"/>
  <c r="W325" i="8"/>
  <c r="C325" i="8"/>
  <c r="G325" i="8"/>
  <c r="K325" i="8"/>
  <c r="O325" i="8"/>
  <c r="T325" i="8"/>
  <c r="X325" i="8"/>
  <c r="D325" i="8"/>
  <c r="H325" i="8"/>
  <c r="L325" i="8"/>
  <c r="P325" i="8"/>
  <c r="U325" i="8"/>
  <c r="Y325" i="8"/>
  <c r="V756" i="8"/>
  <c r="I756" i="8"/>
  <c r="F756" i="8"/>
  <c r="J756" i="8"/>
  <c r="N756" i="8"/>
  <c r="R756" i="8"/>
  <c r="W756" i="8"/>
  <c r="M756" i="8"/>
  <c r="C756" i="8"/>
  <c r="G756" i="8"/>
  <c r="K756" i="8"/>
  <c r="O756" i="8"/>
  <c r="T756" i="8"/>
  <c r="X756" i="8"/>
  <c r="E756" i="8"/>
  <c r="D756" i="8"/>
  <c r="H756" i="8"/>
  <c r="L756" i="8"/>
  <c r="P756" i="8"/>
  <c r="U756" i="8"/>
  <c r="Y756" i="8"/>
  <c r="Q756" i="8"/>
  <c r="V11" i="8"/>
  <c r="F11" i="8"/>
  <c r="J11" i="8"/>
  <c r="N11" i="8"/>
  <c r="R11" i="8"/>
  <c r="W11" i="8"/>
  <c r="C11" i="8"/>
  <c r="G11" i="8"/>
  <c r="K11" i="8"/>
  <c r="O11" i="8"/>
  <c r="T11" i="8"/>
  <c r="X11" i="8"/>
  <c r="D11" i="8"/>
  <c r="H11" i="8"/>
  <c r="L11" i="8"/>
  <c r="P11" i="8"/>
  <c r="U11" i="8"/>
  <c r="Y11" i="8"/>
  <c r="I11" i="8"/>
  <c r="M11" i="8"/>
  <c r="Q11" i="8"/>
  <c r="E11" i="8"/>
  <c r="E205" i="8"/>
  <c r="I205" i="8"/>
  <c r="M205" i="8"/>
  <c r="Q205" i="8"/>
  <c r="V205" i="8"/>
  <c r="F205" i="8"/>
  <c r="J205" i="8"/>
  <c r="N205" i="8"/>
  <c r="R205" i="8"/>
  <c r="W205" i="8"/>
  <c r="C205" i="8"/>
  <c r="G205" i="8"/>
  <c r="K205" i="8"/>
  <c r="O205" i="8"/>
  <c r="T205" i="8"/>
  <c r="X205" i="8"/>
  <c r="D205" i="8"/>
  <c r="H205" i="8"/>
  <c r="L205" i="8"/>
  <c r="P205" i="8"/>
  <c r="U205" i="8"/>
  <c r="Y205" i="8"/>
  <c r="S204" i="8"/>
  <c r="S305" i="8"/>
  <c r="B356" i="8"/>
  <c r="B357" i="8" s="1"/>
  <c r="S354" i="8"/>
  <c r="S324" i="8"/>
  <c r="B456" i="8"/>
  <c r="O306" i="8"/>
  <c r="E306" i="8"/>
  <c r="I306" i="8"/>
  <c r="M306" i="8"/>
  <c r="Q306" i="8"/>
  <c r="C306" i="8"/>
  <c r="G306" i="8"/>
  <c r="F306" i="8"/>
  <c r="J306" i="8"/>
  <c r="N306" i="8"/>
  <c r="R306" i="8"/>
  <c r="K306" i="8"/>
  <c r="D306" i="8"/>
  <c r="H306" i="8"/>
  <c r="L306" i="8"/>
  <c r="P306" i="8"/>
  <c r="B12" i="8"/>
  <c r="B656" i="8"/>
  <c r="B556" i="8"/>
  <c r="B757" i="8"/>
  <c r="B206" i="8"/>
  <c r="B326" i="8"/>
  <c r="B307" i="8"/>
  <c r="O357" i="8" a="1"/>
  <c r="J307" i="8" a="1"/>
  <c r="I12" i="8" a="1"/>
  <c r="R326" i="8" a="1"/>
  <c r="W326" i="8" a="1"/>
  <c r="P356" i="8" a="1"/>
  <c r="Q326" i="8" a="1"/>
  <c r="V757" i="8" a="1"/>
  <c r="W757" i="8" a="1"/>
  <c r="O456" i="8" a="1"/>
  <c r="Y757" i="8" a="1"/>
  <c r="V326" i="8" a="1"/>
  <c r="G757" i="8" a="1"/>
  <c r="O307" i="8" a="1"/>
  <c r="Y556" i="8" a="1"/>
  <c r="H456" i="8" a="1"/>
  <c r="D357" i="8" a="1"/>
  <c r="H357" i="8" a="1"/>
  <c r="E656" i="8" a="1"/>
  <c r="W356" i="8" a="1"/>
  <c r="Y456" i="8" a="1"/>
  <c r="D757" i="8" a="1"/>
  <c r="N356" i="8" a="1"/>
  <c r="P556" i="8" a="1"/>
  <c r="J12" i="8" a="1"/>
  <c r="W456" i="8" a="1"/>
  <c r="J206" i="8" a="1"/>
  <c r="M656" i="8" a="1"/>
  <c r="R456" i="8" a="1"/>
  <c r="F356" i="8" a="1"/>
  <c r="P307" i="8" a="1"/>
  <c r="Q556" i="8" a="1"/>
  <c r="L556" i="8" a="1"/>
  <c r="J326" i="8" a="1"/>
  <c r="V656" i="8" a="1"/>
  <c r="T456" i="8" a="1"/>
  <c r="V357" i="8" a="1"/>
  <c r="M356" i="8" a="1"/>
  <c r="I357" i="8" a="1"/>
  <c r="T356" i="8" a="1"/>
  <c r="I356" i="8" a="1"/>
  <c r="O12" i="8" a="1"/>
  <c r="O757" i="8" a="1"/>
  <c r="N456" i="8" a="1"/>
  <c r="X757" i="8" a="1"/>
  <c r="Y206" i="8" a="1"/>
  <c r="M757" i="8" a="1"/>
  <c r="L656" i="8" a="1"/>
  <c r="T326" i="8" a="1"/>
  <c r="L757" i="8" a="1"/>
  <c r="D12" i="8" a="1"/>
  <c r="R307" i="8" a="1"/>
  <c r="X206" i="8" a="1"/>
  <c r="Q206" i="8" a="1"/>
  <c r="H356" i="8" a="1"/>
  <c r="C307" i="8" a="1"/>
  <c r="U456" i="8" a="1"/>
  <c r="L356" i="8" a="1"/>
  <c r="N12" i="8" a="1"/>
  <c r="X456" i="8" a="1"/>
  <c r="K12" i="8" a="1"/>
  <c r="P757" i="8" a="1"/>
  <c r="Q456" i="8" a="1"/>
  <c r="L357" i="8" a="1"/>
  <c r="I556" i="8" a="1"/>
  <c r="K757" i="8" a="1"/>
  <c r="H326" i="8" a="1"/>
  <c r="K656" i="8" a="1"/>
  <c r="M357" i="8" a="1"/>
  <c r="K307" i="8" a="1"/>
  <c r="E307" i="8" a="1"/>
  <c r="P357" i="8" a="1"/>
  <c r="W12" i="8" a="1"/>
  <c r="T12" i="8" a="1"/>
  <c r="M456" i="8" a="1"/>
  <c r="D326" i="8" a="1"/>
  <c r="P206" i="8" a="1"/>
  <c r="O556" i="8" a="1"/>
  <c r="J556" i="8" a="1"/>
  <c r="G656" i="8" a="1"/>
  <c r="V556" i="8" a="1"/>
  <c r="R356" i="8" a="1"/>
  <c r="D656" i="8" a="1"/>
  <c r="E357" i="8" a="1"/>
  <c r="E206" i="8" a="1"/>
  <c r="R357" i="8" a="1"/>
  <c r="O656" i="8" a="1"/>
  <c r="C326" i="8" a="1"/>
  <c r="U356" i="8" a="1"/>
  <c r="C206" i="8" a="1"/>
  <c r="Y12" i="8" a="1"/>
  <c r="F357" i="8" a="1"/>
  <c r="R556" i="8" a="1"/>
  <c r="O206" i="8" a="1"/>
  <c r="K556" i="8" a="1"/>
  <c r="D356" i="8" a="1"/>
  <c r="Q12" i="8" a="1"/>
  <c r="F206" i="8" a="1"/>
  <c r="L307" i="8" a="1"/>
  <c r="G456" i="8" a="1"/>
  <c r="K356" i="8" a="1"/>
  <c r="G307" i="8" a="1"/>
  <c r="X356" i="8" a="1"/>
  <c r="J757" i="8" a="1"/>
  <c r="C357" i="8" a="1"/>
  <c r="U656" i="8" a="1"/>
  <c r="Y356" i="8" a="1"/>
  <c r="H307" i="8" a="1"/>
  <c r="N556" i="8" a="1"/>
  <c r="R656" i="8" a="1"/>
  <c r="D307" i="8" a="1"/>
  <c r="K206" i="8" a="1"/>
  <c r="F307" i="8" a="1"/>
  <c r="L12" i="8" a="1"/>
  <c r="M12" i="8" a="1"/>
  <c r="Y357" i="8" a="1"/>
  <c r="O326" i="8" a="1"/>
  <c r="J356" i="8" a="1"/>
  <c r="H556" i="8" a="1"/>
  <c r="I206" i="8" a="1"/>
  <c r="D456" i="8" a="1"/>
  <c r="G12" i="8" a="1"/>
  <c r="W206" i="8" a="1"/>
  <c r="N307" i="8" a="1"/>
  <c r="C757" i="8" a="1"/>
  <c r="L326" i="8" a="1"/>
  <c r="U556" i="8" a="1"/>
  <c r="Q357" i="8" a="1"/>
  <c r="V456" i="8" a="1"/>
  <c r="U206" i="8" a="1"/>
  <c r="I757" i="8" a="1"/>
  <c r="M307" i="8" a="1"/>
  <c r="G326" i="8" a="1"/>
  <c r="Q307" i="8" a="1"/>
  <c r="I456" i="8" a="1"/>
  <c r="N206" i="8" a="1"/>
  <c r="L206" i="8" a="1"/>
  <c r="K357" i="8" a="1"/>
  <c r="X357" i="8" a="1"/>
  <c r="T556" i="8" a="1"/>
  <c r="T757" i="8" a="1"/>
  <c r="K456" i="8" a="1"/>
  <c r="M556" i="8" a="1"/>
  <c r="D556" i="8" a="1"/>
  <c r="H656" i="8" a="1"/>
  <c r="G556" i="8" a="1"/>
  <c r="H12" i="8" a="1"/>
  <c r="C356" i="8" a="1"/>
  <c r="X556" i="8" a="1"/>
  <c r="W656" i="8" a="1"/>
  <c r="K326" i="8" a="1"/>
  <c r="M326" i="8" a="1"/>
  <c r="Q356" i="8" a="1"/>
  <c r="R206" i="8" a="1"/>
  <c r="T357" i="8" a="1"/>
  <c r="V356" i="8" a="1"/>
  <c r="E456" i="8" a="1"/>
  <c r="E556" i="8" a="1"/>
  <c r="M206" i="8" a="1"/>
  <c r="C556" i="8" a="1"/>
  <c r="J357" i="8" a="1"/>
  <c r="P326" i="8" a="1"/>
  <c r="N757" i="8" a="1"/>
  <c r="O356" i="8" a="1"/>
  <c r="L456" i="8" a="1"/>
  <c r="Q656" i="8" a="1"/>
  <c r="J656" i="8" a="1"/>
  <c r="H757" i="8" a="1"/>
  <c r="I326" i="8" a="1"/>
  <c r="H206" i="8" a="1"/>
  <c r="N357" i="8" a="1"/>
  <c r="C656" i="8" a="1"/>
  <c r="I307" i="8" a="1"/>
  <c r="C456" i="8" a="1"/>
  <c r="W556" i="8" a="1"/>
  <c r="D206" i="8" a="1"/>
  <c r="Y656" i="8" a="1"/>
  <c r="F757" i="8" a="1"/>
  <c r="G206" i="8" a="1"/>
  <c r="U326" i="8" a="1"/>
  <c r="P656" i="8" a="1"/>
  <c r="V206" i="8" a="1"/>
  <c r="X12" i="8" a="1"/>
  <c r="E757" i="8" a="1"/>
  <c r="E356" i="8" a="1"/>
  <c r="R12" i="8" a="1"/>
  <c r="R757" i="8" a="1"/>
  <c r="U757" i="8" a="1"/>
  <c r="P456" i="8" a="1"/>
  <c r="E326" i="8" a="1"/>
  <c r="I656" i="8" a="1"/>
  <c r="F456" i="8" a="1"/>
  <c r="V12" i="8" a="1"/>
  <c r="X326" i="8" a="1"/>
  <c r="Q757" i="8" a="1"/>
  <c r="G357" i="8" a="1"/>
  <c r="X656" i="8" a="1"/>
  <c r="G356" i="8" a="1"/>
  <c r="F656" i="8" a="1"/>
  <c r="C12" i="8" a="1"/>
  <c r="F556" i="8" a="1"/>
  <c r="F12" i="8" a="1"/>
  <c r="F326" i="8" a="1"/>
  <c r="P12" i="8" a="1"/>
  <c r="Y326" i="8" a="1"/>
  <c r="U12" i="8" a="1"/>
  <c r="E12" i="8" a="1"/>
  <c r="U357" i="8" a="1"/>
  <c r="J456" i="8" a="1"/>
  <c r="T206" i="8" a="1"/>
  <c r="W357" i="8" a="1"/>
  <c r="S455" i="8" l="1"/>
  <c r="E456" i="8"/>
  <c r="I456" i="8"/>
  <c r="M456" i="8"/>
  <c r="Q456" i="8"/>
  <c r="V456" i="8"/>
  <c r="F456" i="8"/>
  <c r="J456" i="8"/>
  <c r="N456" i="8"/>
  <c r="R456" i="8"/>
  <c r="W456" i="8"/>
  <c r="C456" i="8"/>
  <c r="G456" i="8"/>
  <c r="K456" i="8"/>
  <c r="O456" i="8"/>
  <c r="T456" i="8"/>
  <c r="X456" i="8"/>
  <c r="D456" i="8"/>
  <c r="H456" i="8"/>
  <c r="L456" i="8"/>
  <c r="P456" i="8"/>
  <c r="U456" i="8"/>
  <c r="Y456" i="8"/>
  <c r="E556" i="8"/>
  <c r="I556" i="8"/>
  <c r="M556" i="8"/>
  <c r="Q556" i="8"/>
  <c r="V556" i="8"/>
  <c r="F556" i="8"/>
  <c r="J556" i="8"/>
  <c r="N556" i="8"/>
  <c r="R556" i="8"/>
  <c r="W556" i="8"/>
  <c r="U556" i="8"/>
  <c r="C556" i="8"/>
  <c r="G556" i="8"/>
  <c r="K556" i="8"/>
  <c r="O556" i="8"/>
  <c r="Y556" i="8"/>
  <c r="T556" i="8"/>
  <c r="X556" i="8"/>
  <c r="D556" i="8"/>
  <c r="H556" i="8"/>
  <c r="L556" i="8"/>
  <c r="P556" i="8"/>
  <c r="X656" i="8"/>
  <c r="D656" i="8"/>
  <c r="H656" i="8"/>
  <c r="L656" i="8"/>
  <c r="P656" i="8"/>
  <c r="U656" i="8"/>
  <c r="Y656" i="8"/>
  <c r="E656" i="8"/>
  <c r="I656" i="8"/>
  <c r="M656" i="8"/>
  <c r="Q656" i="8"/>
  <c r="V656" i="8"/>
  <c r="F656" i="8"/>
  <c r="J656" i="8"/>
  <c r="R656" i="8"/>
  <c r="W656" i="8"/>
  <c r="C656" i="8"/>
  <c r="G656" i="8"/>
  <c r="K656" i="8"/>
  <c r="O656" i="8"/>
  <c r="S555" i="8"/>
  <c r="S355" i="8"/>
  <c r="S205" i="8"/>
  <c r="S11" i="8"/>
  <c r="W206" i="8"/>
  <c r="C206" i="8"/>
  <c r="G206" i="8"/>
  <c r="K206" i="8"/>
  <c r="O206" i="8"/>
  <c r="T206" i="8"/>
  <c r="X206" i="8"/>
  <c r="D206" i="8"/>
  <c r="H206" i="8"/>
  <c r="L206" i="8"/>
  <c r="P206" i="8"/>
  <c r="U206" i="8"/>
  <c r="Y206" i="8"/>
  <c r="E206" i="8"/>
  <c r="I206" i="8"/>
  <c r="M206" i="8"/>
  <c r="Q206" i="8"/>
  <c r="V206" i="8"/>
  <c r="F206" i="8"/>
  <c r="J206" i="8"/>
  <c r="N206" i="8"/>
  <c r="R206" i="8"/>
  <c r="W356" i="8"/>
  <c r="C356" i="8"/>
  <c r="G356" i="8"/>
  <c r="K356" i="8"/>
  <c r="O356" i="8"/>
  <c r="T356" i="8"/>
  <c r="X356" i="8"/>
  <c r="D356" i="8"/>
  <c r="H356" i="8"/>
  <c r="L356" i="8"/>
  <c r="P356" i="8"/>
  <c r="U356" i="8"/>
  <c r="Y356" i="8"/>
  <c r="E356" i="8"/>
  <c r="I356" i="8"/>
  <c r="M356" i="8"/>
  <c r="Q356" i="8"/>
  <c r="V356" i="8"/>
  <c r="F356" i="8"/>
  <c r="J356" i="8"/>
  <c r="N356" i="8"/>
  <c r="R356" i="8"/>
  <c r="C757" i="8"/>
  <c r="G757" i="8"/>
  <c r="K757" i="8"/>
  <c r="O757" i="8"/>
  <c r="T757" i="8"/>
  <c r="X757" i="8"/>
  <c r="D757" i="8"/>
  <c r="H757" i="8"/>
  <c r="L757" i="8"/>
  <c r="P757" i="8"/>
  <c r="U757" i="8"/>
  <c r="Y757" i="8"/>
  <c r="E757" i="8"/>
  <c r="I757" i="8"/>
  <c r="M757" i="8"/>
  <c r="Q757" i="8"/>
  <c r="V757" i="8"/>
  <c r="W757" i="8"/>
  <c r="F757" i="8"/>
  <c r="J757" i="8"/>
  <c r="N757" i="8"/>
  <c r="R757" i="8"/>
  <c r="W326" i="8"/>
  <c r="C326" i="8"/>
  <c r="G326" i="8"/>
  <c r="K326" i="8"/>
  <c r="O326" i="8"/>
  <c r="T326" i="8"/>
  <c r="X326" i="8"/>
  <c r="D326" i="8"/>
  <c r="H326" i="8"/>
  <c r="L326" i="8"/>
  <c r="P326" i="8"/>
  <c r="U326" i="8"/>
  <c r="Y326" i="8"/>
  <c r="E326" i="8"/>
  <c r="I326" i="8"/>
  <c r="M326" i="8"/>
  <c r="Q326" i="8"/>
  <c r="V326" i="8"/>
  <c r="R326" i="8"/>
  <c r="F326" i="8"/>
  <c r="J326" i="8"/>
  <c r="D357" i="8"/>
  <c r="H357" i="8"/>
  <c r="L357" i="8"/>
  <c r="P357" i="8"/>
  <c r="U357" i="8"/>
  <c r="Y357" i="8"/>
  <c r="E357" i="8"/>
  <c r="I357" i="8"/>
  <c r="M357" i="8"/>
  <c r="Q357" i="8"/>
  <c r="V357" i="8"/>
  <c r="F357" i="8"/>
  <c r="J357" i="8"/>
  <c r="N357" i="8"/>
  <c r="R357" i="8"/>
  <c r="W357" i="8"/>
  <c r="C357" i="8"/>
  <c r="G357" i="8"/>
  <c r="K357" i="8"/>
  <c r="O357" i="8"/>
  <c r="T357" i="8"/>
  <c r="X357" i="8"/>
  <c r="C12" i="8"/>
  <c r="G12" i="8"/>
  <c r="K12" i="8"/>
  <c r="O12" i="8"/>
  <c r="T12" i="8"/>
  <c r="X12" i="8"/>
  <c r="D12" i="8"/>
  <c r="H12" i="8"/>
  <c r="L12" i="8"/>
  <c r="P12" i="8"/>
  <c r="U12" i="8"/>
  <c r="Y12" i="8"/>
  <c r="E12" i="8"/>
  <c r="I12" i="8"/>
  <c r="M12" i="8"/>
  <c r="Q12" i="8"/>
  <c r="V12" i="8"/>
  <c r="F12" i="8"/>
  <c r="J12" i="8"/>
  <c r="N12" i="8"/>
  <c r="R12" i="8"/>
  <c r="W12" i="8"/>
  <c r="S756" i="8"/>
  <c r="S325" i="8"/>
  <c r="B457" i="8"/>
  <c r="D307" i="8"/>
  <c r="H307" i="8"/>
  <c r="L307" i="8"/>
  <c r="P307" i="8"/>
  <c r="N307" i="8"/>
  <c r="E307" i="8"/>
  <c r="I307" i="8"/>
  <c r="M307" i="8"/>
  <c r="Q307" i="8"/>
  <c r="F307" i="8"/>
  <c r="R307" i="8"/>
  <c r="J307" i="8"/>
  <c r="C307" i="8"/>
  <c r="G307" i="8"/>
  <c r="K307" i="8"/>
  <c r="O307" i="8"/>
  <c r="B13" i="8"/>
  <c r="B557" i="8"/>
  <c r="B657" i="8"/>
  <c r="B758" i="8"/>
  <c r="B207" i="8"/>
  <c r="B327" i="8"/>
  <c r="B358" i="8"/>
  <c r="B308" i="8"/>
  <c r="V557" i="8" a="1"/>
  <c r="R308" i="8" a="1"/>
  <c r="I13" i="8" a="1"/>
  <c r="V457" i="8" a="1"/>
  <c r="I327" i="8" a="1"/>
  <c r="H327" i="8" a="1"/>
  <c r="K13" i="8" a="1"/>
  <c r="X657" i="8" a="1"/>
  <c r="Q457" i="8" a="1"/>
  <c r="I758" i="8" a="1"/>
  <c r="R657" i="8" a="1"/>
  <c r="M327" i="8" a="1"/>
  <c r="D758" i="8" a="1"/>
  <c r="R457" i="8" a="1"/>
  <c r="L327" i="8" a="1"/>
  <c r="C327" i="8" a="1"/>
  <c r="J657" i="8" a="1"/>
  <c r="H657" i="8" a="1"/>
  <c r="H358" i="8" a="1"/>
  <c r="K758" i="8" a="1"/>
  <c r="L358" i="8" a="1"/>
  <c r="W358" i="8" a="1"/>
  <c r="M657" i="8" a="1"/>
  <c r="J758" i="8" a="1"/>
  <c r="I207" i="8" a="1"/>
  <c r="F207" i="8" a="1"/>
  <c r="U13" i="8" a="1"/>
  <c r="J557" i="8" a="1"/>
  <c r="E327" i="8" a="1"/>
  <c r="G358" i="8" a="1"/>
  <c r="M358" i="8" a="1"/>
  <c r="H758" i="8" a="1"/>
  <c r="I657" i="8" a="1"/>
  <c r="N557" i="8" a="1"/>
  <c r="U207" i="8" a="1"/>
  <c r="Y457" i="8" a="1"/>
  <c r="Q327" i="8" a="1"/>
  <c r="Y13" i="8" a="1"/>
  <c r="M758" i="8" a="1"/>
  <c r="I557" i="8" a="1"/>
  <c r="R758" i="8" a="1"/>
  <c r="M308" i="8" a="1"/>
  <c r="P557" i="8" a="1"/>
  <c r="U457" i="8" a="1"/>
  <c r="K557" i="8" a="1"/>
  <c r="D557" i="8" a="1"/>
  <c r="T758" i="8" a="1"/>
  <c r="F457" i="8" a="1"/>
  <c r="Y557" i="8" a="1"/>
  <c r="K327" i="8" a="1"/>
  <c r="N358" i="8" a="1"/>
  <c r="Q557" i="8" a="1"/>
  <c r="O358" i="8" a="1"/>
  <c r="P308" i="8" a="1"/>
  <c r="L207" i="8" a="1"/>
  <c r="P758" i="8" a="1"/>
  <c r="T327" i="8" a="1"/>
  <c r="V657" i="8" a="1"/>
  <c r="G758" i="8" a="1"/>
  <c r="V358" i="8" a="1"/>
  <c r="Y207" i="8" a="1"/>
  <c r="N308" i="8" a="1"/>
  <c r="O457" i="8" a="1"/>
  <c r="W657" i="8" a="1"/>
  <c r="K657" i="8" a="1"/>
  <c r="E13" i="8" a="1"/>
  <c r="M557" i="8" a="1"/>
  <c r="O13" i="8" a="1"/>
  <c r="W758" i="8" a="1"/>
  <c r="C657" i="8" a="1"/>
  <c r="K207" i="8" a="1"/>
  <c r="H207" i="8" a="1"/>
  <c r="O308" i="8" a="1"/>
  <c r="E358" i="8" a="1"/>
  <c r="L13" i="8" a="1"/>
  <c r="M457" i="8" a="1"/>
  <c r="X758" i="8" a="1"/>
  <c r="R557" i="8" a="1"/>
  <c r="Q308" i="8" a="1"/>
  <c r="G308" i="8" a="1"/>
  <c r="G457" i="8" a="1"/>
  <c r="X557" i="8" a="1"/>
  <c r="F13" i="8" a="1"/>
  <c r="L557" i="8" a="1"/>
  <c r="L457" i="8" a="1"/>
  <c r="H308" i="8" a="1"/>
  <c r="R327" i="8" a="1"/>
  <c r="P358" i="8" a="1"/>
  <c r="G207" i="8" a="1"/>
  <c r="U557" i="8" a="1"/>
  <c r="F308" i="8" a="1"/>
  <c r="K358" i="8" a="1"/>
  <c r="E657" i="8" a="1"/>
  <c r="E758" i="8" a="1"/>
  <c r="C457" i="8" a="1"/>
  <c r="R207" i="8" a="1"/>
  <c r="R358" i="8" a="1"/>
  <c r="Q207" i="8" a="1"/>
  <c r="I308" i="8" a="1"/>
  <c r="F657" i="8" a="1"/>
  <c r="P327" i="8" a="1"/>
  <c r="D457" i="8" a="1"/>
  <c r="U327" i="8" a="1"/>
  <c r="X457" i="8" a="1"/>
  <c r="J358" i="8" a="1"/>
  <c r="M13" i="8" a="1"/>
  <c r="U358" i="8" a="1"/>
  <c r="P657" i="8" a="1"/>
  <c r="O207" i="8" a="1"/>
  <c r="F758" i="8" a="1"/>
  <c r="W557" i="8" a="1"/>
  <c r="J327" i="8" a="1"/>
  <c r="T13" i="8" a="1"/>
  <c r="T557" i="8" a="1"/>
  <c r="J308" i="8" a="1"/>
  <c r="X358" i="8" a="1"/>
  <c r="F327" i="8" a="1"/>
  <c r="O327" i="8" a="1"/>
  <c r="G327" i="8" a="1"/>
  <c r="N758" i="8" a="1"/>
  <c r="C207" i="8" a="1"/>
  <c r="X327" i="8" a="1"/>
  <c r="E557" i="8" a="1"/>
  <c r="U657" i="8" a="1"/>
  <c r="Q13" i="8" a="1"/>
  <c r="C557" i="8" a="1"/>
  <c r="Q657" i="8" a="1"/>
  <c r="H557" i="8" a="1"/>
  <c r="F358" i="8" a="1"/>
  <c r="T207" i="8" a="1"/>
  <c r="L308" i="8" a="1"/>
  <c r="N207" i="8" a="1"/>
  <c r="J207" i="8" a="1"/>
  <c r="W207" i="8" a="1"/>
  <c r="O557" i="8" a="1"/>
  <c r="D358" i="8" a="1"/>
  <c r="V758" i="8" a="1"/>
  <c r="Y657" i="8" a="1"/>
  <c r="W13" i="8" a="1"/>
  <c r="G13" i="8" a="1"/>
  <c r="Y358" i="8" a="1"/>
  <c r="T358" i="8" a="1"/>
  <c r="X13" i="8" a="1"/>
  <c r="D13" i="8" a="1"/>
  <c r="P13" i="8" a="1"/>
  <c r="C758" i="8" a="1"/>
  <c r="H13" i="8" a="1"/>
  <c r="R13" i="8" a="1"/>
  <c r="C358" i="8" a="1"/>
  <c r="D327" i="8" a="1"/>
  <c r="K457" i="8" a="1"/>
  <c r="V327" i="8" a="1"/>
  <c r="F557" i="8" a="1"/>
  <c r="X207" i="8" a="1"/>
  <c r="C13" i="8" a="1"/>
  <c r="D207" i="8" a="1"/>
  <c r="Y327" i="8" a="1"/>
  <c r="L657" i="8" a="1"/>
  <c r="N457" i="8" a="1"/>
  <c r="V13" i="8" a="1"/>
  <c r="V207" i="8" a="1"/>
  <c r="J13" i="8" a="1"/>
  <c r="C308" i="8" a="1"/>
  <c r="H457" i="8" a="1"/>
  <c r="O758" i="8" a="1"/>
  <c r="E308" i="8" a="1"/>
  <c r="E457" i="8" a="1"/>
  <c r="L758" i="8" a="1"/>
  <c r="K308" i="8" a="1"/>
  <c r="O657" i="8" a="1"/>
  <c r="U758" i="8" a="1"/>
  <c r="P207" i="8" a="1"/>
  <c r="T457" i="8" a="1"/>
  <c r="D657" i="8" a="1"/>
  <c r="M207" i="8" a="1"/>
  <c r="Q758" i="8" a="1"/>
  <c r="G657" i="8" a="1"/>
  <c r="Q358" i="8" a="1"/>
  <c r="N13" i="8" a="1"/>
  <c r="G557" i="8" a="1"/>
  <c r="D308" i="8" a="1"/>
  <c r="E207" i="8" a="1"/>
  <c r="P457" i="8" a="1"/>
  <c r="I457" i="8" a="1"/>
  <c r="J457" i="8" a="1"/>
  <c r="W327" i="8" a="1"/>
  <c r="W457" i="8" a="1"/>
  <c r="I358" i="8" a="1"/>
  <c r="Y758" i="8" a="1"/>
  <c r="S456" i="8" l="1"/>
  <c r="W457" i="8"/>
  <c r="C457" i="8"/>
  <c r="G457" i="8"/>
  <c r="K457" i="8"/>
  <c r="O457" i="8"/>
  <c r="T457" i="8"/>
  <c r="X457" i="8"/>
  <c r="D457" i="8"/>
  <c r="H457" i="8"/>
  <c r="L457" i="8"/>
  <c r="P457" i="8"/>
  <c r="U457" i="8"/>
  <c r="Y457" i="8"/>
  <c r="E457" i="8"/>
  <c r="I457" i="8"/>
  <c r="M457" i="8"/>
  <c r="Q457" i="8"/>
  <c r="V457" i="8"/>
  <c r="F457" i="8"/>
  <c r="J457" i="8"/>
  <c r="N457" i="8"/>
  <c r="R457" i="8"/>
  <c r="E657" i="8"/>
  <c r="I657" i="8"/>
  <c r="M657" i="8"/>
  <c r="Q657" i="8"/>
  <c r="V657" i="8"/>
  <c r="F657" i="8"/>
  <c r="J657" i="8"/>
  <c r="R657" i="8"/>
  <c r="W657" i="8"/>
  <c r="C657" i="8"/>
  <c r="G657" i="8"/>
  <c r="K657" i="8"/>
  <c r="O657" i="8"/>
  <c r="X657" i="8"/>
  <c r="D657" i="8"/>
  <c r="H657" i="8"/>
  <c r="L657" i="8"/>
  <c r="P657" i="8"/>
  <c r="U657" i="8"/>
  <c r="Y657" i="8"/>
  <c r="W557" i="8"/>
  <c r="C557" i="8"/>
  <c r="G557" i="8"/>
  <c r="K557" i="8"/>
  <c r="O557" i="8"/>
  <c r="T557" i="8"/>
  <c r="X557" i="8"/>
  <c r="D557" i="8"/>
  <c r="H557" i="8"/>
  <c r="L557" i="8"/>
  <c r="P557" i="8"/>
  <c r="J557" i="8"/>
  <c r="U557" i="8"/>
  <c r="Y557" i="8"/>
  <c r="N557" i="8"/>
  <c r="E557" i="8"/>
  <c r="I557" i="8"/>
  <c r="M557" i="8"/>
  <c r="Q557" i="8"/>
  <c r="F557" i="8"/>
  <c r="R557" i="8"/>
  <c r="V557" i="8"/>
  <c r="S556" i="8"/>
  <c r="S356" i="8"/>
  <c r="U758" i="8"/>
  <c r="Y758" i="8"/>
  <c r="E758" i="8"/>
  <c r="I758" i="8"/>
  <c r="M758" i="8"/>
  <c r="Q758" i="8"/>
  <c r="P758" i="8"/>
  <c r="V758" i="8"/>
  <c r="H758" i="8"/>
  <c r="F758" i="8"/>
  <c r="J758" i="8"/>
  <c r="N758" i="8"/>
  <c r="R758" i="8"/>
  <c r="L758" i="8"/>
  <c r="W758" i="8"/>
  <c r="D758" i="8"/>
  <c r="C758" i="8"/>
  <c r="G758" i="8"/>
  <c r="K758" i="8"/>
  <c r="O758" i="8"/>
  <c r="T758" i="8"/>
  <c r="X758" i="8"/>
  <c r="U13" i="8"/>
  <c r="Y13" i="8"/>
  <c r="E13" i="8"/>
  <c r="I13" i="8"/>
  <c r="M13" i="8"/>
  <c r="Q13" i="8"/>
  <c r="V13" i="8"/>
  <c r="F13" i="8"/>
  <c r="J13" i="8"/>
  <c r="N13" i="8"/>
  <c r="R13" i="8"/>
  <c r="W13" i="8"/>
  <c r="C13" i="8"/>
  <c r="G13" i="8"/>
  <c r="K13" i="8"/>
  <c r="O13" i="8"/>
  <c r="T13" i="8"/>
  <c r="X13" i="8"/>
  <c r="D13" i="8"/>
  <c r="H13" i="8"/>
  <c r="L13" i="8"/>
  <c r="P13" i="8"/>
  <c r="D207" i="8"/>
  <c r="H207" i="8"/>
  <c r="L207" i="8"/>
  <c r="P207" i="8"/>
  <c r="U207" i="8"/>
  <c r="Y207" i="8"/>
  <c r="E207" i="8"/>
  <c r="I207" i="8"/>
  <c r="M207" i="8"/>
  <c r="Q207" i="8"/>
  <c r="V207" i="8"/>
  <c r="F207" i="8"/>
  <c r="J207" i="8"/>
  <c r="N207" i="8"/>
  <c r="R207" i="8"/>
  <c r="W207" i="8"/>
  <c r="C207" i="8"/>
  <c r="G207" i="8"/>
  <c r="K207" i="8"/>
  <c r="O207" i="8"/>
  <c r="T207" i="8"/>
  <c r="X207" i="8"/>
  <c r="V358" i="8"/>
  <c r="F358" i="8"/>
  <c r="J358" i="8"/>
  <c r="N358" i="8"/>
  <c r="R358" i="8"/>
  <c r="W358" i="8"/>
  <c r="C358" i="8"/>
  <c r="G358" i="8"/>
  <c r="K358" i="8"/>
  <c r="O358" i="8"/>
  <c r="T358" i="8"/>
  <c r="X358" i="8"/>
  <c r="D358" i="8"/>
  <c r="H358" i="8"/>
  <c r="L358" i="8"/>
  <c r="P358" i="8"/>
  <c r="U358" i="8"/>
  <c r="Y358" i="8"/>
  <c r="I358" i="8"/>
  <c r="M358" i="8"/>
  <c r="Q358" i="8"/>
  <c r="E358" i="8"/>
  <c r="D327" i="8"/>
  <c r="H327" i="8"/>
  <c r="L327" i="8"/>
  <c r="P327" i="8"/>
  <c r="U327" i="8"/>
  <c r="Y327" i="8"/>
  <c r="E327" i="8"/>
  <c r="I327" i="8"/>
  <c r="M327" i="8"/>
  <c r="Q327" i="8"/>
  <c r="V327" i="8"/>
  <c r="F327" i="8"/>
  <c r="J327" i="8"/>
  <c r="R327" i="8"/>
  <c r="W327" i="8"/>
  <c r="C327" i="8"/>
  <c r="G327" i="8"/>
  <c r="K327" i="8"/>
  <c r="O327" i="8"/>
  <c r="T327" i="8"/>
  <c r="X327" i="8"/>
  <c r="S12" i="8"/>
  <c r="S357" i="8"/>
  <c r="S757" i="8"/>
  <c r="B458" i="8"/>
  <c r="S326" i="8"/>
  <c r="S206" i="8"/>
  <c r="F308" i="8"/>
  <c r="D308" i="8"/>
  <c r="H308" i="8"/>
  <c r="L308" i="8"/>
  <c r="P308" i="8"/>
  <c r="N308" i="8"/>
  <c r="E308" i="8"/>
  <c r="I308" i="8"/>
  <c r="M308" i="8"/>
  <c r="Q308" i="8"/>
  <c r="J308" i="8"/>
  <c r="R308" i="8"/>
  <c r="C308" i="8"/>
  <c r="G308" i="8"/>
  <c r="K308" i="8"/>
  <c r="O308" i="8"/>
  <c r="B14" i="8"/>
  <c r="B658" i="8"/>
  <c r="B558" i="8"/>
  <c r="B759" i="8"/>
  <c r="B208" i="8"/>
  <c r="B328" i="8"/>
  <c r="B359" i="8"/>
  <c r="B309" i="8"/>
  <c r="P458" i="8" a="1"/>
  <c r="U458" i="8" a="1"/>
  <c r="X759" i="8" a="1"/>
  <c r="O328" i="8" a="1"/>
  <c r="L359" i="8" a="1"/>
  <c r="G658" i="8" a="1"/>
  <c r="I208" i="8" a="1"/>
  <c r="M328" i="8" a="1"/>
  <c r="L759" i="8" a="1"/>
  <c r="V658" i="8" a="1"/>
  <c r="X458" i="8" a="1"/>
  <c r="K359" i="8" a="1"/>
  <c r="M558" i="8" a="1"/>
  <c r="F208" i="8" a="1"/>
  <c r="H458" i="8" a="1"/>
  <c r="G759" i="8" a="1"/>
  <c r="H558" i="8" a="1"/>
  <c r="F328" i="8" a="1"/>
  <c r="M14" i="8" a="1"/>
  <c r="N14" i="8" a="1"/>
  <c r="Y328" i="8" a="1"/>
  <c r="T208" i="8" a="1"/>
  <c r="Q558" i="8" a="1"/>
  <c r="R759" i="8" a="1"/>
  <c r="C14" i="8" a="1"/>
  <c r="N328" i="8" a="1"/>
  <c r="U759" i="8" a="1"/>
  <c r="V759" i="8" a="1"/>
  <c r="O458" i="8" a="1"/>
  <c r="H328" i="8" a="1"/>
  <c r="Y359" i="8" a="1"/>
  <c r="M208" i="8" a="1"/>
  <c r="D359" i="8" a="1"/>
  <c r="D759" i="8" a="1"/>
  <c r="D14" i="8" a="1"/>
  <c r="D458" i="8" a="1"/>
  <c r="J759" i="8" a="1"/>
  <c r="L558" i="8" a="1"/>
  <c r="X359" i="8" a="1"/>
  <c r="C359" i="8" a="1"/>
  <c r="X14" i="8" a="1"/>
  <c r="X558" i="8" a="1"/>
  <c r="Y208" i="8" a="1"/>
  <c r="E14" i="8" a="1"/>
  <c r="Y14" i="8" a="1"/>
  <c r="U359" i="8" a="1"/>
  <c r="F359" i="8" a="1"/>
  <c r="J328" i="8" a="1"/>
  <c r="I458" i="8" a="1"/>
  <c r="R658" i="8" a="1"/>
  <c r="C558" i="8" a="1"/>
  <c r="J359" i="8" a="1"/>
  <c r="K328" i="8" a="1"/>
  <c r="D328" i="8" a="1"/>
  <c r="X658" i="8" a="1"/>
  <c r="W328" i="8" a="1"/>
  <c r="F458" i="8" a="1"/>
  <c r="N208" i="8" a="1"/>
  <c r="V359" i="8" a="1"/>
  <c r="Y558" i="8" a="1"/>
  <c r="M458" i="8" a="1"/>
  <c r="K208" i="8" a="1"/>
  <c r="I359" i="8" a="1"/>
  <c r="M359" i="8" a="1"/>
  <c r="K658" i="8" a="1"/>
  <c r="U14" i="8" a="1"/>
  <c r="L458" i="8" a="1"/>
  <c r="E208" i="8" a="1"/>
  <c r="P759" i="8" a="1"/>
  <c r="W208" i="8" a="1"/>
  <c r="I558" i="8" a="1"/>
  <c r="W658" i="8" a="1"/>
  <c r="W458" i="8" a="1"/>
  <c r="I658" i="8" a="1"/>
  <c r="Q359" i="8" a="1"/>
  <c r="O558" i="8" a="1"/>
  <c r="J558" i="8" a="1"/>
  <c r="K759" i="8" a="1"/>
  <c r="L14" i="8" a="1"/>
  <c r="P14" i="8" a="1"/>
  <c r="T328" i="8" a="1"/>
  <c r="R208" i="8" a="1"/>
  <c r="M759" i="8" a="1"/>
  <c r="J658" i="8" a="1"/>
  <c r="O359" i="8" a="1"/>
  <c r="Q759" i="8" a="1"/>
  <c r="O14" i="8" a="1"/>
  <c r="T458" i="8" a="1"/>
  <c r="E558" i="8" a="1"/>
  <c r="G359" i="8" a="1"/>
  <c r="K14" i="8" a="1"/>
  <c r="G458" i="8" a="1"/>
  <c r="L208" i="8" a="1"/>
  <c r="F558" i="8" a="1"/>
  <c r="J208" i="8" a="1"/>
  <c r="C759" i="8" a="1"/>
  <c r="R359" i="8" a="1"/>
  <c r="N759" i="8" a="1"/>
  <c r="C208" i="8" a="1"/>
  <c r="X328" i="8" a="1"/>
  <c r="K458" i="8" a="1"/>
  <c r="L658" i="8" a="1"/>
  <c r="Q658" i="8" a="1"/>
  <c r="C658" i="8" a="1"/>
  <c r="K558" i="8" a="1"/>
  <c r="T359" i="8" a="1"/>
  <c r="W759" i="8" a="1"/>
  <c r="X208" i="8" a="1"/>
  <c r="Y658" i="8" a="1"/>
  <c r="P359" i="8" a="1"/>
  <c r="R14" i="8" a="1"/>
  <c r="V328" i="8" a="1"/>
  <c r="J458" i="8" a="1"/>
  <c r="E658" i="8" a="1"/>
  <c r="W14" i="8" a="1"/>
  <c r="D558" i="8" a="1"/>
  <c r="W359" i="8" a="1"/>
  <c r="H658" i="8" a="1"/>
  <c r="Q328" i="8" a="1"/>
  <c r="G208" i="8" a="1"/>
  <c r="Y759" i="8" a="1"/>
  <c r="V458" i="8" a="1"/>
  <c r="P658" i="8" a="1"/>
  <c r="R558" i="8" a="1"/>
  <c r="E458" i="8" a="1"/>
  <c r="F14" i="8" a="1"/>
  <c r="Q458" i="8" a="1"/>
  <c r="L328" i="8" a="1"/>
  <c r="R458" i="8" a="1"/>
  <c r="P328" i="8" a="1"/>
  <c r="V14" i="8" a="1"/>
  <c r="C328" i="8" a="1"/>
  <c r="Q14" i="8" a="1"/>
  <c r="H359" i="8" a="1"/>
  <c r="O759" i="8" a="1"/>
  <c r="H208" i="8" a="1"/>
  <c r="U208" i="8" a="1"/>
  <c r="Q208" i="8" a="1"/>
  <c r="E328" i="8" a="1"/>
  <c r="V558" i="8" a="1"/>
  <c r="D208" i="8" a="1"/>
  <c r="R328" i="8" a="1"/>
  <c r="W558" i="8" a="1"/>
  <c r="P558" i="8" a="1"/>
  <c r="U658" i="8" a="1"/>
  <c r="N458" i="8" a="1"/>
  <c r="G14" i="8" a="1"/>
  <c r="Y458" i="8" a="1"/>
  <c r="M658" i="8" a="1"/>
  <c r="T14" i="8" a="1"/>
  <c r="T759" i="8" a="1"/>
  <c r="E759" i="8" a="1"/>
  <c r="O208" i="8" a="1"/>
  <c r="U328" i="8" a="1"/>
  <c r="F759" i="8" a="1"/>
  <c r="I759" i="8" a="1"/>
  <c r="T558" i="8" a="1"/>
  <c r="D658" i="8" a="1"/>
  <c r="V208" i="8" a="1"/>
  <c r="I14" i="8" a="1"/>
  <c r="G558" i="8" a="1"/>
  <c r="C458" i="8" a="1"/>
  <c r="H14" i="8" a="1"/>
  <c r="N359" i="8" a="1"/>
  <c r="J14" i="8" a="1"/>
  <c r="F658" i="8" a="1"/>
  <c r="U558" i="8" a="1"/>
  <c r="I328" i="8" a="1"/>
  <c r="O658" i="8" a="1"/>
  <c r="E359" i="8" a="1"/>
  <c r="G328" i="8" a="1"/>
  <c r="H759" i="8" a="1"/>
  <c r="N558" i="8" a="1"/>
  <c r="P208" i="8" a="1"/>
  <c r="D558" i="8" l="1"/>
  <c r="H558" i="8"/>
  <c r="L558" i="8"/>
  <c r="P558" i="8"/>
  <c r="U558" i="8"/>
  <c r="Y558" i="8"/>
  <c r="E558" i="8"/>
  <c r="I558" i="8"/>
  <c r="M558" i="8"/>
  <c r="Q558" i="8"/>
  <c r="V558" i="8"/>
  <c r="T558" i="8"/>
  <c r="F558" i="8"/>
  <c r="J558" i="8"/>
  <c r="N558" i="8"/>
  <c r="R558" i="8"/>
  <c r="W558" i="8"/>
  <c r="X558" i="8"/>
  <c r="C558" i="8"/>
  <c r="G558" i="8"/>
  <c r="K558" i="8"/>
  <c r="O558" i="8"/>
  <c r="W658" i="8"/>
  <c r="C658" i="8"/>
  <c r="G658" i="8"/>
  <c r="K658" i="8"/>
  <c r="O658" i="8"/>
  <c r="X658" i="8"/>
  <c r="D658" i="8"/>
  <c r="H658" i="8"/>
  <c r="L658" i="8"/>
  <c r="P658" i="8"/>
  <c r="U658" i="8"/>
  <c r="Y658" i="8"/>
  <c r="E658" i="8"/>
  <c r="I658" i="8"/>
  <c r="M658" i="8"/>
  <c r="Q658" i="8"/>
  <c r="V658" i="8"/>
  <c r="F658" i="8"/>
  <c r="J658" i="8"/>
  <c r="R658" i="8"/>
  <c r="D458" i="8"/>
  <c r="H458" i="8"/>
  <c r="L458" i="8"/>
  <c r="P458" i="8"/>
  <c r="U458" i="8"/>
  <c r="Y458" i="8"/>
  <c r="E458" i="8"/>
  <c r="I458" i="8"/>
  <c r="M458" i="8"/>
  <c r="Q458" i="8"/>
  <c r="V458" i="8"/>
  <c r="F458" i="8"/>
  <c r="J458" i="8"/>
  <c r="N458" i="8"/>
  <c r="R458" i="8"/>
  <c r="W458" i="8"/>
  <c r="C458" i="8"/>
  <c r="G458" i="8"/>
  <c r="K458" i="8"/>
  <c r="O458" i="8"/>
  <c r="T458" i="8"/>
  <c r="X458" i="8"/>
  <c r="S557" i="8"/>
  <c r="B459" i="8"/>
  <c r="S457" i="8"/>
  <c r="S327" i="8"/>
  <c r="S358" i="8"/>
  <c r="S207" i="8"/>
  <c r="S13" i="8"/>
  <c r="S758" i="8"/>
  <c r="V328" i="8"/>
  <c r="F328" i="8"/>
  <c r="J328" i="8"/>
  <c r="N328" i="8"/>
  <c r="R328" i="8"/>
  <c r="W328" i="8"/>
  <c r="C328" i="8"/>
  <c r="G328" i="8"/>
  <c r="K328" i="8"/>
  <c r="O328" i="8"/>
  <c r="T328" i="8"/>
  <c r="X328" i="8"/>
  <c r="D328" i="8"/>
  <c r="H328" i="8"/>
  <c r="L328" i="8"/>
  <c r="P328" i="8"/>
  <c r="U328" i="8"/>
  <c r="Y328" i="8"/>
  <c r="I328" i="8"/>
  <c r="E328" i="8"/>
  <c r="M328" i="8"/>
  <c r="Q328" i="8"/>
  <c r="V208" i="8"/>
  <c r="F208" i="8"/>
  <c r="J208" i="8"/>
  <c r="N208" i="8"/>
  <c r="R208" i="8"/>
  <c r="W208" i="8"/>
  <c r="C208" i="8"/>
  <c r="G208" i="8"/>
  <c r="K208" i="8"/>
  <c r="O208" i="8"/>
  <c r="T208" i="8"/>
  <c r="X208" i="8"/>
  <c r="D208" i="8"/>
  <c r="H208" i="8"/>
  <c r="L208" i="8"/>
  <c r="P208" i="8"/>
  <c r="U208" i="8"/>
  <c r="Y208" i="8"/>
  <c r="I208" i="8"/>
  <c r="M208" i="8"/>
  <c r="Q208" i="8"/>
  <c r="E208" i="8"/>
  <c r="F759" i="8"/>
  <c r="J759" i="8"/>
  <c r="N759" i="8"/>
  <c r="R759" i="8"/>
  <c r="V759" i="8"/>
  <c r="W759" i="8"/>
  <c r="C759" i="8"/>
  <c r="G759" i="8"/>
  <c r="K759" i="8"/>
  <c r="O759" i="8"/>
  <c r="T759" i="8"/>
  <c r="X759" i="8"/>
  <c r="D759" i="8"/>
  <c r="H759" i="8"/>
  <c r="L759" i="8"/>
  <c r="P759" i="8"/>
  <c r="U759" i="8"/>
  <c r="Y759" i="8"/>
  <c r="E759" i="8"/>
  <c r="I759" i="8"/>
  <c r="M759" i="8"/>
  <c r="Q759" i="8"/>
  <c r="F14" i="8"/>
  <c r="J14" i="8"/>
  <c r="N14" i="8"/>
  <c r="R14" i="8"/>
  <c r="W14" i="8"/>
  <c r="C14" i="8"/>
  <c r="G14" i="8"/>
  <c r="K14" i="8"/>
  <c r="O14" i="8"/>
  <c r="T14" i="8"/>
  <c r="X14" i="8"/>
  <c r="D14" i="8"/>
  <c r="H14" i="8"/>
  <c r="L14" i="8"/>
  <c r="P14" i="8"/>
  <c r="U14" i="8"/>
  <c r="Y14" i="8"/>
  <c r="E14" i="8"/>
  <c r="I14" i="8"/>
  <c r="M14" i="8"/>
  <c r="Q14" i="8"/>
  <c r="V14" i="8"/>
  <c r="C359" i="8"/>
  <c r="G359" i="8"/>
  <c r="K359" i="8"/>
  <c r="O359" i="8"/>
  <c r="T359" i="8"/>
  <c r="X359" i="8"/>
  <c r="D359" i="8"/>
  <c r="H359" i="8"/>
  <c r="L359" i="8"/>
  <c r="P359" i="8"/>
  <c r="U359" i="8"/>
  <c r="Y359" i="8"/>
  <c r="E359" i="8"/>
  <c r="I359" i="8"/>
  <c r="M359" i="8"/>
  <c r="Q359" i="8"/>
  <c r="V359" i="8"/>
  <c r="F359" i="8"/>
  <c r="J359" i="8"/>
  <c r="N359" i="8"/>
  <c r="R359" i="8"/>
  <c r="W359" i="8"/>
  <c r="B15" i="8"/>
  <c r="B559" i="8"/>
  <c r="B659" i="8"/>
  <c r="B760" i="8"/>
  <c r="B209" i="8"/>
  <c r="B310" i="8"/>
  <c r="B311" i="8" s="1"/>
  <c r="B329" i="8"/>
  <c r="B360" i="8"/>
  <c r="C559" i="8" a="1"/>
  <c r="O559" i="8" a="1"/>
  <c r="I209" i="8" a="1"/>
  <c r="K329" i="8" a="1"/>
  <c r="T209" i="8" a="1"/>
  <c r="N559" i="8" a="1"/>
  <c r="F209" i="8" a="1"/>
  <c r="G15" i="8" a="1"/>
  <c r="O15" i="8" a="1"/>
  <c r="P209" i="8" a="1"/>
  <c r="O459" i="8" a="1"/>
  <c r="X329" i="8" a="1"/>
  <c r="J459" i="8" a="1"/>
  <c r="V15" i="8" a="1"/>
  <c r="J15" i="8" a="1"/>
  <c r="N459" i="8" a="1"/>
  <c r="Y209" i="8" a="1"/>
  <c r="U360" i="8" a="1"/>
  <c r="V360" i="8" a="1"/>
  <c r="O209" i="8" a="1"/>
  <c r="U659" i="8" a="1"/>
  <c r="P329" i="8" a="1"/>
  <c r="L659" i="8" a="1"/>
  <c r="U329" i="8" a="1"/>
  <c r="W360" i="8" a="1"/>
  <c r="E659" i="8" a="1"/>
  <c r="Y659" i="8" a="1"/>
  <c r="X459" i="8" a="1"/>
  <c r="T360" i="8" a="1"/>
  <c r="G559" i="8" a="1"/>
  <c r="H15" i="8" a="1"/>
  <c r="K459" i="8" a="1"/>
  <c r="P360" i="8" a="1"/>
  <c r="D329" i="8" a="1"/>
  <c r="C329" i="8" a="1"/>
  <c r="E209" i="8" a="1"/>
  <c r="Q15" i="8" a="1"/>
  <c r="L360" i="8" a="1"/>
  <c r="H659" i="8" a="1"/>
  <c r="P459" i="8" a="1"/>
  <c r="K209" i="8" a="1"/>
  <c r="M209" i="8" a="1"/>
  <c r="W559" i="8" a="1"/>
  <c r="H360" i="8" a="1"/>
  <c r="R659" i="8" a="1"/>
  <c r="F659" i="8" a="1"/>
  <c r="K559" i="8" a="1"/>
  <c r="U459" i="8" a="1"/>
  <c r="Q209" i="8" a="1"/>
  <c r="E360" i="8" a="1"/>
  <c r="Q360" i="8" a="1"/>
  <c r="W329" i="8" a="1"/>
  <c r="D559" i="8" a="1"/>
  <c r="T15" i="8" a="1"/>
  <c r="U15" i="8" a="1"/>
  <c r="P559" i="8" a="1"/>
  <c r="L459" i="8" a="1"/>
  <c r="P15" i="8" a="1"/>
  <c r="O659" i="8" a="1"/>
  <c r="N360" i="8" a="1"/>
  <c r="D459" i="8" a="1"/>
  <c r="D360" i="8" a="1"/>
  <c r="V209" i="8" a="1"/>
  <c r="T559" i="8" a="1"/>
  <c r="O329" i="8" a="1"/>
  <c r="V329" i="8" a="1"/>
  <c r="Y329" i="8" a="1"/>
  <c r="J329" i="8" a="1"/>
  <c r="I329" i="8" a="1"/>
  <c r="H559" i="8" a="1"/>
  <c r="J559" i="8" a="1"/>
  <c r="V659" i="8" a="1"/>
  <c r="E459" i="8" a="1"/>
  <c r="M360" i="8" a="1"/>
  <c r="X15" i="8" a="1"/>
  <c r="I659" i="8" a="1"/>
  <c r="Q659" i="8" a="1"/>
  <c r="Q559" i="8" a="1"/>
  <c r="M459" i="8" a="1"/>
  <c r="T329" i="8" a="1"/>
  <c r="Q329" i="8" a="1"/>
  <c r="G459" i="8" a="1"/>
  <c r="X360" i="8" a="1"/>
  <c r="R559" i="8" a="1"/>
  <c r="C659" i="8" a="1"/>
  <c r="M659" i="8" a="1"/>
  <c r="F559" i="8" a="1"/>
  <c r="U559" i="8" a="1"/>
  <c r="J360" i="8" a="1"/>
  <c r="C459" i="8" a="1"/>
  <c r="E559" i="8" a="1"/>
  <c r="N209" i="8" a="1"/>
  <c r="C360" i="8" a="1"/>
  <c r="R329" i="8" a="1"/>
  <c r="M559" i="8" a="1"/>
  <c r="Q459" i="8" a="1"/>
  <c r="J659" i="8" a="1"/>
  <c r="W209" i="8" a="1"/>
  <c r="I15" i="8" a="1"/>
  <c r="H329" i="8" a="1"/>
  <c r="I559" i="8" a="1"/>
  <c r="E15" i="8" a="1"/>
  <c r="R209" i="8" a="1"/>
  <c r="D659" i="8" a="1"/>
  <c r="M329" i="8" a="1"/>
  <c r="T459" i="8" a="1"/>
  <c r="V459" i="8" a="1"/>
  <c r="W659" i="8" a="1"/>
  <c r="R15" i="8" a="1"/>
  <c r="F360" i="8" a="1"/>
  <c r="U209" i="8" a="1"/>
  <c r="D15" i="8" a="1"/>
  <c r="L329" i="8" a="1"/>
  <c r="L559" i="8" a="1"/>
  <c r="C15" i="8" a="1"/>
  <c r="F329" i="8" a="1"/>
  <c r="F15" i="8" a="1"/>
  <c r="O360" i="8" a="1"/>
  <c r="R459" i="8" a="1"/>
  <c r="Y15" i="8" a="1"/>
  <c r="K659" i="8" a="1"/>
  <c r="K360" i="8" a="1"/>
  <c r="C209" i="8" a="1"/>
  <c r="V559" i="8" a="1"/>
  <c r="X659" i="8" a="1"/>
  <c r="G329" i="8" a="1"/>
  <c r="R360" i="8" a="1"/>
  <c r="X209" i="8" a="1"/>
  <c r="G209" i="8" a="1"/>
  <c r="L209" i="8" a="1"/>
  <c r="I360" i="8" a="1"/>
  <c r="J209" i="8" a="1"/>
  <c r="Y559" i="8" a="1"/>
  <c r="M15" i="8" a="1"/>
  <c r="Y459" i="8" a="1"/>
  <c r="P659" i="8" a="1"/>
  <c r="H209" i="8" a="1"/>
  <c r="G659" i="8" a="1"/>
  <c r="X559" i="8" a="1"/>
  <c r="L15" i="8" a="1"/>
  <c r="N15" i="8" a="1"/>
  <c r="G360" i="8" a="1"/>
  <c r="W15" i="8" a="1"/>
  <c r="I459" i="8" a="1"/>
  <c r="H459" i="8" a="1"/>
  <c r="D209" i="8" a="1"/>
  <c r="F459" i="8" a="1"/>
  <c r="K15" i="8" a="1"/>
  <c r="Y360" i="8" a="1"/>
  <c r="E329" i="8" a="1"/>
  <c r="W459" i="8" a="1"/>
  <c r="S558" i="8" l="1"/>
  <c r="V459" i="8"/>
  <c r="F459" i="8"/>
  <c r="J459" i="8"/>
  <c r="N459" i="8"/>
  <c r="R459" i="8"/>
  <c r="W459" i="8"/>
  <c r="C459" i="8"/>
  <c r="G459" i="8"/>
  <c r="K459" i="8"/>
  <c r="O459" i="8"/>
  <c r="T459" i="8"/>
  <c r="X459" i="8"/>
  <c r="D459" i="8"/>
  <c r="H459" i="8"/>
  <c r="L459" i="8"/>
  <c r="P459" i="8"/>
  <c r="U459" i="8"/>
  <c r="Y459" i="8"/>
  <c r="I459" i="8"/>
  <c r="M459" i="8"/>
  <c r="Q459" i="8"/>
  <c r="E459" i="8"/>
  <c r="D659" i="8"/>
  <c r="H659" i="8"/>
  <c r="L659" i="8"/>
  <c r="P659" i="8"/>
  <c r="U659" i="8"/>
  <c r="Y659" i="8"/>
  <c r="E659" i="8"/>
  <c r="I659" i="8"/>
  <c r="M659" i="8"/>
  <c r="Q659" i="8"/>
  <c r="V659" i="8"/>
  <c r="F659" i="8"/>
  <c r="J659" i="8"/>
  <c r="R659" i="8"/>
  <c r="W659" i="8"/>
  <c r="C659" i="8"/>
  <c r="G659" i="8"/>
  <c r="K659" i="8"/>
  <c r="O659" i="8"/>
  <c r="X659" i="8"/>
  <c r="V559" i="8"/>
  <c r="F559" i="8"/>
  <c r="J559" i="8"/>
  <c r="N559" i="8"/>
  <c r="R559" i="8"/>
  <c r="W559" i="8"/>
  <c r="C559" i="8"/>
  <c r="G559" i="8"/>
  <c r="K559" i="8"/>
  <c r="O559" i="8"/>
  <c r="M559" i="8"/>
  <c r="T559" i="8"/>
  <c r="X559" i="8"/>
  <c r="E559" i="8"/>
  <c r="Q559" i="8"/>
  <c r="D559" i="8"/>
  <c r="H559" i="8"/>
  <c r="L559" i="8"/>
  <c r="P559" i="8"/>
  <c r="U559" i="8"/>
  <c r="Y559" i="8"/>
  <c r="I559" i="8"/>
  <c r="S458" i="8"/>
  <c r="B460" i="8"/>
  <c r="B461" i="8" s="1"/>
  <c r="S208" i="8"/>
  <c r="S359" i="8"/>
  <c r="S759" i="8"/>
  <c r="S328" i="8"/>
  <c r="C209" i="8"/>
  <c r="G209" i="8"/>
  <c r="K209" i="8"/>
  <c r="O209" i="8"/>
  <c r="T209" i="8"/>
  <c r="X209" i="8"/>
  <c r="D209" i="8"/>
  <c r="H209" i="8"/>
  <c r="L209" i="8"/>
  <c r="P209" i="8"/>
  <c r="U209" i="8"/>
  <c r="Y209" i="8"/>
  <c r="E209" i="8"/>
  <c r="I209" i="8"/>
  <c r="M209" i="8"/>
  <c r="Q209" i="8"/>
  <c r="V209" i="8"/>
  <c r="F209" i="8"/>
  <c r="J209" i="8"/>
  <c r="N209" i="8"/>
  <c r="R209" i="8"/>
  <c r="W209" i="8"/>
  <c r="U360" i="8"/>
  <c r="Y360" i="8"/>
  <c r="E360" i="8"/>
  <c r="I360" i="8"/>
  <c r="M360" i="8"/>
  <c r="Q360" i="8"/>
  <c r="V360" i="8"/>
  <c r="F360" i="8"/>
  <c r="J360" i="8"/>
  <c r="N360" i="8"/>
  <c r="R360" i="8"/>
  <c r="W360" i="8"/>
  <c r="C360" i="8"/>
  <c r="G360" i="8"/>
  <c r="K360" i="8"/>
  <c r="O360" i="8"/>
  <c r="T360" i="8"/>
  <c r="X360" i="8"/>
  <c r="D360" i="8"/>
  <c r="H360" i="8"/>
  <c r="L360" i="8"/>
  <c r="P360" i="8"/>
  <c r="T15" i="8"/>
  <c r="X15" i="8"/>
  <c r="D15" i="8"/>
  <c r="H15" i="8"/>
  <c r="L15" i="8"/>
  <c r="P15" i="8"/>
  <c r="U15" i="8"/>
  <c r="Y15" i="8"/>
  <c r="E15" i="8"/>
  <c r="I15" i="8"/>
  <c r="M15" i="8"/>
  <c r="Q15" i="8"/>
  <c r="V15" i="8"/>
  <c r="F15" i="8"/>
  <c r="J15" i="8"/>
  <c r="N15" i="8"/>
  <c r="R15" i="8"/>
  <c r="W15" i="8"/>
  <c r="O15" i="8"/>
  <c r="G15" i="8"/>
  <c r="K15" i="8"/>
  <c r="C15" i="8"/>
  <c r="C329" i="8"/>
  <c r="G329" i="8"/>
  <c r="K329" i="8"/>
  <c r="O329" i="8"/>
  <c r="T329" i="8"/>
  <c r="X329" i="8"/>
  <c r="D329" i="8"/>
  <c r="H329" i="8"/>
  <c r="L329" i="8"/>
  <c r="P329" i="8"/>
  <c r="U329" i="8"/>
  <c r="Y329" i="8"/>
  <c r="E329" i="8"/>
  <c r="I329" i="8"/>
  <c r="M329" i="8"/>
  <c r="Q329" i="8"/>
  <c r="V329" i="8"/>
  <c r="F329" i="8"/>
  <c r="J329" i="8"/>
  <c r="R329" i="8"/>
  <c r="W329" i="8"/>
  <c r="S14" i="8"/>
  <c r="B16" i="8"/>
  <c r="B660" i="8"/>
  <c r="B560" i="8"/>
  <c r="B761" i="8"/>
  <c r="B210" i="8"/>
  <c r="B330" i="8"/>
  <c r="B312" i="8"/>
  <c r="B361" i="8"/>
  <c r="M660" i="8" a="1"/>
  <c r="U560" i="8" a="1"/>
  <c r="J16" i="8" a="1"/>
  <c r="R16" i="8" a="1"/>
  <c r="X361" i="8" a="1"/>
  <c r="K330" i="8" a="1"/>
  <c r="X460" i="8" a="1"/>
  <c r="J210" i="8" a="1"/>
  <c r="J330" i="8" a="1"/>
  <c r="G361" i="8" a="1"/>
  <c r="E210" i="8" a="1"/>
  <c r="I361" i="8" a="1"/>
  <c r="D361" i="8" a="1"/>
  <c r="E460" i="8" a="1"/>
  <c r="F361" i="8" a="1"/>
  <c r="M210" i="8" a="1"/>
  <c r="N460" i="8" a="1"/>
  <c r="V560" i="8" a="1"/>
  <c r="Q330" i="8" a="1"/>
  <c r="C461" i="8" a="1"/>
  <c r="F330" i="8" a="1"/>
  <c r="E330" i="8" a="1"/>
  <c r="H16" i="8" a="1"/>
  <c r="L560" i="8" a="1"/>
  <c r="L461" i="8" a="1"/>
  <c r="L210" i="8" a="1"/>
  <c r="T461" i="8" a="1"/>
  <c r="T560" i="8" a="1"/>
  <c r="K210" i="8" a="1"/>
  <c r="P660" i="8" a="1"/>
  <c r="E361" i="8" a="1"/>
  <c r="K660" i="8" a="1"/>
  <c r="P560" i="8" a="1"/>
  <c r="F660" i="8" a="1"/>
  <c r="K460" i="8" a="1"/>
  <c r="G560" i="8" a="1"/>
  <c r="O361" i="8" a="1"/>
  <c r="O461" i="8" a="1"/>
  <c r="Y210" i="8" a="1"/>
  <c r="M560" i="8" a="1"/>
  <c r="M330" i="8" a="1"/>
  <c r="Y460" i="8" a="1"/>
  <c r="V461" i="8" a="1"/>
  <c r="L16" i="8" a="1"/>
  <c r="V16" i="8" a="1"/>
  <c r="X210" i="8" a="1"/>
  <c r="R560" i="8" a="1"/>
  <c r="R460" i="8" a="1"/>
  <c r="Y330" i="8" a="1"/>
  <c r="N560" i="8" a="1"/>
  <c r="Y560" i="8" a="1"/>
  <c r="X560" i="8" a="1"/>
  <c r="K560" i="8" a="1"/>
  <c r="C660" i="8" a="1"/>
  <c r="Q210" i="8" a="1"/>
  <c r="I560" i="8" a="1"/>
  <c r="L330" i="8" a="1"/>
  <c r="D461" i="8" a="1"/>
  <c r="R361" i="8" a="1"/>
  <c r="C560" i="8" a="1"/>
  <c r="V361" i="8" a="1"/>
  <c r="W460" i="8" a="1"/>
  <c r="Q660" i="8" a="1"/>
  <c r="Y660" i="8" a="1"/>
  <c r="M16" i="8" a="1"/>
  <c r="D210" i="8" a="1"/>
  <c r="W210" i="8" a="1"/>
  <c r="M460" i="8" a="1"/>
  <c r="Q361" i="8" a="1"/>
  <c r="T330" i="8" a="1"/>
  <c r="G461" i="8" a="1"/>
  <c r="D16" i="8" a="1"/>
  <c r="J660" i="8" a="1"/>
  <c r="W660" i="8" a="1"/>
  <c r="I460" i="8" a="1"/>
  <c r="L660" i="8" a="1"/>
  <c r="N461" i="8" a="1"/>
  <c r="U461" i="8" a="1"/>
  <c r="Y461" i="8" a="1"/>
  <c r="O16" i="8" a="1"/>
  <c r="H210" i="8" a="1"/>
  <c r="P460" i="8" a="1"/>
  <c r="V330" i="8" a="1"/>
  <c r="E16" i="8" a="1"/>
  <c r="H460" i="8" a="1"/>
  <c r="D460" i="8" a="1"/>
  <c r="I16" i="8" a="1"/>
  <c r="U361" i="8" a="1"/>
  <c r="Y16" i="8" a="1"/>
  <c r="K361" i="8" a="1"/>
  <c r="W461" i="8" a="1"/>
  <c r="U330" i="8" a="1"/>
  <c r="C460" i="8" a="1"/>
  <c r="P210" i="8" a="1"/>
  <c r="T460" i="8" a="1"/>
  <c r="Q461" i="8" a="1"/>
  <c r="E461" i="8" a="1"/>
  <c r="C16" i="8" a="1"/>
  <c r="K461" i="8" a="1"/>
  <c r="F560" i="8" a="1"/>
  <c r="U210" i="8" a="1"/>
  <c r="O210" i="8" a="1"/>
  <c r="T16" i="8" a="1"/>
  <c r="T210" i="8" a="1"/>
  <c r="N16" i="8" a="1"/>
  <c r="I330" i="8" a="1"/>
  <c r="I210" i="8" a="1"/>
  <c r="T361" i="8" a="1"/>
  <c r="R210" i="8" a="1"/>
  <c r="E560" i="8" a="1"/>
  <c r="N361" i="8" a="1"/>
  <c r="Y361" i="8" a="1"/>
  <c r="H660" i="8" a="1"/>
  <c r="H560" i="8" a="1"/>
  <c r="W560" i="8" a="1"/>
  <c r="F16" i="8" a="1"/>
  <c r="C330" i="8" a="1"/>
  <c r="M361" i="8" a="1"/>
  <c r="X16" i="8" a="1"/>
  <c r="W330" i="8" a="1"/>
  <c r="E660" i="8" a="1"/>
  <c r="G210" i="8" a="1"/>
  <c r="F460" i="8" a="1"/>
  <c r="X461" i="8" a="1"/>
  <c r="P330" i="8" a="1"/>
  <c r="K16" i="8" a="1"/>
  <c r="L361" i="8" a="1"/>
  <c r="D660" i="8" a="1"/>
  <c r="P361" i="8" a="1"/>
  <c r="U460" i="8" a="1"/>
  <c r="W16" i="8" a="1"/>
  <c r="X660" i="8" a="1"/>
  <c r="R461" i="8" a="1"/>
  <c r="I660" i="8" a="1"/>
  <c r="O460" i="8" a="1"/>
  <c r="X330" i="8" a="1"/>
  <c r="G16" i="8" a="1"/>
  <c r="V210" i="8" a="1"/>
  <c r="N330" i="8" a="1"/>
  <c r="H461" i="8" a="1"/>
  <c r="O330" i="8" a="1"/>
  <c r="U16" i="8" a="1"/>
  <c r="J460" i="8" a="1"/>
  <c r="V460" i="8" a="1"/>
  <c r="P16" i="8" a="1"/>
  <c r="N210" i="8" a="1"/>
  <c r="O560" i="8" a="1"/>
  <c r="D560" i="8" a="1"/>
  <c r="O660" i="8" a="1"/>
  <c r="U660" i="8" a="1"/>
  <c r="D330" i="8" a="1"/>
  <c r="G660" i="8" a="1"/>
  <c r="W361" i="8" a="1"/>
  <c r="R660" i="8" a="1"/>
  <c r="P461" i="8" a="1"/>
  <c r="F210" i="8" a="1"/>
  <c r="M461" i="8" a="1"/>
  <c r="R330" i="8" a="1"/>
  <c r="I461" i="8" a="1"/>
  <c r="Q560" i="8" a="1"/>
  <c r="V660" i="8" a="1"/>
  <c r="F461" i="8" a="1"/>
  <c r="Q16" i="8" a="1"/>
  <c r="H330" i="8" a="1"/>
  <c r="C210" i="8" a="1"/>
  <c r="J461" i="8" a="1"/>
  <c r="G460" i="8" a="1"/>
  <c r="L460" i="8" a="1"/>
  <c r="J361" i="8" a="1"/>
  <c r="J560" i="8" a="1"/>
  <c r="Q460" i="8" a="1"/>
  <c r="G330" i="8" a="1"/>
  <c r="H361" i="8" a="1"/>
  <c r="C361" i="8" a="1"/>
  <c r="C560" i="8" l="1"/>
  <c r="G560" i="8"/>
  <c r="K560" i="8"/>
  <c r="O560" i="8"/>
  <c r="T560" i="8"/>
  <c r="X560" i="8"/>
  <c r="D560" i="8"/>
  <c r="H560" i="8"/>
  <c r="L560" i="8"/>
  <c r="P560" i="8"/>
  <c r="U560" i="8"/>
  <c r="Y560" i="8"/>
  <c r="E560" i="8"/>
  <c r="I560" i="8"/>
  <c r="M560" i="8"/>
  <c r="Q560" i="8"/>
  <c r="V560" i="8"/>
  <c r="W560" i="8"/>
  <c r="F560" i="8"/>
  <c r="J560" i="8"/>
  <c r="N560" i="8"/>
  <c r="R560" i="8"/>
  <c r="C460" i="8"/>
  <c r="G460" i="8"/>
  <c r="K460" i="8"/>
  <c r="O460" i="8"/>
  <c r="T460" i="8"/>
  <c r="X460" i="8"/>
  <c r="D460" i="8"/>
  <c r="H460" i="8"/>
  <c r="L460" i="8"/>
  <c r="P460" i="8"/>
  <c r="U460" i="8"/>
  <c r="Y460" i="8"/>
  <c r="E460" i="8"/>
  <c r="I460" i="8"/>
  <c r="M460" i="8"/>
  <c r="Q460" i="8"/>
  <c r="V460" i="8"/>
  <c r="F460" i="8"/>
  <c r="J460" i="8"/>
  <c r="N460" i="8"/>
  <c r="R460" i="8"/>
  <c r="W460" i="8"/>
  <c r="V660" i="8"/>
  <c r="F660" i="8"/>
  <c r="J660" i="8"/>
  <c r="R660" i="8"/>
  <c r="W660" i="8"/>
  <c r="C660" i="8"/>
  <c r="G660" i="8"/>
  <c r="K660" i="8"/>
  <c r="O660" i="8"/>
  <c r="X660" i="8"/>
  <c r="D660" i="8"/>
  <c r="H660" i="8"/>
  <c r="L660" i="8"/>
  <c r="P660" i="8"/>
  <c r="U660" i="8"/>
  <c r="Y660" i="8"/>
  <c r="I660" i="8"/>
  <c r="M660" i="8"/>
  <c r="Q660" i="8"/>
  <c r="E660" i="8"/>
  <c r="U461" i="8"/>
  <c r="Y461" i="8"/>
  <c r="E461" i="8"/>
  <c r="I461" i="8"/>
  <c r="M461" i="8"/>
  <c r="Q461" i="8"/>
  <c r="V461" i="8"/>
  <c r="F461" i="8"/>
  <c r="J461" i="8"/>
  <c r="N461" i="8"/>
  <c r="R461" i="8"/>
  <c r="W461" i="8"/>
  <c r="C461" i="8"/>
  <c r="G461" i="8"/>
  <c r="K461" i="8"/>
  <c r="O461" i="8"/>
  <c r="T461" i="8"/>
  <c r="X461" i="8"/>
  <c r="D461" i="8"/>
  <c r="H461" i="8"/>
  <c r="L461" i="8"/>
  <c r="P461" i="8"/>
  <c r="S459" i="8"/>
  <c r="S559" i="8"/>
  <c r="F361" i="8"/>
  <c r="J361" i="8"/>
  <c r="N361" i="8"/>
  <c r="R361" i="8"/>
  <c r="W361" i="8"/>
  <c r="C361" i="8"/>
  <c r="G361" i="8"/>
  <c r="K361" i="8"/>
  <c r="O361" i="8"/>
  <c r="T361" i="8"/>
  <c r="X361" i="8"/>
  <c r="D361" i="8"/>
  <c r="H361" i="8"/>
  <c r="L361" i="8"/>
  <c r="P361" i="8"/>
  <c r="U361" i="8"/>
  <c r="Y361" i="8"/>
  <c r="E361" i="8"/>
  <c r="I361" i="8"/>
  <c r="M361" i="8"/>
  <c r="Q361" i="8"/>
  <c r="V361" i="8"/>
  <c r="E16" i="8"/>
  <c r="I16" i="8"/>
  <c r="M16" i="8"/>
  <c r="Q16" i="8"/>
  <c r="V16" i="8"/>
  <c r="F16" i="8"/>
  <c r="J16" i="8"/>
  <c r="N16" i="8"/>
  <c r="R16" i="8"/>
  <c r="W16" i="8"/>
  <c r="C16" i="8"/>
  <c r="G16" i="8"/>
  <c r="K16" i="8"/>
  <c r="O16" i="8"/>
  <c r="T16" i="8"/>
  <c r="X16" i="8"/>
  <c r="D16" i="8"/>
  <c r="H16" i="8"/>
  <c r="L16" i="8"/>
  <c r="P16" i="8"/>
  <c r="Y16" i="8"/>
  <c r="U16" i="8"/>
  <c r="U330" i="8"/>
  <c r="Y330" i="8"/>
  <c r="E330" i="8"/>
  <c r="I330" i="8"/>
  <c r="M330" i="8"/>
  <c r="Q330" i="8"/>
  <c r="V330" i="8"/>
  <c r="F330" i="8"/>
  <c r="J330" i="8"/>
  <c r="N330" i="8"/>
  <c r="R330" i="8"/>
  <c r="W330" i="8"/>
  <c r="C330" i="8"/>
  <c r="G330" i="8"/>
  <c r="K330" i="8"/>
  <c r="O330" i="8"/>
  <c r="T330" i="8"/>
  <c r="X330" i="8"/>
  <c r="D330" i="8"/>
  <c r="H330" i="8"/>
  <c r="L330" i="8"/>
  <c r="P330" i="8"/>
  <c r="U210" i="8"/>
  <c r="Y210" i="8"/>
  <c r="E210" i="8"/>
  <c r="I210" i="8"/>
  <c r="M210" i="8"/>
  <c r="Q210" i="8"/>
  <c r="V210" i="8"/>
  <c r="F210" i="8"/>
  <c r="J210" i="8"/>
  <c r="N210" i="8"/>
  <c r="R210" i="8"/>
  <c r="W210" i="8"/>
  <c r="C210" i="8"/>
  <c r="G210" i="8"/>
  <c r="K210" i="8"/>
  <c r="O210" i="8"/>
  <c r="T210" i="8"/>
  <c r="X210" i="8"/>
  <c r="D210" i="8"/>
  <c r="H210" i="8"/>
  <c r="L210" i="8"/>
  <c r="P210" i="8"/>
  <c r="S360" i="8"/>
  <c r="S329" i="8"/>
  <c r="S15" i="8"/>
  <c r="S209" i="8"/>
  <c r="B17" i="8"/>
  <c r="B561" i="8"/>
  <c r="B661" i="8"/>
  <c r="B762" i="8"/>
  <c r="B331" i="8"/>
  <c r="B211" i="8"/>
  <c r="B313" i="8"/>
  <c r="B462" i="8"/>
  <c r="B362" i="8"/>
  <c r="C661" i="8" a="1"/>
  <c r="J17" i="8" a="1"/>
  <c r="E362" i="8" a="1"/>
  <c r="G331" i="8" a="1"/>
  <c r="H362" i="8" a="1"/>
  <c r="I331" i="8" a="1"/>
  <c r="P661" i="8" a="1"/>
  <c r="L362" i="8" a="1"/>
  <c r="N331" i="8" a="1"/>
  <c r="H561" i="8" a="1"/>
  <c r="X17" i="8" a="1"/>
  <c r="G362" i="8" a="1"/>
  <c r="P211" i="8" a="1"/>
  <c r="M462" i="8" a="1"/>
  <c r="K661" i="8" a="1"/>
  <c r="F661" i="8" a="1"/>
  <c r="M211" i="8" a="1"/>
  <c r="T462" i="8" a="1"/>
  <c r="O561" i="8" a="1"/>
  <c r="L661" i="8" a="1"/>
  <c r="J211" i="8" a="1"/>
  <c r="J362" i="8" a="1"/>
  <c r="Q362" i="8" a="1"/>
  <c r="U331" i="8" a="1"/>
  <c r="K331" i="8" a="1"/>
  <c r="O661" i="8" a="1"/>
  <c r="U462" i="8" a="1"/>
  <c r="X661" i="8" a="1"/>
  <c r="P561" i="8" a="1"/>
  <c r="K362" i="8" a="1"/>
  <c r="L331" i="8" a="1"/>
  <c r="Y561" i="8" a="1"/>
  <c r="W462" i="8" a="1"/>
  <c r="W561" i="8" a="1"/>
  <c r="F362" i="8" a="1"/>
  <c r="U561" i="8" a="1"/>
  <c r="N362" i="8" a="1"/>
  <c r="O331" i="8" a="1"/>
  <c r="V17" i="8" a="1"/>
  <c r="W17" i="8" a="1"/>
  <c r="N462" i="8" a="1"/>
  <c r="X331" i="8" a="1"/>
  <c r="U661" i="8" a="1"/>
  <c r="X362" i="8" a="1"/>
  <c r="K462" i="8" a="1"/>
  <c r="J462" i="8" a="1"/>
  <c r="G561" i="8" a="1"/>
  <c r="K561" i="8" a="1"/>
  <c r="W211" i="8" a="1"/>
  <c r="D661" i="8" a="1"/>
  <c r="F561" i="8" a="1"/>
  <c r="I661" i="8" a="1"/>
  <c r="F17" i="8" a="1"/>
  <c r="G211" i="8" a="1"/>
  <c r="L561" i="8" a="1"/>
  <c r="O462" i="8" a="1"/>
  <c r="Q462" i="8" a="1"/>
  <c r="Q17" i="8" a="1"/>
  <c r="U362" i="8" a="1"/>
  <c r="R362" i="8" a="1"/>
  <c r="C17" i="8" a="1"/>
  <c r="O211" i="8" a="1"/>
  <c r="W362" i="8" a="1"/>
  <c r="M661" i="8" a="1"/>
  <c r="K211" i="8" a="1"/>
  <c r="V561" i="8" a="1"/>
  <c r="P362" i="8" a="1"/>
  <c r="R561" i="8" a="1"/>
  <c r="I462" i="8" a="1"/>
  <c r="Y17" i="8" a="1"/>
  <c r="O362" i="8" a="1"/>
  <c r="V331" i="8" a="1"/>
  <c r="W331" i="8" a="1"/>
  <c r="D211" i="8" a="1"/>
  <c r="I211" i="8" a="1"/>
  <c r="U17" i="8" a="1"/>
  <c r="G462" i="8" a="1"/>
  <c r="E331" i="8" a="1"/>
  <c r="R17" i="8" a="1"/>
  <c r="Y462" i="8" a="1"/>
  <c r="F211" i="8" a="1"/>
  <c r="T17" i="8" a="1"/>
  <c r="D561" i="8" a="1"/>
  <c r="K17" i="8" a="1"/>
  <c r="T561" i="8" a="1"/>
  <c r="I561" i="8" a="1"/>
  <c r="G661" i="8" a="1"/>
  <c r="W661" i="8" a="1"/>
  <c r="C211" i="8" a="1"/>
  <c r="V462" i="8" a="1"/>
  <c r="R661" i="8" a="1"/>
  <c r="T211" i="8" a="1"/>
  <c r="J561" i="8" a="1"/>
  <c r="C331" i="8" a="1"/>
  <c r="N561" i="8" a="1"/>
  <c r="F462" i="8" a="1"/>
  <c r="C561" i="8" a="1"/>
  <c r="G17" i="8" a="1"/>
  <c r="F331" i="8" a="1"/>
  <c r="X211" i="8" a="1"/>
  <c r="V661" i="8" a="1"/>
  <c r="C362" i="8" a="1"/>
  <c r="I17" i="8" a="1"/>
  <c r="D362" i="8" a="1"/>
  <c r="U211" i="8" a="1"/>
  <c r="H661" i="8" a="1"/>
  <c r="L462" i="8" a="1"/>
  <c r="T362" i="8" a="1"/>
  <c r="D462" i="8" a="1"/>
  <c r="T331" i="8" a="1"/>
  <c r="R462" i="8" a="1"/>
  <c r="H331" i="8" a="1"/>
  <c r="Q561" i="8" a="1"/>
  <c r="L17" i="8" a="1"/>
  <c r="V362" i="8" a="1"/>
  <c r="O17" i="8" a="1"/>
  <c r="E17" i="8" a="1"/>
  <c r="X462" i="8" a="1"/>
  <c r="J331" i="8" a="1"/>
  <c r="I362" i="8" a="1"/>
  <c r="E211" i="8" a="1"/>
  <c r="Y661" i="8" a="1"/>
  <c r="M362" i="8" a="1"/>
  <c r="P17" i="8" a="1"/>
  <c r="C462" i="8" a="1"/>
  <c r="P331" i="8" a="1"/>
  <c r="Y331" i="8" a="1"/>
  <c r="M561" i="8" a="1"/>
  <c r="N211" i="8" a="1"/>
  <c r="D331" i="8" a="1"/>
  <c r="X561" i="8" a="1"/>
  <c r="R331" i="8" a="1"/>
  <c r="H462" i="8" a="1"/>
  <c r="Y362" i="8" a="1"/>
  <c r="E462" i="8" a="1"/>
  <c r="Q211" i="8" a="1"/>
  <c r="M17" i="8" a="1"/>
  <c r="H17" i="8" a="1"/>
  <c r="R211" i="8" a="1"/>
  <c r="D17" i="8" a="1"/>
  <c r="J661" i="8" a="1"/>
  <c r="Y211" i="8" a="1"/>
  <c r="L211" i="8" a="1"/>
  <c r="Q331" i="8" a="1"/>
  <c r="E561" i="8" a="1"/>
  <c r="P462" i="8" a="1"/>
  <c r="N17" i="8" a="1"/>
  <c r="V211" i="8" a="1"/>
  <c r="E661" i="8" a="1"/>
  <c r="M331" i="8" a="1"/>
  <c r="Q661" i="8" a="1"/>
  <c r="H211" i="8" a="1"/>
  <c r="S560" i="8" l="1"/>
  <c r="F462" i="8"/>
  <c r="J462" i="8"/>
  <c r="N462" i="8"/>
  <c r="R462" i="8"/>
  <c r="W462" i="8"/>
  <c r="C462" i="8"/>
  <c r="G462" i="8"/>
  <c r="K462" i="8"/>
  <c r="O462" i="8"/>
  <c r="T462" i="8"/>
  <c r="X462" i="8"/>
  <c r="D462" i="8"/>
  <c r="H462" i="8"/>
  <c r="L462" i="8"/>
  <c r="P462" i="8"/>
  <c r="U462" i="8"/>
  <c r="Y462" i="8"/>
  <c r="E462" i="8"/>
  <c r="I462" i="8"/>
  <c r="M462" i="8"/>
  <c r="Q462" i="8"/>
  <c r="V462" i="8"/>
  <c r="C661" i="8"/>
  <c r="G661" i="8"/>
  <c r="K661" i="8"/>
  <c r="O661" i="8"/>
  <c r="X661" i="8"/>
  <c r="D661" i="8"/>
  <c r="H661" i="8"/>
  <c r="L661" i="8"/>
  <c r="P661" i="8"/>
  <c r="U661" i="8"/>
  <c r="Y661" i="8"/>
  <c r="E661" i="8"/>
  <c r="I661" i="8"/>
  <c r="M661" i="8"/>
  <c r="Q661" i="8"/>
  <c r="V661" i="8"/>
  <c r="F661" i="8"/>
  <c r="J661" i="8"/>
  <c r="R661" i="8"/>
  <c r="W661" i="8"/>
  <c r="U561" i="8"/>
  <c r="Y561" i="8"/>
  <c r="Q561" i="8"/>
  <c r="P561" i="8"/>
  <c r="E561" i="8"/>
  <c r="I561" i="8"/>
  <c r="M561" i="8"/>
  <c r="V561" i="8"/>
  <c r="F561" i="8"/>
  <c r="J561" i="8"/>
  <c r="N561" i="8"/>
  <c r="R561" i="8"/>
  <c r="D561" i="8"/>
  <c r="W561" i="8"/>
  <c r="L561" i="8"/>
  <c r="C561" i="8"/>
  <c r="G561" i="8"/>
  <c r="K561" i="8"/>
  <c r="O561" i="8"/>
  <c r="T561" i="8"/>
  <c r="X561" i="8"/>
  <c r="H561" i="8"/>
  <c r="S461" i="8"/>
  <c r="S460" i="8"/>
  <c r="S210" i="8"/>
  <c r="T362" i="8"/>
  <c r="X362" i="8"/>
  <c r="D362" i="8"/>
  <c r="H362" i="8"/>
  <c r="L362" i="8"/>
  <c r="P362" i="8"/>
  <c r="U362" i="8"/>
  <c r="Y362" i="8"/>
  <c r="E362" i="8"/>
  <c r="I362" i="8"/>
  <c r="M362" i="8"/>
  <c r="Q362" i="8"/>
  <c r="V362" i="8"/>
  <c r="F362" i="8"/>
  <c r="J362" i="8"/>
  <c r="N362" i="8"/>
  <c r="R362" i="8"/>
  <c r="W362" i="8"/>
  <c r="O362" i="8"/>
  <c r="C362" i="8"/>
  <c r="G362" i="8"/>
  <c r="K362" i="8"/>
  <c r="W17" i="8"/>
  <c r="C17" i="8"/>
  <c r="G17" i="8"/>
  <c r="K17" i="8"/>
  <c r="O17" i="8"/>
  <c r="T17" i="8"/>
  <c r="X17" i="8"/>
  <c r="D17" i="8"/>
  <c r="H17" i="8"/>
  <c r="L17" i="8"/>
  <c r="P17" i="8"/>
  <c r="U17" i="8"/>
  <c r="Y17" i="8"/>
  <c r="E17" i="8"/>
  <c r="I17" i="8"/>
  <c r="M17" i="8"/>
  <c r="Q17" i="8"/>
  <c r="V17" i="8"/>
  <c r="F17" i="8"/>
  <c r="J17" i="8"/>
  <c r="N17" i="8"/>
  <c r="R17" i="8"/>
  <c r="F331" i="8"/>
  <c r="J331" i="8"/>
  <c r="N331" i="8"/>
  <c r="R331" i="8"/>
  <c r="W331" i="8"/>
  <c r="C331" i="8"/>
  <c r="G331" i="8"/>
  <c r="K331" i="8"/>
  <c r="O331" i="8"/>
  <c r="T331" i="8"/>
  <c r="X331" i="8"/>
  <c r="D331" i="8"/>
  <c r="H331" i="8"/>
  <c r="L331" i="8"/>
  <c r="P331" i="8"/>
  <c r="U331" i="8"/>
  <c r="Y331" i="8"/>
  <c r="E331" i="8"/>
  <c r="I331" i="8"/>
  <c r="M331" i="8"/>
  <c r="Q331" i="8"/>
  <c r="V331" i="8"/>
  <c r="F211" i="8"/>
  <c r="J211" i="8"/>
  <c r="N211" i="8"/>
  <c r="R211" i="8"/>
  <c r="W211" i="8"/>
  <c r="C211" i="8"/>
  <c r="G211" i="8"/>
  <c r="K211" i="8"/>
  <c r="O211" i="8"/>
  <c r="T211" i="8"/>
  <c r="X211" i="8"/>
  <c r="D211" i="8"/>
  <c r="H211" i="8"/>
  <c r="L211" i="8"/>
  <c r="P211" i="8"/>
  <c r="U211" i="8"/>
  <c r="Y211" i="8"/>
  <c r="E211" i="8"/>
  <c r="I211" i="8"/>
  <c r="M211" i="8"/>
  <c r="Q211" i="8"/>
  <c r="V211" i="8"/>
  <c r="S361" i="8"/>
  <c r="S330" i="8"/>
  <c r="S16" i="8"/>
  <c r="B18" i="8"/>
  <c r="B662" i="8"/>
  <c r="B562" i="8"/>
  <c r="B763" i="8"/>
  <c r="B212" i="8"/>
  <c r="B332" i="8"/>
  <c r="B314" i="8"/>
  <c r="B463" i="8"/>
  <c r="B363" i="8"/>
  <c r="N662" i="8" a="1"/>
  <c r="E662" i="8" a="1"/>
  <c r="L363" i="8" a="1"/>
  <c r="J662" i="8" a="1"/>
  <c r="R363" i="8" a="1"/>
  <c r="O463" i="8" a="1"/>
  <c r="J18" i="8" a="1"/>
  <c r="W332" i="8" a="1"/>
  <c r="N463" i="8" a="1"/>
  <c r="F363" i="8" a="1"/>
  <c r="V18" i="8" a="1"/>
  <c r="O363" i="8" a="1"/>
  <c r="V212" i="8" a="1"/>
  <c r="U212" i="8" a="1"/>
  <c r="L212" i="8" a="1"/>
  <c r="K332" i="8" a="1"/>
  <c r="P363" i="8" a="1"/>
  <c r="K463" i="8" a="1"/>
  <c r="O18" i="8" a="1"/>
  <c r="H363" i="8" a="1"/>
  <c r="Y332" i="8" a="1"/>
  <c r="C463" i="8" a="1"/>
  <c r="N363" i="8" a="1"/>
  <c r="H18" i="8" a="1"/>
  <c r="W18" i="8" a="1"/>
  <c r="L562" i="8" a="1"/>
  <c r="E18" i="8" a="1"/>
  <c r="R332" i="8" a="1"/>
  <c r="F212" i="8" a="1"/>
  <c r="C562" i="8" a="1"/>
  <c r="O562" i="8" a="1"/>
  <c r="W562" i="8" a="1"/>
  <c r="T562" i="8" a="1"/>
  <c r="D562" i="8" a="1"/>
  <c r="I363" i="8" a="1"/>
  <c r="Q363" i="8" a="1"/>
  <c r="H662" i="8" a="1"/>
  <c r="Y463" i="8" a="1"/>
  <c r="F662" i="8" a="1"/>
  <c r="U363" i="8" a="1"/>
  <c r="I662" i="8" a="1"/>
  <c r="K18" i="8" a="1"/>
  <c r="U562" i="8" a="1"/>
  <c r="F18" i="8" a="1"/>
  <c r="W463" i="8" a="1"/>
  <c r="N18" i="8" a="1"/>
  <c r="L662" i="8" a="1"/>
  <c r="F332" i="8" a="1"/>
  <c r="Q212" i="8" a="1"/>
  <c r="M562" i="8" a="1"/>
  <c r="I463" i="8" a="1"/>
  <c r="D463" i="8" a="1"/>
  <c r="I212" i="8" a="1"/>
  <c r="J332" i="8" a="1"/>
  <c r="R212" i="8" a="1"/>
  <c r="Y363" i="8" a="1"/>
  <c r="L463" i="8" a="1"/>
  <c r="Q18" i="8" a="1"/>
  <c r="W662" i="8" a="1"/>
  <c r="T18" i="8" a="1"/>
  <c r="U662" i="8" a="1"/>
  <c r="R463" i="8" a="1"/>
  <c r="H463" i="8" a="1"/>
  <c r="G212" i="8" a="1"/>
  <c r="K662" i="8" a="1"/>
  <c r="K212" i="8" a="1"/>
  <c r="G463" i="8" a="1"/>
  <c r="P18" i="8" a="1"/>
  <c r="C332" i="8" a="1"/>
  <c r="F562" i="8" a="1"/>
  <c r="K363" i="8" a="1"/>
  <c r="R18" i="8" a="1"/>
  <c r="E363" i="8" a="1"/>
  <c r="I18" i="8" a="1"/>
  <c r="G363" i="8" a="1"/>
  <c r="Q562" i="8" a="1"/>
  <c r="D212" i="8" a="1"/>
  <c r="O212" i="8" a="1"/>
  <c r="W212" i="8" a="1"/>
  <c r="X463" i="8" a="1"/>
  <c r="K562" i="8" a="1"/>
  <c r="G662" i="8" a="1"/>
  <c r="V363" i="8" a="1"/>
  <c r="E562" i="8" a="1"/>
  <c r="Y212" i="8" a="1"/>
  <c r="C662" i="8" a="1"/>
  <c r="X363" i="8" a="1"/>
  <c r="M463" i="8" a="1"/>
  <c r="N212" i="8" a="1"/>
  <c r="Y662" i="8" a="1"/>
  <c r="X212" i="8" a="1"/>
  <c r="V463" i="8" a="1"/>
  <c r="N562" i="8" a="1"/>
  <c r="N332" i="8" a="1"/>
  <c r="W363" i="8" a="1"/>
  <c r="J562" i="8" a="1"/>
  <c r="J463" i="8" a="1"/>
  <c r="E212" i="8" a="1"/>
  <c r="V662" i="8" a="1"/>
  <c r="O332" i="8" a="1"/>
  <c r="G18" i="8" a="1"/>
  <c r="V332" i="8" a="1"/>
  <c r="G562" i="8" a="1"/>
  <c r="U332" i="8" a="1"/>
  <c r="R562" i="8" a="1"/>
  <c r="C212" i="8" a="1"/>
  <c r="D18" i="8" a="1"/>
  <c r="Q463" i="8" a="1"/>
  <c r="C18" i="8" a="1"/>
  <c r="T332" i="8" a="1"/>
  <c r="T212" i="8" a="1"/>
  <c r="P332" i="8" a="1"/>
  <c r="H212" i="8" a="1"/>
  <c r="D662" i="8" a="1"/>
  <c r="X332" i="8" a="1"/>
  <c r="O662" i="8" a="1"/>
  <c r="L332" i="8" a="1"/>
  <c r="T463" i="8" a="1"/>
  <c r="Y562" i="8" a="1"/>
  <c r="C363" i="8" a="1"/>
  <c r="I562" i="8" a="1"/>
  <c r="X562" i="8" a="1"/>
  <c r="Q662" i="8" a="1"/>
  <c r="H332" i="8" a="1"/>
  <c r="D332" i="8" a="1"/>
  <c r="T662" i="8" a="1"/>
  <c r="P212" i="8" a="1"/>
  <c r="X18" i="8" a="1"/>
  <c r="G332" i="8" a="1"/>
  <c r="T363" i="8" a="1"/>
  <c r="Q332" i="8" a="1"/>
  <c r="M662" i="8" a="1"/>
  <c r="E332" i="8" a="1"/>
  <c r="J212" i="8" a="1"/>
  <c r="J363" i="8" a="1"/>
  <c r="E463" i="8" a="1"/>
  <c r="V562" i="8" a="1"/>
  <c r="D363" i="8" a="1"/>
  <c r="U18" i="8" a="1"/>
  <c r="M212" i="8" a="1"/>
  <c r="Y18" i="8" a="1"/>
  <c r="P562" i="8" a="1"/>
  <c r="F463" i="8" a="1"/>
  <c r="P463" i="8" a="1"/>
  <c r="H562" i="8" a="1"/>
  <c r="L18" i="8" a="1"/>
  <c r="I332" i="8" a="1"/>
  <c r="M332" i="8" a="1"/>
  <c r="U463" i="8" a="1"/>
  <c r="R662" i="8" a="1"/>
  <c r="P662" i="8" a="1"/>
  <c r="X662" i="8" a="1"/>
  <c r="M18" i="8" a="1"/>
  <c r="M363" i="8" a="1"/>
  <c r="S561" i="8" l="1"/>
  <c r="U662" i="8"/>
  <c r="Y662" i="8"/>
  <c r="E662" i="8"/>
  <c r="I662" i="8"/>
  <c r="M662" i="8"/>
  <c r="Q662" i="8"/>
  <c r="V662" i="8"/>
  <c r="F662" i="8"/>
  <c r="J662" i="8"/>
  <c r="N662" i="8"/>
  <c r="R662" i="8"/>
  <c r="W662" i="8"/>
  <c r="C662" i="8"/>
  <c r="G662" i="8"/>
  <c r="K662" i="8"/>
  <c r="O662" i="8"/>
  <c r="T662" i="8"/>
  <c r="X662" i="8"/>
  <c r="D662" i="8"/>
  <c r="H662" i="8"/>
  <c r="L662" i="8"/>
  <c r="P662" i="8"/>
  <c r="F562" i="8"/>
  <c r="J562" i="8"/>
  <c r="N562" i="8"/>
  <c r="R562" i="8"/>
  <c r="W562" i="8"/>
  <c r="C562" i="8"/>
  <c r="G562" i="8"/>
  <c r="K562" i="8"/>
  <c r="O562" i="8"/>
  <c r="T562" i="8"/>
  <c r="X562" i="8"/>
  <c r="D562" i="8"/>
  <c r="H562" i="8"/>
  <c r="L562" i="8"/>
  <c r="P562" i="8"/>
  <c r="V562" i="8"/>
  <c r="U562" i="8"/>
  <c r="Y562" i="8"/>
  <c r="E562" i="8"/>
  <c r="I562" i="8"/>
  <c r="M562" i="8"/>
  <c r="Q562" i="8"/>
  <c r="T463" i="8"/>
  <c r="X463" i="8"/>
  <c r="D463" i="8"/>
  <c r="H463" i="8"/>
  <c r="L463" i="8"/>
  <c r="P463" i="8"/>
  <c r="U463" i="8"/>
  <c r="Y463" i="8"/>
  <c r="E463" i="8"/>
  <c r="I463" i="8"/>
  <c r="M463" i="8"/>
  <c r="Q463" i="8"/>
  <c r="V463" i="8"/>
  <c r="F463" i="8"/>
  <c r="J463" i="8"/>
  <c r="N463" i="8"/>
  <c r="R463" i="8"/>
  <c r="W463" i="8"/>
  <c r="O463" i="8"/>
  <c r="C463" i="8"/>
  <c r="G463" i="8"/>
  <c r="K463" i="8"/>
  <c r="S462" i="8"/>
  <c r="S211" i="8"/>
  <c r="S331" i="8"/>
  <c r="S17" i="8"/>
  <c r="T212" i="8"/>
  <c r="X212" i="8"/>
  <c r="D212" i="8"/>
  <c r="H212" i="8"/>
  <c r="L212" i="8"/>
  <c r="P212" i="8"/>
  <c r="U212" i="8"/>
  <c r="Y212" i="8"/>
  <c r="E212" i="8"/>
  <c r="I212" i="8"/>
  <c r="M212" i="8"/>
  <c r="Q212" i="8"/>
  <c r="V212" i="8"/>
  <c r="F212" i="8"/>
  <c r="J212" i="8"/>
  <c r="N212" i="8"/>
  <c r="R212" i="8"/>
  <c r="W212" i="8"/>
  <c r="O212" i="8"/>
  <c r="C212" i="8"/>
  <c r="G212" i="8"/>
  <c r="K212" i="8"/>
  <c r="T332" i="8"/>
  <c r="X332" i="8"/>
  <c r="D332" i="8"/>
  <c r="H332" i="8"/>
  <c r="L332" i="8"/>
  <c r="P332" i="8"/>
  <c r="U332" i="8"/>
  <c r="Y332" i="8"/>
  <c r="E332" i="8"/>
  <c r="I332" i="8"/>
  <c r="M332" i="8"/>
  <c r="Q332" i="8"/>
  <c r="V332" i="8"/>
  <c r="F332" i="8"/>
  <c r="J332" i="8"/>
  <c r="N332" i="8"/>
  <c r="R332" i="8"/>
  <c r="W332" i="8"/>
  <c r="O332" i="8"/>
  <c r="K332" i="8"/>
  <c r="C332" i="8"/>
  <c r="G332" i="8"/>
  <c r="E363" i="8"/>
  <c r="I363" i="8"/>
  <c r="M363" i="8"/>
  <c r="Q363" i="8"/>
  <c r="V363" i="8"/>
  <c r="F363" i="8"/>
  <c r="J363" i="8"/>
  <c r="N363" i="8"/>
  <c r="R363" i="8"/>
  <c r="W363" i="8"/>
  <c r="C363" i="8"/>
  <c r="G363" i="8"/>
  <c r="K363" i="8"/>
  <c r="O363" i="8"/>
  <c r="T363" i="8"/>
  <c r="X363" i="8"/>
  <c r="D363" i="8"/>
  <c r="H363" i="8"/>
  <c r="L363" i="8"/>
  <c r="P363" i="8"/>
  <c r="Y363" i="8"/>
  <c r="U363" i="8"/>
  <c r="D18" i="8"/>
  <c r="H18" i="8"/>
  <c r="L18" i="8"/>
  <c r="P18" i="8"/>
  <c r="U18" i="8"/>
  <c r="Y18" i="8"/>
  <c r="E18" i="8"/>
  <c r="I18" i="8"/>
  <c r="M18" i="8"/>
  <c r="Q18" i="8"/>
  <c r="V18" i="8"/>
  <c r="F18" i="8"/>
  <c r="J18" i="8"/>
  <c r="N18" i="8"/>
  <c r="R18" i="8"/>
  <c r="W18" i="8"/>
  <c r="C18" i="8"/>
  <c r="G18" i="8"/>
  <c r="K18" i="8"/>
  <c r="O18" i="8"/>
  <c r="T18" i="8"/>
  <c r="X18" i="8"/>
  <c r="S362" i="8"/>
  <c r="B19" i="8"/>
  <c r="B563" i="8"/>
  <c r="B663" i="8"/>
  <c r="B764" i="8"/>
  <c r="B213" i="8"/>
  <c r="B333" i="8"/>
  <c r="B315" i="8"/>
  <c r="B464" i="8"/>
  <c r="B364" i="8"/>
  <c r="P213" i="8" a="1"/>
  <c r="H663" i="8" a="1"/>
  <c r="N333" i="8" a="1"/>
  <c r="I213" i="8" a="1"/>
  <c r="I364" i="8" a="1"/>
  <c r="F364" i="8" a="1"/>
  <c r="M364" i="8" a="1"/>
  <c r="X663" i="8" a="1"/>
  <c r="Q333" i="8" a="1"/>
  <c r="I464" i="8" a="1"/>
  <c r="D563" i="8" a="1"/>
  <c r="P464" i="8" a="1"/>
  <c r="X364" i="8" a="1"/>
  <c r="U19" i="8" a="1"/>
  <c r="P563" i="8" a="1"/>
  <c r="F464" i="8" a="1"/>
  <c r="X19" i="8" a="1"/>
  <c r="J563" i="8" a="1"/>
  <c r="T19" i="8" a="1"/>
  <c r="E213" i="8" a="1"/>
  <c r="J663" i="8" a="1"/>
  <c r="M19" i="8" a="1"/>
  <c r="R333" i="8" a="1"/>
  <c r="W464" i="8" a="1"/>
  <c r="D19" i="8" a="1"/>
  <c r="I19" i="8" a="1"/>
  <c r="C213" i="8" a="1"/>
  <c r="N19" i="8" a="1"/>
  <c r="L464" i="8" a="1"/>
  <c r="O663" i="8" a="1"/>
  <c r="Q213" i="8" a="1"/>
  <c r="H563" i="8" a="1"/>
  <c r="U663" i="8" a="1"/>
  <c r="Q364" i="8" a="1"/>
  <c r="N563" i="8" a="1"/>
  <c r="H213" i="8" a="1"/>
  <c r="T563" i="8" a="1"/>
  <c r="V213" i="8" a="1"/>
  <c r="G364" i="8" a="1"/>
  <c r="O333" i="8" a="1"/>
  <c r="U364" i="8" a="1"/>
  <c r="L663" i="8" a="1"/>
  <c r="C333" i="8" a="1"/>
  <c r="X563" i="8" a="1"/>
  <c r="I333" i="8" a="1"/>
  <c r="R213" i="8" a="1"/>
  <c r="L19" i="8" a="1"/>
  <c r="P19" i="8" a="1"/>
  <c r="L213" i="8" a="1"/>
  <c r="R19" i="8" a="1"/>
  <c r="E333" i="8" a="1"/>
  <c r="R663" i="8" a="1"/>
  <c r="Y364" i="8" a="1"/>
  <c r="C464" i="8" a="1"/>
  <c r="C663" i="8" a="1"/>
  <c r="G213" i="8" a="1"/>
  <c r="J213" i="8" a="1"/>
  <c r="P364" i="8" a="1"/>
  <c r="K464" i="8" a="1"/>
  <c r="D364" i="8" a="1"/>
  <c r="F19" i="8" a="1"/>
  <c r="D213" i="8" a="1"/>
  <c r="V464" i="8" a="1"/>
  <c r="K663" i="8" a="1"/>
  <c r="U563" i="8" a="1"/>
  <c r="G19" i="8" a="1"/>
  <c r="R364" i="8" a="1"/>
  <c r="Y663" i="8" a="1"/>
  <c r="F213" i="8" a="1"/>
  <c r="X333" i="8" a="1"/>
  <c r="J364" i="8" a="1"/>
  <c r="C19" i="8" a="1"/>
  <c r="Q563" i="8" a="1"/>
  <c r="O19" i="8" a="1"/>
  <c r="L333" i="8" a="1"/>
  <c r="N364" i="8" a="1"/>
  <c r="N464" i="8" a="1"/>
  <c r="Y333" i="8" a="1"/>
  <c r="Y19" i="8" a="1"/>
  <c r="V19" i="8" a="1"/>
  <c r="H364" i="8" a="1"/>
  <c r="C563" i="8" a="1"/>
  <c r="V563" i="8" a="1"/>
  <c r="T213" i="8" a="1"/>
  <c r="V663" i="8" a="1"/>
  <c r="O364" i="8" a="1"/>
  <c r="R464" i="8" a="1"/>
  <c r="R563" i="8" a="1"/>
  <c r="J19" i="8" a="1"/>
  <c r="W213" i="8" a="1"/>
  <c r="D663" i="8" a="1"/>
  <c r="M563" i="8" a="1"/>
  <c r="E563" i="8" a="1"/>
  <c r="Q19" i="8" a="1"/>
  <c r="O563" i="8" a="1"/>
  <c r="E663" i="8" a="1"/>
  <c r="K19" i="8" a="1"/>
  <c r="K563" i="8" a="1"/>
  <c r="T464" i="8" a="1"/>
  <c r="W19" i="8" a="1"/>
  <c r="H19" i="8" a="1"/>
  <c r="O213" i="8" a="1"/>
  <c r="Y213" i="8" a="1"/>
  <c r="W333" i="8" a="1"/>
  <c r="K364" i="8" a="1"/>
  <c r="P333" i="8" a="1"/>
  <c r="I563" i="8" a="1"/>
  <c r="K213" i="8" a="1"/>
  <c r="G663" i="8" a="1"/>
  <c r="Q663" i="8" a="1"/>
  <c r="E464" i="8" a="1"/>
  <c r="V364" i="8" a="1"/>
  <c r="N213" i="8" a="1"/>
  <c r="F333" i="8" a="1"/>
  <c r="G563" i="8" a="1"/>
  <c r="V333" i="8" a="1"/>
  <c r="F563" i="8" a="1"/>
  <c r="L364" i="8" a="1"/>
  <c r="Y563" i="8" a="1"/>
  <c r="U464" i="8" a="1"/>
  <c r="P663" i="8" a="1"/>
  <c r="U213" i="8" a="1"/>
  <c r="X213" i="8" a="1"/>
  <c r="E364" i="8" a="1"/>
  <c r="J464" i="8" a="1"/>
  <c r="M464" i="8" a="1"/>
  <c r="K333" i="8" a="1"/>
  <c r="C364" i="8" a="1"/>
  <c r="D333" i="8" a="1"/>
  <c r="T364" i="8" a="1"/>
  <c r="J333" i="8" a="1"/>
  <c r="Y464" i="8" a="1"/>
  <c r="M213" i="8" a="1"/>
  <c r="G333" i="8" a="1"/>
  <c r="G464" i="8" a="1"/>
  <c r="X464" i="8" a="1"/>
  <c r="M333" i="8" a="1"/>
  <c r="W563" i="8" a="1"/>
  <c r="E19" i="8" a="1"/>
  <c r="U333" i="8" a="1"/>
  <c r="W663" i="8" a="1"/>
  <c r="Q464" i="8" a="1"/>
  <c r="T333" i="8" a="1"/>
  <c r="H464" i="8" a="1"/>
  <c r="M663" i="8" a="1"/>
  <c r="L563" i="8" a="1"/>
  <c r="I663" i="8" a="1"/>
  <c r="F663" i="8" a="1"/>
  <c r="W364" i="8" a="1"/>
  <c r="O464" i="8" a="1"/>
  <c r="D464" i="8" a="1"/>
  <c r="H333" i="8" a="1"/>
  <c r="S463" i="8" l="1"/>
  <c r="F663" i="8"/>
  <c r="J663" i="8"/>
  <c r="R663" i="8"/>
  <c r="W663" i="8"/>
  <c r="C663" i="8"/>
  <c r="G663" i="8"/>
  <c r="K663" i="8"/>
  <c r="O663" i="8"/>
  <c r="X663" i="8"/>
  <c r="D663" i="8"/>
  <c r="H663" i="8"/>
  <c r="U663" i="8"/>
  <c r="Y663" i="8"/>
  <c r="E663" i="8"/>
  <c r="I663" i="8"/>
  <c r="M663" i="8"/>
  <c r="Q663" i="8"/>
  <c r="L663" i="8"/>
  <c r="P663" i="8"/>
  <c r="V663" i="8"/>
  <c r="T563" i="8"/>
  <c r="X563" i="8"/>
  <c r="H563" i="8"/>
  <c r="P563" i="8"/>
  <c r="Y563" i="8"/>
  <c r="D563" i="8"/>
  <c r="L563" i="8"/>
  <c r="U563" i="8"/>
  <c r="O563" i="8"/>
  <c r="E563" i="8"/>
  <c r="I563" i="8"/>
  <c r="M563" i="8"/>
  <c r="Q563" i="8"/>
  <c r="C563" i="8"/>
  <c r="V563" i="8"/>
  <c r="F563" i="8"/>
  <c r="J563" i="8"/>
  <c r="N563" i="8"/>
  <c r="R563" i="8"/>
  <c r="K563" i="8"/>
  <c r="W563" i="8"/>
  <c r="G563" i="8"/>
  <c r="E464" i="8"/>
  <c r="I464" i="8"/>
  <c r="M464" i="8"/>
  <c r="Q464" i="8"/>
  <c r="V464" i="8"/>
  <c r="F464" i="8"/>
  <c r="J464" i="8"/>
  <c r="N464" i="8"/>
  <c r="R464" i="8"/>
  <c r="W464" i="8"/>
  <c r="C464" i="8"/>
  <c r="G464" i="8"/>
  <c r="K464" i="8"/>
  <c r="O464" i="8"/>
  <c r="T464" i="8"/>
  <c r="X464" i="8"/>
  <c r="D464" i="8"/>
  <c r="H464" i="8"/>
  <c r="L464" i="8"/>
  <c r="P464" i="8"/>
  <c r="Y464" i="8"/>
  <c r="U464" i="8"/>
  <c r="S662" i="8"/>
  <c r="S562" i="8"/>
  <c r="S18" i="8"/>
  <c r="S363" i="8"/>
  <c r="V19" i="8"/>
  <c r="F19" i="8"/>
  <c r="J19" i="8"/>
  <c r="N19" i="8"/>
  <c r="R19" i="8"/>
  <c r="W19" i="8"/>
  <c r="C19" i="8"/>
  <c r="G19" i="8"/>
  <c r="K19" i="8"/>
  <c r="O19" i="8"/>
  <c r="T19" i="8"/>
  <c r="X19" i="8"/>
  <c r="D19" i="8"/>
  <c r="H19" i="8"/>
  <c r="L19" i="8"/>
  <c r="P19" i="8"/>
  <c r="U19" i="8"/>
  <c r="Y19" i="8"/>
  <c r="E19" i="8"/>
  <c r="M19" i="8"/>
  <c r="Q19" i="8"/>
  <c r="I19" i="8"/>
  <c r="E333" i="8"/>
  <c r="I333" i="8"/>
  <c r="M333" i="8"/>
  <c r="Q333" i="8"/>
  <c r="V333" i="8"/>
  <c r="F333" i="8"/>
  <c r="J333" i="8"/>
  <c r="N333" i="8"/>
  <c r="R333" i="8"/>
  <c r="W333" i="8"/>
  <c r="C333" i="8"/>
  <c r="G333" i="8"/>
  <c r="K333" i="8"/>
  <c r="O333" i="8"/>
  <c r="T333" i="8"/>
  <c r="X333" i="8"/>
  <c r="D333" i="8"/>
  <c r="H333" i="8"/>
  <c r="L333" i="8"/>
  <c r="P333" i="8"/>
  <c r="Y333" i="8"/>
  <c r="U333" i="8"/>
  <c r="W364" i="8"/>
  <c r="C364" i="8"/>
  <c r="G364" i="8"/>
  <c r="K364" i="8"/>
  <c r="O364" i="8"/>
  <c r="T364" i="8"/>
  <c r="X364" i="8"/>
  <c r="D364" i="8"/>
  <c r="H364" i="8"/>
  <c r="L364" i="8"/>
  <c r="P364" i="8"/>
  <c r="U364" i="8"/>
  <c r="Y364" i="8"/>
  <c r="E364" i="8"/>
  <c r="I364" i="8"/>
  <c r="M364" i="8"/>
  <c r="Q364" i="8"/>
  <c r="V364" i="8"/>
  <c r="F364" i="8"/>
  <c r="J364" i="8"/>
  <c r="N364" i="8"/>
  <c r="R364" i="8"/>
  <c r="E213" i="8"/>
  <c r="I213" i="8"/>
  <c r="M213" i="8"/>
  <c r="Q213" i="8"/>
  <c r="V213" i="8"/>
  <c r="F213" i="8"/>
  <c r="J213" i="8"/>
  <c r="N213" i="8"/>
  <c r="R213" i="8"/>
  <c r="W213" i="8"/>
  <c r="C213" i="8"/>
  <c r="G213" i="8"/>
  <c r="K213" i="8"/>
  <c r="O213" i="8"/>
  <c r="T213" i="8"/>
  <c r="X213" i="8"/>
  <c r="D213" i="8"/>
  <c r="H213" i="8"/>
  <c r="L213" i="8"/>
  <c r="P213" i="8"/>
  <c r="Y213" i="8"/>
  <c r="U213" i="8"/>
  <c r="S212" i="8"/>
  <c r="S332" i="8"/>
  <c r="B20" i="8"/>
  <c r="B664" i="8"/>
  <c r="B564" i="8"/>
  <c r="B765" i="8"/>
  <c r="B214" i="8"/>
  <c r="B334" i="8"/>
  <c r="B316" i="8"/>
  <c r="B465" i="8"/>
  <c r="B365" i="8"/>
  <c r="U214" i="8" a="1"/>
  <c r="X564" i="8" a="1"/>
  <c r="U20" i="8" a="1"/>
  <c r="J20" i="8" a="1"/>
  <c r="D214" i="8" a="1"/>
  <c r="T564" i="8" a="1"/>
  <c r="V214" i="8" a="1"/>
  <c r="C465" i="8" a="1"/>
  <c r="K334" i="8" a="1"/>
  <c r="U334" i="8" a="1"/>
  <c r="I214" i="8" a="1"/>
  <c r="K664" i="8" a="1"/>
  <c r="E564" i="8" a="1"/>
  <c r="N214" i="8" a="1"/>
  <c r="F365" i="8" a="1"/>
  <c r="G465" i="8" a="1"/>
  <c r="F214" i="8" a="1"/>
  <c r="L564" i="8" a="1"/>
  <c r="N20" i="8" a="1"/>
  <c r="L664" i="8" a="1"/>
  <c r="W214" i="8" a="1"/>
  <c r="F664" i="8" a="1"/>
  <c r="X465" i="8" a="1"/>
  <c r="T365" i="8" a="1"/>
  <c r="I664" i="8" a="1"/>
  <c r="O214" i="8" a="1"/>
  <c r="F334" i="8" a="1"/>
  <c r="J334" i="8" a="1"/>
  <c r="H664" i="8" a="1"/>
  <c r="W334" i="8" a="1"/>
  <c r="C564" i="8" a="1"/>
  <c r="P334" i="8" a="1"/>
  <c r="I564" i="8" a="1"/>
  <c r="N465" i="8" a="1"/>
  <c r="P564" i="8" a="1"/>
  <c r="M214" i="8" a="1"/>
  <c r="Q664" i="8" a="1"/>
  <c r="P214" i="8" a="1"/>
  <c r="E664" i="8" a="1"/>
  <c r="M365" i="8" a="1"/>
  <c r="X20" i="8" a="1"/>
  <c r="M465" i="8" a="1"/>
  <c r="R664" i="8" a="1"/>
  <c r="K214" i="8" a="1"/>
  <c r="R564" i="8" a="1"/>
  <c r="V664" i="8" a="1"/>
  <c r="G365" i="8" a="1"/>
  <c r="H564" i="8" a="1"/>
  <c r="R465" i="8" a="1"/>
  <c r="K365" i="8" a="1"/>
  <c r="I20" i="8" a="1"/>
  <c r="G564" i="8" a="1"/>
  <c r="R334" i="8" a="1"/>
  <c r="P365" i="8" a="1"/>
  <c r="K20" i="8" a="1"/>
  <c r="L365" i="8" a="1"/>
  <c r="E20" i="8" a="1"/>
  <c r="P465" i="8" a="1"/>
  <c r="N564" i="8" a="1"/>
  <c r="W564" i="8" a="1"/>
  <c r="V564" i="8" a="1"/>
  <c r="C334" i="8" a="1"/>
  <c r="M664" i="8" a="1"/>
  <c r="C214" i="8" a="1"/>
  <c r="X664" i="8" a="1"/>
  <c r="M20" i="8" a="1"/>
  <c r="O664" i="8" a="1"/>
  <c r="V365" i="8" a="1"/>
  <c r="Q365" i="8" a="1"/>
  <c r="K564" i="8" a="1"/>
  <c r="E465" i="8" a="1"/>
  <c r="K465" i="8" a="1"/>
  <c r="Y214" i="8" a="1"/>
  <c r="P20" i="8" a="1"/>
  <c r="F564" i="8" a="1"/>
  <c r="D564" i="8" a="1"/>
  <c r="O334" i="8" a="1"/>
  <c r="I334" i="8" a="1"/>
  <c r="D365" i="8" a="1"/>
  <c r="L20" i="8" a="1"/>
  <c r="R20" i="8" a="1"/>
  <c r="U564" i="8" a="1"/>
  <c r="R214" i="8" a="1"/>
  <c r="G334" i="8" a="1"/>
  <c r="L214" i="8" a="1"/>
  <c r="U664" i="8" a="1"/>
  <c r="J465" i="8" a="1"/>
  <c r="G214" i="8" a="1"/>
  <c r="W465" i="8" a="1"/>
  <c r="Y334" i="8" a="1"/>
  <c r="O564" i="8" a="1"/>
  <c r="L334" i="8" a="1"/>
  <c r="W20" i="8" a="1"/>
  <c r="Y664" i="8" a="1"/>
  <c r="P664" i="8" a="1"/>
  <c r="F465" i="8" a="1"/>
  <c r="T214" i="8" a="1"/>
  <c r="V334" i="8" a="1"/>
  <c r="Q465" i="8" a="1"/>
  <c r="N334" i="8" a="1"/>
  <c r="Y365" i="8" a="1"/>
  <c r="G664" i="8" a="1"/>
  <c r="C365" i="8" a="1"/>
  <c r="M334" i="8" a="1"/>
  <c r="T20" i="8" a="1"/>
  <c r="C20" i="8" a="1"/>
  <c r="V20" i="8" a="1"/>
  <c r="C664" i="8" a="1"/>
  <c r="D20" i="8" a="1"/>
  <c r="O20" i="8" a="1"/>
  <c r="O465" i="8" a="1"/>
  <c r="Q334" i="8" a="1"/>
  <c r="X334" i="8" a="1"/>
  <c r="J214" i="8" a="1"/>
  <c r="N365" i="8" a="1"/>
  <c r="Y20" i="8" a="1"/>
  <c r="H465" i="8" a="1"/>
  <c r="V465" i="8" a="1"/>
  <c r="D465" i="8" a="1"/>
  <c r="U365" i="8" a="1"/>
  <c r="Q214" i="8" a="1"/>
  <c r="H365" i="8" a="1"/>
  <c r="Q564" i="8" a="1"/>
  <c r="J564" i="8" a="1"/>
  <c r="U465" i="8" a="1"/>
  <c r="D664" i="8" a="1"/>
  <c r="E365" i="8" a="1"/>
  <c r="Y465" i="8" a="1"/>
  <c r="I365" i="8" a="1"/>
  <c r="Y564" i="8" a="1"/>
  <c r="H214" i="8" a="1"/>
  <c r="X214" i="8" a="1"/>
  <c r="J664" i="8" a="1"/>
  <c r="D334" i="8" a="1"/>
  <c r="L465" i="8" a="1"/>
  <c r="G20" i="8" a="1"/>
  <c r="H20" i="8" a="1"/>
  <c r="Q20" i="8" a="1"/>
  <c r="E334" i="8" a="1"/>
  <c r="W365" i="8" a="1"/>
  <c r="M564" i="8" a="1"/>
  <c r="O365" i="8" a="1"/>
  <c r="H334" i="8" a="1"/>
  <c r="E214" i="8" a="1"/>
  <c r="R365" i="8" a="1"/>
  <c r="J365" i="8" a="1"/>
  <c r="T465" i="8" a="1"/>
  <c r="F20" i="8" a="1"/>
  <c r="T334" i="8" a="1"/>
  <c r="X365" i="8" a="1"/>
  <c r="W664" i="8" a="1"/>
  <c r="I465" i="8" a="1"/>
  <c r="S563" i="8" l="1"/>
  <c r="S464" i="8"/>
  <c r="W465" i="8"/>
  <c r="C465" i="8"/>
  <c r="G465" i="8"/>
  <c r="K465" i="8"/>
  <c r="O465" i="8"/>
  <c r="T465" i="8"/>
  <c r="X465" i="8"/>
  <c r="D465" i="8"/>
  <c r="H465" i="8"/>
  <c r="L465" i="8"/>
  <c r="P465" i="8"/>
  <c r="U465" i="8"/>
  <c r="Y465" i="8"/>
  <c r="E465" i="8"/>
  <c r="I465" i="8"/>
  <c r="M465" i="8"/>
  <c r="Q465" i="8"/>
  <c r="V465" i="8"/>
  <c r="F465" i="8"/>
  <c r="J465" i="8"/>
  <c r="N465" i="8"/>
  <c r="R465" i="8"/>
  <c r="X664" i="8"/>
  <c r="D664" i="8"/>
  <c r="U664" i="8"/>
  <c r="Y664" i="8"/>
  <c r="E664" i="8"/>
  <c r="I664" i="8"/>
  <c r="M664" i="8"/>
  <c r="Q664" i="8"/>
  <c r="F664" i="8"/>
  <c r="J664" i="8"/>
  <c r="R664" i="8"/>
  <c r="W664" i="8"/>
  <c r="C664" i="8"/>
  <c r="O664" i="8"/>
  <c r="P664" i="8"/>
  <c r="G664" i="8"/>
  <c r="H664" i="8"/>
  <c r="K664" i="8"/>
  <c r="V664" i="8"/>
  <c r="L664" i="8"/>
  <c r="T564" i="8"/>
  <c r="X564" i="8"/>
  <c r="D564" i="8"/>
  <c r="H564" i="8"/>
  <c r="L564" i="8"/>
  <c r="P564" i="8"/>
  <c r="U564" i="8"/>
  <c r="Y564" i="8"/>
  <c r="E564" i="8"/>
  <c r="I564" i="8"/>
  <c r="M564" i="8"/>
  <c r="Q564" i="8"/>
  <c r="V564" i="8"/>
  <c r="F564" i="8"/>
  <c r="J564" i="8"/>
  <c r="N564" i="8"/>
  <c r="R564" i="8"/>
  <c r="C564" i="8"/>
  <c r="W564" i="8"/>
  <c r="G564" i="8"/>
  <c r="K564" i="8"/>
  <c r="O564" i="8"/>
  <c r="S333" i="8"/>
  <c r="D365" i="8"/>
  <c r="H365" i="8"/>
  <c r="L365" i="8"/>
  <c r="P365" i="8"/>
  <c r="U365" i="8"/>
  <c r="Y365" i="8"/>
  <c r="E365" i="8"/>
  <c r="I365" i="8"/>
  <c r="M365" i="8"/>
  <c r="Q365" i="8"/>
  <c r="V365" i="8"/>
  <c r="F365" i="8"/>
  <c r="J365" i="8"/>
  <c r="N365" i="8"/>
  <c r="R365" i="8"/>
  <c r="W365" i="8"/>
  <c r="C365" i="8"/>
  <c r="G365" i="8"/>
  <c r="K365" i="8"/>
  <c r="O365" i="8"/>
  <c r="T365" i="8"/>
  <c r="X365" i="8"/>
  <c r="W334" i="8"/>
  <c r="C334" i="8"/>
  <c r="G334" i="8"/>
  <c r="K334" i="8"/>
  <c r="O334" i="8"/>
  <c r="T334" i="8"/>
  <c r="X334" i="8"/>
  <c r="D334" i="8"/>
  <c r="H334" i="8"/>
  <c r="L334" i="8"/>
  <c r="P334" i="8"/>
  <c r="U334" i="8"/>
  <c r="Y334" i="8"/>
  <c r="E334" i="8"/>
  <c r="I334" i="8"/>
  <c r="M334" i="8"/>
  <c r="Q334" i="8"/>
  <c r="V334" i="8"/>
  <c r="F334" i="8"/>
  <c r="J334" i="8"/>
  <c r="N334" i="8"/>
  <c r="R334" i="8"/>
  <c r="W214" i="8"/>
  <c r="C214" i="8"/>
  <c r="G214" i="8"/>
  <c r="K214" i="8"/>
  <c r="O214" i="8"/>
  <c r="T214" i="8"/>
  <c r="X214" i="8"/>
  <c r="D214" i="8"/>
  <c r="H214" i="8"/>
  <c r="L214" i="8"/>
  <c r="P214" i="8"/>
  <c r="U214" i="8"/>
  <c r="Y214" i="8"/>
  <c r="E214" i="8"/>
  <c r="I214" i="8"/>
  <c r="M214" i="8"/>
  <c r="Q214" i="8"/>
  <c r="V214" i="8"/>
  <c r="F214" i="8"/>
  <c r="J214" i="8"/>
  <c r="N214" i="8"/>
  <c r="R214" i="8"/>
  <c r="C20" i="8"/>
  <c r="G20" i="8"/>
  <c r="K20" i="8"/>
  <c r="O20" i="8"/>
  <c r="T20" i="8"/>
  <c r="X20" i="8"/>
  <c r="D20" i="8"/>
  <c r="H20" i="8"/>
  <c r="L20" i="8"/>
  <c r="P20" i="8"/>
  <c r="U20" i="8"/>
  <c r="Y20" i="8"/>
  <c r="E20" i="8"/>
  <c r="I20" i="8"/>
  <c r="M20" i="8"/>
  <c r="Q20" i="8"/>
  <c r="V20" i="8"/>
  <c r="F20" i="8"/>
  <c r="J20" i="8"/>
  <c r="N20" i="8"/>
  <c r="R20" i="8"/>
  <c r="W20" i="8"/>
  <c r="S213" i="8"/>
  <c r="S364" i="8"/>
  <c r="S19" i="8"/>
  <c r="B21" i="8"/>
  <c r="B565" i="8"/>
  <c r="B665" i="8"/>
  <c r="B766" i="8"/>
  <c r="B215" i="8"/>
  <c r="B335" i="8"/>
  <c r="B317" i="8"/>
  <c r="B466" i="8"/>
  <c r="B366" i="8"/>
  <c r="U21" i="8" a="1"/>
  <c r="W665" i="8" a="1"/>
  <c r="W466" i="8" a="1"/>
  <c r="L21" i="8" a="1"/>
  <c r="V466" i="8" a="1"/>
  <c r="Q335" i="8" a="1"/>
  <c r="F215" i="8" a="1"/>
  <c r="M466" i="8" a="1"/>
  <c r="M335" i="8" a="1"/>
  <c r="U215" i="8" a="1"/>
  <c r="M21" i="8" a="1"/>
  <c r="Y565" i="8" a="1"/>
  <c r="P215" i="8" a="1"/>
  <c r="D565" i="8" a="1"/>
  <c r="C366" i="8" a="1"/>
  <c r="R565" i="8" a="1"/>
  <c r="N466" i="8" a="1"/>
  <c r="H335" i="8" a="1"/>
  <c r="J21" i="8" a="1"/>
  <c r="U466" i="8" a="1"/>
  <c r="Q665" i="8" a="1"/>
  <c r="F21" i="8" a="1"/>
  <c r="V21" i="8" a="1"/>
  <c r="K565" i="8" a="1"/>
  <c r="E565" i="8" a="1"/>
  <c r="Q215" i="8" a="1"/>
  <c r="J466" i="8" a="1"/>
  <c r="T565" i="8" a="1"/>
  <c r="G565" i="8" a="1"/>
  <c r="N21" i="8" a="1"/>
  <c r="N565" i="8" a="1"/>
  <c r="H215" i="8" a="1"/>
  <c r="X335" i="8" a="1"/>
  <c r="C215" i="8" a="1"/>
  <c r="I466" i="8" a="1"/>
  <c r="O665" i="8" a="1"/>
  <c r="R335" i="8" a="1"/>
  <c r="F366" i="8" a="1"/>
  <c r="E215" i="8" a="1"/>
  <c r="P335" i="8" a="1"/>
  <c r="W366" i="8" a="1"/>
  <c r="R21" i="8" a="1"/>
  <c r="I565" i="8" a="1"/>
  <c r="R366" i="8" a="1"/>
  <c r="K665" i="8" a="1"/>
  <c r="Q21" i="8" a="1"/>
  <c r="L215" i="8" a="1"/>
  <c r="V665" i="8" a="1"/>
  <c r="N335" i="8" a="1"/>
  <c r="I366" i="8" a="1"/>
  <c r="Q466" i="8" a="1"/>
  <c r="Y335" i="8" a="1"/>
  <c r="O215" i="8" a="1"/>
  <c r="H565" i="8" a="1"/>
  <c r="O21" i="8" a="1"/>
  <c r="C21" i="8" a="1"/>
  <c r="T215" i="8" a="1"/>
  <c r="P21" i="8" a="1"/>
  <c r="R466" i="8" a="1"/>
  <c r="D366" i="8" a="1"/>
  <c r="D335" i="8" a="1"/>
  <c r="K466" i="8" a="1"/>
  <c r="F466" i="8" a="1"/>
  <c r="Q366" i="8" a="1"/>
  <c r="O335" i="8" a="1"/>
  <c r="E21" i="8" a="1"/>
  <c r="N366" i="8" a="1"/>
  <c r="F565" i="8" a="1"/>
  <c r="U565" i="8" a="1"/>
  <c r="G215" i="8" a="1"/>
  <c r="T21" i="8" a="1"/>
  <c r="X565" i="8" a="1"/>
  <c r="K366" i="8" a="1"/>
  <c r="I335" i="8" a="1"/>
  <c r="Y665" i="8" a="1"/>
  <c r="N665" i="8" a="1"/>
  <c r="L466" i="8" a="1"/>
  <c r="J565" i="8" a="1"/>
  <c r="E665" i="8" a="1"/>
  <c r="Q565" i="8" a="1"/>
  <c r="H466" i="8" a="1"/>
  <c r="V215" i="8" a="1"/>
  <c r="E466" i="8" a="1"/>
  <c r="T665" i="8" a="1"/>
  <c r="I215" i="8" a="1"/>
  <c r="M565" i="8" a="1"/>
  <c r="U335" i="8" a="1"/>
  <c r="P466" i="8" a="1"/>
  <c r="Y21" i="8" a="1"/>
  <c r="T335" i="8" a="1"/>
  <c r="O565" i="8" a="1"/>
  <c r="P565" i="8" a="1"/>
  <c r="O466" i="8" a="1"/>
  <c r="Y215" i="8" a="1"/>
  <c r="G665" i="8" a="1"/>
  <c r="X665" i="8" a="1"/>
  <c r="L565" i="8" a="1"/>
  <c r="L335" i="8" a="1"/>
  <c r="L366" i="8" a="1"/>
  <c r="W215" i="8" a="1"/>
  <c r="X21" i="8" a="1"/>
  <c r="G21" i="8" a="1"/>
  <c r="H21" i="8" a="1"/>
  <c r="V565" i="8" a="1"/>
  <c r="F665" i="8" a="1"/>
  <c r="X366" i="8" a="1"/>
  <c r="E335" i="8" a="1"/>
  <c r="G335" i="8" a="1"/>
  <c r="G466" i="8" a="1"/>
  <c r="I665" i="8" a="1"/>
  <c r="R215" i="8" a="1"/>
  <c r="O366" i="8" a="1"/>
  <c r="K21" i="8" a="1"/>
  <c r="K215" i="8" a="1"/>
  <c r="M366" i="8" a="1"/>
  <c r="M215" i="8" a="1"/>
  <c r="M665" i="8" a="1"/>
  <c r="C335" i="8" a="1"/>
  <c r="J335" i="8" a="1"/>
  <c r="L665" i="8" a="1"/>
  <c r="W335" i="8" a="1"/>
  <c r="J665" i="8" a="1"/>
  <c r="E366" i="8" a="1"/>
  <c r="X466" i="8" a="1"/>
  <c r="N215" i="8" a="1"/>
  <c r="U665" i="8" a="1"/>
  <c r="G366" i="8" a="1"/>
  <c r="P665" i="8" a="1"/>
  <c r="C665" i="8" a="1"/>
  <c r="J366" i="8" a="1"/>
  <c r="T466" i="8" a="1"/>
  <c r="Y466" i="8" a="1"/>
  <c r="H366" i="8" a="1"/>
  <c r="U366" i="8" a="1"/>
  <c r="J215" i="8" a="1"/>
  <c r="R665" i="8" a="1"/>
  <c r="K335" i="8" a="1"/>
  <c r="W21" i="8" a="1"/>
  <c r="V335" i="8" a="1"/>
  <c r="X215" i="8" a="1"/>
  <c r="W565" i="8" a="1"/>
  <c r="I21" i="8" a="1"/>
  <c r="D665" i="8" a="1"/>
  <c r="T366" i="8" a="1"/>
  <c r="F335" i="8" a="1"/>
  <c r="D466" i="8" a="1"/>
  <c r="D215" i="8" a="1"/>
  <c r="H665" i="8" a="1"/>
  <c r="Y366" i="8" a="1"/>
  <c r="C466" i="8" a="1"/>
  <c r="C565" i="8" a="1"/>
  <c r="P366" i="8" a="1"/>
  <c r="D21" i="8" a="1"/>
  <c r="V366" i="8" a="1"/>
  <c r="D466" i="8" l="1"/>
  <c r="H466" i="8"/>
  <c r="L466" i="8"/>
  <c r="P466" i="8"/>
  <c r="U466" i="8"/>
  <c r="Y466" i="8"/>
  <c r="E466" i="8"/>
  <c r="I466" i="8"/>
  <c r="M466" i="8"/>
  <c r="Q466" i="8"/>
  <c r="V466" i="8"/>
  <c r="F466" i="8"/>
  <c r="J466" i="8"/>
  <c r="N466" i="8"/>
  <c r="R466" i="8"/>
  <c r="W466" i="8"/>
  <c r="C466" i="8"/>
  <c r="G466" i="8"/>
  <c r="K466" i="8"/>
  <c r="O466" i="8"/>
  <c r="T466" i="8"/>
  <c r="X466" i="8"/>
  <c r="E665" i="8"/>
  <c r="I665" i="8"/>
  <c r="M665" i="8"/>
  <c r="Q665" i="8"/>
  <c r="F665" i="8"/>
  <c r="J665" i="8"/>
  <c r="N665" i="8"/>
  <c r="R665" i="8"/>
  <c r="W665" i="8"/>
  <c r="T665" i="8"/>
  <c r="X665" i="8"/>
  <c r="D665" i="8"/>
  <c r="H665" i="8"/>
  <c r="L665" i="8"/>
  <c r="P665" i="8"/>
  <c r="C665" i="8"/>
  <c r="Y665" i="8"/>
  <c r="O665" i="8"/>
  <c r="G665" i="8"/>
  <c r="U665" i="8"/>
  <c r="K665" i="8"/>
  <c r="V665" i="8"/>
  <c r="E565" i="8"/>
  <c r="I565" i="8"/>
  <c r="M565" i="8"/>
  <c r="Q565" i="8"/>
  <c r="V565" i="8"/>
  <c r="F565" i="8"/>
  <c r="J565" i="8"/>
  <c r="N565" i="8"/>
  <c r="R565" i="8"/>
  <c r="W565" i="8"/>
  <c r="C565" i="8"/>
  <c r="G565" i="8"/>
  <c r="K565" i="8"/>
  <c r="O565" i="8"/>
  <c r="T565" i="8"/>
  <c r="X565" i="8"/>
  <c r="P565" i="8"/>
  <c r="D565" i="8"/>
  <c r="U565" i="8"/>
  <c r="Y565" i="8"/>
  <c r="L565" i="8"/>
  <c r="H565" i="8"/>
  <c r="S564" i="8"/>
  <c r="S465" i="8"/>
  <c r="S214" i="8"/>
  <c r="D335" i="8"/>
  <c r="H335" i="8"/>
  <c r="L335" i="8"/>
  <c r="P335" i="8"/>
  <c r="U335" i="8"/>
  <c r="Y335" i="8"/>
  <c r="E335" i="8"/>
  <c r="I335" i="8"/>
  <c r="M335" i="8"/>
  <c r="Q335" i="8"/>
  <c r="V335" i="8"/>
  <c r="F335" i="8"/>
  <c r="J335" i="8"/>
  <c r="N335" i="8"/>
  <c r="R335" i="8"/>
  <c r="W335" i="8"/>
  <c r="C335" i="8"/>
  <c r="G335" i="8"/>
  <c r="K335" i="8"/>
  <c r="O335" i="8"/>
  <c r="T335" i="8"/>
  <c r="X335" i="8"/>
  <c r="F366" i="8"/>
  <c r="J366" i="8"/>
  <c r="W366" i="8"/>
  <c r="C366" i="8"/>
  <c r="G366" i="8"/>
  <c r="K366" i="8"/>
  <c r="O366" i="8"/>
  <c r="T366" i="8"/>
  <c r="X366" i="8"/>
  <c r="D366" i="8"/>
  <c r="H366" i="8"/>
  <c r="L366" i="8"/>
  <c r="P366" i="8"/>
  <c r="U366" i="8"/>
  <c r="Y366" i="8"/>
  <c r="I366" i="8"/>
  <c r="V366" i="8"/>
  <c r="M366" i="8"/>
  <c r="N366" i="8"/>
  <c r="Q366" i="8"/>
  <c r="E366" i="8"/>
  <c r="R366" i="8"/>
  <c r="E21" i="8"/>
  <c r="I21" i="8"/>
  <c r="M21" i="8"/>
  <c r="Q21" i="8"/>
  <c r="V21" i="8"/>
  <c r="F21" i="8"/>
  <c r="J21" i="8"/>
  <c r="W21" i="8"/>
  <c r="C21" i="8"/>
  <c r="G21" i="8"/>
  <c r="K21" i="8"/>
  <c r="O21" i="8"/>
  <c r="T21" i="8"/>
  <c r="H21" i="8"/>
  <c r="Y21" i="8"/>
  <c r="L21" i="8"/>
  <c r="U21" i="8"/>
  <c r="N21" i="8"/>
  <c r="X21" i="8"/>
  <c r="D21" i="8"/>
  <c r="R21" i="8"/>
  <c r="P21" i="8"/>
  <c r="D215" i="8"/>
  <c r="H215" i="8"/>
  <c r="L215" i="8"/>
  <c r="U215" i="8"/>
  <c r="Y215" i="8"/>
  <c r="E215" i="8"/>
  <c r="I215" i="8"/>
  <c r="M215" i="8"/>
  <c r="Q215" i="8"/>
  <c r="V215" i="8"/>
  <c r="F215" i="8"/>
  <c r="J215" i="8"/>
  <c r="N215" i="8"/>
  <c r="R215" i="8"/>
  <c r="W215" i="8"/>
  <c r="C215" i="8"/>
  <c r="G215" i="8"/>
  <c r="K215" i="8"/>
  <c r="O215" i="8"/>
  <c r="P215" i="8"/>
  <c r="T215" i="8"/>
  <c r="X215" i="8"/>
  <c r="S20" i="8"/>
  <c r="S365" i="8"/>
  <c r="S334" i="8"/>
  <c r="B22" i="8"/>
  <c r="B666" i="8"/>
  <c r="B566" i="8"/>
  <c r="B767" i="8"/>
  <c r="B216" i="8"/>
  <c r="B336" i="8"/>
  <c r="B318" i="8"/>
  <c r="B467" i="8"/>
  <c r="B367" i="8"/>
  <c r="R566" i="8" a="1"/>
  <c r="F666" i="8" a="1"/>
  <c r="W467" i="8" a="1"/>
  <c r="D22" i="8" a="1"/>
  <c r="J666" i="8" a="1"/>
  <c r="E566" i="8" a="1"/>
  <c r="G367" i="8" a="1"/>
  <c r="P666" i="8" a="1"/>
  <c r="V22" i="8" a="1"/>
  <c r="X336" i="8" a="1"/>
  <c r="K22" i="8" a="1"/>
  <c r="X566" i="8" a="1"/>
  <c r="O566" i="8" a="1"/>
  <c r="V666" i="8" a="1"/>
  <c r="I336" i="8" a="1"/>
  <c r="D336" i="8" a="1"/>
  <c r="F566" i="8" a="1"/>
  <c r="M666" i="8" a="1"/>
  <c r="D467" i="8" a="1"/>
  <c r="N336" i="8" a="1"/>
  <c r="U467" i="8" a="1"/>
  <c r="X22" i="8" a="1"/>
  <c r="K216" i="8" a="1"/>
  <c r="V336" i="8" a="1"/>
  <c r="G467" i="8" a="1"/>
  <c r="G216" i="8" a="1"/>
  <c r="P367" i="8" a="1"/>
  <c r="Q566" i="8" a="1"/>
  <c r="W336" i="8" a="1"/>
  <c r="J566" i="8" a="1"/>
  <c r="Y216" i="8" a="1"/>
  <c r="U336" i="8" a="1"/>
  <c r="U566" i="8" a="1"/>
  <c r="N467" i="8" a="1"/>
  <c r="Y666" i="8" a="1"/>
  <c r="E467" i="8" a="1"/>
  <c r="O216" i="8" a="1"/>
  <c r="R336" i="8" a="1"/>
  <c r="V367" i="8" a="1"/>
  <c r="I666" i="8" a="1"/>
  <c r="P336" i="8" a="1"/>
  <c r="D666" i="8" a="1"/>
  <c r="W666" i="8" a="1"/>
  <c r="W367" i="8" a="1"/>
  <c r="V566" i="8" a="1"/>
  <c r="I467" i="8" a="1"/>
  <c r="G666" i="8" a="1"/>
  <c r="U666" i="8" a="1"/>
  <c r="M22" i="8" a="1"/>
  <c r="Q22" i="8" a="1"/>
  <c r="O367" i="8" a="1"/>
  <c r="P467" i="8" a="1"/>
  <c r="Q467" i="8" a="1"/>
  <c r="L566" i="8" a="1"/>
  <c r="I367" i="8" a="1"/>
  <c r="F367" i="8" a="1"/>
  <c r="E336" i="8" a="1"/>
  <c r="G566" i="8" a="1"/>
  <c r="T216" i="8" a="1"/>
  <c r="F467" i="8" a="1"/>
  <c r="G22" i="8" a="1"/>
  <c r="P566" i="8" a="1"/>
  <c r="L367" i="8" a="1"/>
  <c r="J467" i="8" a="1"/>
  <c r="O22" i="8" a="1"/>
  <c r="X467" i="8" a="1"/>
  <c r="V216" i="8" a="1"/>
  <c r="O467" i="8" a="1"/>
  <c r="H467" i="8" a="1"/>
  <c r="D216" i="8" a="1"/>
  <c r="D367" i="8" a="1"/>
  <c r="Q666" i="8" a="1"/>
  <c r="J367" i="8" a="1"/>
  <c r="E22" i="8" a="1"/>
  <c r="X666" i="8" a="1"/>
  <c r="O336" i="8" a="1"/>
  <c r="C367" i="8" a="1"/>
  <c r="E216" i="8" a="1"/>
  <c r="N216" i="8" a="1"/>
  <c r="M336" i="8" a="1"/>
  <c r="P22" i="8" a="1"/>
  <c r="C666" i="8" a="1"/>
  <c r="C336" i="8" a="1"/>
  <c r="K336" i="8" a="1"/>
  <c r="T22" i="8" a="1"/>
  <c r="Y22" i="8" a="1"/>
  <c r="W566" i="8" a="1"/>
  <c r="J22" i="8" a="1"/>
  <c r="X367" i="8" a="1"/>
  <c r="R22" i="8" a="1"/>
  <c r="L336" i="8" a="1"/>
  <c r="K367" i="8" a="1"/>
  <c r="I216" i="8" a="1"/>
  <c r="W22" i="8" a="1"/>
  <c r="C216" i="8" a="1"/>
  <c r="H566" i="8" a="1"/>
  <c r="E367" i="8" a="1"/>
  <c r="M216" i="8" a="1"/>
  <c r="F336" i="8" a="1"/>
  <c r="W216" i="8" a="1"/>
  <c r="E666" i="8" a="1"/>
  <c r="Y467" i="8" a="1"/>
  <c r="L666" i="8" a="1"/>
  <c r="U216" i="8" a="1"/>
  <c r="I22" i="8" a="1"/>
  <c r="T336" i="8" a="1"/>
  <c r="K566" i="8" a="1"/>
  <c r="C566" i="8" a="1"/>
  <c r="Y336" i="8" a="1"/>
  <c r="H666" i="8" a="1"/>
  <c r="H367" i="8" a="1"/>
  <c r="U367" i="8" a="1"/>
  <c r="T367" i="8" a="1"/>
  <c r="F216" i="8" a="1"/>
  <c r="F22" i="8" a="1"/>
  <c r="Q367" i="8" a="1"/>
  <c r="M566" i="8" a="1"/>
  <c r="K666" i="8" a="1"/>
  <c r="N22" i="8" a="1"/>
  <c r="X216" i="8" a="1"/>
  <c r="J336" i="8" a="1"/>
  <c r="N367" i="8" a="1"/>
  <c r="M367" i="8" a="1"/>
  <c r="U22" i="8" a="1"/>
  <c r="O666" i="8" a="1"/>
  <c r="R367" i="8" a="1"/>
  <c r="L467" i="8" a="1"/>
  <c r="L22" i="8" a="1"/>
  <c r="R666" i="8" a="1"/>
  <c r="H336" i="8" a="1"/>
  <c r="R467" i="8" a="1"/>
  <c r="C22" i="8" a="1"/>
  <c r="D566" i="8" a="1"/>
  <c r="I566" i="8" a="1"/>
  <c r="Y566" i="8" a="1"/>
  <c r="T467" i="8" a="1"/>
  <c r="K467" i="8" a="1"/>
  <c r="J216" i="8" a="1"/>
  <c r="P216" i="8" a="1"/>
  <c r="Q336" i="8" a="1"/>
  <c r="T566" i="8" a="1"/>
  <c r="Y367" i="8" a="1"/>
  <c r="M467" i="8" a="1"/>
  <c r="Q216" i="8" a="1"/>
  <c r="R216" i="8" a="1"/>
  <c r="G336" i="8" a="1"/>
  <c r="V467" i="8" a="1"/>
  <c r="N566" i="8" a="1"/>
  <c r="C467" i="8" a="1"/>
  <c r="H216" i="8" a="1"/>
  <c r="L216" i="8" a="1"/>
  <c r="H22" i="8" a="1"/>
  <c r="S466" i="8" l="1"/>
  <c r="W666" i="8"/>
  <c r="X666" i="8"/>
  <c r="D666" i="8"/>
  <c r="H666" i="8"/>
  <c r="L666" i="8"/>
  <c r="P666" i="8"/>
  <c r="E666" i="8"/>
  <c r="I666" i="8"/>
  <c r="M666" i="8"/>
  <c r="Q666" i="8"/>
  <c r="V666" i="8"/>
  <c r="K666" i="8"/>
  <c r="C666" i="8"/>
  <c r="Y666" i="8"/>
  <c r="O666" i="8"/>
  <c r="F666" i="8"/>
  <c r="G666" i="8"/>
  <c r="R666" i="8"/>
  <c r="J666" i="8"/>
  <c r="U666" i="8"/>
  <c r="V467" i="8"/>
  <c r="F467" i="8"/>
  <c r="J467" i="8"/>
  <c r="N467" i="8"/>
  <c r="R467" i="8"/>
  <c r="W467" i="8"/>
  <c r="C467" i="8"/>
  <c r="G467" i="8"/>
  <c r="K467" i="8"/>
  <c r="O467" i="8"/>
  <c r="T467" i="8"/>
  <c r="X467" i="8"/>
  <c r="D467" i="8"/>
  <c r="H467" i="8"/>
  <c r="L467" i="8"/>
  <c r="P467" i="8"/>
  <c r="U467" i="8"/>
  <c r="Y467" i="8"/>
  <c r="E467" i="8"/>
  <c r="I467" i="8"/>
  <c r="M467" i="8"/>
  <c r="Q467" i="8"/>
  <c r="W566" i="8"/>
  <c r="C566" i="8"/>
  <c r="G566" i="8"/>
  <c r="K566" i="8"/>
  <c r="O566" i="8"/>
  <c r="T566" i="8"/>
  <c r="X566" i="8"/>
  <c r="D566" i="8"/>
  <c r="H566" i="8"/>
  <c r="L566" i="8"/>
  <c r="P566" i="8"/>
  <c r="U566" i="8"/>
  <c r="Y566" i="8"/>
  <c r="E566" i="8"/>
  <c r="I566" i="8"/>
  <c r="M566" i="8"/>
  <c r="Q566" i="8"/>
  <c r="F566" i="8"/>
  <c r="J566" i="8"/>
  <c r="N566" i="8"/>
  <c r="R566" i="8"/>
  <c r="V566" i="8"/>
  <c r="S565" i="8"/>
  <c r="S665" i="8"/>
  <c r="S21" i="8"/>
  <c r="S335" i="8"/>
  <c r="S366" i="8"/>
  <c r="V336" i="8"/>
  <c r="F336" i="8"/>
  <c r="J336" i="8"/>
  <c r="N336" i="8"/>
  <c r="R336" i="8"/>
  <c r="W336" i="8"/>
  <c r="C336" i="8"/>
  <c r="G336" i="8"/>
  <c r="K336" i="8"/>
  <c r="O336" i="8"/>
  <c r="T336" i="8"/>
  <c r="X336" i="8"/>
  <c r="D336" i="8"/>
  <c r="H336" i="8"/>
  <c r="L336" i="8"/>
  <c r="P336" i="8"/>
  <c r="U336" i="8"/>
  <c r="Y336" i="8"/>
  <c r="Q336" i="8"/>
  <c r="E336" i="8"/>
  <c r="I336" i="8"/>
  <c r="M336" i="8"/>
  <c r="F216" i="8"/>
  <c r="J216" i="8"/>
  <c r="N216" i="8"/>
  <c r="R216" i="8"/>
  <c r="W216" i="8"/>
  <c r="C216" i="8"/>
  <c r="G216" i="8"/>
  <c r="K216" i="8"/>
  <c r="O216" i="8"/>
  <c r="T216" i="8"/>
  <c r="X216" i="8"/>
  <c r="D216" i="8"/>
  <c r="H216" i="8"/>
  <c r="L216" i="8"/>
  <c r="P216" i="8"/>
  <c r="U216" i="8"/>
  <c r="Y216" i="8"/>
  <c r="V216" i="8"/>
  <c r="I216" i="8"/>
  <c r="M216" i="8"/>
  <c r="Q216" i="8"/>
  <c r="E216" i="8"/>
  <c r="D367" i="8"/>
  <c r="H367" i="8"/>
  <c r="L367" i="8"/>
  <c r="P367" i="8"/>
  <c r="E367" i="8"/>
  <c r="I367" i="8"/>
  <c r="M367" i="8"/>
  <c r="Q367" i="8"/>
  <c r="V367" i="8"/>
  <c r="F367" i="8"/>
  <c r="J367" i="8"/>
  <c r="N367" i="8"/>
  <c r="R367" i="8"/>
  <c r="K367" i="8"/>
  <c r="T367" i="8"/>
  <c r="C367" i="8"/>
  <c r="U367" i="8"/>
  <c r="O367" i="8"/>
  <c r="W367" i="8"/>
  <c r="X367" i="8"/>
  <c r="Y367" i="8"/>
  <c r="G367" i="8"/>
  <c r="F22" i="8"/>
  <c r="J22" i="8"/>
  <c r="N22" i="8"/>
  <c r="R22" i="8"/>
  <c r="W22" i="8"/>
  <c r="C22" i="8"/>
  <c r="G22" i="8"/>
  <c r="K22" i="8"/>
  <c r="O22" i="8"/>
  <c r="T22" i="8"/>
  <c r="X22" i="8"/>
  <c r="D22" i="8"/>
  <c r="H22" i="8"/>
  <c r="L22" i="8"/>
  <c r="P22" i="8"/>
  <c r="E22" i="8"/>
  <c r="I22" i="8"/>
  <c r="M22" i="8"/>
  <c r="Q22" i="8"/>
  <c r="V22" i="8"/>
  <c r="U22" i="8"/>
  <c r="Y22" i="8"/>
  <c r="S215" i="8"/>
  <c r="B23" i="8"/>
  <c r="B567" i="8"/>
  <c r="B667" i="8"/>
  <c r="B768" i="8"/>
  <c r="B217" i="8"/>
  <c r="B337" i="8"/>
  <c r="B319" i="8"/>
  <c r="B468" i="8"/>
  <c r="B368" i="8"/>
  <c r="C567" i="8" a="1"/>
  <c r="O567" i="8" a="1"/>
  <c r="J368" i="8" a="1"/>
  <c r="V468" i="8" a="1"/>
  <c r="X468" i="8" a="1"/>
  <c r="M468" i="8" a="1"/>
  <c r="O468" i="8" a="1"/>
  <c r="C468" i="8" a="1"/>
  <c r="R667" i="8" a="1"/>
  <c r="L337" i="8" a="1"/>
  <c r="M23" i="8" a="1"/>
  <c r="V667" i="8" a="1"/>
  <c r="I368" i="8" a="1"/>
  <c r="C217" i="8" a="1"/>
  <c r="E667" i="8" a="1"/>
  <c r="V368" i="8" a="1"/>
  <c r="W468" i="8" a="1"/>
  <c r="H217" i="8" a="1"/>
  <c r="N217" i="8" a="1"/>
  <c r="J667" i="8" a="1"/>
  <c r="I217" i="8" a="1"/>
  <c r="H468" i="8" a="1"/>
  <c r="M667" i="8" a="1"/>
  <c r="T23" i="8" a="1"/>
  <c r="L468" i="8" a="1"/>
  <c r="X217" i="8" a="1"/>
  <c r="M567" i="8" a="1"/>
  <c r="K217" i="8" a="1"/>
  <c r="Q368" i="8" a="1"/>
  <c r="F217" i="8" a="1"/>
  <c r="C337" i="8" a="1"/>
  <c r="W337" i="8" a="1"/>
  <c r="U368" i="8" a="1"/>
  <c r="H23" i="8" a="1"/>
  <c r="D667" i="8" a="1"/>
  <c r="U667" i="8" a="1"/>
  <c r="I23" i="8" a="1"/>
  <c r="D217" i="8" a="1"/>
  <c r="O337" i="8" a="1"/>
  <c r="U468" i="8" a="1"/>
  <c r="G23" i="8" a="1"/>
  <c r="C667" i="8" a="1"/>
  <c r="T468" i="8" a="1"/>
  <c r="X23" i="8" a="1"/>
  <c r="Y337" i="8" a="1"/>
  <c r="T217" i="8" a="1"/>
  <c r="F368" i="8" a="1"/>
  <c r="D567" i="8" a="1"/>
  <c r="P23" i="8" a="1"/>
  <c r="N23" i="8" a="1"/>
  <c r="C368" i="8" a="1"/>
  <c r="D23" i="8" a="1"/>
  <c r="L217" i="8" a="1"/>
  <c r="L23" i="8" a="1"/>
  <c r="L368" i="8" a="1"/>
  <c r="R468" i="8" a="1"/>
  <c r="M368" i="8" a="1"/>
  <c r="M337" i="8" a="1"/>
  <c r="Y567" i="8" a="1"/>
  <c r="O368" i="8" a="1"/>
  <c r="O217" i="8" a="1"/>
  <c r="K337" i="8" a="1"/>
  <c r="O667" i="8" a="1"/>
  <c r="Y468" i="8" a="1"/>
  <c r="V217" i="8" a="1"/>
  <c r="Y667" i="8" a="1"/>
  <c r="Q667" i="8" a="1"/>
  <c r="L567" i="8" a="1"/>
  <c r="H368" i="8" a="1"/>
  <c r="I337" i="8" a="1"/>
  <c r="J567" i="8" a="1"/>
  <c r="J337" i="8" a="1"/>
  <c r="K667" i="8" a="1"/>
  <c r="L667" i="8" a="1"/>
  <c r="H567" i="8" a="1"/>
  <c r="U23" i="8" a="1"/>
  <c r="Q468" i="8" a="1"/>
  <c r="X667" i="8" a="1"/>
  <c r="H667" i="8" a="1"/>
  <c r="V23" i="8" a="1"/>
  <c r="I667" i="8" a="1"/>
  <c r="Q217" i="8" a="1"/>
  <c r="X567" i="8" a="1"/>
  <c r="V337" i="8" a="1"/>
  <c r="H337" i="8" a="1"/>
  <c r="J23" i="8" a="1"/>
  <c r="G468" i="8" a="1"/>
  <c r="F567" i="8" a="1"/>
  <c r="F468" i="8" a="1"/>
  <c r="K468" i="8" a="1"/>
  <c r="V567" i="8" a="1"/>
  <c r="R567" i="8" a="1"/>
  <c r="Y368" i="8" a="1"/>
  <c r="U337" i="8" a="1"/>
  <c r="G337" i="8" a="1"/>
  <c r="N567" i="8" a="1"/>
  <c r="T567" i="8" a="1"/>
  <c r="I468" i="8" a="1"/>
  <c r="E337" i="8" a="1"/>
  <c r="I567" i="8" a="1"/>
  <c r="Y217" i="8" a="1"/>
  <c r="U567" i="8" a="1"/>
  <c r="D368" i="8" a="1"/>
  <c r="R337" i="8" a="1"/>
  <c r="G368" i="8" a="1"/>
  <c r="W368" i="8" a="1"/>
  <c r="F337" i="8" a="1"/>
  <c r="D337" i="8" a="1"/>
  <c r="T337" i="8" a="1"/>
  <c r="R368" i="8" a="1"/>
  <c r="F23" i="8" a="1"/>
  <c r="C23" i="8" a="1"/>
  <c r="M217" i="8" a="1"/>
  <c r="W667" i="8" a="1"/>
  <c r="D468" i="8" a="1"/>
  <c r="G667" i="8" a="1"/>
  <c r="Q23" i="8" a="1"/>
  <c r="X337" i="8" a="1"/>
  <c r="P667" i="8" a="1"/>
  <c r="P567" i="8" a="1"/>
  <c r="E217" i="8" a="1"/>
  <c r="T368" i="8" a="1"/>
  <c r="F667" i="8" a="1"/>
  <c r="E368" i="8" a="1"/>
  <c r="X368" i="8" a="1"/>
  <c r="W567" i="8" a="1"/>
  <c r="N468" i="8" a="1"/>
  <c r="P368" i="8" a="1"/>
  <c r="E468" i="8" a="1"/>
  <c r="P217" i="8" a="1"/>
  <c r="Q567" i="8" a="1"/>
  <c r="J468" i="8" a="1"/>
  <c r="Q337" i="8" a="1"/>
  <c r="W217" i="8" a="1"/>
  <c r="P468" i="8" a="1"/>
  <c r="N368" i="8" a="1"/>
  <c r="K368" i="8" a="1"/>
  <c r="R23" i="8" a="1"/>
  <c r="G567" i="8" a="1"/>
  <c r="K23" i="8" a="1"/>
  <c r="K567" i="8" a="1"/>
  <c r="P337" i="8" a="1"/>
  <c r="U217" i="8" a="1"/>
  <c r="R217" i="8" a="1"/>
  <c r="Y23" i="8" a="1"/>
  <c r="N337" i="8" a="1"/>
  <c r="J217" i="8" a="1"/>
  <c r="W23" i="8" a="1"/>
  <c r="E23" i="8" a="1"/>
  <c r="E567" i="8" a="1"/>
  <c r="G217" i="8" a="1"/>
  <c r="D667" i="8" l="1"/>
  <c r="H667" i="8"/>
  <c r="E667" i="8"/>
  <c r="I667" i="8"/>
  <c r="M667" i="8"/>
  <c r="Q667" i="8"/>
  <c r="V667" i="8"/>
  <c r="W667" i="8"/>
  <c r="C667" i="8"/>
  <c r="G667" i="8"/>
  <c r="K667" i="8"/>
  <c r="O667" i="8"/>
  <c r="J667" i="8"/>
  <c r="R667" i="8"/>
  <c r="L667" i="8"/>
  <c r="U667" i="8"/>
  <c r="F667" i="8"/>
  <c r="X667" i="8"/>
  <c r="P667" i="8"/>
  <c r="Y667" i="8"/>
  <c r="D567" i="8"/>
  <c r="H567" i="8"/>
  <c r="L567" i="8"/>
  <c r="P567" i="8"/>
  <c r="U567" i="8"/>
  <c r="Y567" i="8"/>
  <c r="E567" i="8"/>
  <c r="I567" i="8"/>
  <c r="M567" i="8"/>
  <c r="Q567" i="8"/>
  <c r="V567" i="8"/>
  <c r="F567" i="8"/>
  <c r="J567" i="8"/>
  <c r="N567" i="8"/>
  <c r="R567" i="8"/>
  <c r="W567" i="8"/>
  <c r="C567" i="8"/>
  <c r="T567" i="8"/>
  <c r="G567" i="8"/>
  <c r="X567" i="8"/>
  <c r="O567" i="8"/>
  <c r="K567" i="8"/>
  <c r="C468" i="8"/>
  <c r="G468" i="8"/>
  <c r="K468" i="8"/>
  <c r="O468" i="8"/>
  <c r="T468" i="8"/>
  <c r="X468" i="8"/>
  <c r="D468" i="8"/>
  <c r="H468" i="8"/>
  <c r="L468" i="8"/>
  <c r="P468" i="8"/>
  <c r="U468" i="8"/>
  <c r="Y468" i="8"/>
  <c r="E468" i="8"/>
  <c r="I468" i="8"/>
  <c r="M468" i="8"/>
  <c r="Q468" i="8"/>
  <c r="V468" i="8"/>
  <c r="F468" i="8"/>
  <c r="J468" i="8"/>
  <c r="N468" i="8"/>
  <c r="R468" i="8"/>
  <c r="W468" i="8"/>
  <c r="S566" i="8"/>
  <c r="S467" i="8"/>
  <c r="S336" i="8"/>
  <c r="S22" i="8"/>
  <c r="T23" i="8"/>
  <c r="X23" i="8"/>
  <c r="D23" i="8"/>
  <c r="H23" i="8"/>
  <c r="L23" i="8"/>
  <c r="P23" i="8"/>
  <c r="U23" i="8"/>
  <c r="Y23" i="8"/>
  <c r="E23" i="8"/>
  <c r="I23" i="8"/>
  <c r="M23" i="8"/>
  <c r="Q23" i="8"/>
  <c r="V23" i="8"/>
  <c r="W23" i="8"/>
  <c r="C23" i="8"/>
  <c r="G23" i="8"/>
  <c r="K23" i="8"/>
  <c r="F23" i="8"/>
  <c r="J23" i="8"/>
  <c r="N23" i="8"/>
  <c r="R23" i="8"/>
  <c r="C337" i="8"/>
  <c r="G337" i="8"/>
  <c r="K337" i="8"/>
  <c r="O337" i="8"/>
  <c r="T337" i="8"/>
  <c r="X337" i="8"/>
  <c r="D337" i="8"/>
  <c r="H337" i="8"/>
  <c r="L337" i="8"/>
  <c r="P337" i="8"/>
  <c r="U337" i="8"/>
  <c r="Y337" i="8"/>
  <c r="E337" i="8"/>
  <c r="I337" i="8"/>
  <c r="M337" i="8"/>
  <c r="Q337" i="8"/>
  <c r="V337" i="8"/>
  <c r="F337" i="8"/>
  <c r="J337" i="8"/>
  <c r="N337" i="8"/>
  <c r="R337" i="8"/>
  <c r="W337" i="8"/>
  <c r="T217" i="8"/>
  <c r="X217" i="8"/>
  <c r="D217" i="8"/>
  <c r="H217" i="8"/>
  <c r="L217" i="8"/>
  <c r="P217" i="8"/>
  <c r="U217" i="8"/>
  <c r="Y217" i="8"/>
  <c r="E217" i="8"/>
  <c r="I217" i="8"/>
  <c r="M217" i="8"/>
  <c r="Q217" i="8"/>
  <c r="F217" i="8"/>
  <c r="J217" i="8"/>
  <c r="N217" i="8"/>
  <c r="R217" i="8"/>
  <c r="V217" i="8"/>
  <c r="K217" i="8"/>
  <c r="W217" i="8"/>
  <c r="C217" i="8"/>
  <c r="O217" i="8"/>
  <c r="G217" i="8"/>
  <c r="W368" i="8"/>
  <c r="C368" i="8"/>
  <c r="G368" i="8"/>
  <c r="K368" i="8"/>
  <c r="T368" i="8"/>
  <c r="X368" i="8"/>
  <c r="N368" i="8"/>
  <c r="D368" i="8"/>
  <c r="P368" i="8"/>
  <c r="J368" i="8"/>
  <c r="V368" i="8"/>
  <c r="E368" i="8"/>
  <c r="L368" i="8"/>
  <c r="Q368" i="8"/>
  <c r="F368" i="8"/>
  <c r="M368" i="8"/>
  <c r="R368" i="8"/>
  <c r="Y368" i="8"/>
  <c r="H368" i="8"/>
  <c r="I368" i="8"/>
  <c r="U368" i="8"/>
  <c r="O368" i="8"/>
  <c r="S216" i="8"/>
  <c r="S367" i="8"/>
  <c r="B24" i="8"/>
  <c r="B668" i="8"/>
  <c r="B568" i="8"/>
  <c r="B769" i="8"/>
  <c r="B469" i="8"/>
  <c r="B218" i="8"/>
  <c r="B338" i="8"/>
  <c r="B369" i="8"/>
  <c r="L369" i="8" a="1"/>
  <c r="O24" i="8" a="1"/>
  <c r="W469" i="8" a="1"/>
  <c r="P668" i="8" a="1"/>
  <c r="Y218" i="8" a="1"/>
  <c r="W568" i="8" a="1"/>
  <c r="Y369" i="8" a="1"/>
  <c r="D24" i="8" a="1"/>
  <c r="W369" i="8" a="1"/>
  <c r="H668" i="8" a="1"/>
  <c r="L469" i="8" a="1"/>
  <c r="L338" i="8" a="1"/>
  <c r="U568" i="8" a="1"/>
  <c r="R568" i="8" a="1"/>
  <c r="K668" i="8" a="1"/>
  <c r="K24" i="8" a="1"/>
  <c r="O469" i="8" a="1"/>
  <c r="I469" i="8" a="1"/>
  <c r="K568" i="8" a="1"/>
  <c r="W24" i="8" a="1"/>
  <c r="C469" i="8" a="1"/>
  <c r="T369" i="8" a="1"/>
  <c r="F24" i="8" a="1"/>
  <c r="V338" i="8" a="1"/>
  <c r="X568" i="8" a="1"/>
  <c r="I568" i="8" a="1"/>
  <c r="J24" i="8" a="1"/>
  <c r="V24" i="8" a="1"/>
  <c r="Q218" i="8" a="1"/>
  <c r="E218" i="8" a="1"/>
  <c r="Y469" i="8" a="1"/>
  <c r="U369" i="8" a="1"/>
  <c r="R469" i="8" a="1"/>
  <c r="Y568" i="8" a="1"/>
  <c r="L568" i="8" a="1"/>
  <c r="V369" i="8" a="1"/>
  <c r="T338" i="8" a="1"/>
  <c r="G568" i="8" a="1"/>
  <c r="P338" i="8" a="1"/>
  <c r="Q369" i="8" a="1"/>
  <c r="E668" i="8" a="1"/>
  <c r="U338" i="8" a="1"/>
  <c r="D568" i="8" a="1"/>
  <c r="O568" i="8" a="1"/>
  <c r="D668" i="8" a="1"/>
  <c r="U218" i="8" a="1"/>
  <c r="H24" i="8" a="1"/>
  <c r="F338" i="8" a="1"/>
  <c r="E568" i="8" a="1"/>
  <c r="V668" i="8" a="1"/>
  <c r="X369" i="8" a="1"/>
  <c r="W218" i="8" a="1"/>
  <c r="D338" i="8" a="1"/>
  <c r="R668" i="8" a="1"/>
  <c r="P24" i="8" a="1"/>
  <c r="M668" i="8" a="1"/>
  <c r="H218" i="8" a="1"/>
  <c r="K369" i="8" a="1"/>
  <c r="G668" i="8" a="1"/>
  <c r="G369" i="8" a="1"/>
  <c r="C568" i="8" a="1"/>
  <c r="J568" i="8" a="1"/>
  <c r="V568" i="8" a="1"/>
  <c r="P568" i="8" a="1"/>
  <c r="O218" i="8" a="1"/>
  <c r="T24" i="8" a="1"/>
  <c r="F469" i="8" a="1"/>
  <c r="T218" i="8" a="1"/>
  <c r="L24" i="8" a="1"/>
  <c r="M24" i="8" a="1"/>
  <c r="N568" i="8" a="1"/>
  <c r="T469" i="8" a="1"/>
  <c r="C338" i="8" a="1"/>
  <c r="Q24" i="8" a="1"/>
  <c r="P218" i="8" a="1"/>
  <c r="C218" i="8" a="1"/>
  <c r="E369" i="8" a="1"/>
  <c r="U24" i="8" a="1"/>
  <c r="Q568" i="8" a="1"/>
  <c r="C24" i="8" a="1"/>
  <c r="V469" i="8" a="1"/>
  <c r="M568" i="8" a="1"/>
  <c r="J668" i="8" a="1"/>
  <c r="Y668" i="8" a="1"/>
  <c r="R369" i="8" a="1"/>
  <c r="O369" i="8" a="1"/>
  <c r="Q338" i="8" a="1"/>
  <c r="G24" i="8" a="1"/>
  <c r="O338" i="8" a="1"/>
  <c r="E338" i="8" a="1"/>
  <c r="L218" i="8" a="1"/>
  <c r="J218" i="8" a="1"/>
  <c r="G338" i="8" a="1"/>
  <c r="R338" i="8" a="1"/>
  <c r="J369" i="8" a="1"/>
  <c r="P469" i="8" a="1"/>
  <c r="F668" i="8" a="1"/>
  <c r="I668" i="8" a="1"/>
  <c r="O668" i="8" a="1"/>
  <c r="W338" i="8" a="1"/>
  <c r="I24" i="8" a="1"/>
  <c r="Q668" i="8" a="1"/>
  <c r="R218" i="8" a="1"/>
  <c r="X668" i="8" a="1"/>
  <c r="I369" i="8" a="1"/>
  <c r="Y338" i="8" a="1"/>
  <c r="Q469" i="8" a="1"/>
  <c r="H568" i="8" a="1"/>
  <c r="F568" i="8" a="1"/>
  <c r="N469" i="8" a="1"/>
  <c r="J338" i="8" a="1"/>
  <c r="E469" i="8" a="1"/>
  <c r="T568" i="8" a="1"/>
  <c r="K338" i="8" a="1"/>
  <c r="W668" i="8" a="1"/>
  <c r="X469" i="8" a="1"/>
  <c r="E24" i="8" a="1"/>
  <c r="F218" i="8" a="1"/>
  <c r="U668" i="8" a="1"/>
  <c r="K218" i="8" a="1"/>
  <c r="H469" i="8" a="1"/>
  <c r="C369" i="8" a="1"/>
  <c r="N24" i="8" a="1"/>
  <c r="X338" i="8" a="1"/>
  <c r="D369" i="8" a="1"/>
  <c r="G469" i="8" a="1"/>
  <c r="X24" i="8" a="1"/>
  <c r="P369" i="8" a="1"/>
  <c r="R24" i="8" a="1"/>
  <c r="N218" i="8" a="1"/>
  <c r="N338" i="8" a="1"/>
  <c r="D218" i="8" a="1"/>
  <c r="L668" i="8" a="1"/>
  <c r="K469" i="8" a="1"/>
  <c r="G218" i="8" a="1"/>
  <c r="I338" i="8" a="1"/>
  <c r="J469" i="8" a="1"/>
  <c r="M338" i="8" a="1"/>
  <c r="D469" i="8" a="1"/>
  <c r="U469" i="8" a="1"/>
  <c r="X218" i="8" a="1"/>
  <c r="C668" i="8" a="1"/>
  <c r="M469" i="8" a="1"/>
  <c r="M218" i="8" a="1"/>
  <c r="I218" i="8" a="1"/>
  <c r="Y24" i="8" a="1"/>
  <c r="H338" i="8" a="1"/>
  <c r="H369" i="8" a="1"/>
  <c r="N369" i="8" a="1"/>
  <c r="M369" i="8" a="1"/>
  <c r="F369" i="8" a="1"/>
  <c r="V218" i="8" a="1"/>
  <c r="S468" i="8" l="1"/>
  <c r="S567" i="8"/>
  <c r="U469" i="8"/>
  <c r="E469" i="8"/>
  <c r="I469" i="8"/>
  <c r="V469" i="8"/>
  <c r="F469" i="8"/>
  <c r="J469" i="8"/>
  <c r="N469" i="8"/>
  <c r="W469" i="8"/>
  <c r="C469" i="8"/>
  <c r="G469" i="8"/>
  <c r="K469" i="8"/>
  <c r="T469" i="8"/>
  <c r="X469" i="8"/>
  <c r="H469" i="8"/>
  <c r="L469" i="8"/>
  <c r="M469" i="8"/>
  <c r="O469" i="8"/>
  <c r="P469" i="8"/>
  <c r="Q469" i="8"/>
  <c r="Y469" i="8"/>
  <c r="R469" i="8"/>
  <c r="D469" i="8"/>
  <c r="W668" i="8"/>
  <c r="C668" i="8"/>
  <c r="G668" i="8"/>
  <c r="K668" i="8"/>
  <c r="O668" i="8"/>
  <c r="D668" i="8"/>
  <c r="U668" i="8"/>
  <c r="Y668" i="8"/>
  <c r="J668" i="8"/>
  <c r="Q668" i="8"/>
  <c r="X668" i="8"/>
  <c r="E668" i="8"/>
  <c r="L668" i="8"/>
  <c r="R668" i="8"/>
  <c r="F668" i="8"/>
  <c r="M668" i="8"/>
  <c r="H668" i="8"/>
  <c r="I668" i="8"/>
  <c r="V668" i="8"/>
  <c r="P668" i="8"/>
  <c r="V568" i="8"/>
  <c r="F568" i="8"/>
  <c r="J568" i="8"/>
  <c r="N568" i="8"/>
  <c r="R568" i="8"/>
  <c r="W568" i="8"/>
  <c r="C568" i="8"/>
  <c r="G568" i="8"/>
  <c r="K568" i="8"/>
  <c r="O568" i="8"/>
  <c r="T568" i="8"/>
  <c r="X568" i="8"/>
  <c r="D568" i="8"/>
  <c r="H568" i="8"/>
  <c r="L568" i="8"/>
  <c r="P568" i="8"/>
  <c r="I568" i="8"/>
  <c r="M568" i="8"/>
  <c r="Q568" i="8"/>
  <c r="E568" i="8"/>
  <c r="Y568" i="8"/>
  <c r="U568" i="8"/>
  <c r="S337" i="8"/>
  <c r="W369" i="8"/>
  <c r="T369" i="8"/>
  <c r="X369" i="8"/>
  <c r="D369" i="8"/>
  <c r="H369" i="8"/>
  <c r="L369" i="8"/>
  <c r="P369" i="8"/>
  <c r="U369" i="8"/>
  <c r="Y369" i="8"/>
  <c r="E369" i="8"/>
  <c r="I369" i="8"/>
  <c r="M369" i="8"/>
  <c r="Q369" i="8"/>
  <c r="V369" i="8"/>
  <c r="R369" i="8"/>
  <c r="C369" i="8"/>
  <c r="F369" i="8"/>
  <c r="G369" i="8"/>
  <c r="J369" i="8"/>
  <c r="N369" i="8"/>
  <c r="O369" i="8"/>
  <c r="K369" i="8"/>
  <c r="U338" i="8"/>
  <c r="E338" i="8"/>
  <c r="I338" i="8"/>
  <c r="M338" i="8"/>
  <c r="Q338" i="8"/>
  <c r="V338" i="8"/>
  <c r="F338" i="8"/>
  <c r="J338" i="8"/>
  <c r="N338" i="8"/>
  <c r="R338" i="8"/>
  <c r="W338" i="8"/>
  <c r="C338" i="8"/>
  <c r="G338" i="8"/>
  <c r="K338" i="8"/>
  <c r="O338" i="8"/>
  <c r="T338" i="8"/>
  <c r="X338" i="8"/>
  <c r="H338" i="8"/>
  <c r="L338" i="8"/>
  <c r="P338" i="8"/>
  <c r="D338" i="8"/>
  <c r="Y338" i="8"/>
  <c r="E218" i="8"/>
  <c r="I218" i="8"/>
  <c r="M218" i="8"/>
  <c r="Q218" i="8"/>
  <c r="F218" i="8"/>
  <c r="J218" i="8"/>
  <c r="N218" i="8"/>
  <c r="R218" i="8"/>
  <c r="W218" i="8"/>
  <c r="T218" i="8"/>
  <c r="X218" i="8"/>
  <c r="K218" i="8"/>
  <c r="L218" i="8"/>
  <c r="U218" i="8"/>
  <c r="C218" i="8"/>
  <c r="V218" i="8"/>
  <c r="D218" i="8"/>
  <c r="O218" i="8"/>
  <c r="P218" i="8"/>
  <c r="G218" i="8"/>
  <c r="Y218" i="8"/>
  <c r="H218" i="8"/>
  <c r="E24" i="8"/>
  <c r="I24" i="8"/>
  <c r="M24" i="8"/>
  <c r="Q24" i="8"/>
  <c r="V24" i="8"/>
  <c r="F24" i="8"/>
  <c r="J24" i="8"/>
  <c r="N24" i="8"/>
  <c r="R24" i="8"/>
  <c r="W24" i="8"/>
  <c r="C24" i="8"/>
  <c r="G24" i="8"/>
  <c r="K24" i="8"/>
  <c r="O24" i="8"/>
  <c r="D24" i="8"/>
  <c r="H24" i="8"/>
  <c r="L24" i="8"/>
  <c r="P24" i="8"/>
  <c r="U24" i="8"/>
  <c r="Y24" i="8"/>
  <c r="T24" i="8"/>
  <c r="X24" i="8"/>
  <c r="S23" i="8"/>
  <c r="S368" i="8"/>
  <c r="S217" i="8"/>
  <c r="B25" i="8"/>
  <c r="B569" i="8"/>
  <c r="B669" i="8"/>
  <c r="B470" i="8"/>
  <c r="B770" i="8"/>
  <c r="B339" i="8"/>
  <c r="B219" i="8"/>
  <c r="B370" i="8"/>
  <c r="S469" i="8" l="1"/>
  <c r="S568" i="8"/>
  <c r="S218" i="8"/>
  <c r="S369" i="8"/>
  <c r="S24" i="8"/>
  <c r="S338" i="8"/>
  <c r="B471" i="8"/>
  <c r="B26" i="8"/>
  <c r="B670" i="8"/>
  <c r="B570" i="8"/>
  <c r="B771" i="8"/>
  <c r="B220" i="8"/>
  <c r="B340" i="8"/>
  <c r="B371" i="8"/>
  <c r="B472" i="8" l="1"/>
  <c r="B27" i="8"/>
  <c r="B571" i="8"/>
  <c r="B671" i="8"/>
  <c r="B772" i="8"/>
  <c r="B341" i="8"/>
  <c r="B221" i="8"/>
  <c r="B372" i="8"/>
  <c r="B473" i="8" l="1"/>
  <c r="B474" i="8" s="1"/>
  <c r="B28" i="8"/>
  <c r="B672" i="8"/>
  <c r="B572" i="8"/>
  <c r="B773" i="8"/>
  <c r="B222" i="8"/>
  <c r="B342" i="8"/>
  <c r="B373" i="8"/>
  <c r="B29" i="8" l="1"/>
  <c r="B573" i="8"/>
  <c r="B673" i="8"/>
  <c r="B774" i="8"/>
  <c r="B343" i="8"/>
  <c r="B223" i="8"/>
  <c r="B475" i="8"/>
  <c r="B374" i="8"/>
  <c r="B30" i="8" l="1"/>
  <c r="B674" i="8"/>
  <c r="B574" i="8"/>
  <c r="B775" i="8"/>
  <c r="B224" i="8"/>
  <c r="B344" i="8"/>
  <c r="B476" i="8"/>
  <c r="B375" i="8"/>
  <c r="B31" i="8" l="1"/>
  <c r="B675" i="8"/>
  <c r="B575" i="8"/>
  <c r="B776" i="8"/>
  <c r="B345" i="8"/>
  <c r="B225" i="8"/>
  <c r="B477" i="8"/>
  <c r="B376" i="8"/>
  <c r="B32" i="8" l="1"/>
  <c r="B676" i="8"/>
  <c r="B576" i="8"/>
  <c r="B777" i="8"/>
  <c r="B226" i="8"/>
  <c r="B346" i="8"/>
  <c r="B478" i="8"/>
  <c r="B377" i="8"/>
  <c r="B33" i="8" l="1"/>
  <c r="B577" i="8"/>
  <c r="B677" i="8"/>
  <c r="B778" i="8"/>
  <c r="B227" i="8"/>
  <c r="B347" i="8"/>
  <c r="B479" i="8"/>
  <c r="B378" i="8"/>
  <c r="B34" i="8" l="1"/>
  <c r="B578" i="8"/>
  <c r="B678" i="8"/>
  <c r="B779" i="8"/>
  <c r="B228" i="8"/>
  <c r="B348" i="8"/>
  <c r="B480" i="8"/>
  <c r="B379" i="8"/>
  <c r="B35" i="8" l="1"/>
  <c r="B679" i="8"/>
  <c r="B579" i="8"/>
  <c r="B780" i="8"/>
  <c r="B349" i="8"/>
  <c r="B229" i="8"/>
  <c r="B481" i="8"/>
  <c r="B380" i="8"/>
  <c r="W372" i="8" a="1"/>
  <c r="Q316" i="8" a="1"/>
  <c r="N471" i="8" a="1"/>
  <c r="N312" i="8" a="1"/>
  <c r="O221" i="8" a="1"/>
  <c r="M772" i="8" a="1"/>
  <c r="C671" i="8" a="1"/>
  <c r="R672" i="8" a="1"/>
  <c r="H220" i="8" a="1"/>
  <c r="W373" i="8" a="1"/>
  <c r="G570" i="8" a="1"/>
  <c r="N773" i="8" a="1"/>
  <c r="W371" i="8" a="1"/>
  <c r="U307" i="8" a="1"/>
  <c r="T314" i="8" a="1"/>
  <c r="Q375" i="8" a="1"/>
  <c r="M29" i="8" a="1"/>
  <c r="U300" i="8" a="1"/>
  <c r="D676" i="8" a="1"/>
  <c r="Q224" i="8" a="1"/>
  <c r="O470" i="8" a="1"/>
  <c r="Y770" i="8" a="1"/>
  <c r="J673" i="8" a="1"/>
  <c r="H669" i="8" a="1"/>
  <c r="L319" i="8" a="1"/>
  <c r="Y675" i="8" a="1"/>
  <c r="T450" i="8" a="1"/>
  <c r="J770" i="8" a="1"/>
  <c r="J313" i="8" a="1"/>
  <c r="N318" i="8" a="1"/>
  <c r="L768" i="8" a="1"/>
  <c r="Q451" i="8" a="1"/>
  <c r="T200" i="8" a="1"/>
  <c r="G474" i="8" a="1"/>
  <c r="M222" i="8" a="1"/>
  <c r="C316" i="8" a="1"/>
  <c r="W575" i="8" a="1"/>
  <c r="U574" i="8" a="1"/>
  <c r="V221" i="8" a="1"/>
  <c r="E670" i="8" a="1"/>
  <c r="Y650" i="8" a="1"/>
  <c r="Y29" i="8" a="1"/>
  <c r="P319" i="8" a="1"/>
  <c r="T569" i="8" a="1"/>
  <c r="R28" i="8" a="1"/>
  <c r="X314" i="8" a="1"/>
  <c r="M374" i="8" a="1"/>
  <c r="W317" i="8" a="1"/>
  <c r="O764" i="8" a="1"/>
  <c r="G300" i="8" a="1"/>
  <c r="N760" i="8" a="1"/>
  <c r="M670" i="8" a="1"/>
  <c r="R570" i="8" a="1"/>
  <c r="J371" i="8" a="1"/>
  <c r="D475" i="8" a="1"/>
  <c r="N765" i="8" a="1"/>
  <c r="N770" i="8" a="1"/>
  <c r="Q339" i="8" a="1"/>
  <c r="X474" i="8" a="1"/>
  <c r="K310" i="8" a="1"/>
  <c r="E673" i="8" a="1"/>
  <c r="H768" i="8" a="1"/>
  <c r="M773" i="8" a="1"/>
  <c r="G762" i="8" a="1"/>
  <c r="I320" i="8" a="1"/>
  <c r="V671" i="8" a="1"/>
  <c r="H370" i="8" a="1"/>
  <c r="Y307" i="8" a="1"/>
  <c r="D574" i="8" a="1"/>
  <c r="J773" i="8" a="1"/>
  <c r="G317" i="8" a="1"/>
  <c r="K25" i="8" a="1"/>
  <c r="J569" i="8" a="1"/>
  <c r="L222" i="8" a="1"/>
  <c r="R224" i="8" a="1"/>
  <c r="I373" i="8" a="1"/>
  <c r="Q32" i="8" a="1"/>
  <c r="R473" i="8" a="1"/>
  <c r="W760" i="8" a="1"/>
  <c r="T673" i="8" a="1"/>
  <c r="C477" i="8" a="1"/>
  <c r="R768" i="8" a="1"/>
  <c r="M342" i="8" a="1"/>
  <c r="U31" i="8" a="1"/>
  <c r="W477" i="8" a="1"/>
  <c r="O476" i="8" a="1"/>
  <c r="H300" i="8" a="1"/>
  <c r="V774" i="8" a="1"/>
  <c r="L765" i="8" a="1"/>
  <c r="E669" i="8" a="1"/>
  <c r="Q28" i="8" a="1"/>
  <c r="E312" i="8" a="1"/>
  <c r="N764" i="8" a="1"/>
  <c r="K569" i="8" a="1"/>
  <c r="L571" i="8" a="1"/>
  <c r="E31" i="8" a="1"/>
  <c r="X450" i="8" a="1"/>
  <c r="U472" i="8" a="1"/>
  <c r="M316" i="8" a="1"/>
  <c r="X371" i="8" a="1"/>
  <c r="V766" i="8" a="1"/>
  <c r="V672" i="8" a="1"/>
  <c r="Q770" i="8" a="1"/>
  <c r="I674" i="8" a="1"/>
  <c r="W222" i="8" a="1"/>
  <c r="E375" i="8" a="1"/>
  <c r="H765" i="8" a="1"/>
  <c r="N200" i="8" a="1"/>
  <c r="U473" i="8" a="1"/>
  <c r="K313" i="8" a="1"/>
  <c r="T306" i="8" a="1"/>
  <c r="E471" i="8" a="1"/>
  <c r="M310" i="8" a="1"/>
  <c r="I573" i="8" a="1"/>
  <c r="D26" i="8" a="1"/>
  <c r="K26" i="8" a="1"/>
  <c r="L316" i="8" a="1"/>
  <c r="Q476" i="8" a="1"/>
  <c r="D775" i="8" a="1"/>
  <c r="F773" i="8" a="1"/>
  <c r="W451" i="8" a="1"/>
  <c r="P766" i="8" a="1"/>
  <c r="L451" i="8" a="1"/>
  <c r="D312" i="8" a="1"/>
  <c r="C571" i="8" a="1"/>
  <c r="W450" i="8" a="1"/>
  <c r="N317" i="8" a="1"/>
  <c r="C315" i="8" a="1"/>
  <c r="O318" i="8" a="1"/>
  <c r="M300" i="8" a="1"/>
  <c r="J571" i="8" a="1"/>
  <c r="I32" i="8" a="1"/>
  <c r="E339" i="8" a="1"/>
  <c r="G671" i="8" a="1"/>
  <c r="F28" i="8" a="1"/>
  <c r="R309" i="8" a="1"/>
  <c r="F25" i="8" a="1"/>
  <c r="N473" i="8" a="1"/>
  <c r="O25" i="8" a="1"/>
  <c r="J472" i="8" a="1"/>
  <c r="D374" i="8" a="1"/>
  <c r="J314" i="8" a="1"/>
  <c r="D770" i="8" a="1"/>
  <c r="I317" i="8" a="1"/>
  <c r="H471" i="8" a="1"/>
  <c r="V225" i="8" a="1"/>
  <c r="C569" i="8" a="1"/>
  <c r="R769" i="8" a="1"/>
  <c r="Q225" i="8" a="1"/>
  <c r="Q570" i="8" a="1"/>
  <c r="I374" i="8" a="1"/>
  <c r="F311" i="8" a="1"/>
  <c r="L339" i="8" a="1"/>
  <c r="L200" i="8" a="1"/>
  <c r="P475" i="8" a="1"/>
  <c r="I311" i="8" a="1"/>
  <c r="O320" i="8" a="1"/>
  <c r="O316" i="8" a="1"/>
  <c r="O339" i="8" a="1"/>
  <c r="P765" i="8" a="1"/>
  <c r="N226" i="8" a="1"/>
  <c r="Q342" i="8" a="1"/>
  <c r="V220" i="8" a="1"/>
  <c r="D670" i="8" a="1"/>
  <c r="R760" i="8" a="1"/>
  <c r="Y370" i="8" a="1"/>
  <c r="I312" i="8" a="1"/>
  <c r="R222" i="8" a="1"/>
  <c r="H572" i="8" a="1"/>
  <c r="G769" i="8" a="1"/>
  <c r="Q320" i="8" a="1"/>
  <c r="G767" i="8" a="1"/>
  <c r="L25" i="8" a="1"/>
  <c r="R339" i="8" a="1"/>
  <c r="W650" i="8" a="1"/>
  <c r="R371" i="8" a="1"/>
  <c r="X669" i="8" a="1"/>
  <c r="D311" i="8" a="1"/>
  <c r="D571" i="8" a="1"/>
  <c r="P339" i="8" a="1"/>
  <c r="U312" i="8" a="1"/>
  <c r="F670" i="8" a="1"/>
  <c r="T315" i="8" a="1"/>
  <c r="J475" i="8" a="1"/>
  <c r="U311" i="8" a="1"/>
  <c r="U26" i="8" a="1"/>
  <c r="O317" i="8" a="1"/>
  <c r="P761" i="8" a="1"/>
  <c r="X28" i="8" a="1"/>
  <c r="F32" i="8" a="1"/>
  <c r="R219" i="8" a="1"/>
  <c r="Q200" i="8" a="1"/>
  <c r="M672" i="8" a="1"/>
  <c r="R31" i="8" a="1"/>
  <c r="L475" i="8" a="1"/>
  <c r="D772" i="8" a="1"/>
  <c r="O28" i="8" a="1"/>
  <c r="E318" i="8" a="1"/>
  <c r="I570" i="8" a="1"/>
  <c r="V373" i="8" a="1"/>
  <c r="X317" i="8" a="1"/>
  <c r="M451" i="8" a="1"/>
  <c r="T671" i="8" a="1"/>
  <c r="H343" i="8" a="1"/>
  <c r="G313" i="8" a="1"/>
  <c r="M3" i="8" a="1"/>
  <c r="K312" i="8" a="1"/>
  <c r="X345" i="8" a="1"/>
  <c r="V370" i="8" a="1"/>
  <c r="F671" i="8" a="1"/>
  <c r="W473" i="8" a="1"/>
  <c r="W314" i="8" a="1"/>
  <c r="C766" i="8" a="1"/>
  <c r="C762" i="8" a="1"/>
  <c r="J309" i="8" a="1"/>
  <c r="J342" i="8" a="1"/>
  <c r="L769" i="8" a="1"/>
  <c r="R343" i="8" a="1"/>
  <c r="J375" i="8" a="1"/>
  <c r="F675" i="8" a="1"/>
  <c r="I572" i="8" a="1"/>
  <c r="C450" i="8" a="1"/>
  <c r="K767" i="8" a="1"/>
  <c r="F475" i="8" a="1"/>
  <c r="L219" i="8" a="1"/>
  <c r="I575" i="8" a="1"/>
  <c r="T341" i="8" a="1"/>
  <c r="C312" i="8" a="1"/>
  <c r="I769" i="8" a="1"/>
  <c r="F314" i="8" a="1"/>
  <c r="R3" i="8" a="1"/>
  <c r="E473" i="8" a="1"/>
  <c r="W320" i="8" a="1"/>
  <c r="F477" i="8" a="1"/>
  <c r="K474" i="8" a="1"/>
  <c r="N472" i="8" a="1"/>
  <c r="V773" i="8" a="1"/>
  <c r="U339" i="8" a="1"/>
  <c r="E25" i="8" a="1"/>
  <c r="P341" i="8" a="1"/>
  <c r="W571" i="8" a="1"/>
  <c r="E569" i="8" a="1"/>
  <c r="T471" i="8" a="1"/>
  <c r="P3" i="8" a="1"/>
  <c r="J769" i="8" a="1"/>
  <c r="Y341" i="8" a="1"/>
  <c r="K29" i="8" a="1"/>
  <c r="P571" i="8" a="1"/>
  <c r="M219" i="8" a="1"/>
  <c r="C373" i="8" a="1"/>
  <c r="K314" i="8" a="1"/>
  <c r="M339" i="8" a="1"/>
  <c r="D314" i="8" a="1"/>
  <c r="K344" i="8" a="1"/>
  <c r="F450" i="8" a="1"/>
  <c r="N373" i="8" a="1"/>
  <c r="V768" i="8" a="1"/>
  <c r="V318" i="8" a="1"/>
  <c r="K472" i="8" a="1"/>
  <c r="L300" i="8" a="1"/>
  <c r="Q221" i="8" a="1"/>
  <c r="N341" i="8" a="1"/>
  <c r="T771" i="8" a="1"/>
  <c r="R770" i="8" a="1"/>
  <c r="O471" i="8" a="1"/>
  <c r="U768" i="8" a="1"/>
  <c r="Q675" i="8" a="1"/>
  <c r="P313" i="8" a="1"/>
  <c r="P312" i="8" a="1"/>
  <c r="Q376" i="8" a="1"/>
  <c r="I3" i="8" a="1"/>
  <c r="L773" i="8" a="1"/>
  <c r="Q310" i="8" a="1"/>
  <c r="K316" i="8" a="1"/>
  <c r="Q450" i="8" a="1"/>
  <c r="L450" i="8" a="1"/>
  <c r="Y310" i="8" a="1"/>
  <c r="U471" i="8" a="1"/>
  <c r="J311" i="8" a="1"/>
  <c r="X478" i="8" a="1"/>
  <c r="J776" i="8" a="1"/>
  <c r="Q477" i="8" a="1"/>
  <c r="H310" i="8" a="1"/>
  <c r="K771" i="8" a="1"/>
  <c r="P310" i="8" a="1"/>
  <c r="T769" i="8" a="1"/>
  <c r="Y350" i="8" a="1"/>
  <c r="X342" i="8" a="1"/>
  <c r="V769" i="8" a="1"/>
  <c r="M318" i="8" a="1"/>
  <c r="J310" i="8" a="1"/>
  <c r="R317" i="8" a="1"/>
  <c r="C341" i="8" a="1"/>
  <c r="W316" i="8" a="1"/>
  <c r="Q27" i="8" a="1"/>
  <c r="D200" i="8" a="1"/>
  <c r="C3" i="8" a="1"/>
  <c r="G371" i="8" a="1"/>
  <c r="Q341" i="8" a="1"/>
  <c r="L470" i="8" a="1"/>
  <c r="G319" i="8" a="1"/>
  <c r="V574" i="8" a="1"/>
  <c r="H569" i="8" a="1"/>
  <c r="K763" i="8" a="1"/>
  <c r="H571" i="8" a="1"/>
  <c r="R223" i="8" a="1"/>
  <c r="V339" i="8" a="1"/>
  <c r="U308" i="8" a="1"/>
  <c r="P26" i="8" a="1"/>
  <c r="R764" i="8" a="1"/>
  <c r="I350" i="8" a="1"/>
  <c r="F345" i="8" a="1"/>
  <c r="I222" i="8" a="1"/>
  <c r="V306" i="8" a="1"/>
  <c r="G476" i="8" a="1"/>
  <c r="P471" i="8" a="1"/>
  <c r="O315" i="8" a="1"/>
  <c r="L572" i="8" a="1"/>
  <c r="O312" i="8" a="1"/>
  <c r="Q370" i="8" a="1"/>
  <c r="D573" i="8" a="1"/>
  <c r="P222" i="8" a="1"/>
  <c r="P573" i="8" a="1"/>
  <c r="G342" i="8" a="1"/>
  <c r="X309" i="8" a="1"/>
  <c r="V775" i="8" a="1"/>
  <c r="N309" i="8" a="1"/>
  <c r="O450" i="8" a="1"/>
  <c r="Y25" i="8" a="1"/>
  <c r="V473" i="8" a="1"/>
  <c r="N25" i="8" a="1"/>
  <c r="O344" i="8" a="1"/>
  <c r="I309" i="8" a="1"/>
  <c r="H221" i="8" a="1"/>
  <c r="G771" i="8" a="1"/>
  <c r="M570" i="8" a="1"/>
  <c r="W224" i="8" a="1"/>
  <c r="M768" i="8" a="1"/>
  <c r="N30" i="8" a="1"/>
  <c r="H316" i="8" a="1"/>
  <c r="T674" i="8" a="1"/>
  <c r="I319" i="8" a="1"/>
  <c r="T316" i="8" a="1"/>
  <c r="P772" i="8" a="1"/>
  <c r="I200" i="8" a="1"/>
  <c r="C350" i="8" a="1"/>
  <c r="U760" i="8" a="1"/>
  <c r="X772" i="8" a="1"/>
  <c r="J674" i="8" a="1"/>
  <c r="E775" i="8" a="1"/>
  <c r="J226" i="8" a="1"/>
  <c r="K343" i="8" a="1"/>
  <c r="G31" i="8" a="1"/>
  <c r="F774" i="8" a="1"/>
  <c r="K479" i="8" a="1"/>
  <c r="V577" i="8" a="1"/>
  <c r="W766" i="8" a="1"/>
  <c r="U670" i="8" a="1"/>
  <c r="I29" i="8" a="1"/>
  <c r="D309" i="8" a="1"/>
  <c r="C767" i="8" a="1"/>
  <c r="V222" i="8" a="1"/>
  <c r="D220" i="8" a="1"/>
  <c r="V316" i="8" a="1"/>
  <c r="R340" i="8" a="1"/>
  <c r="O220" i="8" a="1"/>
  <c r="N766" i="8" a="1"/>
  <c r="M771" i="8" a="1"/>
  <c r="H311" i="8" a="1"/>
  <c r="R569" i="8" a="1"/>
  <c r="G350" i="8" a="1"/>
  <c r="W342" i="8" a="1"/>
  <c r="Y220" i="8" a="1"/>
  <c r="F770" i="8" a="1"/>
  <c r="X768" i="8" a="1"/>
  <c r="U100" i="8" a="1"/>
  <c r="Y318" i="8" a="1"/>
  <c r="I470" i="8" a="1"/>
  <c r="V450" i="8" a="1"/>
  <c r="Q26" i="8" a="1"/>
  <c r="U671" i="8" a="1"/>
  <c r="W671" i="8" a="1"/>
  <c r="Y760" i="8" a="1"/>
  <c r="O477" i="8" a="1"/>
  <c r="G200" i="8" a="1"/>
  <c r="P774" i="8" a="1"/>
  <c r="K676" i="8" a="1"/>
  <c r="E472" i="8" a="1"/>
  <c r="Y671" i="8" a="1"/>
  <c r="J300" i="8" a="1"/>
  <c r="V342" i="8" a="1"/>
  <c r="W310" i="8" a="1"/>
  <c r="X316" i="8" a="1"/>
  <c r="D373" i="8" a="1"/>
  <c r="O572" i="8" a="1"/>
  <c r="N761" i="8" a="1"/>
  <c r="G574" i="8" a="1"/>
  <c r="X674" i="8" a="1"/>
  <c r="U572" i="8" a="1"/>
  <c r="Y26" i="8" a="1"/>
  <c r="J671" i="8" a="1"/>
  <c r="G761" i="8" a="1"/>
  <c r="M765" i="8" a="1"/>
  <c r="M223" i="8" a="1"/>
  <c r="X451" i="8" a="1"/>
  <c r="J373" i="8" a="1"/>
  <c r="R377" i="8" a="1"/>
  <c r="V476" i="8" a="1"/>
  <c r="X760" i="8" a="1"/>
  <c r="Q25" i="8" a="1"/>
  <c r="V650" i="8" a="1"/>
  <c r="E342" i="8" a="1"/>
  <c r="H318" i="8" a="1"/>
  <c r="Q763" i="8" a="1"/>
  <c r="K570" i="8" a="1"/>
  <c r="G29" i="8" a="1"/>
  <c r="I767" i="8" a="1"/>
  <c r="Q223" i="8" a="1"/>
  <c r="O372" i="8" a="1"/>
  <c r="M343" i="8" a="1"/>
  <c r="F471" i="8" a="1"/>
  <c r="I27" i="8" a="1"/>
  <c r="M314" i="8" a="1"/>
  <c r="F224" i="8" a="1"/>
  <c r="O674" i="8" a="1"/>
  <c r="C374" i="8" a="1"/>
  <c r="Q474" i="8" a="1"/>
  <c r="V375" i="8" a="1"/>
  <c r="Y573" i="8" a="1"/>
  <c r="E317" i="8" a="1"/>
  <c r="I25" i="8" a="1"/>
  <c r="F374" i="8" a="1"/>
  <c r="L772" i="8" a="1"/>
  <c r="W474" i="8" a="1"/>
  <c r="V475" i="8" a="1"/>
  <c r="Q3" i="8" a="1"/>
  <c r="M763" i="8" a="1"/>
  <c r="Y315" i="8" a="1"/>
  <c r="J30" i="8" a="1"/>
  <c r="Q343" i="8" a="1"/>
  <c r="D318" i="8" a="1"/>
  <c r="X340" i="8" a="1"/>
  <c r="H314" i="8" a="1"/>
  <c r="C763" i="8" a="1"/>
  <c r="R674" i="8" a="1"/>
  <c r="I344" i="8" a="1"/>
  <c r="F674" i="8" a="1"/>
  <c r="O671" i="8" a="1"/>
  <c r="R761" i="8" a="1"/>
  <c r="H477" i="8" a="1"/>
  <c r="M200" i="8" a="1"/>
  <c r="T572" i="8" a="1"/>
  <c r="O31" i="8" a="1"/>
  <c r="W370" i="8" a="1"/>
  <c r="W374" i="8" a="1"/>
  <c r="U372" i="8" a="1"/>
  <c r="Q773" i="8" a="1"/>
  <c r="O571" i="8" a="1"/>
  <c r="C773" i="8" a="1"/>
  <c r="G673" i="8" a="1"/>
  <c r="V343" i="8" a="1"/>
  <c r="Y768" i="8" a="1"/>
  <c r="T764" i="8" a="1"/>
  <c r="Q769" i="8" a="1"/>
  <c r="N776" i="8" a="1"/>
  <c r="E377" i="8" a="1"/>
  <c r="E314" i="8" a="1"/>
  <c r="X773" i="8" a="1"/>
  <c r="H674" i="8" a="1"/>
  <c r="T372" i="8" a="1"/>
  <c r="H763" i="8" a="1"/>
  <c r="V315" i="8" a="1"/>
  <c r="Y308" i="8" a="1"/>
  <c r="H315" i="8" a="1"/>
  <c r="D25" i="8" a="1"/>
  <c r="M472" i="8" a="1"/>
  <c r="V223" i="8" a="1"/>
  <c r="N221" i="8" a="1"/>
  <c r="I219" i="8" a="1"/>
  <c r="T762" i="8" a="1"/>
  <c r="T26" i="8" a="1"/>
  <c r="R451" i="8" a="1"/>
  <c r="W27" i="8" a="1"/>
  <c r="J766" i="8" a="1"/>
  <c r="V572" i="8" a="1"/>
  <c r="N372" i="8" a="1"/>
  <c r="W26" i="8" a="1"/>
  <c r="I318" i="8" a="1"/>
  <c r="X26" i="8" a="1"/>
  <c r="G316" i="8" a="1"/>
  <c r="N219" i="8" a="1"/>
  <c r="F572" i="8" a="1"/>
  <c r="E309" i="8" a="1"/>
  <c r="L771" i="8" a="1"/>
  <c r="I571" i="8" a="1"/>
  <c r="T773" i="8" a="1"/>
  <c r="C319" i="8" a="1"/>
  <c r="U27" i="8" a="1"/>
  <c r="X476" i="8" a="1"/>
  <c r="L343" i="8" a="1"/>
  <c r="M572" i="8" a="1"/>
  <c r="L311" i="8" a="1"/>
  <c r="H319" i="8" a="1"/>
  <c r="W29" i="8" a="1"/>
  <c r="W344" i="8" a="1"/>
  <c r="H320" i="8" a="1"/>
  <c r="N574" i="8" a="1"/>
  <c r="N573" i="8" a="1"/>
  <c r="X573" i="8" a="1"/>
  <c r="X765" i="8" a="1"/>
  <c r="J316" i="8" a="1"/>
  <c r="P570" i="8" a="1"/>
  <c r="Y320" i="8" a="1"/>
  <c r="X307" i="8" a="1"/>
  <c r="C769" i="8" a="1"/>
  <c r="T32" i="8" a="1"/>
  <c r="X315" i="8" a="1"/>
  <c r="Q31" i="8" a="1"/>
  <c r="Q29" i="8" a="1"/>
  <c r="R350" i="8" a="1"/>
  <c r="C221" i="8" a="1"/>
  <c r="X219" i="8" a="1"/>
  <c r="Y222" i="8" a="1"/>
  <c r="X470" i="8" a="1"/>
  <c r="Y673" i="8" a="1"/>
  <c r="N311" i="8" a="1"/>
  <c r="X575" i="8" a="1"/>
  <c r="U772" i="8" a="1"/>
  <c r="N343" i="8" a="1"/>
  <c r="N768" i="8" a="1"/>
  <c r="G674" i="8" a="1"/>
  <c r="U673" i="8" a="1"/>
  <c r="G569" i="8" a="1"/>
  <c r="J476" i="8" a="1"/>
  <c r="X30" i="8" a="1"/>
  <c r="F765" i="8" a="1"/>
  <c r="O768" i="8" a="1"/>
  <c r="J669" i="8" a="1"/>
  <c r="M372" i="8" a="1"/>
  <c r="P474" i="8" a="1"/>
  <c r="T309" i="8" a="1"/>
  <c r="L767" i="8" a="1"/>
  <c r="X569" i="8" a="1"/>
  <c r="C220" i="8" a="1"/>
  <c r="E475" i="8" a="1"/>
  <c r="C574" i="8" a="1"/>
  <c r="C451" i="8" a="1"/>
  <c r="U313" i="8" a="1"/>
  <c r="M309" i="8" a="1"/>
  <c r="Y200" i="8" a="1"/>
  <c r="M761" i="8" a="1"/>
  <c r="G222" i="8" a="1"/>
  <c r="N774" i="8" a="1"/>
  <c r="U478" i="8" a="1"/>
  <c r="C473" i="8" a="1"/>
  <c r="P572" i="8" a="1"/>
  <c r="F473" i="8" a="1"/>
  <c r="D477" i="8" a="1"/>
  <c r="O340" i="8" a="1"/>
  <c r="D313" i="8" a="1"/>
  <c r="J760" i="8" a="1"/>
  <c r="K475" i="8" a="1"/>
  <c r="T760" i="8" a="1"/>
  <c r="D319" i="8" a="1"/>
  <c r="J372" i="8" a="1"/>
  <c r="M340" i="8" a="1"/>
  <c r="U570" i="8" a="1"/>
  <c r="K572" i="8" a="1"/>
  <c r="D471" i="8" a="1"/>
  <c r="W315" i="8" a="1"/>
  <c r="I474" i="8" a="1"/>
  <c r="U771" i="8" a="1"/>
  <c r="V350" i="8" a="1"/>
  <c r="Y776" i="8" a="1"/>
  <c r="L375" i="8" a="1"/>
  <c r="M30" i="8" a="1"/>
  <c r="P311" i="8" a="1"/>
  <c r="Q470" i="8" a="1"/>
  <c r="X344" i="8" a="1"/>
  <c r="Q772" i="8" a="1"/>
  <c r="E771" i="8" a="1"/>
  <c r="T311" i="8" a="1"/>
  <c r="V674" i="8" a="1"/>
  <c r="T100" i="8" a="1"/>
  <c r="E770" i="8" a="1"/>
  <c r="X343" i="8" a="1"/>
  <c r="U669" i="8" a="1"/>
  <c r="L309" i="8" a="1"/>
  <c r="N310" i="8" a="1"/>
  <c r="O772" i="8" a="1"/>
  <c r="W771" i="8" a="1"/>
  <c r="N450" i="8" a="1"/>
  <c r="D764" i="8" a="1"/>
  <c r="Q771" i="8" a="1"/>
  <c r="M317" i="8" a="1"/>
  <c r="V31" i="8" a="1"/>
  <c r="C470" i="8" a="1"/>
  <c r="W670" i="8" a="1"/>
  <c r="L764" i="8" a="1"/>
  <c r="J474" i="8" a="1"/>
  <c r="X770" i="8" a="1"/>
  <c r="V300" i="8" a="1"/>
  <c r="Q318" i="8" a="1"/>
  <c r="G375" i="8" a="1"/>
  <c r="D671" i="8" a="1"/>
  <c r="D771" i="8" a="1"/>
  <c r="M315" i="8" a="1"/>
  <c r="O319" i="8" a="1"/>
  <c r="E29" i="8" a="1"/>
  <c r="F222" i="8" a="1"/>
  <c r="F763" i="8" a="1"/>
  <c r="M474" i="8" a="1"/>
  <c r="Y769" i="8" a="1"/>
  <c r="R26" i="8" a="1"/>
  <c r="L671" i="8" a="1"/>
  <c r="V30" i="8" a="1"/>
  <c r="K768" i="8" a="1"/>
  <c r="N27" i="8" a="1"/>
  <c r="Q673" i="8" a="1"/>
  <c r="P25" i="8" a="1"/>
  <c r="F317" i="8" a="1"/>
  <c r="H774" i="8" a="1"/>
  <c r="E766" i="8" a="1"/>
  <c r="I372" i="8" a="1"/>
  <c r="H313" i="8" a="1"/>
  <c r="U775" i="8" a="1"/>
  <c r="W308" i="8" a="1"/>
  <c r="U220" i="8" a="1"/>
  <c r="E572" i="8" a="1"/>
  <c r="D372" i="8" a="1"/>
  <c r="Q674" i="8" a="1"/>
  <c r="F313" i="8" a="1"/>
  <c r="D570" i="8" a="1"/>
  <c r="T344" i="8" a="1"/>
  <c r="V312" i="8" a="1"/>
  <c r="E223" i="8" a="1"/>
  <c r="Y570" i="8" a="1"/>
  <c r="M344" i="8" a="1"/>
  <c r="F343" i="8" a="1"/>
  <c r="P344" i="8" a="1"/>
  <c r="J450" i="8" a="1"/>
  <c r="X100" i="8" a="1"/>
  <c r="C764" i="8" a="1"/>
  <c r="V29" i="8" a="1"/>
  <c r="H771" i="8" a="1"/>
  <c r="F571" i="8" a="1"/>
  <c r="M674" i="8" a="1"/>
  <c r="V340" i="8" a="1"/>
  <c r="K340" i="8" a="1"/>
  <c r="O343" i="8" a="1"/>
  <c r="P773" i="8" a="1"/>
  <c r="N772" i="8" a="1"/>
  <c r="F309" i="8" a="1"/>
  <c r="H28" i="8" a="1"/>
  <c r="O350" i="8" a="1"/>
  <c r="V26" i="8" a="1"/>
  <c r="V673" i="8" a="1"/>
  <c r="I761" i="8" a="1"/>
  <c r="I672" i="8" a="1"/>
  <c r="Y470" i="8" a="1"/>
  <c r="W3" i="8" a="1"/>
  <c r="U451" i="8" a="1"/>
  <c r="E372" i="8" a="1"/>
  <c r="E32" i="8" a="1"/>
  <c r="X670" i="8" a="1"/>
  <c r="P28" i="8" a="1"/>
  <c r="T339" i="8" a="1"/>
  <c r="Y31" i="8" a="1"/>
  <c r="W100" i="8" a="1"/>
  <c r="U221" i="8" a="1"/>
  <c r="Y763" i="8" a="1"/>
  <c r="G773" i="8" a="1"/>
  <c r="H476" i="8" a="1"/>
  <c r="G775" i="8" a="1"/>
  <c r="Q573" i="8" a="1"/>
  <c r="F220" i="8" a="1"/>
  <c r="P373" i="8" a="1"/>
  <c r="Q571" i="8" a="1"/>
  <c r="K451" i="8" a="1"/>
  <c r="R475" i="8" a="1"/>
  <c r="C25" i="8" a="1"/>
  <c r="C314" i="8" a="1"/>
  <c r="J570" i="8" a="1"/>
  <c r="M225" i="8" a="1"/>
  <c r="I341" i="8" a="1"/>
  <c r="M375" i="8" a="1"/>
  <c r="H342" i="8" a="1"/>
  <c r="W219" i="8" a="1"/>
  <c r="K371" i="8" a="1"/>
  <c r="H670" i="8" a="1"/>
  <c r="T774" i="8" a="1"/>
  <c r="O222" i="8" a="1"/>
  <c r="U761" i="8" a="1"/>
  <c r="K300" i="8" a="1"/>
  <c r="T312" i="8" a="1"/>
  <c r="H25" i="8" a="1"/>
  <c r="W569" i="8" a="1"/>
  <c r="L669" i="8" a="1"/>
  <c r="C219" i="8" a="1"/>
  <c r="N342" i="8" a="1"/>
  <c r="E319" i="8" a="1"/>
  <c r="E573" i="8" a="1"/>
  <c r="X475" i="8" a="1"/>
  <c r="K219" i="8" a="1"/>
  <c r="C670" i="8" a="1"/>
  <c r="F30" i="8" a="1"/>
  <c r="R27" i="8" a="1"/>
  <c r="X313" i="8" a="1"/>
  <c r="H770" i="8" a="1"/>
  <c r="V474" i="8" a="1"/>
  <c r="D762" i="8" a="1"/>
  <c r="H671" i="8" a="1"/>
  <c r="Q761" i="8" a="1"/>
  <c r="O570" i="8" a="1"/>
  <c r="G26" i="8" a="1"/>
  <c r="D572" i="8" a="1"/>
  <c r="T765" i="8" a="1"/>
  <c r="O760" i="8" a="1"/>
  <c r="G774" i="8" a="1"/>
  <c r="P473" i="8" a="1"/>
  <c r="U371" i="8" a="1"/>
  <c r="H26" i="8" a="1"/>
  <c r="J320" i="8" a="1"/>
  <c r="R200" i="8" a="1"/>
  <c r="D32" i="8" a="1"/>
  <c r="Q472" i="8" a="1"/>
  <c r="K760" i="8" a="1"/>
  <c r="C343" i="8" a="1"/>
  <c r="E370" i="8" a="1"/>
  <c r="U318" i="8" a="1"/>
  <c r="L373" i="8" a="1"/>
  <c r="I770" i="8" a="1"/>
  <c r="R342" i="8" a="1"/>
  <c r="I28" i="8" a="1"/>
  <c r="M775" i="8" a="1"/>
  <c r="Y223" i="8" a="1"/>
  <c r="Q374" i="8" a="1"/>
  <c r="R470" i="8" a="1"/>
  <c r="M762" i="8" a="1"/>
  <c r="C765" i="8" a="1"/>
  <c r="H30" i="8" a="1"/>
  <c r="V767" i="8" a="1"/>
  <c r="R370" i="8" a="1"/>
  <c r="X320" i="8" a="1"/>
  <c r="O670" i="8" a="1"/>
  <c r="M575" i="8" a="1"/>
  <c r="R300" i="8" a="1"/>
  <c r="Q372" i="8" a="1"/>
  <c r="C760" i="8" a="1"/>
  <c r="R319" i="8" a="1"/>
  <c r="U200" i="8" a="1"/>
  <c r="W768" i="8" a="1"/>
  <c r="U674" i="8" a="1"/>
  <c r="U373" i="8" a="1"/>
  <c r="J344" i="8" a="1"/>
  <c r="H575" i="8" a="1"/>
  <c r="U320" i="8" a="1"/>
  <c r="G311" i="8" a="1"/>
  <c r="C340" i="8" a="1"/>
  <c r="N470" i="8" a="1"/>
  <c r="X300" i="8" a="1"/>
  <c r="V28" i="8" a="1"/>
  <c r="E225" i="8" a="1"/>
  <c r="D761" i="8" a="1"/>
  <c r="O200" i="8" a="1"/>
  <c r="F669" i="8" a="1"/>
  <c r="D375" i="8" a="1"/>
  <c r="T320" i="8" a="1"/>
  <c r="C674" i="8" a="1"/>
  <c r="V320" i="8" a="1"/>
  <c r="M320" i="8" a="1"/>
  <c r="R771" i="8" a="1"/>
  <c r="J771" i="8" a="1"/>
  <c r="M767" i="8" a="1"/>
  <c r="Q669" i="8" a="1"/>
  <c r="D340" i="8" a="1"/>
  <c r="N475" i="8" a="1"/>
  <c r="U316" i="8" a="1"/>
  <c r="T570" i="8" a="1"/>
  <c r="O761" i="8" a="1"/>
  <c r="P769" i="8" a="1"/>
  <c r="J473" i="8" a="1"/>
  <c r="H767" i="8" a="1"/>
  <c r="R320" i="8" a="1"/>
  <c r="H573" i="8" a="1"/>
  <c r="M573" i="8" a="1"/>
  <c r="K772" i="8" a="1"/>
  <c r="W770" i="8" a="1"/>
  <c r="X25" i="8" a="1"/>
  <c r="T477" i="8" a="1"/>
  <c r="E26" i="8" a="1"/>
  <c r="V761" i="8" a="1"/>
  <c r="J222" i="8" a="1"/>
  <c r="J451" i="8" a="1"/>
  <c r="X675" i="8" a="1"/>
  <c r="J225" i="8" a="1"/>
  <c r="L372" i="8" a="1"/>
  <c r="P569" i="8" a="1"/>
  <c r="Y343" i="8" a="1"/>
  <c r="Q311" i="8" a="1"/>
  <c r="G315" i="8" a="1"/>
  <c r="M571" i="8" a="1"/>
  <c r="C669" i="8" a="1"/>
  <c r="L320" i="8" a="1"/>
  <c r="X318" i="8" a="1"/>
  <c r="J3" i="8" a="1"/>
  <c r="Y674" i="8" a="1"/>
  <c r="P673" i="8" a="1"/>
  <c r="P31" i="8" a="1"/>
  <c r="O677" i="8" a="1"/>
  <c r="N33" i="8" a="1"/>
  <c r="L576" i="8" a="1"/>
  <c r="G572" i="8" a="1"/>
  <c r="J765" i="8" a="1"/>
  <c r="T25" i="8" a="1"/>
  <c r="I476" i="8" a="1"/>
  <c r="T373" i="8" a="1"/>
  <c r="P374" i="8" a="1"/>
  <c r="L3" i="8" a="1"/>
  <c r="G343" i="8" a="1"/>
  <c r="N29" i="8" a="1"/>
  <c r="W675" i="8" a="1"/>
  <c r="R30" i="8" a="1"/>
  <c r="M370" i="8" a="1"/>
  <c r="P315" i="8" a="1"/>
  <c r="O575" i="8" a="1"/>
  <c r="E219" i="8" a="1"/>
  <c r="V770" i="8" a="1"/>
  <c r="M476" i="8" a="1"/>
  <c r="T476" i="8" a="1"/>
  <c r="R372" i="8" a="1"/>
  <c r="F451" i="8" a="1"/>
  <c r="T310" i="8" a="1"/>
  <c r="T767" i="8" a="1"/>
  <c r="R314" i="8" a="1"/>
  <c r="M350" i="8" a="1"/>
  <c r="W572" i="8" a="1"/>
  <c r="V25" i="8" a="1"/>
  <c r="R318" i="8" a="1"/>
  <c r="K670" i="8" a="1"/>
  <c r="D371" i="8" a="1"/>
  <c r="C372" i="8" a="1"/>
  <c r="T340" i="8" a="1"/>
  <c r="Y371" i="8" a="1"/>
  <c r="R670" i="8" a="1"/>
  <c r="X220" i="8" a="1"/>
  <c r="N340" i="8" a="1"/>
  <c r="U3" i="8" a="1"/>
  <c r="G473" i="8" a="1"/>
  <c r="U377" i="8" a="1"/>
  <c r="E674" i="8" a="1"/>
  <c r="Y312" i="8" a="1"/>
  <c r="P771" i="8" a="1"/>
  <c r="T223" i="8" a="1"/>
  <c r="P370" i="8" a="1"/>
  <c r="F767" i="8" a="1"/>
  <c r="T772" i="8" a="1"/>
  <c r="R316" i="8" a="1"/>
  <c r="W765" i="8" a="1"/>
  <c r="D763" i="8" a="1"/>
  <c r="R313" i="8" a="1"/>
  <c r="R373" i="8" a="1"/>
  <c r="K315" i="8" a="1"/>
  <c r="D28" i="8" a="1"/>
  <c r="F372" i="8" a="1"/>
  <c r="I375" i="8" a="1"/>
  <c r="O669" i="8" a="1"/>
  <c r="V314" i="8" a="1"/>
  <c r="Y451" i="8" a="1"/>
  <c r="C761" i="8" a="1"/>
  <c r="D769" i="8" a="1"/>
  <c r="G25" i="8" a="1"/>
  <c r="Y345" i="8" a="1"/>
  <c r="I763" i="8" a="1"/>
  <c r="N569" i="8" a="1"/>
  <c r="Y300" i="8" a="1"/>
  <c r="U675" i="8" a="1"/>
  <c r="N767" i="8" a="1"/>
  <c r="N223" i="8" a="1"/>
  <c r="V575" i="8" a="1"/>
  <c r="Y761" i="8" a="1"/>
  <c r="O342" i="8" a="1"/>
  <c r="W573" i="8" a="1"/>
  <c r="W30" i="8" a="1"/>
  <c r="Q350" i="8" a="1"/>
  <c r="O773" i="8" a="1"/>
  <c r="H344" i="8" a="1"/>
  <c r="P477" i="8" a="1"/>
  <c r="Q313" i="8" a="1"/>
  <c r="O314" i="8" a="1"/>
  <c r="U769" i="8" a="1"/>
  <c r="W762" i="8" a="1"/>
  <c r="G219" i="8" a="1"/>
  <c r="O26" i="8" a="1"/>
  <c r="L474" i="8" a="1"/>
  <c r="D350" i="8" a="1"/>
  <c r="R375" i="8" a="1"/>
  <c r="E768" i="8" a="1"/>
  <c r="Y669" i="8" a="1"/>
  <c r="Y569" i="8" a="1"/>
  <c r="D450" i="8" a="1"/>
  <c r="R766" i="8" a="1"/>
  <c r="I771" i="8" a="1"/>
  <c r="M473" i="8" a="1"/>
  <c r="X341" i="8" a="1"/>
  <c r="G772" i="8" a="1"/>
  <c r="P27" i="8" a="1"/>
  <c r="K766" i="8" a="1"/>
  <c r="X319" i="8" a="1"/>
  <c r="F344" i="8" a="1"/>
  <c r="P300" i="8" a="1"/>
  <c r="L573" i="8" a="1"/>
  <c r="M764" i="8" a="1"/>
  <c r="C472" i="8" a="1"/>
  <c r="T222" i="8" a="1"/>
  <c r="W200" i="8" a="1"/>
  <c r="U765" i="8" a="1"/>
  <c r="V307" i="8" a="1"/>
  <c r="F472" i="8" a="1"/>
  <c r="P476" i="8" a="1"/>
  <c r="J29" i="8" a="1"/>
  <c r="J318" i="8" a="1"/>
  <c r="D221" i="8" a="1"/>
  <c r="U25" i="8" a="1"/>
  <c r="N763" i="8" a="1"/>
  <c r="X774" i="8" a="1"/>
  <c r="I671" i="8" a="1"/>
  <c r="Q575" i="8" a="1"/>
  <c r="Y472" i="8" a="1"/>
  <c r="Q765" i="8" a="1"/>
  <c r="E470" i="8" a="1"/>
  <c r="V573" i="8" a="1"/>
  <c r="X350" i="8" a="1"/>
  <c r="I378" i="8" a="1"/>
  <c r="Q577" i="8" a="1"/>
  <c r="T573" i="8" a="1"/>
  <c r="O375" i="8" a="1"/>
  <c r="J26" i="8" a="1"/>
  <c r="Y226" i="8" a="1"/>
  <c r="F370" i="8" a="1"/>
  <c r="E30" i="8" a="1"/>
  <c r="V570" i="8" a="1"/>
  <c r="M671" i="8" a="1"/>
  <c r="F316" i="8" a="1"/>
  <c r="D341" i="8" a="1"/>
  <c r="W761" i="8" a="1"/>
  <c r="X372" i="8" a="1"/>
  <c r="U314" i="8" a="1"/>
  <c r="Y225" i="8" a="1"/>
  <c r="D27" i="8" a="1"/>
  <c r="O765" i="8" a="1"/>
  <c r="H372" i="8" a="1"/>
  <c r="P672" i="8" a="1"/>
  <c r="F673" i="8" a="1"/>
  <c r="L223" i="8" a="1"/>
  <c r="V376" i="8" a="1"/>
  <c r="M774" i="8" a="1"/>
  <c r="N673" i="8" a="1"/>
  <c r="H473" i="8" a="1"/>
  <c r="U477" i="8" a="1"/>
  <c r="W28" i="8" a="1"/>
  <c r="O769" i="8" a="1"/>
  <c r="X200" i="8" a="1"/>
  <c r="X472" i="8" a="1"/>
  <c r="I471" i="8" a="1"/>
  <c r="T28" i="8" a="1"/>
  <c r="P675" i="8" a="1"/>
  <c r="V27" i="8" a="1"/>
  <c r="W309" i="8" a="1"/>
  <c r="P450" i="8" a="1"/>
  <c r="X572" i="8" a="1"/>
  <c r="L762" i="8" a="1"/>
  <c r="T375" i="8" a="1"/>
  <c r="K342" i="8" a="1"/>
  <c r="W476" i="8" a="1"/>
  <c r="D473" i="8" a="1"/>
  <c r="G576" i="8" a="1"/>
  <c r="E27" i="8" a="1"/>
  <c r="M26" i="8" a="1"/>
  <c r="H317" i="8" a="1"/>
  <c r="J315" i="8" a="1"/>
  <c r="C673" i="8" a="1"/>
  <c r="L774" i="8" a="1"/>
  <c r="V762" i="8" a="1"/>
  <c r="I670" i="8" a="1"/>
  <c r="O771" i="8" a="1"/>
  <c r="U774" i="8" a="1"/>
  <c r="V478" i="8" a="1"/>
  <c r="L318" i="8" a="1"/>
  <c r="F318" i="8" a="1"/>
  <c r="Y372" i="8" a="1"/>
  <c r="C344" i="8" a="1"/>
  <c r="R450" i="8" a="1"/>
  <c r="D470" i="8" a="1"/>
  <c r="W25" i="8" a="1"/>
  <c r="D3" i="8" a="1"/>
  <c r="C339" i="8" a="1"/>
  <c r="L374" i="8" a="1"/>
  <c r="K669" i="8" a="1"/>
  <c r="Y339" i="8" a="1"/>
  <c r="C29" i="8" a="1"/>
  <c r="D316" i="8" a="1"/>
  <c r="K773" i="8" a="1"/>
  <c r="U219" i="8" a="1"/>
  <c r="M221" i="8" a="1"/>
  <c r="K3" i="8" a="1"/>
  <c r="X31" i="8" a="1"/>
  <c r="W340" i="8" a="1"/>
  <c r="D344" i="8" a="1"/>
  <c r="W767" i="8" a="1"/>
  <c r="K376" i="8" a="1"/>
  <c r="V472" i="8" a="1"/>
  <c r="D320" i="8" a="1"/>
  <c r="U475" i="8" a="1"/>
  <c r="U450" i="8" a="1"/>
  <c r="I477" i="8" a="1"/>
  <c r="Y571" i="8" a="1"/>
  <c r="P221" i="8" a="1"/>
  <c r="J762" i="8" a="1"/>
  <c r="Q300" i="8" a="1"/>
  <c r="M373" i="8" a="1"/>
  <c r="O3" i="8" a="1"/>
  <c r="J764" i="8" a="1"/>
  <c r="X761" i="8" a="1"/>
  <c r="X312" i="8" a="1"/>
  <c r="L313" i="8" a="1"/>
  <c r="G451" i="8" a="1"/>
  <c r="F570" i="8" a="1"/>
  <c r="D674" i="8" a="1"/>
  <c r="N28" i="8" a="1"/>
  <c r="G314" i="8" a="1"/>
  <c r="K770" i="8" a="1"/>
  <c r="L569" i="8" a="1"/>
  <c r="E570" i="8" a="1"/>
  <c r="L377" i="8" a="1"/>
  <c r="U226" i="8" a="1"/>
  <c r="E765" i="8" a="1"/>
  <c r="L370" i="8" a="1"/>
  <c r="N315" i="8" a="1"/>
  <c r="O573" i="8" a="1"/>
  <c r="P472" i="8" a="1"/>
  <c r="Y473" i="8" a="1"/>
  <c r="W306" i="8" a="1"/>
  <c r="U341" i="8" a="1"/>
  <c r="Y672" i="8" a="1"/>
  <c r="P345" i="8" a="1"/>
  <c r="R763" i="8" a="1"/>
  <c r="F340" i="8" a="1"/>
  <c r="N769" i="8" a="1"/>
  <c r="D673" i="8" a="1"/>
  <c r="F760" i="8" a="1"/>
  <c r="G341" i="8" a="1"/>
  <c r="G318" i="8" a="1"/>
  <c r="W312" i="8" a="1"/>
  <c r="I773" i="8" a="1"/>
  <c r="G575" i="8" a="1"/>
  <c r="F225" i="8" a="1"/>
  <c r="V341" i="8" a="1"/>
  <c r="K32" i="8" a="1"/>
  <c r="Y762" i="8" a="1"/>
  <c r="T761" i="8" a="1"/>
  <c r="P777" i="8" a="1"/>
  <c r="R378" i="8" a="1"/>
  <c r="U650" i="8" a="1"/>
  <c r="H376" i="8" a="1"/>
  <c r="L312" i="8" a="1"/>
  <c r="M769" i="8" a="1"/>
  <c r="O371" i="8" a="1"/>
  <c r="P760" i="8" a="1"/>
  <c r="C573" i="8" a="1"/>
  <c r="K319" i="8" a="1"/>
  <c r="V771" i="8" a="1"/>
  <c r="Y100" i="8" a="1"/>
  <c r="X673" i="8" a="1"/>
  <c r="V371" i="8" a="1"/>
  <c r="Q478" i="8" a="1"/>
  <c r="N320" i="8" a="1"/>
  <c r="N570" i="8" a="1"/>
  <c r="N220" i="8" a="1"/>
  <c r="G340" i="8" a="1"/>
  <c r="P342" i="8" a="1"/>
  <c r="T470" i="8" a="1"/>
  <c r="X375" i="8" a="1"/>
  <c r="M345" i="8" a="1"/>
  <c r="R775" i="8" a="1"/>
  <c r="D343" i="8" a="1"/>
  <c r="N26" i="8" a="1"/>
  <c r="V374" i="8" a="1"/>
  <c r="F768" i="8" a="1"/>
  <c r="F761" i="8" a="1"/>
  <c r="G571" i="8" a="1"/>
  <c r="V471" i="8" a="1"/>
  <c r="W350" i="8" a="1"/>
  <c r="L775" i="8" a="1"/>
  <c r="P669" i="8" a="1"/>
  <c r="H766" i="8" a="1"/>
  <c r="O29" i="8" a="1"/>
  <c r="F373" i="8" a="1"/>
  <c r="X769" i="8" a="1"/>
  <c r="P767" i="8" a="1"/>
  <c r="L26" i="8" a="1"/>
  <c r="F221" i="8" a="1"/>
  <c r="F315" i="8" a="1"/>
  <c r="U340" i="8" a="1"/>
  <c r="D474" i="8" a="1"/>
  <c r="T224" i="8" a="1"/>
  <c r="X27" i="8" a="1"/>
  <c r="W313" i="8" a="1"/>
  <c r="N762" i="8" a="1"/>
  <c r="I475" i="8" a="1"/>
  <c r="K473" i="8" a="1"/>
  <c r="L225" i="8" a="1"/>
  <c r="M669" i="8" a="1"/>
  <c r="P314" i="8" a="1"/>
  <c r="H226" i="8" a="1"/>
  <c r="L350" i="8" a="1"/>
  <c r="G27" i="8" a="1"/>
  <c r="C370" i="8" a="1"/>
  <c r="Q340" i="8" a="1"/>
  <c r="H773" i="8" a="1"/>
  <c r="J350" i="8" a="1"/>
  <c r="P763" i="8" a="1"/>
  <c r="H472" i="8" a="1"/>
  <c r="Y314" i="8" a="1"/>
  <c r="P309" i="8" a="1"/>
  <c r="K672" i="8" a="1"/>
  <c r="P340" i="8" a="1"/>
  <c r="U376" i="8" a="1"/>
  <c r="C311" i="8" a="1"/>
  <c r="Y306" i="8" a="1"/>
  <c r="K200" i="8" a="1"/>
  <c r="I300" i="8" a="1"/>
  <c r="F769" i="8" a="1"/>
  <c r="Y478" i="8" a="1"/>
  <c r="P223" i="8" a="1"/>
  <c r="I768" i="8" a="1"/>
  <c r="Q671" i="8" a="1"/>
  <c r="U342" i="8" a="1"/>
  <c r="G312" i="8" a="1"/>
  <c r="T308" i="8" a="1"/>
  <c r="O775" i="8" a="1"/>
  <c r="T475" i="8" a="1"/>
  <c r="J573" i="8" a="1"/>
  <c r="L760" i="8" a="1"/>
  <c r="D31" i="8" a="1"/>
  <c r="T3" i="8" a="1"/>
  <c r="D339" i="8" a="1"/>
  <c r="D476" i="8" a="1"/>
  <c r="M28" i="8" a="1"/>
  <c r="X766" i="8" a="1"/>
  <c r="G766" i="8" a="1"/>
  <c r="K27" i="8" a="1"/>
  <c r="D767" i="8" a="1"/>
  <c r="U319" i="8" a="1"/>
  <c r="F376" i="8" a="1"/>
  <c r="I339" i="8" a="1"/>
  <c r="Y309" i="8" a="1"/>
  <c r="X223" i="8" a="1"/>
  <c r="U470" i="8" a="1"/>
  <c r="R762" i="8" a="1"/>
  <c r="Y3" i="8" a="1"/>
  <c r="Y32" i="8" a="1"/>
  <c r="Q767" i="8" a="1"/>
  <c r="V470" i="8" a="1"/>
  <c r="V319" i="8" a="1"/>
  <c r="F573" i="8" a="1"/>
  <c r="E220" i="8" a="1"/>
  <c r="Y224" i="8" a="1"/>
  <c r="Y471" i="8" a="1"/>
  <c r="J340" i="8" a="1"/>
  <c r="O225" i="8" a="1"/>
  <c r="G763" i="8" a="1"/>
  <c r="I310" i="8" a="1"/>
  <c r="C313" i="8" a="1"/>
  <c r="L28" i="8" a="1"/>
  <c r="D219" i="8" a="1"/>
  <c r="L220" i="8" a="1"/>
  <c r="U309" i="8" a="1"/>
  <c r="I764" i="8" a="1"/>
  <c r="Y313" i="8" a="1"/>
  <c r="T374" i="8" a="1"/>
  <c r="L761" i="8" a="1"/>
  <c r="E310" i="8" a="1"/>
  <c r="V311" i="8" a="1"/>
  <c r="T27" i="8" a="1"/>
  <c r="G776" i="8" a="1"/>
  <c r="U370" i="8" a="1"/>
  <c r="W475" i="8" a="1"/>
  <c r="H312" i="8" a="1"/>
  <c r="E341" i="8" a="1"/>
  <c r="O341" i="8" a="1"/>
  <c r="T221" i="8" a="1"/>
  <c r="I225" i="8" a="1"/>
  <c r="H339" i="8" a="1"/>
  <c r="K761" i="8" a="1"/>
  <c r="D472" i="8" a="1"/>
  <c r="O313" i="8" a="1"/>
  <c r="K372" i="8" a="1"/>
  <c r="T342" i="8" a="1"/>
  <c r="D675" i="8" a="1"/>
  <c r="N222" i="8" a="1"/>
  <c r="C471" i="8" a="1"/>
  <c r="K774" i="8" a="1"/>
  <c r="P225" i="8" a="1"/>
  <c r="F350" i="8" a="1"/>
  <c r="R341" i="8" a="1"/>
  <c r="G220" i="8" a="1"/>
  <c r="K375" i="8" a="1"/>
  <c r="P768" i="8" a="1"/>
  <c r="X306" i="8" a="1"/>
  <c r="O475" i="8" a="1"/>
  <c r="D765" i="8" a="1"/>
  <c r="I765" i="8" a="1"/>
  <c r="K223" i="8" a="1"/>
  <c r="D773" i="8" a="1"/>
  <c r="I314" i="8" a="1"/>
  <c r="H574" i="8" a="1"/>
  <c r="W341" i="8" a="1"/>
  <c r="X762" i="8" a="1"/>
  <c r="Y765" i="8" a="1"/>
  <c r="Q768" i="8" a="1"/>
  <c r="F26" i="8" a="1"/>
  <c r="U767" i="8" a="1"/>
  <c r="O451" i="8" a="1"/>
  <c r="N771" i="8" a="1"/>
  <c r="I315" i="8" a="1"/>
  <c r="U763" i="8" a="1"/>
  <c r="E221" i="8" a="1"/>
  <c r="U28" i="8" a="1"/>
  <c r="W763" i="8" a="1"/>
  <c r="G344" i="8" a="1"/>
  <c r="Q371" i="8" a="1"/>
  <c r="I569" i="8" a="1"/>
  <c r="T220" i="8" a="1"/>
  <c r="G471" i="8" a="1"/>
  <c r="P343" i="8" a="1"/>
  <c r="J471" i="8" a="1"/>
  <c r="Q572" i="8" a="1"/>
  <c r="D300" i="8" a="1"/>
  <c r="X767" i="8" a="1"/>
  <c r="W773" i="8" a="1"/>
  <c r="C768" i="8" a="1"/>
  <c r="R315" i="8" a="1"/>
  <c r="C32" i="8" a="1"/>
  <c r="C318" i="8" a="1"/>
  <c r="N314" i="8" a="1"/>
  <c r="L30" i="8" a="1"/>
  <c r="E675" i="8" a="1"/>
  <c r="R344" i="8" a="1"/>
  <c r="X224" i="8" a="1"/>
  <c r="L31" i="8" a="1"/>
  <c r="Y772" i="8" a="1"/>
  <c r="T371" i="8" a="1"/>
  <c r="D29" i="8" a="1"/>
  <c r="V344" i="8" a="1"/>
  <c r="D451" i="8" a="1"/>
  <c r="L570" i="8" a="1"/>
  <c r="U764" i="8" a="1"/>
  <c r="H29" i="8" a="1"/>
  <c r="P318" i="8" a="1"/>
  <c r="G345" i="8" a="1"/>
  <c r="J575" i="8" a="1"/>
  <c r="O472" i="8" a="1"/>
  <c r="V764" i="8" a="1"/>
  <c r="W470" i="8" a="1"/>
  <c r="C772" i="8" a="1"/>
  <c r="K571" i="8" a="1"/>
  <c r="O474" i="8" a="1"/>
  <c r="F27" i="8" a="1"/>
  <c r="H761" i="8" a="1"/>
  <c r="U29" i="8" a="1"/>
  <c r="M32" i="8" a="1"/>
  <c r="V670" i="8" a="1"/>
  <c r="L763" i="8" a="1"/>
  <c r="F223" i="8" a="1"/>
  <c r="F771" i="8" a="1"/>
  <c r="P764" i="8" a="1"/>
  <c r="J220" i="8" a="1"/>
  <c r="V308" i="8" a="1"/>
  <c r="C30" i="8" a="1"/>
  <c r="P770" i="8" a="1"/>
  <c r="Y474" i="8" a="1"/>
  <c r="G478" i="8" a="1"/>
  <c r="G472" i="8" a="1"/>
  <c r="P371" i="8" a="1"/>
  <c r="P220" i="8" a="1"/>
  <c r="X29" i="8" a="1"/>
  <c r="J761" i="8" a="1"/>
  <c r="I224" i="8" a="1"/>
  <c r="H762" i="8" a="1"/>
  <c r="T343" i="8" a="1"/>
  <c r="Y773" i="8" a="1"/>
  <c r="L340" i="8" a="1"/>
  <c r="Y670" i="8" a="1"/>
  <c r="J339" i="8" a="1"/>
  <c r="K374" i="8" a="1"/>
  <c r="Q670" i="8" a="1"/>
  <c r="N316" i="8" a="1"/>
  <c r="U474" i="8" a="1"/>
  <c r="I675" i="8" a="1"/>
  <c r="H223" i="8" a="1"/>
  <c r="I673" i="8" a="1"/>
  <c r="X222" i="8" a="1"/>
  <c r="I30" i="8" a="1"/>
  <c r="O675" i="8" a="1"/>
  <c r="K341" i="8" a="1"/>
  <c r="M450" i="8" a="1"/>
  <c r="L342" i="8" a="1"/>
  <c r="E316" i="8" a="1"/>
  <c r="R772" i="8" a="1"/>
  <c r="U310" i="8" a="1"/>
  <c r="E376" i="8" a="1"/>
  <c r="N575" i="8" a="1"/>
  <c r="Y221" i="8" a="1"/>
  <c r="R25" i="8" a="1"/>
  <c r="X571" i="8" a="1"/>
  <c r="Q30" i="8" a="1"/>
  <c r="V760" i="8" a="1"/>
  <c r="F200" i="8" a="1"/>
  <c r="C474" i="8" a="1"/>
  <c r="E671" i="8" a="1"/>
  <c r="X311" i="8" a="1"/>
  <c r="T31" i="8" a="1"/>
  <c r="C342" i="8" a="1"/>
  <c r="L673" i="8" a="1"/>
  <c r="F762" i="8" a="1"/>
  <c r="P316" i="8" a="1"/>
  <c r="V310" i="8" a="1"/>
  <c r="R476" i="8" a="1"/>
  <c r="Y27" i="8" a="1"/>
  <c r="K373" i="8" a="1"/>
  <c r="J312" i="8" a="1"/>
  <c r="I766" i="8" a="1"/>
  <c r="N376" i="8" a="1"/>
  <c r="M569" i="8" a="1"/>
  <c r="E222" i="8" a="1"/>
  <c r="J25" i="8" a="1"/>
  <c r="G310" i="8" a="1"/>
  <c r="F342" i="8" a="1"/>
  <c r="U317" i="8" a="1"/>
  <c r="Q219" i="8" a="1"/>
  <c r="M470" i="8" a="1"/>
  <c r="T768" i="8" a="1"/>
  <c r="K221" i="8" a="1"/>
  <c r="Y319" i="8" a="1"/>
  <c r="G339" i="8" a="1"/>
  <c r="H222" i="8" a="1"/>
  <c r="I313" i="8" a="1"/>
  <c r="Y450" i="8" a="1"/>
  <c r="N339" i="8" a="1"/>
  <c r="Q764" i="8" a="1"/>
  <c r="C475" i="8" a="1"/>
  <c r="K765" i="8" a="1"/>
  <c r="H769" i="8" a="1"/>
  <c r="J672" i="8" a="1"/>
  <c r="R312" i="8" a="1"/>
  <c r="M376" i="8" a="1"/>
  <c r="C222" i="8" a="1"/>
  <c r="W223" i="8" a="1"/>
  <c r="I762" i="8" a="1"/>
  <c r="G221" i="8" a="1"/>
  <c r="N224" i="8" a="1"/>
  <c r="H27" i="8" a="1"/>
  <c r="J319" i="8" a="1"/>
  <c r="I370" i="8" a="1"/>
  <c r="J27" i="8" a="1"/>
  <c r="P470" i="8" a="1"/>
  <c r="J223" i="8" a="1"/>
  <c r="P320" i="8" a="1"/>
  <c r="K220" i="8" a="1"/>
  <c r="E574" i="8" a="1"/>
  <c r="M25" i="8" a="1"/>
  <c r="I450" i="8" a="1"/>
  <c r="M760" i="8" a="1"/>
  <c r="D342" i="8" a="1"/>
  <c r="T219" i="8" a="1"/>
  <c r="P317" i="8" a="1"/>
  <c r="O673" i="8" a="1"/>
  <c r="T763" i="8" a="1"/>
  <c r="R310" i="8" a="1"/>
  <c r="P29" i="8" a="1"/>
  <c r="J670" i="8" a="1"/>
  <c r="Y340" i="8" a="1"/>
  <c r="H373" i="8" a="1"/>
  <c r="D370" i="8" a="1"/>
  <c r="M312" i="8" a="1"/>
  <c r="Q317" i="8" a="1"/>
  <c r="K320" i="8" a="1"/>
  <c r="V765" i="8" a="1"/>
  <c r="G768" i="8" a="1"/>
  <c r="R572" i="8" a="1"/>
  <c r="L477" i="8" a="1"/>
  <c r="X672" i="8" a="1"/>
  <c r="G320" i="8" a="1"/>
  <c r="L476" i="8" a="1"/>
  <c r="C376" i="8" a="1"/>
  <c r="J767" i="8" a="1"/>
  <c r="U306" i="8" a="1"/>
  <c r="V309" i="8" a="1"/>
  <c r="K671" i="8" a="1"/>
  <c r="L676" i="8" a="1"/>
  <c r="G225" i="8" a="1"/>
  <c r="E313" i="8" a="1"/>
  <c r="Q672" i="8" a="1"/>
  <c r="W33" i="8" a="1"/>
  <c r="G676" i="8" a="1"/>
  <c r="V226" i="8" a="1"/>
  <c r="G376" i="8" a="1"/>
  <c r="D479" i="8" a="1"/>
  <c r="N31" i="8" a="1"/>
  <c r="C317" i="8" a="1"/>
  <c r="T574" i="8" a="1"/>
  <c r="V3" i="8" a="1"/>
  <c r="O676" i="8" a="1"/>
  <c r="U577" i="8" a="1"/>
  <c r="H371" i="8" a="1"/>
  <c r="L471" i="8" a="1"/>
  <c r="C770" i="8" a="1"/>
  <c r="U573" i="8" a="1"/>
  <c r="Q677" i="8" a="1"/>
  <c r="X339" i="8" a="1"/>
  <c r="U571" i="8" a="1"/>
  <c r="P670" i="8" a="1"/>
  <c r="J221" i="8" a="1"/>
  <c r="O776" i="8" a="1"/>
  <c r="T225" i="8" a="1"/>
  <c r="K225" i="8" a="1"/>
  <c r="T473" i="8" a="1"/>
  <c r="H570" i="8" a="1"/>
  <c r="U569" i="8" a="1"/>
  <c r="Q377" i="8" a="1"/>
  <c r="Y375" i="8" a="1"/>
  <c r="Q345" i="8" a="1"/>
  <c r="V675" i="8" a="1"/>
  <c r="Y777" i="8" a="1"/>
  <c r="J378" i="8" a="1"/>
  <c r="O27" i="8" a="1"/>
  <c r="Y374" i="8" a="1"/>
  <c r="K764" i="8" a="1"/>
  <c r="X473" i="8" a="1"/>
  <c r="F479" i="8" a="1"/>
  <c r="W769" i="8" a="1"/>
  <c r="R671" i="8" a="1"/>
  <c r="O311" i="8" a="1"/>
  <c r="I26" i="8" a="1"/>
  <c r="V378" i="8" a="1"/>
  <c r="I479" i="8" a="1"/>
  <c r="O224" i="8" a="1"/>
  <c r="O569" i="8" a="1"/>
  <c r="L344" i="8" a="1"/>
  <c r="L341" i="8" a="1"/>
  <c r="T227" i="8" a="1"/>
  <c r="M576" i="8" a="1"/>
  <c r="F478" i="8" a="1"/>
  <c r="G3" i="8" a="1"/>
  <c r="K346" i="8" a="1"/>
  <c r="D577" i="8" a="1"/>
  <c r="D315" i="8" a="1"/>
  <c r="O478" i="8" a="1"/>
  <c r="L221" i="8" a="1"/>
  <c r="Y572" i="8" a="1"/>
  <c r="D227" i="8" a="1"/>
  <c r="R34" i="8" a="1"/>
  <c r="U678" i="8" a="1"/>
  <c r="C678" i="8" a="1"/>
  <c r="O678" i="8" a="1"/>
  <c r="C34" i="8" a="1"/>
  <c r="P578" i="8" a="1"/>
  <c r="V578" i="8" a="1"/>
  <c r="H778" i="8" a="1"/>
  <c r="H228" i="8" a="1"/>
  <c r="R578" i="8" a="1"/>
  <c r="F34" i="8" a="1"/>
  <c r="N347" i="8" a="1"/>
  <c r="Q778" i="8" a="1"/>
  <c r="U34" i="8" a="1"/>
  <c r="T578" i="8" a="1"/>
  <c r="N678" i="8" a="1"/>
  <c r="W578" i="8" a="1"/>
  <c r="D347" i="8" a="1"/>
  <c r="H578" i="8" a="1"/>
  <c r="P347" i="8" a="1"/>
  <c r="W778" i="8" a="1"/>
  <c r="C778" i="8" a="1"/>
  <c r="U347" i="8" a="1"/>
  <c r="H678" i="8" a="1"/>
  <c r="T778" i="8" a="1"/>
  <c r="J228" i="8" a="1"/>
  <c r="G678" i="8" a="1"/>
  <c r="N379" i="8" a="1"/>
  <c r="V228" i="8" a="1"/>
  <c r="T480" i="8" a="1"/>
  <c r="V34" i="8" a="1"/>
  <c r="M34" i="8" a="1"/>
  <c r="J479" i="8" a="1"/>
  <c r="U476" i="8" a="1"/>
  <c r="E575" i="8" a="1"/>
  <c r="R228" i="8" a="1"/>
  <c r="C578" i="8" a="1"/>
  <c r="H377" i="8" a="1"/>
  <c r="M778" i="8" a="1"/>
  <c r="P379" i="8" a="1"/>
  <c r="L29" i="8" a="1"/>
  <c r="T318" i="8" a="1"/>
  <c r="N344" i="8" a="1"/>
  <c r="Q309" i="8" a="1"/>
  <c r="Y774" i="8" a="1"/>
  <c r="V676" i="8" a="1"/>
  <c r="J775" i="8" a="1"/>
  <c r="I677" i="8" a="1"/>
  <c r="L777" i="8" a="1"/>
  <c r="V569" i="8" a="1"/>
  <c r="K370" i="8" a="1"/>
  <c r="P776" i="8" a="1"/>
  <c r="L227" i="8" a="1"/>
  <c r="P350" i="8" a="1"/>
  <c r="G675" i="8" a="1"/>
  <c r="K350" i="8" a="1"/>
  <c r="W764" i="8" a="1"/>
  <c r="X677" i="8" a="1"/>
  <c r="E346" i="8" a="1"/>
  <c r="W345" i="8" a="1"/>
  <c r="R767" i="8" a="1"/>
  <c r="D768" i="8" a="1"/>
  <c r="C476" i="8" a="1"/>
  <c r="F33" i="8" a="1"/>
  <c r="F300" i="8" a="1"/>
  <c r="I220" i="8" a="1"/>
  <c r="L575" i="8" a="1"/>
  <c r="C300" i="8" a="1"/>
  <c r="G677" i="8" a="1"/>
  <c r="Y475" i="8" a="1"/>
  <c r="K674" i="8" a="1"/>
  <c r="V313" i="8" a="1"/>
  <c r="K317" i="8" a="1"/>
  <c r="M577" i="8" a="1"/>
  <c r="E760" i="8" a="1"/>
  <c r="G377" i="8" a="1"/>
  <c r="T376" i="8" a="1"/>
  <c r="Q475" i="8" a="1"/>
  <c r="O33" i="8" a="1"/>
  <c r="K677" i="8" a="1"/>
  <c r="J478" i="8" a="1"/>
  <c r="J31" i="8" a="1"/>
  <c r="T775" i="8" a="1"/>
  <c r="H474" i="8" a="1"/>
  <c r="U346" i="8" a="1"/>
  <c r="I775" i="8" a="1"/>
  <c r="O223" i="8" a="1"/>
  <c r="P219" i="8" a="1"/>
  <c r="G30" i="8" a="1"/>
  <c r="X479" i="8" a="1"/>
  <c r="X577" i="8" a="1"/>
  <c r="R221" i="8" a="1"/>
  <c r="H450" i="8" a="1"/>
  <c r="V451" i="8" a="1"/>
  <c r="W339" i="8" a="1"/>
  <c r="T577" i="8" a="1"/>
  <c r="Q222" i="8" a="1"/>
  <c r="G672" i="8" a="1"/>
  <c r="W674" i="8" a="1"/>
  <c r="O345" i="8" a="1"/>
  <c r="K777" i="8" a="1"/>
  <c r="J772" i="8" a="1"/>
  <c r="E226" i="8" a="1"/>
  <c r="Y317" i="8" a="1"/>
  <c r="G770" i="8" a="1"/>
  <c r="U227" i="8" a="1"/>
  <c r="L578" i="8" a="1"/>
  <c r="P228" i="8" a="1"/>
  <c r="T34" i="8" a="1"/>
  <c r="E228" i="8" a="1"/>
  <c r="V347" i="8" a="1"/>
  <c r="D578" i="8" a="1"/>
  <c r="U222" i="8" a="1"/>
  <c r="C225" i="8" a="1"/>
  <c r="I379" i="8" a="1"/>
  <c r="Q379" i="8" a="1"/>
  <c r="H577" i="8" a="1"/>
  <c r="J379" i="8" a="1"/>
  <c r="R778" i="8" a="1"/>
  <c r="I472" i="8" a="1"/>
  <c r="K471" i="8" a="1"/>
  <c r="R311" i="8" a="1"/>
  <c r="T770" i="8" a="1"/>
  <c r="D766" i="8" a="1"/>
  <c r="J343" i="8" a="1"/>
  <c r="J376" i="8" a="1"/>
  <c r="T33" i="8" a="1"/>
  <c r="F346" i="8" a="1"/>
  <c r="W31" i="8" a="1"/>
  <c r="W319" i="8" a="1"/>
  <c r="W772" i="8" a="1"/>
  <c r="P677" i="8" a="1"/>
  <c r="U350" i="8" a="1"/>
  <c r="U676" i="8" a="1"/>
  <c r="N474" i="8" a="1"/>
  <c r="H451" i="8" a="1"/>
  <c r="T677" i="8" a="1"/>
  <c r="G378" i="8" a="1"/>
  <c r="U766" i="8" a="1"/>
  <c r="Y316" i="8" a="1"/>
  <c r="M673" i="8" a="1"/>
  <c r="X764" i="8" a="1"/>
  <c r="H346" i="8" a="1"/>
  <c r="O576" i="8" a="1"/>
  <c r="K762" i="8" a="1"/>
  <c r="C31" i="8" a="1"/>
  <c r="F766" i="8" a="1"/>
  <c r="Y227" i="8" a="1"/>
  <c r="F576" i="8" a="1"/>
  <c r="E772" i="8" a="1"/>
  <c r="U345" i="8" a="1"/>
  <c r="P451" i="8" a="1"/>
  <c r="J777" i="8" a="1"/>
  <c r="C200" i="8" a="1"/>
  <c r="F377" i="8" a="1"/>
  <c r="Q319" i="8" a="1"/>
  <c r="K28" i="8" a="1"/>
  <c r="X777" i="8" a="1"/>
  <c r="C227" i="8" a="1"/>
  <c r="Q569" i="8" a="1"/>
  <c r="Q576" i="8" a="1"/>
  <c r="M766" i="8" a="1"/>
  <c r="R669" i="8" a="1"/>
  <c r="M677" i="8" a="1"/>
  <c r="T474" i="8" a="1"/>
  <c r="T377" i="8" a="1"/>
  <c r="N32" i="8" a="1"/>
  <c r="N225" i="8" a="1"/>
  <c r="U777" i="8" a="1"/>
  <c r="D33" i="8" a="1"/>
  <c r="Q766" i="8" a="1"/>
  <c r="U30" i="8" a="1"/>
  <c r="I221" i="8" a="1"/>
  <c r="J774" i="8" a="1"/>
  <c r="E33" i="8" a="1"/>
  <c r="X370" i="8" a="1"/>
  <c r="K775" i="8" a="1"/>
  <c r="E774" i="8" a="1"/>
  <c r="Y344" i="8" a="1"/>
  <c r="N227" i="8" a="1"/>
  <c r="I345" i="8" a="1"/>
  <c r="R573" i="8" a="1"/>
  <c r="N571" i="8" a="1"/>
  <c r="H345" i="8" a="1"/>
  <c r="R227" i="8" a="1"/>
  <c r="K228" i="8" a="1"/>
  <c r="H379" i="8" a="1"/>
  <c r="U379" i="8" a="1"/>
  <c r="H480" i="8" a="1"/>
  <c r="I34" i="8" a="1"/>
  <c r="G379" i="8" a="1"/>
  <c r="F578" i="8" a="1"/>
  <c r="Y348" i="8" a="1"/>
  <c r="K678" i="8" a="1"/>
  <c r="G34" i="8" a="1"/>
  <c r="R379" i="8" a="1"/>
  <c r="D34" i="8" a="1"/>
  <c r="J578" i="8" a="1"/>
  <c r="Y578" i="8" a="1"/>
  <c r="W379" i="8" a="1"/>
  <c r="X348" i="8" a="1"/>
  <c r="M378" i="8" a="1"/>
  <c r="F320" i="8" a="1"/>
  <c r="M477" i="8" a="1"/>
  <c r="D376" i="8" a="1"/>
  <c r="G373" i="8" a="1"/>
  <c r="G223" i="8" a="1"/>
  <c r="V345" i="8" a="1"/>
  <c r="I33" i="8" a="1"/>
  <c r="N480" i="8" a="1"/>
  <c r="E379" i="8" a="1"/>
  <c r="R480" i="8" a="1"/>
  <c r="V678" i="8" a="1"/>
  <c r="O347" i="8" a="1"/>
  <c r="L34" i="8" a="1"/>
  <c r="O578" i="8" a="1"/>
  <c r="M578" i="8" a="1"/>
  <c r="Q34" i="8" a="1"/>
  <c r="W669" i="8" a="1"/>
  <c r="F219" i="8" a="1"/>
  <c r="D760" i="8" a="1"/>
  <c r="G226" i="8" a="1"/>
  <c r="L678" i="8" a="1"/>
  <c r="X347" i="8" a="1"/>
  <c r="O766" i="8" a="1"/>
  <c r="F31" i="8" a="1"/>
  <c r="W228" i="8" a="1"/>
  <c r="X310" i="8" a="1"/>
  <c r="Q220" i="8" a="1"/>
  <c r="C310" i="8" a="1"/>
  <c r="J470" i="8" a="1"/>
  <c r="V776" i="8" a="1"/>
  <c r="N370" i="8" a="1"/>
  <c r="H776" i="8" a="1"/>
  <c r="J33" i="8" a="1"/>
  <c r="C577" i="8" a="1"/>
  <c r="N476" i="8" a="1"/>
  <c r="I574" i="8" a="1"/>
  <c r="D225" i="8" a="1"/>
  <c r="G33" i="8" a="1"/>
  <c r="P372" i="8" a="1"/>
  <c r="R478" i="8" a="1"/>
  <c r="H673" i="8" a="1"/>
  <c r="Y766" i="8" a="1"/>
  <c r="G577" i="8" a="1"/>
  <c r="I777" i="8" a="1"/>
  <c r="D226" i="8" a="1"/>
  <c r="X373" i="8" a="1"/>
  <c r="K224" i="8" a="1"/>
  <c r="U224" i="8" a="1"/>
  <c r="Q33" i="8" a="1"/>
  <c r="V477" i="8" a="1"/>
  <c r="I676" i="8" a="1"/>
  <c r="Q776" i="8" a="1"/>
  <c r="O774" i="8" a="1"/>
  <c r="O777" i="8" a="1"/>
  <c r="M471" i="8" a="1"/>
  <c r="T676" i="8" a="1"/>
  <c r="W676" i="8" a="1"/>
  <c r="K450" i="8" a="1"/>
  <c r="D677" i="8" a="1"/>
  <c r="J346" i="8" a="1"/>
  <c r="W221" i="8" a="1"/>
  <c r="X671" i="8" a="1"/>
  <c r="E576" i="8" a="1"/>
  <c r="H479" i="8" a="1"/>
  <c r="T478" i="8" a="1"/>
  <c r="V200" i="8" a="1"/>
  <c r="J574" i="8" a="1"/>
  <c r="K576" i="8" a="1"/>
  <c r="I377" i="8" a="1"/>
  <c r="W677" i="8" a="1"/>
  <c r="X225" i="8" a="1"/>
  <c r="M377" i="8" a="1"/>
  <c r="K222" i="8" a="1"/>
  <c r="N319" i="8" a="1"/>
  <c r="Y577" i="8" a="1"/>
  <c r="F577" i="8" a="1"/>
  <c r="M346" i="8" a="1"/>
  <c r="V571" i="8" a="1"/>
  <c r="D317" i="8" a="1"/>
  <c r="J572" i="8" a="1"/>
  <c r="C27" i="8" a="1"/>
  <c r="I473" i="8" a="1"/>
  <c r="N677" i="8" a="1"/>
  <c r="F678" i="8" a="1"/>
  <c r="R29" i="8" a="1"/>
  <c r="Q314" i="8" a="1"/>
  <c r="P574" i="8" a="1"/>
  <c r="F312" i="8" a="1"/>
  <c r="F341" i="8" a="1"/>
  <c r="L770" i="8" a="1"/>
  <c r="D377" i="8" a="1"/>
  <c r="U33" i="8" a="1"/>
  <c r="V227" i="8" a="1"/>
  <c r="D776" i="8" a="1"/>
  <c r="P375" i="8" a="1"/>
  <c r="G573" i="8" a="1"/>
  <c r="G777" i="8" a="1"/>
  <c r="K30" i="8" a="1"/>
  <c r="P676" i="8" a="1"/>
  <c r="X763" i="8" a="1"/>
  <c r="R574" i="8" a="1"/>
  <c r="L33" i="8" a="1"/>
  <c r="Y576" i="8" a="1"/>
  <c r="Q473" i="8" a="1"/>
  <c r="J675" i="8" a="1"/>
  <c r="Y676" i="8" a="1"/>
  <c r="Y477" i="8" a="1"/>
  <c r="R479" i="8" a="1"/>
  <c r="H224" i="8" a="1"/>
  <c r="D224" i="8" a="1"/>
  <c r="E311" i="8" a="1"/>
  <c r="U225" i="8" a="1"/>
  <c r="Y677" i="8" a="1"/>
  <c r="E315" i="8" a="1"/>
  <c r="V317" i="8" a="1"/>
  <c r="M574" i="8" a="1"/>
  <c r="H340" i="8" a="1"/>
  <c r="L378" i="8" a="1"/>
  <c r="H672" i="8" a="1"/>
  <c r="C223" i="8" a="1"/>
  <c r="C224" i="8" a="1"/>
  <c r="L473" i="8" a="1"/>
  <c r="T378" i="8" a="1"/>
  <c r="R571" i="8" a="1"/>
  <c r="I774" i="8" a="1"/>
  <c r="F764" i="8" a="1"/>
  <c r="D774" i="8" a="1"/>
  <c r="I31" i="8" a="1"/>
  <c r="V479" i="8" a="1"/>
  <c r="W226" i="8" a="1"/>
  <c r="J676" i="8" a="1"/>
  <c r="L675" i="8" a="1"/>
  <c r="D345" i="8" a="1"/>
  <c r="Q777" i="8" a="1"/>
  <c r="H677" i="8" a="1"/>
  <c r="W307" i="8" a="1"/>
  <c r="I226" i="8" a="1"/>
  <c r="T650" i="8" a="1"/>
  <c r="H775" i="8" a="1"/>
  <c r="O479" i="8" a="1"/>
  <c r="V576" i="8" a="1"/>
  <c r="E571" i="8" a="1"/>
  <c r="Q373" i="8" a="1"/>
  <c r="I342" i="8" a="1"/>
  <c r="W227" i="8" a="1"/>
  <c r="M31" i="8" a="1"/>
  <c r="R474" i="8" a="1"/>
  <c r="R675" i="8" a="1"/>
  <c r="H772" i="8" a="1"/>
  <c r="N346" i="8" a="1"/>
  <c r="V480" i="8" a="1"/>
  <c r="X678" i="8" a="1"/>
  <c r="L480" i="8" a="1"/>
  <c r="I578" i="8" a="1"/>
  <c r="J678" i="8" a="1"/>
  <c r="U480" i="8" a="1"/>
  <c r="G480" i="8" a="1"/>
  <c r="M480" i="8" a="1"/>
  <c r="Q347" i="8" a="1"/>
  <c r="E34" i="8" a="1"/>
  <c r="V379" i="8" a="1"/>
  <c r="X34" i="8" a="1"/>
  <c r="R347" i="8" a="1"/>
  <c r="Q578" i="8" a="1"/>
  <c r="Q480" i="8" a="1"/>
  <c r="U778" i="8" a="1"/>
  <c r="D478" i="8" a="1"/>
  <c r="R471" i="8" a="1"/>
  <c r="J34" i="8" a="1"/>
  <c r="U344" i="8" a="1"/>
  <c r="C379" i="8" a="1"/>
  <c r="K578" i="8" a="1"/>
  <c r="E767" i="8" a="1"/>
  <c r="K476" i="8" a="1"/>
  <c r="R765" i="8" a="1"/>
  <c r="R32" i="8" a="1"/>
  <c r="Y28" i="8" a="1"/>
  <c r="V372" i="8" a="1"/>
  <c r="X771" i="8" a="1"/>
  <c r="K577" i="8" a="1"/>
  <c r="R575" i="8" a="1"/>
  <c r="J32" i="8" a="1"/>
  <c r="Q775" i="8" a="1"/>
  <c r="U343" i="8" a="1"/>
  <c r="Q227" i="8" a="1"/>
  <c r="C478" i="8" a="1"/>
  <c r="P576" i="8" a="1"/>
  <c r="J477" i="8" a="1"/>
  <c r="U576" i="8" a="1"/>
  <c r="P479" i="8" a="1"/>
  <c r="J200" i="8" a="1"/>
  <c r="D30" i="8" a="1"/>
  <c r="G28" i="8" a="1"/>
  <c r="C572" i="8" a="1"/>
  <c r="K478" i="8" a="1"/>
  <c r="C378" i="8" a="1"/>
  <c r="Y346" i="8" a="1"/>
  <c r="F676" i="8" a="1"/>
  <c r="N345" i="8" a="1"/>
  <c r="I576" i="8" a="1"/>
  <c r="W577" i="8" a="1"/>
  <c r="W576" i="8" a="1"/>
  <c r="H3" i="8" a="1"/>
  <c r="C26" i="8" a="1"/>
  <c r="L776" i="8" a="1"/>
  <c r="C33" i="8" a="1"/>
  <c r="G760" i="8" a="1"/>
  <c r="Y219" i="8" a="1"/>
  <c r="W471" i="8" a="1"/>
  <c r="W311" i="8" a="1"/>
  <c r="I227" i="8" a="1"/>
  <c r="J374" i="8" a="1"/>
  <c r="Y575" i="8" a="1"/>
  <c r="G372" i="8" a="1"/>
  <c r="Y771" i="8" a="1"/>
  <c r="P577" i="8" a="1"/>
  <c r="H378" i="8" a="1"/>
  <c r="Q471" i="8" a="1"/>
  <c r="K339" i="8" a="1"/>
  <c r="X676" i="8" a="1"/>
  <c r="G224" i="8" a="1"/>
  <c r="X33" i="8" a="1"/>
  <c r="N377" i="8" a="1"/>
  <c r="W672" i="8" a="1"/>
  <c r="O767" i="8" a="1"/>
  <c r="I478" i="8" a="1"/>
  <c r="M226" i="8" a="1"/>
  <c r="R777" i="8" a="1"/>
  <c r="W574" i="8" a="1"/>
  <c r="X471" i="8" a="1"/>
  <c r="D310" i="8" a="1"/>
  <c r="F29" i="8" a="1"/>
  <c r="C777" i="8" a="1"/>
  <c r="I669" i="8" a="1"/>
  <c r="H225" i="8" a="1"/>
  <c r="Q344" i="8" a="1"/>
  <c r="J341" i="8" a="1"/>
  <c r="N479" i="8" a="1"/>
  <c r="Y379" i="8" a="1"/>
  <c r="T347" i="8" a="1"/>
  <c r="Y34" i="8" a="1"/>
  <c r="T678" i="8" a="1"/>
  <c r="N778" i="8" a="1"/>
  <c r="U578" i="8" a="1"/>
  <c r="F347" i="8" a="1"/>
  <c r="L228" i="8" a="1"/>
  <c r="R678" i="8" a="1"/>
  <c r="Y347" i="8" a="1"/>
  <c r="D678" i="8" a="1"/>
  <c r="K348" i="8" a="1"/>
  <c r="R348" i="8" a="1"/>
  <c r="D480" i="8" a="1"/>
  <c r="I228" i="8" a="1"/>
  <c r="V778" i="8" a="1"/>
  <c r="F226" i="8" a="1"/>
  <c r="O226" i="8" a="1"/>
  <c r="H309" i="8" a="1"/>
  <c r="V346" i="8" a="1"/>
  <c r="H34" i="8" a="1"/>
  <c r="K778" i="8" a="1"/>
  <c r="H347" i="8" a="1"/>
  <c r="K347" i="8" a="1"/>
  <c r="X228" i="8" a="1"/>
  <c r="N228" i="8" a="1"/>
  <c r="X379" i="8" a="1"/>
  <c r="O379" i="8" a="1"/>
  <c r="O574" i="8" a="1"/>
  <c r="V33" i="8" a="1"/>
  <c r="K673" i="8" a="1"/>
  <c r="V32" i="8" a="1"/>
  <c r="Q348" i="8" a="1"/>
  <c r="W480" i="8" a="1"/>
  <c r="O763" i="8" a="1"/>
  <c r="L672" i="8" a="1"/>
  <c r="P480" i="8" a="1"/>
  <c r="M220" i="8" a="1"/>
  <c r="L314" i="8" a="1"/>
  <c r="C570" i="8" a="1"/>
  <c r="M776" i="8" a="1"/>
  <c r="F319" i="8" a="1"/>
  <c r="H478" i="8" a="1"/>
  <c r="L226" i="8" a="1"/>
  <c r="U677" i="8" a="1"/>
  <c r="V219" i="8" a="1"/>
  <c r="G32" i="8" a="1"/>
  <c r="J224" i="8" a="1"/>
  <c r="U773" i="8" a="1"/>
  <c r="D378" i="8" a="1"/>
  <c r="O762" i="8" a="1"/>
  <c r="W570" i="8" a="1"/>
  <c r="H764" i="8" a="1"/>
  <c r="X576" i="8" a="1"/>
  <c r="W378" i="8" a="1"/>
  <c r="E340" i="8" a="1"/>
  <c r="Y30" i="8" a="1"/>
  <c r="G374" i="8" a="1"/>
  <c r="F470" i="8" a="1"/>
  <c r="E478" i="8" a="1"/>
  <c r="C677" i="8" a="1"/>
  <c r="U375" i="8" a="1"/>
  <c r="F672" i="8" a="1"/>
  <c r="W300" i="8" a="1"/>
  <c r="P671" i="8" a="1"/>
  <c r="N378" i="8" a="1"/>
  <c r="R576" i="8" a="1"/>
  <c r="W346" i="8" a="1"/>
  <c r="U374" i="8" a="1"/>
  <c r="Q762" i="8" a="1"/>
  <c r="F777" i="8" a="1"/>
  <c r="E763" i="8" a="1"/>
  <c r="W775" i="8" a="1"/>
  <c r="C774" i="8" a="1"/>
  <c r="R374" i="8" a="1"/>
  <c r="P346" i="8" a="1"/>
  <c r="O32" i="8" a="1"/>
  <c r="T571" i="8" a="1"/>
  <c r="P224" i="8" a="1"/>
  <c r="P762" i="8" a="1"/>
  <c r="F677" i="8" a="1"/>
  <c r="E347" i="8" a="1"/>
  <c r="K675" i="8" a="1"/>
  <c r="H470" i="8" a="1"/>
  <c r="L317" i="8" a="1"/>
  <c r="O374" i="8" a="1"/>
  <c r="R577" i="8" a="1"/>
  <c r="J219" i="8" a="1"/>
  <c r="L472" i="8" a="1"/>
  <c r="T575" i="8" a="1"/>
  <c r="E344" i="8" a="1"/>
  <c r="J370" i="8" a="1"/>
  <c r="P377" i="8" a="1"/>
  <c r="X650" i="8" a="1"/>
  <c r="J28" i="8" a="1"/>
  <c r="J345" i="8" a="1"/>
  <c r="R33" i="8" a="1"/>
  <c r="U315" i="8" a="1"/>
  <c r="H341" i="8" a="1"/>
  <c r="P348" i="8" a="1"/>
  <c r="D778" i="8" a="1"/>
  <c r="P778" i="8" a="1"/>
  <c r="F778" i="8" a="1"/>
  <c r="O778" i="8" a="1"/>
  <c r="Y228" i="8" a="1"/>
  <c r="M347" i="8" a="1"/>
  <c r="Y480" i="8" a="1"/>
  <c r="P227" i="8" a="1"/>
  <c r="X376" i="8" a="1"/>
  <c r="L479" i="8" a="1"/>
  <c r="X578" i="8" a="1"/>
  <c r="C347" i="8" a="1"/>
  <c r="Y33" i="8" a="1"/>
  <c r="H33" i="8" a="1"/>
  <c r="O480" i="8" a="1"/>
  <c r="C371" i="8" a="1"/>
  <c r="C309" i="8" a="1"/>
  <c r="O219" i="8" a="1"/>
  <c r="Q312" i="8" a="1"/>
  <c r="K776" i="8" a="1"/>
  <c r="Y342" i="8" a="1"/>
  <c r="F575" i="8" a="1"/>
  <c r="Q378" i="8" a="1"/>
  <c r="E345" i="8" a="1"/>
  <c r="F775" i="8" a="1"/>
  <c r="E28" i="8" a="1"/>
  <c r="R226" i="8" a="1"/>
  <c r="T346" i="8" a="1"/>
  <c r="O300" i="8" a="1"/>
  <c r="J763" i="8" a="1"/>
  <c r="M27" i="8" a="1"/>
  <c r="D569" i="8" a="1"/>
  <c r="K378" i="8" a="1"/>
  <c r="E476" i="8" a="1"/>
  <c r="M319" i="8" a="1"/>
  <c r="K311" i="8" a="1"/>
  <c r="I451" i="8" a="1"/>
  <c r="M777" i="8" a="1"/>
  <c r="T777" i="8" a="1"/>
  <c r="L574" i="8" a="1"/>
  <c r="Y764" i="8" a="1"/>
  <c r="R472" i="8" a="1"/>
  <c r="N3" i="8" a="1"/>
  <c r="W479" i="8" a="1"/>
  <c r="W225" i="8" a="1"/>
  <c r="W220" i="8" a="1"/>
  <c r="W673" i="8" a="1"/>
  <c r="L766" i="8" a="1"/>
  <c r="X346" i="8" a="1"/>
  <c r="W377" i="8" a="1"/>
  <c r="P376" i="8" a="1"/>
  <c r="R225" i="8" a="1"/>
  <c r="C771" i="8" a="1"/>
  <c r="T479" i="8" a="1"/>
  <c r="Y373" i="8" a="1"/>
  <c r="T576" i="8" a="1"/>
  <c r="O473" i="8" a="1"/>
  <c r="M675" i="8" a="1"/>
  <c r="K33" i="8" a="1"/>
  <c r="F378" i="8" a="1"/>
  <c r="I760" i="8" a="1"/>
  <c r="X374" i="8" a="1"/>
  <c r="X775" i="8" a="1"/>
  <c r="V669" i="8" a="1"/>
  <c r="E378" i="8" a="1"/>
  <c r="I376" i="8" a="1"/>
  <c r="M311" i="8" a="1"/>
  <c r="R773" i="8" a="1"/>
  <c r="R345" i="8" a="1"/>
  <c r="D777" i="8" a="1"/>
  <c r="O30" i="8" a="1"/>
  <c r="G669" i="8" a="1"/>
  <c r="X570" i="8" a="1"/>
  <c r="E371" i="8" a="1"/>
  <c r="U575" i="8" a="1"/>
  <c r="J227" i="8" a="1"/>
  <c r="D575" i="8" a="1"/>
  <c r="V772" i="8" a="1"/>
  <c r="N674" i="8" a="1"/>
  <c r="U223" i="8" a="1"/>
  <c r="Q479" i="8" a="1"/>
  <c r="Y678" i="8" a="1"/>
  <c r="P678" i="8" a="1"/>
  <c r="D228" i="8" a="1"/>
  <c r="C348" i="8" a="1"/>
  <c r="N34" i="8" a="1"/>
  <c r="K34" i="8" a="1"/>
  <c r="M348" i="8" a="1"/>
  <c r="J480" i="8" a="1"/>
  <c r="Q228" i="8" a="1"/>
  <c r="O228" i="8" a="1"/>
  <c r="W347" i="8" a="1"/>
  <c r="D379" i="8" a="1"/>
  <c r="T228" i="8" a="1"/>
  <c r="E480" i="8" a="1"/>
  <c r="F348" i="8" a="1"/>
  <c r="M341" i="8" a="1"/>
  <c r="E374" i="8" a="1"/>
  <c r="M371" i="8" a="1"/>
  <c r="U479" i="8" a="1"/>
  <c r="L310" i="8" a="1"/>
  <c r="K345" i="8" a="1"/>
  <c r="I316" i="8" a="1"/>
  <c r="H200" i="8" a="1"/>
  <c r="Y479" i="8" a="1"/>
  <c r="O377" i="8" a="1"/>
  <c r="L32" i="8" a="1"/>
  <c r="U762" i="8" a="1"/>
  <c r="L315" i="8" a="1"/>
  <c r="E479" i="8" a="1"/>
  <c r="W376" i="8" a="1"/>
  <c r="M478" i="8" a="1"/>
  <c r="T345" i="8" a="1"/>
  <c r="N676" i="8" a="1"/>
  <c r="C775" i="8" a="1"/>
  <c r="M227" i="8" a="1"/>
  <c r="I347" i="8" a="1"/>
  <c r="F379" i="8" a="1"/>
  <c r="F480" i="8" a="1"/>
  <c r="H31" i="8" a="1"/>
  <c r="L778" i="8" a="1"/>
  <c r="C228" i="8" a="1"/>
  <c r="K769" i="8" a="1"/>
  <c r="F371" i="8" a="1"/>
  <c r="F310" i="8" a="1"/>
  <c r="K575" i="8" a="1"/>
  <c r="H219" i="8" a="1"/>
  <c r="K477" i="8" a="1"/>
  <c r="G764" i="8" a="1"/>
  <c r="R346" i="8" a="1"/>
  <c r="C320" i="8" a="1"/>
  <c r="T29" i="8" a="1"/>
  <c r="P226" i="8" a="1"/>
  <c r="D669" i="8" a="1"/>
  <c r="E677" i="8" a="1"/>
  <c r="Y476" i="8" a="1"/>
  <c r="E762" i="8" a="1"/>
  <c r="X221" i="8" a="1"/>
  <c r="N775" i="8" a="1"/>
  <c r="E227" i="8" a="1"/>
  <c r="T766" i="8" a="1"/>
  <c r="F776" i="8" a="1"/>
  <c r="K573" i="8" a="1"/>
  <c r="F772" i="8" a="1"/>
  <c r="U378" i="8" a="1"/>
  <c r="G227" i="8" a="1"/>
  <c r="L376" i="8" a="1"/>
  <c r="E777" i="8" a="1"/>
  <c r="O770" i="8" a="1"/>
  <c r="C672" i="8" a="1"/>
  <c r="X574" i="8" a="1"/>
  <c r="G370" i="8" a="1"/>
  <c r="K318" i="8" a="1"/>
  <c r="R774" i="8" a="1"/>
  <c r="J768" i="8" a="1"/>
  <c r="P33" i="8" a="1"/>
  <c r="X377" i="8" a="1"/>
  <c r="E769" i="8" a="1"/>
  <c r="O672" i="8" a="1"/>
  <c r="M33" i="8" a="1"/>
  <c r="P378" i="8" a="1"/>
  <c r="K377" i="8" a="1"/>
  <c r="F569" i="8" a="1"/>
  <c r="Y376" i="8" a="1"/>
  <c r="X477" i="8" a="1"/>
  <c r="H777" i="8" a="1"/>
  <c r="R673" i="8" a="1"/>
  <c r="H576" i="8" a="1"/>
  <c r="H475" i="8" a="1"/>
  <c r="N477" i="8" a="1"/>
  <c r="C479" i="8" a="1"/>
  <c r="R677" i="8" a="1"/>
  <c r="C776" i="8" a="1"/>
  <c r="W774" i="8" a="1"/>
  <c r="Q774" i="8" a="1"/>
  <c r="O373" i="8" a="1"/>
  <c r="H227" i="8" a="1"/>
  <c r="M676" i="8" a="1"/>
  <c r="P775" i="8" a="1"/>
  <c r="M475" i="8" a="1"/>
  <c r="L27" i="8" a="1"/>
  <c r="R776" i="8" a="1"/>
  <c r="D223" i="8" a="1"/>
  <c r="E474" i="8" a="1"/>
  <c r="L478" i="8" a="1"/>
  <c r="C377" i="8" a="1"/>
  <c r="J577" i="8" a="1"/>
  <c r="N478" i="8" a="1"/>
  <c r="U776" i="8" a="1"/>
  <c r="W343" i="8" a="1"/>
  <c r="E676" i="8" a="1"/>
  <c r="X378" i="8" a="1"/>
  <c r="C346" i="8" a="1"/>
  <c r="T472" i="8" a="1"/>
  <c r="N572" i="8" a="1"/>
  <c r="I340" i="8" a="1"/>
  <c r="T30" i="8" a="1"/>
  <c r="N577" i="8" a="1"/>
  <c r="C28" i="8" a="1"/>
  <c r="T226" i="8" a="1"/>
  <c r="E343" i="8" a="1"/>
  <c r="O310" i="8" a="1"/>
  <c r="G479" i="8" a="1"/>
  <c r="J317" i="8" a="1"/>
  <c r="M313" i="8" a="1"/>
  <c r="G670" i="8" a="1"/>
  <c r="I772" i="8" a="1"/>
  <c r="K227" i="8" a="1"/>
  <c r="P575" i="8" a="1"/>
  <c r="M224" i="8" a="1"/>
  <c r="P30" i="8" a="1"/>
  <c r="G765" i="8" a="1"/>
  <c r="I343" i="8" a="1"/>
  <c r="J677" i="8" a="1"/>
  <c r="O34" i="8" a="1"/>
  <c r="M678" i="8" a="1"/>
  <c r="T379" i="8" a="1"/>
  <c r="I678" i="8" a="1"/>
  <c r="E348" i="8" a="1"/>
  <c r="C480" i="8" a="1"/>
  <c r="X778" i="8" a="1"/>
  <c r="F228" i="8" a="1"/>
  <c r="P34" i="8" a="1"/>
  <c r="W34" i="8" a="1"/>
  <c r="L379" i="8" a="1"/>
  <c r="N348" i="8" a="1"/>
  <c r="K379" i="8" a="1"/>
  <c r="N578" i="8" a="1"/>
  <c r="I778" i="8" a="1"/>
  <c r="H760" i="8" a="1"/>
  <c r="X776" i="8" a="1"/>
  <c r="Q676" i="8" a="1"/>
  <c r="I346" i="8" a="1"/>
  <c r="X32" i="8" a="1"/>
  <c r="L224" i="8" a="1"/>
  <c r="Q678" i="8" a="1"/>
  <c r="Y311" i="8" a="1"/>
  <c r="G309" i="8" a="1"/>
  <c r="D672" i="8" a="1"/>
  <c r="H375" i="8" a="1"/>
  <c r="Q226" i="8" a="1"/>
  <c r="N313" i="8" a="1"/>
  <c r="N375" i="8" a="1"/>
  <c r="W777" i="8" a="1"/>
  <c r="T370" i="8" a="1"/>
  <c r="K226" i="8" a="1"/>
  <c r="O376" i="8" a="1"/>
  <c r="L677" i="8" a="1"/>
  <c r="T776" i="8" a="1"/>
  <c r="W472" i="8" a="1"/>
  <c r="W375" i="8" a="1"/>
  <c r="R676" i="8" a="1"/>
  <c r="X308" i="8" a="1"/>
  <c r="L577" i="8" a="1"/>
  <c r="D222" i="8" a="1"/>
  <c r="W478" i="8" a="1"/>
  <c r="C375" i="8" a="1"/>
  <c r="X226" i="8" a="1"/>
  <c r="V677" i="8" a="1"/>
  <c r="O577" i="8" a="1"/>
  <c r="G475" i="8" a="1"/>
  <c r="E672" i="8" a="1"/>
  <c r="U770" i="8" a="1"/>
  <c r="C575" i="8" a="1"/>
  <c r="E577" i="8" a="1"/>
  <c r="K309" i="8" a="1"/>
  <c r="V377" i="8" a="1"/>
  <c r="P674" i="8" a="1"/>
  <c r="C675" i="8" a="1"/>
  <c r="R477" i="8" a="1"/>
  <c r="L371" i="8" a="1"/>
  <c r="V224" i="8" a="1"/>
  <c r="T307" i="8" a="1"/>
  <c r="Q346" i="8" a="1"/>
  <c r="T313" i="8" a="1"/>
  <c r="F474" i="8" a="1"/>
  <c r="I776" i="8" a="1"/>
  <c r="H350" i="8" a="1"/>
  <c r="O227" i="8" a="1"/>
  <c r="T317" i="8" a="1"/>
  <c r="K470" i="8" a="1"/>
  <c r="J576" i="8" a="1"/>
  <c r="E477" i="8" a="1"/>
  <c r="Q760" i="8" a="1"/>
  <c r="H348" i="8" a="1"/>
  <c r="G348" i="8" a="1"/>
  <c r="Y574" i="8" a="1"/>
  <c r="P200" i="8" a="1"/>
  <c r="O309" i="8" a="1"/>
  <c r="E224" i="8" a="1"/>
  <c r="W318" i="8" a="1"/>
  <c r="J377" i="8" a="1"/>
  <c r="H32" i="8" a="1"/>
  <c r="Y378" i="8" a="1"/>
  <c r="N374" i="8" a="1"/>
  <c r="I371" i="8" a="1"/>
  <c r="K31" i="8" a="1"/>
  <c r="O346" i="8" a="1"/>
  <c r="V763" i="8" a="1"/>
  <c r="H374" i="8" a="1"/>
  <c r="M770" i="8" a="1"/>
  <c r="P478" i="8" a="1"/>
  <c r="U32" i="8" a="1"/>
  <c r="G346" i="8" a="1"/>
  <c r="E776" i="8" a="1"/>
  <c r="E773" i="8" a="1"/>
  <c r="H675" i="8" a="1"/>
  <c r="C226" i="8" a="1"/>
  <c r="N777" i="8" a="1"/>
  <c r="W32" i="8" a="1"/>
  <c r="N371" i="8" a="1"/>
  <c r="P32" i="8" a="1"/>
  <c r="N576" i="8" a="1"/>
  <c r="C576" i="8" a="1"/>
  <c r="L346" i="8" a="1"/>
  <c r="T319" i="8" a="1"/>
  <c r="R220" i="8" a="1"/>
  <c r="W776" i="8" a="1"/>
  <c r="H676" i="8" a="1"/>
  <c r="Y775" i="8" a="1"/>
  <c r="G477" i="8" a="1"/>
  <c r="E764" i="8" a="1"/>
  <c r="U672" i="8" a="1"/>
  <c r="I577" i="8" a="1"/>
  <c r="M479" i="8" a="1"/>
  <c r="L674" i="8" a="1"/>
  <c r="E373" i="8" a="1"/>
  <c r="O370" i="8" a="1"/>
  <c r="G470" i="8" a="1"/>
  <c r="V777" i="8" a="1"/>
  <c r="I223" i="8" a="1"/>
  <c r="L345" i="8" a="1"/>
  <c r="F574" i="8" a="1"/>
  <c r="E761" i="8" a="1"/>
  <c r="F375" i="8" a="1"/>
  <c r="O378" i="8" a="1"/>
  <c r="D576" i="8" a="1"/>
  <c r="C676" i="8" a="1"/>
  <c r="L670" i="8" a="1"/>
  <c r="C345" i="8" a="1"/>
  <c r="D346" i="8" a="1"/>
  <c r="F339" i="8" a="1"/>
  <c r="Y377" i="8" a="1"/>
  <c r="R376" i="8" a="1"/>
  <c r="X3" i="8" a="1"/>
  <c r="X227" i="8" a="1"/>
  <c r="G450" i="8" a="1"/>
  <c r="F476" i="8" a="1"/>
  <c r="V100" i="8" a="1"/>
  <c r="Q574" i="8" a="1"/>
  <c r="F227" i="8" a="1"/>
  <c r="G228" i="8" a="1"/>
  <c r="X480" i="8" a="1"/>
  <c r="M228" i="8" a="1"/>
  <c r="Y778" i="8" a="1"/>
  <c r="E578" i="8" a="1"/>
  <c r="L347" i="8" a="1"/>
  <c r="K480" i="8" a="1"/>
  <c r="G578" i="8" a="1"/>
  <c r="M379" i="8" a="1"/>
  <c r="G778" i="8" a="1"/>
  <c r="J778" i="8" a="1"/>
  <c r="E778" i="8" a="1"/>
  <c r="G347" i="8" a="1"/>
  <c r="I480" i="8" a="1"/>
  <c r="W678" i="8" a="1"/>
  <c r="J347" i="8" a="1"/>
  <c r="Q315" i="8" a="1"/>
  <c r="K574" i="8" a="1"/>
  <c r="E678" i="8" a="1"/>
  <c r="Y767" i="8" a="1"/>
  <c r="U228" i="8" a="1"/>
  <c r="I348" i="8" a="1"/>
  <c r="G349" i="8" a="1"/>
  <c r="V380" i="8" a="1"/>
  <c r="R679" i="8" a="1"/>
  <c r="D348" i="8" a="1"/>
  <c r="L229" i="8" a="1"/>
  <c r="F349" i="8" a="1"/>
  <c r="F35" i="8" a="1"/>
  <c r="I679" i="8" a="1"/>
  <c r="T35" i="8" a="1"/>
  <c r="T229" i="8" a="1"/>
  <c r="H579" i="8" a="1"/>
  <c r="Q679" i="8" a="1"/>
  <c r="M35" i="8" a="1"/>
  <c r="R229" i="8" a="1"/>
  <c r="P679" i="8" a="1"/>
  <c r="X481" i="8" a="1"/>
  <c r="H679" i="8" a="1"/>
  <c r="F679" i="8" a="1"/>
  <c r="J481" i="8" a="1"/>
  <c r="O579" i="8" a="1"/>
  <c r="F481" i="8" a="1"/>
  <c r="D229" i="8" a="1"/>
  <c r="X779" i="8" a="1"/>
  <c r="U579" i="8" a="1"/>
  <c r="E779" i="8" a="1"/>
  <c r="P35" i="8" a="1"/>
  <c r="W779" i="8" a="1"/>
  <c r="D481" i="8" a="1"/>
  <c r="Q579" i="8" a="1"/>
  <c r="F380" i="8" a="1"/>
  <c r="G679" i="8" a="1"/>
  <c r="T349" i="8" a="1"/>
  <c r="Q349" i="8" a="1"/>
  <c r="W481" i="8" a="1"/>
  <c r="D679" i="8" a="1"/>
  <c r="T348" i="8" a="1"/>
  <c r="O348" i="8" a="1"/>
  <c r="J679" i="8" a="1"/>
  <c r="U779" i="8" a="1"/>
  <c r="H349" i="8" a="1"/>
  <c r="Q229" i="8" a="1"/>
  <c r="I579" i="8" a="1"/>
  <c r="K481" i="8" a="1"/>
  <c r="V229" i="8" a="1"/>
  <c r="N481" i="8" a="1"/>
  <c r="D380" i="8" a="1"/>
  <c r="R35" i="8" a="1"/>
  <c r="W229" i="8" a="1"/>
  <c r="V348" i="8" a="1"/>
  <c r="I380" i="8" a="1"/>
  <c r="P579" i="8" a="1"/>
  <c r="T481" i="8" a="1"/>
  <c r="H779" i="8" a="1"/>
  <c r="M481" i="8" a="1"/>
  <c r="U380" i="8" a="1"/>
  <c r="U348" i="8" a="1"/>
  <c r="J779" i="8" a="1"/>
  <c r="I349" i="8" a="1"/>
  <c r="C380" i="8" a="1"/>
  <c r="C229" i="8" a="1"/>
  <c r="R579" i="8" a="1"/>
  <c r="O35" i="8" a="1"/>
  <c r="W35" i="8" a="1"/>
  <c r="E229" i="8" a="1"/>
  <c r="Q380" i="8" a="1"/>
  <c r="H380" i="8" a="1"/>
  <c r="G380" i="8" a="1"/>
  <c r="U679" i="8" a="1"/>
  <c r="P481" i="8" a="1"/>
  <c r="F579" i="8" a="1"/>
  <c r="D779" i="8" a="1"/>
  <c r="O380" i="8" a="1"/>
  <c r="N779" i="8" a="1"/>
  <c r="U349" i="8" a="1"/>
  <c r="Y481" i="8" a="1"/>
  <c r="J349" i="8" a="1"/>
  <c r="M579" i="8" a="1"/>
  <c r="X229" i="8" a="1"/>
  <c r="N349" i="8" a="1"/>
  <c r="P349" i="8" a="1"/>
  <c r="U481" i="8" a="1"/>
  <c r="R349" i="8" a="1"/>
  <c r="L348" i="8" a="1"/>
  <c r="I481" i="8" a="1"/>
  <c r="M349" i="8" a="1"/>
  <c r="K779" i="8" a="1"/>
  <c r="W579" i="8" a="1"/>
  <c r="D35" i="8" a="1"/>
  <c r="E35" i="8" a="1"/>
  <c r="L349" i="8" a="1"/>
  <c r="I779" i="8" a="1"/>
  <c r="Q35" i="8" a="1"/>
  <c r="K349" i="8" a="1"/>
  <c r="K35" i="8" a="1"/>
  <c r="Y380" i="8" a="1"/>
  <c r="X35" i="8" a="1"/>
  <c r="W380" i="8" a="1"/>
  <c r="O779" i="8" a="1"/>
  <c r="M229" i="8" a="1"/>
  <c r="P380" i="8" a="1"/>
  <c r="J229" i="8" a="1"/>
  <c r="F779" i="8" a="1"/>
  <c r="G229" i="8" a="1"/>
  <c r="N579" i="8" a="1"/>
  <c r="G579" i="8" a="1"/>
  <c r="G779" i="8" a="1"/>
  <c r="E579" i="8" a="1"/>
  <c r="V481" i="8" a="1"/>
  <c r="J380" i="8" a="1"/>
  <c r="F229" i="8" a="1"/>
  <c r="U35" i="8" a="1"/>
  <c r="D579" i="8" a="1"/>
  <c r="R779" i="8" a="1"/>
  <c r="P229" i="8" a="1"/>
  <c r="V679" i="8" a="1"/>
  <c r="C349" i="8" a="1"/>
  <c r="R380" i="8" a="1"/>
  <c r="I229" i="8" a="1"/>
  <c r="Y679" i="8" a="1"/>
  <c r="X380" i="8" a="1"/>
  <c r="X679" i="8" a="1"/>
  <c r="E481" i="8" a="1"/>
  <c r="X579" i="8" a="1"/>
  <c r="C481" i="8" a="1"/>
  <c r="N679" i="8" a="1"/>
  <c r="L380" i="8" a="1"/>
  <c r="C579" i="8" a="1"/>
  <c r="H481" i="8" a="1"/>
  <c r="J35" i="8" a="1"/>
  <c r="L35" i="8" a="1"/>
  <c r="Y229" i="8" a="1"/>
  <c r="T579" i="8" a="1"/>
  <c r="C35" i="8" a="1"/>
  <c r="M679" i="8" a="1"/>
  <c r="D349" i="8" a="1"/>
  <c r="V779" i="8" a="1"/>
  <c r="L481" i="8" a="1"/>
  <c r="O481" i="8" a="1"/>
  <c r="C679" i="8" a="1"/>
  <c r="C779" i="8" a="1"/>
  <c r="N229" i="8" a="1"/>
  <c r="P779" i="8" a="1"/>
  <c r="N380" i="8" a="1"/>
  <c r="M779" i="8" a="1"/>
  <c r="K380" i="8" a="1"/>
  <c r="I35" i="8" a="1"/>
  <c r="E679" i="8" a="1"/>
  <c r="Y349" i="8" a="1"/>
  <c r="R481" i="8" a="1"/>
  <c r="M380" i="8" a="1"/>
  <c r="O349" i="8" a="1"/>
  <c r="Y579" i="8" a="1"/>
  <c r="O679" i="8" a="1"/>
  <c r="T779" i="8" a="1"/>
  <c r="V35" i="8" a="1"/>
  <c r="V579" i="8" a="1"/>
  <c r="V349" i="8" a="1"/>
  <c r="G35" i="8" a="1"/>
  <c r="G481" i="8" a="1"/>
  <c r="L779" i="8" a="1"/>
  <c r="Q779" i="8" a="1"/>
  <c r="U229" i="8" a="1"/>
  <c r="X349" i="8" a="1"/>
  <c r="O229" i="8" a="1"/>
  <c r="T679" i="8" a="1"/>
  <c r="Y35" i="8" a="1"/>
  <c r="E380" i="8" a="1"/>
  <c r="E349" i="8" a="1"/>
  <c r="L579" i="8" a="1"/>
  <c r="T380" i="8" a="1"/>
  <c r="J579" i="8" a="1"/>
  <c r="Y779" i="8" a="1"/>
  <c r="L679" i="8" a="1"/>
  <c r="K679" i="8" a="1"/>
  <c r="H229" i="8" a="1"/>
  <c r="J348" i="8" a="1"/>
  <c r="W348" i="8" a="1"/>
  <c r="W349" i="8" a="1"/>
  <c r="Q481" i="8" a="1"/>
  <c r="N35" i="8" a="1"/>
  <c r="W679" i="8" a="1"/>
  <c r="K229" i="8" a="1"/>
  <c r="H35" i="8" a="1"/>
  <c r="K579" i="8" a="1"/>
  <c r="I348" i="8" l="1"/>
  <c r="U228" i="8"/>
  <c r="Y767" i="8"/>
  <c r="E678" i="8"/>
  <c r="K574" i="8"/>
  <c r="Q315" i="8"/>
  <c r="J347" i="8"/>
  <c r="W678" i="8"/>
  <c r="I480" i="8"/>
  <c r="G347" i="8"/>
  <c r="E778" i="8"/>
  <c r="J778" i="8"/>
  <c r="G778" i="8"/>
  <c r="M379" i="8"/>
  <c r="G578" i="8"/>
  <c r="K480" i="8"/>
  <c r="L347" i="8"/>
  <c r="E578" i="8"/>
  <c r="Y778" i="8"/>
  <c r="M228" i="8"/>
  <c r="X480" i="8"/>
  <c r="G228" i="8"/>
  <c r="F227" i="8"/>
  <c r="Q574" i="8"/>
  <c r="V100" i="8"/>
  <c r="F476" i="8"/>
  <c r="G450" i="8"/>
  <c r="X227" i="8"/>
  <c r="X3" i="8"/>
  <c r="R376" i="8"/>
  <c r="Y377" i="8"/>
  <c r="F339" i="8"/>
  <c r="D346" i="8"/>
  <c r="C345" i="8"/>
  <c r="L670" i="8"/>
  <c r="C676" i="8"/>
  <c r="D576" i="8"/>
  <c r="O378" i="8"/>
  <c r="F375" i="8"/>
  <c r="E761" i="8"/>
  <c r="F574" i="8"/>
  <c r="L345" i="8"/>
  <c r="I223" i="8"/>
  <c r="V777" i="8"/>
  <c r="G470" i="8"/>
  <c r="O370" i="8"/>
  <c r="E373" i="8"/>
  <c r="L674" i="8"/>
  <c r="M479" i="8"/>
  <c r="I577" i="8"/>
  <c r="U672" i="8"/>
  <c r="E764" i="8"/>
  <c r="G477" i="8"/>
  <c r="Y775" i="8"/>
  <c r="H676" i="8"/>
  <c r="W776" i="8"/>
  <c r="R220" i="8"/>
  <c r="T319" i="8"/>
  <c r="L346" i="8"/>
  <c r="C576" i="8"/>
  <c r="N576" i="8"/>
  <c r="P32" i="8"/>
  <c r="N371" i="8"/>
  <c r="W32" i="8"/>
  <c r="N777" i="8"/>
  <c r="C226" i="8"/>
  <c r="H675" i="8"/>
  <c r="E773" i="8"/>
  <c r="E776" i="8"/>
  <c r="G346" i="8"/>
  <c r="U32" i="8"/>
  <c r="P478" i="8"/>
  <c r="M770" i="8"/>
  <c r="H374" i="8"/>
  <c r="V763" i="8"/>
  <c r="O346" i="8"/>
  <c r="K31" i="8"/>
  <c r="I371" i="8"/>
  <c r="N374" i="8"/>
  <c r="Y378" i="8"/>
  <c r="H32" i="8"/>
  <c r="J377" i="8"/>
  <c r="W318" i="8"/>
  <c r="E224" i="8"/>
  <c r="O309" i="8"/>
  <c r="P200" i="8"/>
  <c r="Y574" i="8"/>
  <c r="G348" i="8"/>
  <c r="H348" i="8"/>
  <c r="Q760" i="8"/>
  <c r="E477" i="8"/>
  <c r="J576" i="8"/>
  <c r="K470" i="8"/>
  <c r="T317" i="8"/>
  <c r="O227" i="8"/>
  <c r="H350" i="8"/>
  <c r="I776" i="8"/>
  <c r="F474" i="8"/>
  <c r="T313" i="8"/>
  <c r="Q346" i="8"/>
  <c r="T307" i="8"/>
  <c r="V224" i="8"/>
  <c r="L371" i="8"/>
  <c r="R477" i="8"/>
  <c r="C675" i="8"/>
  <c r="P674" i="8"/>
  <c r="V377" i="8"/>
  <c r="K309" i="8"/>
  <c r="E577" i="8"/>
  <c r="C575" i="8"/>
  <c r="U770" i="8"/>
  <c r="E672" i="8"/>
  <c r="G475" i="8"/>
  <c r="O577" i="8"/>
  <c r="V677" i="8"/>
  <c r="X226" i="8"/>
  <c r="C375" i="8"/>
  <c r="W478" i="8"/>
  <c r="D222" i="8"/>
  <c r="L577" i="8"/>
  <c r="X308" i="8"/>
  <c r="R676" i="8"/>
  <c r="W375" i="8"/>
  <c r="W472" i="8"/>
  <c r="T776" i="8"/>
  <c r="L677" i="8"/>
  <c r="O376" i="8"/>
  <c r="K226" i="8"/>
  <c r="T370" i="8"/>
  <c r="W777" i="8"/>
  <c r="N375" i="8"/>
  <c r="N313" i="8"/>
  <c r="Q226" i="8"/>
  <c r="H375" i="8"/>
  <c r="D672" i="8"/>
  <c r="G309" i="8"/>
  <c r="Y311" i="8"/>
  <c r="Q678" i="8"/>
  <c r="L224" i="8"/>
  <c r="X32" i="8"/>
  <c r="I346" i="8"/>
  <c r="Q676" i="8"/>
  <c r="X776" i="8"/>
  <c r="H760" i="8"/>
  <c r="I778" i="8"/>
  <c r="N578" i="8"/>
  <c r="K379" i="8"/>
  <c r="N348" i="8"/>
  <c r="L379" i="8"/>
  <c r="W34" i="8"/>
  <c r="P34" i="8"/>
  <c r="F228" i="8"/>
  <c r="X778" i="8"/>
  <c r="C480" i="8"/>
  <c r="E348" i="8"/>
  <c r="I678" i="8"/>
  <c r="T379" i="8"/>
  <c r="M678" i="8"/>
  <c r="O34" i="8"/>
  <c r="J677" i="8"/>
  <c r="I343" i="8"/>
  <c r="G765" i="8"/>
  <c r="P30" i="8"/>
  <c r="M224" i="8"/>
  <c r="P575" i="8"/>
  <c r="K227" i="8"/>
  <c r="I772" i="8"/>
  <c r="G670" i="8"/>
  <c r="M313" i="8"/>
  <c r="J317" i="8"/>
  <c r="G479" i="8"/>
  <c r="O310" i="8"/>
  <c r="E343" i="8"/>
  <c r="T226" i="8"/>
  <c r="C28" i="8"/>
  <c r="N577" i="8"/>
  <c r="T30" i="8"/>
  <c r="I340" i="8"/>
  <c r="N572" i="8"/>
  <c r="T472" i="8"/>
  <c r="C346" i="8"/>
  <c r="X378" i="8"/>
  <c r="E676" i="8"/>
  <c r="W343" i="8"/>
  <c r="U776" i="8"/>
  <c r="N478" i="8"/>
  <c r="J577" i="8"/>
  <c r="C377" i="8"/>
  <c r="L478" i="8"/>
  <c r="E474" i="8"/>
  <c r="D223" i="8"/>
  <c r="R776" i="8"/>
  <c r="L27" i="8"/>
  <c r="M475" i="8"/>
  <c r="P775" i="8"/>
  <c r="M676" i="8"/>
  <c r="H227" i="8"/>
  <c r="O373" i="8"/>
  <c r="Q774" i="8"/>
  <c r="W774" i="8"/>
  <c r="C776" i="8"/>
  <c r="R677" i="8"/>
  <c r="C479" i="8"/>
  <c r="N477" i="8"/>
  <c r="H475" i="8"/>
  <c r="H576" i="8"/>
  <c r="R673" i="8"/>
  <c r="H777" i="8"/>
  <c r="X477" i="8"/>
  <c r="Y376" i="8"/>
  <c r="F569" i="8"/>
  <c r="K377" i="8"/>
  <c r="P378" i="8"/>
  <c r="M33" i="8"/>
  <c r="O672" i="8"/>
  <c r="E769" i="8"/>
  <c r="X377" i="8"/>
  <c r="P33" i="8"/>
  <c r="J768" i="8"/>
  <c r="R774" i="8"/>
  <c r="K318" i="8"/>
  <c r="G370" i="8"/>
  <c r="X574" i="8"/>
  <c r="C672" i="8"/>
  <c r="O770" i="8"/>
  <c r="E777" i="8"/>
  <c r="L376" i="8"/>
  <c r="G227" i="8"/>
  <c r="U378" i="8"/>
  <c r="F772" i="8"/>
  <c r="K573" i="8"/>
  <c r="F776" i="8"/>
  <c r="T766" i="8"/>
  <c r="E227" i="8"/>
  <c r="N775" i="8"/>
  <c r="X221" i="8"/>
  <c r="E762" i="8"/>
  <c r="Y476" i="8"/>
  <c r="E677" i="8"/>
  <c r="D669" i="8"/>
  <c r="P226" i="8"/>
  <c r="T29" i="8"/>
  <c r="C320" i="8"/>
  <c r="R346" i="8"/>
  <c r="G764" i="8"/>
  <c r="K477" i="8"/>
  <c r="H219" i="8"/>
  <c r="K575" i="8"/>
  <c r="F310" i="8"/>
  <c r="F371" i="8"/>
  <c r="K769" i="8"/>
  <c r="C228" i="8"/>
  <c r="L778" i="8"/>
  <c r="H31" i="8"/>
  <c r="F480" i="8"/>
  <c r="F379" i="8"/>
  <c r="I347" i="8"/>
  <c r="M227" i="8"/>
  <c r="C775" i="8"/>
  <c r="N676" i="8"/>
  <c r="T345" i="8"/>
  <c r="M478" i="8"/>
  <c r="W376" i="8"/>
  <c r="E479" i="8"/>
  <c r="L315" i="8"/>
  <c r="U762" i="8"/>
  <c r="L32" i="8"/>
  <c r="O377" i="8"/>
  <c r="Y479" i="8"/>
  <c r="H200" i="8"/>
  <c r="I316" i="8"/>
  <c r="K345" i="8"/>
  <c r="L310" i="8"/>
  <c r="U479" i="8"/>
  <c r="M371" i="8"/>
  <c r="E374" i="8"/>
  <c r="M341" i="8"/>
  <c r="F348" i="8"/>
  <c r="E480" i="8"/>
  <c r="T228" i="8"/>
  <c r="D379" i="8"/>
  <c r="W347" i="8"/>
  <c r="O228" i="8"/>
  <c r="Q228" i="8"/>
  <c r="J480" i="8"/>
  <c r="M348" i="8"/>
  <c r="K34" i="8"/>
  <c r="N34" i="8"/>
  <c r="C348" i="8"/>
  <c r="D228" i="8"/>
  <c r="P678" i="8"/>
  <c r="Y678" i="8"/>
  <c r="Q479" i="8"/>
  <c r="U223" i="8"/>
  <c r="N674" i="8"/>
  <c r="V772" i="8"/>
  <c r="D575" i="8"/>
  <c r="J227" i="8"/>
  <c r="U575" i="8"/>
  <c r="E371" i="8"/>
  <c r="X570" i="8"/>
  <c r="G669" i="8"/>
  <c r="O30" i="8"/>
  <c r="D777" i="8"/>
  <c r="R345" i="8"/>
  <c r="R773" i="8"/>
  <c r="M311" i="8"/>
  <c r="I376" i="8"/>
  <c r="E378" i="8"/>
  <c r="V669" i="8"/>
  <c r="X775" i="8"/>
  <c r="X374" i="8"/>
  <c r="I760" i="8"/>
  <c r="F378" i="8"/>
  <c r="K33" i="8"/>
  <c r="M675" i="8"/>
  <c r="O473" i="8"/>
  <c r="T576" i="8"/>
  <c r="Y373" i="8"/>
  <c r="T479" i="8"/>
  <c r="C771" i="8"/>
  <c r="R225" i="8"/>
  <c r="P376" i="8"/>
  <c r="W377" i="8"/>
  <c r="X346" i="8"/>
  <c r="L766" i="8"/>
  <c r="W673" i="8"/>
  <c r="W220" i="8"/>
  <c r="W225" i="8"/>
  <c r="W479" i="8"/>
  <c r="N3" i="8"/>
  <c r="R472" i="8"/>
  <c r="Y764" i="8"/>
  <c r="L574" i="8"/>
  <c r="T777" i="8"/>
  <c r="M777" i="8"/>
  <c r="I451" i="8"/>
  <c r="K311" i="8"/>
  <c r="M319" i="8"/>
  <c r="E476" i="8"/>
  <c r="K378" i="8"/>
  <c r="D569" i="8"/>
  <c r="M27" i="8"/>
  <c r="J763" i="8"/>
  <c r="O300" i="8"/>
  <c r="T346" i="8"/>
  <c r="R226" i="8"/>
  <c r="E28" i="8"/>
  <c r="F775" i="8"/>
  <c r="E345" i="8"/>
  <c r="Q378" i="8"/>
  <c r="F575" i="8"/>
  <c r="Y342" i="8"/>
  <c r="K776" i="8"/>
  <c r="Q312" i="8"/>
  <c r="O219" i="8"/>
  <c r="C309" i="8"/>
  <c r="C371" i="8"/>
  <c r="O480" i="8"/>
  <c r="H33" i="8"/>
  <c r="Y33" i="8"/>
  <c r="C347" i="8"/>
  <c r="X578" i="8"/>
  <c r="L479" i="8"/>
  <c r="X376" i="8"/>
  <c r="P227" i="8"/>
  <c r="Y480" i="8"/>
  <c r="M347" i="8"/>
  <c r="Y228" i="8"/>
  <c r="O778" i="8"/>
  <c r="F778" i="8"/>
  <c r="P778" i="8"/>
  <c r="D778" i="8"/>
  <c r="P348" i="8"/>
  <c r="H341" i="8"/>
  <c r="U315" i="8"/>
  <c r="R33" i="8"/>
  <c r="J345" i="8"/>
  <c r="J28" i="8"/>
  <c r="X650" i="8"/>
  <c r="P377" i="8"/>
  <c r="J370" i="8"/>
  <c r="E344" i="8"/>
  <c r="T575" i="8"/>
  <c r="L472" i="8"/>
  <c r="J219" i="8"/>
  <c r="R577" i="8"/>
  <c r="O374" i="8"/>
  <c r="L317" i="8"/>
  <c r="H470" i="8"/>
  <c r="K675" i="8"/>
  <c r="E347" i="8"/>
  <c r="F677" i="8"/>
  <c r="P762" i="8"/>
  <c r="P224" i="8"/>
  <c r="T571" i="8"/>
  <c r="O32" i="8"/>
  <c r="P346" i="8"/>
  <c r="R374" i="8"/>
  <c r="C774" i="8"/>
  <c r="W775" i="8"/>
  <c r="E763" i="8"/>
  <c r="F777" i="8"/>
  <c r="Q762" i="8"/>
  <c r="U374" i="8"/>
  <c r="W346" i="8"/>
  <c r="R576" i="8"/>
  <c r="N378" i="8"/>
  <c r="P671" i="8"/>
  <c r="W300" i="8"/>
  <c r="F672" i="8"/>
  <c r="U375" i="8"/>
  <c r="C677" i="8"/>
  <c r="E478" i="8"/>
  <c r="F470" i="8"/>
  <c r="G374" i="8"/>
  <c r="Y30" i="8"/>
  <c r="E340" i="8"/>
  <c r="W378" i="8"/>
  <c r="X576" i="8"/>
  <c r="H764" i="8"/>
  <c r="W570" i="8"/>
  <c r="O762" i="8"/>
  <c r="D378" i="8"/>
  <c r="U773" i="8"/>
  <c r="J224" i="8"/>
  <c r="G32" i="8"/>
  <c r="V219" i="8"/>
  <c r="U677" i="8"/>
  <c r="L226" i="8"/>
  <c r="H478" i="8"/>
  <c r="F319" i="8"/>
  <c r="M776" i="8"/>
  <c r="C570" i="8"/>
  <c r="L314" i="8"/>
  <c r="M220" i="8"/>
  <c r="P480" i="8"/>
  <c r="L672" i="8"/>
  <c r="O763" i="8"/>
  <c r="W480" i="8"/>
  <c r="Q348" i="8"/>
  <c r="V32" i="8"/>
  <c r="K673" i="8"/>
  <c r="V33" i="8"/>
  <c r="O574" i="8"/>
  <c r="O379" i="8"/>
  <c r="X379" i="8"/>
  <c r="N228" i="8"/>
  <c r="X228" i="8"/>
  <c r="K347" i="8"/>
  <c r="H347" i="8"/>
  <c r="K778" i="8"/>
  <c r="H34" i="8"/>
  <c r="V346" i="8"/>
  <c r="H309" i="8"/>
  <c r="O226" i="8"/>
  <c r="F226" i="8"/>
  <c r="V778" i="8"/>
  <c r="I228" i="8"/>
  <c r="D480" i="8"/>
  <c r="R348" i="8"/>
  <c r="K348" i="8"/>
  <c r="D678" i="8"/>
  <c r="Y347" i="8"/>
  <c r="R678" i="8"/>
  <c r="L228" i="8"/>
  <c r="F347" i="8"/>
  <c r="U578" i="8"/>
  <c r="N778" i="8"/>
  <c r="T678" i="8"/>
  <c r="Y34" i="8"/>
  <c r="T347" i="8"/>
  <c r="Y379" i="8"/>
  <c r="N479" i="8"/>
  <c r="J341" i="8"/>
  <c r="Q344" i="8"/>
  <c r="H225" i="8"/>
  <c r="I669" i="8"/>
  <c r="C777" i="8"/>
  <c r="F29" i="8"/>
  <c r="D310" i="8"/>
  <c r="X471" i="8"/>
  <c r="W574" i="8"/>
  <c r="R777" i="8"/>
  <c r="M226" i="8"/>
  <c r="I478" i="8"/>
  <c r="O767" i="8"/>
  <c r="W672" i="8"/>
  <c r="N377" i="8"/>
  <c r="X33" i="8"/>
  <c r="G224" i="8"/>
  <c r="X676" i="8"/>
  <c r="K339" i="8"/>
  <c r="Q471" i="8"/>
  <c r="H378" i="8"/>
  <c r="P577" i="8"/>
  <c r="Y771" i="8"/>
  <c r="G372" i="8"/>
  <c r="Y575" i="8"/>
  <c r="J374" i="8"/>
  <c r="I227" i="8"/>
  <c r="W311" i="8"/>
  <c r="W471" i="8"/>
  <c r="Y219" i="8"/>
  <c r="G760" i="8"/>
  <c r="C33" i="8"/>
  <c r="L776" i="8"/>
  <c r="C26" i="8"/>
  <c r="H3" i="8"/>
  <c r="W576" i="8"/>
  <c r="W577" i="8"/>
  <c r="I576" i="8"/>
  <c r="N345" i="8"/>
  <c r="F676" i="8"/>
  <c r="Y346" i="8"/>
  <c r="C378" i="8"/>
  <c r="K478" i="8"/>
  <c r="C572" i="8"/>
  <c r="G28" i="8"/>
  <c r="D30" i="8"/>
  <c r="J200" i="8"/>
  <c r="P479" i="8"/>
  <c r="U576" i="8"/>
  <c r="J477" i="8"/>
  <c r="P576" i="8"/>
  <c r="C478" i="8"/>
  <c r="Q227" i="8"/>
  <c r="U343" i="8"/>
  <c r="Q775" i="8"/>
  <c r="J32" i="8"/>
  <c r="R575" i="8"/>
  <c r="K577" i="8"/>
  <c r="X771" i="8"/>
  <c r="V372" i="8"/>
  <c r="Y28" i="8"/>
  <c r="R32" i="8"/>
  <c r="R765" i="8"/>
  <c r="K476" i="8"/>
  <c r="E767" i="8"/>
  <c r="K578" i="8"/>
  <c r="C379" i="8"/>
  <c r="U344" i="8"/>
  <c r="J34" i="8"/>
  <c r="R471" i="8"/>
  <c r="D478" i="8"/>
  <c r="U778" i="8"/>
  <c r="Q480" i="8"/>
  <c r="Q578" i="8"/>
  <c r="R347" i="8"/>
  <c r="X34" i="8"/>
  <c r="V379" i="8"/>
  <c r="E34" i="8"/>
  <c r="Q347" i="8"/>
  <c r="M480" i="8"/>
  <c r="G480" i="8"/>
  <c r="U480" i="8"/>
  <c r="J678" i="8"/>
  <c r="I578" i="8"/>
  <c r="L480" i="8"/>
  <c r="X678" i="8"/>
  <c r="V480" i="8"/>
  <c r="N346" i="8"/>
  <c r="H772" i="8"/>
  <c r="R675" i="8"/>
  <c r="R474" i="8"/>
  <c r="M31" i="8"/>
  <c r="W227" i="8"/>
  <c r="I342" i="8"/>
  <c r="Q373" i="8"/>
  <c r="E571" i="8"/>
  <c r="V576" i="8"/>
  <c r="O479" i="8"/>
  <c r="H775" i="8"/>
  <c r="T650" i="8"/>
  <c r="I226" i="8"/>
  <c r="W307" i="8"/>
  <c r="H677" i="8"/>
  <c r="Q777" i="8"/>
  <c r="D345" i="8"/>
  <c r="L675" i="8"/>
  <c r="J676" i="8"/>
  <c r="W226" i="8"/>
  <c r="V479" i="8"/>
  <c r="I31" i="8"/>
  <c r="D774" i="8"/>
  <c r="F764" i="8"/>
  <c r="I774" i="8"/>
  <c r="R571" i="8"/>
  <c r="T378" i="8"/>
  <c r="L473" i="8"/>
  <c r="C224" i="8"/>
  <c r="C223" i="8"/>
  <c r="H672" i="8"/>
  <c r="L378" i="8"/>
  <c r="H340" i="8"/>
  <c r="M574" i="8"/>
  <c r="V317" i="8"/>
  <c r="E315" i="8"/>
  <c r="Y677" i="8"/>
  <c r="U225" i="8"/>
  <c r="E311" i="8"/>
  <c r="D224" i="8"/>
  <c r="H224" i="8"/>
  <c r="R479" i="8"/>
  <c r="Y477" i="8"/>
  <c r="Y676" i="8"/>
  <c r="J675" i="8"/>
  <c r="Q473" i="8"/>
  <c r="Y576" i="8"/>
  <c r="L33" i="8"/>
  <c r="R574" i="8"/>
  <c r="X763" i="8"/>
  <c r="P676" i="8"/>
  <c r="K30" i="8"/>
  <c r="G777" i="8"/>
  <c r="G573" i="8"/>
  <c r="P375" i="8"/>
  <c r="D776" i="8"/>
  <c r="V227" i="8"/>
  <c r="U33" i="8"/>
  <c r="D377" i="8"/>
  <c r="L770" i="8"/>
  <c r="F341" i="8"/>
  <c r="F312" i="8"/>
  <c r="P574" i="8"/>
  <c r="Q314" i="8"/>
  <c r="R29" i="8"/>
  <c r="F678" i="8"/>
  <c r="N677" i="8"/>
  <c r="I473" i="8"/>
  <c r="C27" i="8"/>
  <c r="J572" i="8"/>
  <c r="D317" i="8"/>
  <c r="V571" i="8"/>
  <c r="M346" i="8"/>
  <c r="F577" i="8"/>
  <c r="Y577" i="8"/>
  <c r="N319" i="8"/>
  <c r="K222" i="8"/>
  <c r="M377" i="8"/>
  <c r="X225" i="8"/>
  <c r="W677" i="8"/>
  <c r="I377" i="8"/>
  <c r="K576" i="8"/>
  <c r="J574" i="8"/>
  <c r="V200" i="8"/>
  <c r="T478" i="8"/>
  <c r="H479" i="8"/>
  <c r="E576" i="8"/>
  <c r="X671" i="8"/>
  <c r="W221" i="8"/>
  <c r="J346" i="8"/>
  <c r="D677" i="8"/>
  <c r="K450" i="8"/>
  <c r="W676" i="8"/>
  <c r="T676" i="8"/>
  <c r="M471" i="8"/>
  <c r="O777" i="8"/>
  <c r="O774" i="8"/>
  <c r="Q776" i="8"/>
  <c r="I676" i="8"/>
  <c r="V477" i="8"/>
  <c r="Q33" i="8"/>
  <c r="U224" i="8"/>
  <c r="K224" i="8"/>
  <c r="X373" i="8"/>
  <c r="D226" i="8"/>
  <c r="I777" i="8"/>
  <c r="G577" i="8"/>
  <c r="Y766" i="8"/>
  <c r="H673" i="8"/>
  <c r="R478" i="8"/>
  <c r="P372" i="8"/>
  <c r="G33" i="8"/>
  <c r="D225" i="8"/>
  <c r="I574" i="8"/>
  <c r="N476" i="8"/>
  <c r="C577" i="8"/>
  <c r="J33" i="8"/>
  <c r="H776" i="8"/>
  <c r="N370" i="8"/>
  <c r="V776" i="8"/>
  <c r="J470" i="8"/>
  <c r="C310" i="8"/>
  <c r="Q220" i="8"/>
  <c r="X310" i="8"/>
  <c r="W228" i="8"/>
  <c r="F31" i="8"/>
  <c r="O766" i="8"/>
  <c r="X347" i="8"/>
  <c r="L678" i="8"/>
  <c r="G226" i="8"/>
  <c r="D760" i="8"/>
  <c r="F219" i="8"/>
  <c r="W669" i="8"/>
  <c r="Q34" i="8"/>
  <c r="M578" i="8"/>
  <c r="O578" i="8"/>
  <c r="L34" i="8"/>
  <c r="O347" i="8"/>
  <c r="V678" i="8"/>
  <c r="R480" i="8"/>
  <c r="E379" i="8"/>
  <c r="N480" i="8"/>
  <c r="I33" i="8"/>
  <c r="V345" i="8"/>
  <c r="G223" i="8"/>
  <c r="G373" i="8"/>
  <c r="D376" i="8"/>
  <c r="M477" i="8"/>
  <c r="F320" i="8"/>
  <c r="M378" i="8"/>
  <c r="X348" i="8"/>
  <c r="W379" i="8"/>
  <c r="Y578" i="8"/>
  <c r="J578" i="8"/>
  <c r="D34" i="8"/>
  <c r="R379" i="8"/>
  <c r="G34" i="8"/>
  <c r="K678" i="8"/>
  <c r="Y348" i="8"/>
  <c r="F578" i="8"/>
  <c r="G379" i="8"/>
  <c r="I34" i="8"/>
  <c r="H480" i="8"/>
  <c r="U379" i="8"/>
  <c r="H379" i="8"/>
  <c r="K228" i="8"/>
  <c r="R227" i="8"/>
  <c r="H345" i="8"/>
  <c r="N571" i="8"/>
  <c r="R573" i="8"/>
  <c r="I345" i="8"/>
  <c r="N227" i="8"/>
  <c r="Y344" i="8"/>
  <c r="E774" i="8"/>
  <c r="K775" i="8"/>
  <c r="X370" i="8"/>
  <c r="E33" i="8"/>
  <c r="J774" i="8"/>
  <c r="I221" i="8"/>
  <c r="U30" i="8"/>
  <c r="Q766" i="8"/>
  <c r="D33" i="8"/>
  <c r="U777" i="8"/>
  <c r="N225" i="8"/>
  <c r="N32" i="8"/>
  <c r="T377" i="8"/>
  <c r="T474" i="8"/>
  <c r="M677" i="8"/>
  <c r="R669" i="8"/>
  <c r="M766" i="8"/>
  <c r="Q576" i="8"/>
  <c r="Q569" i="8"/>
  <c r="C227" i="8"/>
  <c r="X777" i="8"/>
  <c r="K28" i="8"/>
  <c r="Q319" i="8"/>
  <c r="F377" i="8"/>
  <c r="C200" i="8"/>
  <c r="J777" i="8"/>
  <c r="P451" i="8"/>
  <c r="U345" i="8"/>
  <c r="E772" i="8"/>
  <c r="F576" i="8"/>
  <c r="Y227" i="8"/>
  <c r="F766" i="8"/>
  <c r="C31" i="8"/>
  <c r="K762" i="8"/>
  <c r="O576" i="8"/>
  <c r="H346" i="8"/>
  <c r="X764" i="8"/>
  <c r="M673" i="8"/>
  <c r="Y316" i="8"/>
  <c r="U766" i="8"/>
  <c r="G378" i="8"/>
  <c r="T677" i="8"/>
  <c r="S677" i="8" s="1"/>
  <c r="H451" i="8"/>
  <c r="N474" i="8"/>
  <c r="U676" i="8"/>
  <c r="U350" i="8"/>
  <c r="P677" i="8"/>
  <c r="W772" i="8"/>
  <c r="W319" i="8"/>
  <c r="W31" i="8"/>
  <c r="F346" i="8"/>
  <c r="T33" i="8"/>
  <c r="S33" i="8" s="1"/>
  <c r="J376" i="8"/>
  <c r="J343" i="8"/>
  <c r="D766" i="8"/>
  <c r="T770" i="8"/>
  <c r="R311" i="8"/>
  <c r="K471" i="8"/>
  <c r="I472" i="8"/>
  <c r="R778" i="8"/>
  <c r="J379" i="8"/>
  <c r="H577" i="8"/>
  <c r="Q379" i="8"/>
  <c r="I379" i="8"/>
  <c r="C225" i="8"/>
  <c r="U222" i="8"/>
  <c r="D578" i="8"/>
  <c r="V347" i="8"/>
  <c r="S347" i="8" s="1"/>
  <c r="E228" i="8"/>
  <c r="T34" i="8"/>
  <c r="P228" i="8"/>
  <c r="L578" i="8"/>
  <c r="U227" i="8"/>
  <c r="G770" i="8"/>
  <c r="Y317" i="8"/>
  <c r="E226" i="8"/>
  <c r="J772" i="8"/>
  <c r="K777" i="8"/>
  <c r="O345" i="8"/>
  <c r="W674" i="8"/>
  <c r="G672" i="8"/>
  <c r="Q222" i="8"/>
  <c r="T577" i="8"/>
  <c r="W339" i="8"/>
  <c r="V451" i="8"/>
  <c r="H450" i="8"/>
  <c r="R221" i="8"/>
  <c r="X577" i="8"/>
  <c r="X479" i="8"/>
  <c r="G30" i="8"/>
  <c r="P219" i="8"/>
  <c r="O223" i="8"/>
  <c r="I775" i="8"/>
  <c r="U346" i="8"/>
  <c r="H474" i="8"/>
  <c r="T775" i="8"/>
  <c r="J31" i="8"/>
  <c r="J478" i="8"/>
  <c r="K677" i="8"/>
  <c r="O33" i="8"/>
  <c r="Q475" i="8"/>
  <c r="T376" i="8"/>
  <c r="G377" i="8"/>
  <c r="E760" i="8"/>
  <c r="M577" i="8"/>
  <c r="K317" i="8"/>
  <c r="V313" i="8"/>
  <c r="K674" i="8"/>
  <c r="Y475" i="8"/>
  <c r="G677" i="8"/>
  <c r="C300" i="8"/>
  <c r="L575" i="8"/>
  <c r="I220" i="8"/>
  <c r="F300" i="8"/>
  <c r="F33" i="8"/>
  <c r="C476" i="8"/>
  <c r="D768" i="8"/>
  <c r="R767" i="8"/>
  <c r="W345" i="8"/>
  <c r="E346" i="8"/>
  <c r="X677" i="8"/>
  <c r="W764" i="8"/>
  <c r="K350" i="8"/>
  <c r="G675" i="8"/>
  <c r="P350" i="8"/>
  <c r="L227" i="8"/>
  <c r="P776" i="8"/>
  <c r="K370" i="8"/>
  <c r="V569" i="8"/>
  <c r="L777" i="8"/>
  <c r="I677" i="8"/>
  <c r="J775" i="8"/>
  <c r="V676" i="8"/>
  <c r="Y774" i="8"/>
  <c r="Q309" i="8"/>
  <c r="N344" i="8"/>
  <c r="T318" i="8"/>
  <c r="L29" i="8"/>
  <c r="P379" i="8"/>
  <c r="M778" i="8"/>
  <c r="H377" i="8"/>
  <c r="C578" i="8"/>
  <c r="R228" i="8"/>
  <c r="E575" i="8"/>
  <c r="U476" i="8"/>
  <c r="J479" i="8"/>
  <c r="M34" i="8"/>
  <c r="V34" i="8"/>
  <c r="T480" i="8"/>
  <c r="S480" i="8" s="1"/>
  <c r="V228" i="8"/>
  <c r="S228" i="8" s="1"/>
  <c r="N379" i="8"/>
  <c r="G678" i="8"/>
  <c r="J228" i="8"/>
  <c r="T778" i="8"/>
  <c r="H678" i="8"/>
  <c r="U347" i="8"/>
  <c r="C778" i="8"/>
  <c r="W778" i="8"/>
  <c r="P347" i="8"/>
  <c r="H578" i="8"/>
  <c r="D347" i="8"/>
  <c r="W578" i="8"/>
  <c r="N678" i="8"/>
  <c r="T578" i="8"/>
  <c r="U34" i="8"/>
  <c r="Q778" i="8"/>
  <c r="N347" i="8"/>
  <c r="F34" i="8"/>
  <c r="R578" i="8"/>
  <c r="H228" i="8"/>
  <c r="H778" i="8"/>
  <c r="V578" i="8"/>
  <c r="P578" i="8"/>
  <c r="C34" i="8"/>
  <c r="O678" i="8"/>
  <c r="C678" i="8"/>
  <c r="U678" i="8"/>
  <c r="R34" i="8"/>
  <c r="D227" i="8"/>
  <c r="Y572" i="8"/>
  <c r="L221" i="8"/>
  <c r="O478" i="8"/>
  <c r="D315" i="8"/>
  <c r="D577" i="8"/>
  <c r="K346" i="8"/>
  <c r="G3" i="8"/>
  <c r="F478" i="8"/>
  <c r="M576" i="8"/>
  <c r="T227" i="8"/>
  <c r="L341" i="8"/>
  <c r="L344" i="8"/>
  <c r="O569" i="8"/>
  <c r="O224" i="8"/>
  <c r="I479" i="8"/>
  <c r="V378" i="8"/>
  <c r="I26" i="8"/>
  <c r="O311" i="8"/>
  <c r="R671" i="8"/>
  <c r="W769" i="8"/>
  <c r="F479" i="8"/>
  <c r="X473" i="8"/>
  <c r="K764" i="8"/>
  <c r="Y374" i="8"/>
  <c r="O27" i="8"/>
  <c r="J378" i="8"/>
  <c r="Y777" i="8"/>
  <c r="V675" i="8"/>
  <c r="Q345" i="8"/>
  <c r="Y375" i="8"/>
  <c r="Q377" i="8"/>
  <c r="U569" i="8"/>
  <c r="H570" i="8"/>
  <c r="T473" i="8"/>
  <c r="K225" i="8"/>
  <c r="T225" i="8"/>
  <c r="O776" i="8"/>
  <c r="J221" i="8"/>
  <c r="P670" i="8"/>
  <c r="U571" i="8"/>
  <c r="X339" i="8"/>
  <c r="Q677" i="8"/>
  <c r="U573" i="8"/>
  <c r="C770" i="8"/>
  <c r="L471" i="8"/>
  <c r="H371" i="8"/>
  <c r="U577" i="8"/>
  <c r="O676" i="8"/>
  <c r="V3" i="8"/>
  <c r="T574" i="8"/>
  <c r="C317" i="8"/>
  <c r="N31" i="8"/>
  <c r="D479" i="8"/>
  <c r="G376" i="8"/>
  <c r="V226" i="8"/>
  <c r="G676" i="8"/>
  <c r="W33" i="8"/>
  <c r="Q672" i="8"/>
  <c r="E313" i="8"/>
  <c r="G225" i="8"/>
  <c r="L676" i="8"/>
  <c r="K671" i="8"/>
  <c r="V309" i="8"/>
  <c r="U306" i="8"/>
  <c r="J767" i="8"/>
  <c r="C376" i="8"/>
  <c r="L476" i="8"/>
  <c r="G320" i="8"/>
  <c r="X672" i="8"/>
  <c r="L477" i="8"/>
  <c r="R572" i="8"/>
  <c r="G768" i="8"/>
  <c r="V765" i="8"/>
  <c r="K320" i="8"/>
  <c r="Q317" i="8"/>
  <c r="M312" i="8"/>
  <c r="D370" i="8"/>
  <c r="H373" i="8"/>
  <c r="Y340" i="8"/>
  <c r="J670" i="8"/>
  <c r="P29" i="8"/>
  <c r="R310" i="8"/>
  <c r="T763" i="8"/>
  <c r="O673" i="8"/>
  <c r="P317" i="8"/>
  <c r="T219" i="8"/>
  <c r="D342" i="8"/>
  <c r="M760" i="8"/>
  <c r="I450" i="8"/>
  <c r="M25" i="8"/>
  <c r="E574" i="8"/>
  <c r="K220" i="8"/>
  <c r="P320" i="8"/>
  <c r="J223" i="8"/>
  <c r="P470" i="8"/>
  <c r="J27" i="8"/>
  <c r="I370" i="8"/>
  <c r="J319" i="8"/>
  <c r="H27" i="8"/>
  <c r="N224" i="8"/>
  <c r="G221" i="8"/>
  <c r="I762" i="8"/>
  <c r="W223" i="8"/>
  <c r="C222" i="8"/>
  <c r="M376" i="8"/>
  <c r="R312" i="8"/>
  <c r="J672" i="8"/>
  <c r="H769" i="8"/>
  <c r="K765" i="8"/>
  <c r="C475" i="8"/>
  <c r="Q764" i="8"/>
  <c r="N339" i="8"/>
  <c r="Y450" i="8"/>
  <c r="I313" i="8"/>
  <c r="H222" i="8"/>
  <c r="G339" i="8"/>
  <c r="Y319" i="8"/>
  <c r="K221" i="8"/>
  <c r="T768" i="8"/>
  <c r="M470" i="8"/>
  <c r="Q219" i="8"/>
  <c r="U317" i="8"/>
  <c r="F342" i="8"/>
  <c r="G310" i="8"/>
  <c r="J25" i="8"/>
  <c r="E222" i="8"/>
  <c r="M569" i="8"/>
  <c r="N376" i="8"/>
  <c r="I766" i="8"/>
  <c r="J312" i="8"/>
  <c r="K373" i="8"/>
  <c r="Y27" i="8"/>
  <c r="R476" i="8"/>
  <c r="V310" i="8"/>
  <c r="P316" i="8"/>
  <c r="F762" i="8"/>
  <c r="L673" i="8"/>
  <c r="C342" i="8"/>
  <c r="T31" i="8"/>
  <c r="X311" i="8"/>
  <c r="E671" i="8"/>
  <c r="C474" i="8"/>
  <c r="F200" i="8"/>
  <c r="V760" i="8"/>
  <c r="Q30" i="8"/>
  <c r="X571" i="8"/>
  <c r="R25" i="8"/>
  <c r="Y221" i="8"/>
  <c r="N575" i="8"/>
  <c r="E376" i="8"/>
  <c r="U310" i="8"/>
  <c r="R772" i="8"/>
  <c r="E316" i="8"/>
  <c r="L342" i="8"/>
  <c r="M450" i="8"/>
  <c r="K341" i="8"/>
  <c r="O675" i="8"/>
  <c r="I30" i="8"/>
  <c r="X222" i="8"/>
  <c r="I673" i="8"/>
  <c r="H223" i="8"/>
  <c r="I675" i="8"/>
  <c r="U474" i="8"/>
  <c r="N316" i="8"/>
  <c r="Q670" i="8"/>
  <c r="K374" i="8"/>
  <c r="J339" i="8"/>
  <c r="Y670" i="8"/>
  <c r="L340" i="8"/>
  <c r="Y773" i="8"/>
  <c r="T343" i="8"/>
  <c r="H762" i="8"/>
  <c r="I224" i="8"/>
  <c r="J761" i="8"/>
  <c r="X29" i="8"/>
  <c r="P220" i="8"/>
  <c r="P371" i="8"/>
  <c r="G472" i="8"/>
  <c r="G478" i="8"/>
  <c r="Y474" i="8"/>
  <c r="P770" i="8"/>
  <c r="C30" i="8"/>
  <c r="V308" i="8"/>
  <c r="J220" i="8"/>
  <c r="P764" i="8"/>
  <c r="F771" i="8"/>
  <c r="F223" i="8"/>
  <c r="L763" i="8"/>
  <c r="V670" i="8"/>
  <c r="M32" i="8"/>
  <c r="U29" i="8"/>
  <c r="H761" i="8"/>
  <c r="F27" i="8"/>
  <c r="O474" i="8"/>
  <c r="K571" i="8"/>
  <c r="C772" i="8"/>
  <c r="W470" i="8"/>
  <c r="V764" i="8"/>
  <c r="O472" i="8"/>
  <c r="J575" i="8"/>
  <c r="G345" i="8"/>
  <c r="P318" i="8"/>
  <c r="H29" i="8"/>
  <c r="U764" i="8"/>
  <c r="L570" i="8"/>
  <c r="D451" i="8"/>
  <c r="V344" i="8"/>
  <c r="D29" i="8"/>
  <c r="T371" i="8"/>
  <c r="Y772" i="8"/>
  <c r="L31" i="8"/>
  <c r="X224" i="8"/>
  <c r="R344" i="8"/>
  <c r="E675" i="8"/>
  <c r="L30" i="8"/>
  <c r="N314" i="8"/>
  <c r="C318" i="8"/>
  <c r="C32" i="8"/>
  <c r="R315" i="8"/>
  <c r="C768" i="8"/>
  <c r="W773" i="8"/>
  <c r="X767" i="8"/>
  <c r="D300" i="8"/>
  <c r="Q572" i="8"/>
  <c r="J471" i="8"/>
  <c r="P343" i="8"/>
  <c r="G471" i="8"/>
  <c r="T220" i="8"/>
  <c r="S220" i="8" s="1"/>
  <c r="I569" i="8"/>
  <c r="Q371" i="8"/>
  <c r="G344" i="8"/>
  <c r="W763" i="8"/>
  <c r="U28" i="8"/>
  <c r="E221" i="8"/>
  <c r="U763" i="8"/>
  <c r="I315" i="8"/>
  <c r="N771" i="8"/>
  <c r="O451" i="8"/>
  <c r="U767" i="8"/>
  <c r="F26" i="8"/>
  <c r="Q768" i="8"/>
  <c r="Y765" i="8"/>
  <c r="X762" i="8"/>
  <c r="W341" i="8"/>
  <c r="H574" i="8"/>
  <c r="I314" i="8"/>
  <c r="D773" i="8"/>
  <c r="K223" i="8"/>
  <c r="I765" i="8"/>
  <c r="D765" i="8"/>
  <c r="O475" i="8"/>
  <c r="X306" i="8"/>
  <c r="P768" i="8"/>
  <c r="K375" i="8"/>
  <c r="G220" i="8"/>
  <c r="R341" i="8"/>
  <c r="F350" i="8"/>
  <c r="P225" i="8"/>
  <c r="K774" i="8"/>
  <c r="C471" i="8"/>
  <c r="N222" i="8"/>
  <c r="D675" i="8"/>
  <c r="T342" i="8"/>
  <c r="K372" i="8"/>
  <c r="O313" i="8"/>
  <c r="D472" i="8"/>
  <c r="K761" i="8"/>
  <c r="H339" i="8"/>
  <c r="I225" i="8"/>
  <c r="T221" i="8"/>
  <c r="O341" i="8"/>
  <c r="E341" i="8"/>
  <c r="H312" i="8"/>
  <c r="W475" i="8"/>
  <c r="U370" i="8"/>
  <c r="G776" i="8"/>
  <c r="T27" i="8"/>
  <c r="S27" i="8" s="1"/>
  <c r="V311" i="8"/>
  <c r="E310" i="8"/>
  <c r="L761" i="8"/>
  <c r="T374" i="8"/>
  <c r="Y313" i="8"/>
  <c r="I764" i="8"/>
  <c r="U309" i="8"/>
  <c r="L220" i="8"/>
  <c r="D219" i="8"/>
  <c r="L28" i="8"/>
  <c r="C313" i="8"/>
  <c r="I310" i="8"/>
  <c r="G763" i="8"/>
  <c r="O225" i="8"/>
  <c r="J340" i="8"/>
  <c r="Y471" i="8"/>
  <c r="Y224" i="8"/>
  <c r="E220" i="8"/>
  <c r="F573" i="8"/>
  <c r="V319" i="8"/>
  <c r="V470" i="8"/>
  <c r="Q767" i="8"/>
  <c r="Y32" i="8"/>
  <c r="Y3" i="8"/>
  <c r="R762" i="8"/>
  <c r="U470" i="8"/>
  <c r="X223" i="8"/>
  <c r="Y309" i="8"/>
  <c r="I339" i="8"/>
  <c r="F376" i="8"/>
  <c r="U319" i="8"/>
  <c r="D767" i="8"/>
  <c r="K27" i="8"/>
  <c r="G766" i="8"/>
  <c r="X766" i="8"/>
  <c r="M28" i="8"/>
  <c r="D476" i="8"/>
  <c r="D339" i="8"/>
  <c r="T3" i="8"/>
  <c r="D31" i="8"/>
  <c r="L760" i="8"/>
  <c r="J573" i="8"/>
  <c r="T475" i="8"/>
  <c r="O775" i="8"/>
  <c r="T308" i="8"/>
  <c r="G312" i="8"/>
  <c r="U342" i="8"/>
  <c r="Q671" i="8"/>
  <c r="I768" i="8"/>
  <c r="P223" i="8"/>
  <c r="Y478" i="8"/>
  <c r="F769" i="8"/>
  <c r="I300" i="8"/>
  <c r="K200" i="8"/>
  <c r="Y306" i="8"/>
  <c r="C311" i="8"/>
  <c r="U376" i="8"/>
  <c r="P340" i="8"/>
  <c r="K672" i="8"/>
  <c r="P309" i="8"/>
  <c r="Y314" i="8"/>
  <c r="H472" i="8"/>
  <c r="P763" i="8"/>
  <c r="J350" i="8"/>
  <c r="H773" i="8"/>
  <c r="Q340" i="8"/>
  <c r="C370" i="8"/>
  <c r="G27" i="8"/>
  <c r="L350" i="8"/>
  <c r="H226" i="8"/>
  <c r="P314" i="8"/>
  <c r="M669" i="8"/>
  <c r="L225" i="8"/>
  <c r="K473" i="8"/>
  <c r="I475" i="8"/>
  <c r="N762" i="8"/>
  <c r="W313" i="8"/>
  <c r="X27" i="8"/>
  <c r="T224" i="8"/>
  <c r="S224" i="8" s="1"/>
  <c r="D474" i="8"/>
  <c r="U340" i="8"/>
  <c r="F315" i="8"/>
  <c r="F221" i="8"/>
  <c r="L26" i="8"/>
  <c r="P767" i="8"/>
  <c r="X769" i="8"/>
  <c r="F373" i="8"/>
  <c r="O29" i="8"/>
  <c r="H766" i="8"/>
  <c r="P669" i="8"/>
  <c r="L775" i="8"/>
  <c r="W350" i="8"/>
  <c r="V471" i="8"/>
  <c r="G571" i="8"/>
  <c r="F761" i="8"/>
  <c r="F768" i="8"/>
  <c r="V374" i="8"/>
  <c r="N26" i="8"/>
  <c r="D343" i="8"/>
  <c r="R775" i="8"/>
  <c r="M345" i="8"/>
  <c r="X375" i="8"/>
  <c r="T470" i="8"/>
  <c r="P342" i="8"/>
  <c r="G340" i="8"/>
  <c r="N220" i="8"/>
  <c r="N570" i="8"/>
  <c r="N320" i="8"/>
  <c r="Q478" i="8"/>
  <c r="V371" i="8"/>
  <c r="X673" i="8"/>
  <c r="Y100" i="8"/>
  <c r="V771" i="8"/>
  <c r="K319" i="8"/>
  <c r="C573" i="8"/>
  <c r="P760" i="8"/>
  <c r="O371" i="8"/>
  <c r="M769" i="8"/>
  <c r="L312" i="8"/>
  <c r="H376" i="8"/>
  <c r="U650" i="8"/>
  <c r="R378" i="8"/>
  <c r="P777" i="8"/>
  <c r="T761" i="8"/>
  <c r="Y762" i="8"/>
  <c r="K32" i="8"/>
  <c r="V341" i="8"/>
  <c r="F225" i="8"/>
  <c r="G575" i="8"/>
  <c r="I773" i="8"/>
  <c r="W312" i="8"/>
  <c r="G318" i="8"/>
  <c r="G341" i="8"/>
  <c r="F760" i="8"/>
  <c r="D673" i="8"/>
  <c r="N769" i="8"/>
  <c r="F340" i="8"/>
  <c r="R763" i="8"/>
  <c r="P345" i="8"/>
  <c r="Y672" i="8"/>
  <c r="U341" i="8"/>
  <c r="W306" i="8"/>
  <c r="Y473" i="8"/>
  <c r="P472" i="8"/>
  <c r="O573" i="8"/>
  <c r="N315" i="8"/>
  <c r="L370" i="8"/>
  <c r="E765" i="8"/>
  <c r="U226" i="8"/>
  <c r="L377" i="8"/>
  <c r="E570" i="8"/>
  <c r="L569" i="8"/>
  <c r="K770" i="8"/>
  <c r="G314" i="8"/>
  <c r="N28" i="8"/>
  <c r="D674" i="8"/>
  <c r="F570" i="8"/>
  <c r="G451" i="8"/>
  <c r="L313" i="8"/>
  <c r="X312" i="8"/>
  <c r="X761" i="8"/>
  <c r="J764" i="8"/>
  <c r="O3" i="8"/>
  <c r="M373" i="8"/>
  <c r="Q300" i="8"/>
  <c r="J762" i="8"/>
  <c r="P221" i="8"/>
  <c r="Y571" i="8"/>
  <c r="I477" i="8"/>
  <c r="U450" i="8"/>
  <c r="U475" i="8"/>
  <c r="D320" i="8"/>
  <c r="V472" i="8"/>
  <c r="K376" i="8"/>
  <c r="W767" i="8"/>
  <c r="D344" i="8"/>
  <c r="W340" i="8"/>
  <c r="X31" i="8"/>
  <c r="K3" i="8"/>
  <c r="M221" i="8"/>
  <c r="U219" i="8"/>
  <c r="K773" i="8"/>
  <c r="D316" i="8"/>
  <c r="C29" i="8"/>
  <c r="Y339" i="8"/>
  <c r="K669" i="8"/>
  <c r="L374" i="8"/>
  <c r="C339" i="8"/>
  <c r="D3" i="8"/>
  <c r="W25" i="8"/>
  <c r="D470" i="8"/>
  <c r="R450" i="8"/>
  <c r="C344" i="8"/>
  <c r="Y372" i="8"/>
  <c r="F318" i="8"/>
  <c r="L318" i="8"/>
  <c r="V478" i="8"/>
  <c r="U774" i="8"/>
  <c r="O771" i="8"/>
  <c r="I670" i="8"/>
  <c r="V762" i="8"/>
  <c r="L774" i="8"/>
  <c r="C673" i="8"/>
  <c r="J315" i="8"/>
  <c r="H317" i="8"/>
  <c r="M26" i="8"/>
  <c r="E27" i="8"/>
  <c r="G576" i="8"/>
  <c r="D473" i="8"/>
  <c r="W476" i="8"/>
  <c r="K342" i="8"/>
  <c r="T375" i="8"/>
  <c r="L762" i="8"/>
  <c r="X572" i="8"/>
  <c r="P450" i="8"/>
  <c r="W309" i="8"/>
  <c r="V27" i="8"/>
  <c r="P675" i="8"/>
  <c r="T28" i="8"/>
  <c r="I471" i="8"/>
  <c r="X472" i="8"/>
  <c r="X200" i="8"/>
  <c r="O769" i="8"/>
  <c r="W28" i="8"/>
  <c r="U477" i="8"/>
  <c r="H473" i="8"/>
  <c r="N673" i="8"/>
  <c r="M774" i="8"/>
  <c r="V376" i="8"/>
  <c r="L223" i="8"/>
  <c r="F673" i="8"/>
  <c r="P672" i="8"/>
  <c r="H372" i="8"/>
  <c r="O765" i="8"/>
  <c r="D27" i="8"/>
  <c r="Y225" i="8"/>
  <c r="U314" i="8"/>
  <c r="X372" i="8"/>
  <c r="W761" i="8"/>
  <c r="D341" i="8"/>
  <c r="F316" i="8"/>
  <c r="M671" i="8"/>
  <c r="V570" i="8"/>
  <c r="E30" i="8"/>
  <c r="F370" i="8"/>
  <c r="Y226" i="8"/>
  <c r="J26" i="8"/>
  <c r="O375" i="8"/>
  <c r="T573" i="8"/>
  <c r="S573" i="8" s="1"/>
  <c r="Q577" i="8"/>
  <c r="I378" i="8"/>
  <c r="X350" i="8"/>
  <c r="V573" i="8"/>
  <c r="E470" i="8"/>
  <c r="Q765" i="8"/>
  <c r="Y472" i="8"/>
  <c r="Q575" i="8"/>
  <c r="I671" i="8"/>
  <c r="X774" i="8"/>
  <c r="N763" i="8"/>
  <c r="U25" i="8"/>
  <c r="D221" i="8"/>
  <c r="J318" i="8"/>
  <c r="J29" i="8"/>
  <c r="P476" i="8"/>
  <c r="F472" i="8"/>
  <c r="V307" i="8"/>
  <c r="U765" i="8"/>
  <c r="W200" i="8"/>
  <c r="T222" i="8"/>
  <c r="C472" i="8"/>
  <c r="M764" i="8"/>
  <c r="L573" i="8"/>
  <c r="P300" i="8"/>
  <c r="F344" i="8"/>
  <c r="X319" i="8"/>
  <c r="S319" i="8" s="1"/>
  <c r="K766" i="8"/>
  <c r="P27" i="8"/>
  <c r="G772" i="8"/>
  <c r="X341" i="8"/>
  <c r="M473" i="8"/>
  <c r="I771" i="8"/>
  <c r="R766" i="8"/>
  <c r="D450" i="8"/>
  <c r="Y569" i="8"/>
  <c r="Y669" i="8"/>
  <c r="E768" i="8"/>
  <c r="R375" i="8"/>
  <c r="D350" i="8"/>
  <c r="L474" i="8"/>
  <c r="O26" i="8"/>
  <c r="G219" i="8"/>
  <c r="W762" i="8"/>
  <c r="U769" i="8"/>
  <c r="O314" i="8"/>
  <c r="Q313" i="8"/>
  <c r="P477" i="8"/>
  <c r="H344" i="8"/>
  <c r="O773" i="8"/>
  <c r="Q350" i="8"/>
  <c r="W30" i="8"/>
  <c r="W573" i="8"/>
  <c r="O342" i="8"/>
  <c r="Y761" i="8"/>
  <c r="V575" i="8"/>
  <c r="N223" i="8"/>
  <c r="N767" i="8"/>
  <c r="U675" i="8"/>
  <c r="Y300" i="8"/>
  <c r="N569" i="8"/>
  <c r="I763" i="8"/>
  <c r="Y345" i="8"/>
  <c r="G25" i="8"/>
  <c r="D769" i="8"/>
  <c r="C761" i="8"/>
  <c r="Y451" i="8"/>
  <c r="V314" i="8"/>
  <c r="O669" i="8"/>
  <c r="I375" i="8"/>
  <c r="F372" i="8"/>
  <c r="D28" i="8"/>
  <c r="K315" i="8"/>
  <c r="R373" i="8"/>
  <c r="R313" i="8"/>
  <c r="D763" i="8"/>
  <c r="W765" i="8"/>
  <c r="R316" i="8"/>
  <c r="T772" i="8"/>
  <c r="S772" i="8" s="1"/>
  <c r="F767" i="8"/>
  <c r="P370" i="8"/>
  <c r="T223" i="8"/>
  <c r="P771" i="8"/>
  <c r="Y312" i="8"/>
  <c r="E674" i="8"/>
  <c r="U377" i="8"/>
  <c r="G473" i="8"/>
  <c r="U3" i="8"/>
  <c r="N340" i="8"/>
  <c r="X220" i="8"/>
  <c r="R670" i="8"/>
  <c r="Y371" i="8"/>
  <c r="T340" i="8"/>
  <c r="C372" i="8"/>
  <c r="D371" i="8"/>
  <c r="K670" i="8"/>
  <c r="R318" i="8"/>
  <c r="V25" i="8"/>
  <c r="W572" i="8"/>
  <c r="M350" i="8"/>
  <c r="R314" i="8"/>
  <c r="T767" i="8"/>
  <c r="T310" i="8"/>
  <c r="S310" i="8" s="1"/>
  <c r="F451" i="8"/>
  <c r="R372" i="8"/>
  <c r="T476" i="8"/>
  <c r="M476" i="8"/>
  <c r="V770" i="8"/>
  <c r="E219" i="8"/>
  <c r="O575" i="8"/>
  <c r="P315" i="8"/>
  <c r="M370" i="8"/>
  <c r="R30" i="8"/>
  <c r="W675" i="8"/>
  <c r="N29" i="8"/>
  <c r="G343" i="8"/>
  <c r="L3" i="8"/>
  <c r="P374" i="8"/>
  <c r="T373" i="8"/>
  <c r="I476" i="8"/>
  <c r="T25" i="8"/>
  <c r="J765" i="8"/>
  <c r="G572" i="8"/>
  <c r="L576" i="8"/>
  <c r="N33" i="8"/>
  <c r="O677" i="8"/>
  <c r="P31" i="8"/>
  <c r="P673" i="8"/>
  <c r="Y674" i="8"/>
  <c r="J3" i="8"/>
  <c r="X318" i="8"/>
  <c r="L320" i="8"/>
  <c r="C669" i="8"/>
  <c r="M571" i="8"/>
  <c r="G315" i="8"/>
  <c r="Q311" i="8"/>
  <c r="Y343" i="8"/>
  <c r="P569" i="8"/>
  <c r="L372" i="8"/>
  <c r="J225" i="8"/>
  <c r="X675" i="8"/>
  <c r="J451" i="8"/>
  <c r="J222" i="8"/>
  <c r="V761" i="8"/>
  <c r="E26" i="8"/>
  <c r="T477" i="8"/>
  <c r="S477" i="8" s="1"/>
  <c r="X25" i="8"/>
  <c r="W770" i="8"/>
  <c r="K772" i="8"/>
  <c r="M573" i="8"/>
  <c r="H573" i="8"/>
  <c r="R320" i="8"/>
  <c r="H767" i="8"/>
  <c r="J473" i="8"/>
  <c r="P769" i="8"/>
  <c r="O761" i="8"/>
  <c r="T570" i="8"/>
  <c r="U316" i="8"/>
  <c r="N475" i="8"/>
  <c r="D340" i="8"/>
  <c r="Q669" i="8"/>
  <c r="M767" i="8"/>
  <c r="J771" i="8"/>
  <c r="R771" i="8"/>
  <c r="M320" i="8"/>
  <c r="V320" i="8"/>
  <c r="C674" i="8"/>
  <c r="T320" i="8"/>
  <c r="D375" i="8"/>
  <c r="F669" i="8"/>
  <c r="O200" i="8"/>
  <c r="D761" i="8"/>
  <c r="E225" i="8"/>
  <c r="V28" i="8"/>
  <c r="X300" i="8"/>
  <c r="N470" i="8"/>
  <c r="C340" i="8"/>
  <c r="G311" i="8"/>
  <c r="U320" i="8"/>
  <c r="H575" i="8"/>
  <c r="J344" i="8"/>
  <c r="U373" i="8"/>
  <c r="U674" i="8"/>
  <c r="W768" i="8"/>
  <c r="U200" i="8"/>
  <c r="R319" i="8"/>
  <c r="C760" i="8"/>
  <c r="Q372" i="8"/>
  <c r="R300" i="8"/>
  <c r="M575" i="8"/>
  <c r="O670" i="8"/>
  <c r="X320" i="8"/>
  <c r="R370" i="8"/>
  <c r="V767" i="8"/>
  <c r="H30" i="8"/>
  <c r="C765" i="8"/>
  <c r="M762" i="8"/>
  <c r="R470" i="8"/>
  <c r="Q374" i="8"/>
  <c r="Y223" i="8"/>
  <c r="M775" i="8"/>
  <c r="I28" i="8"/>
  <c r="R342" i="8"/>
  <c r="I770" i="8"/>
  <c r="L373" i="8"/>
  <c r="U318" i="8"/>
  <c r="E370" i="8"/>
  <c r="C343" i="8"/>
  <c r="K760" i="8"/>
  <c r="Q472" i="8"/>
  <c r="D32" i="8"/>
  <c r="R200" i="8"/>
  <c r="J320" i="8"/>
  <c r="H26" i="8"/>
  <c r="U371" i="8"/>
  <c r="P473" i="8"/>
  <c r="G774" i="8"/>
  <c r="O760" i="8"/>
  <c r="T765" i="8"/>
  <c r="S765" i="8" s="1"/>
  <c r="D572" i="8"/>
  <c r="G26" i="8"/>
  <c r="O570" i="8"/>
  <c r="Q761" i="8"/>
  <c r="H671" i="8"/>
  <c r="D762" i="8"/>
  <c r="V474" i="8"/>
  <c r="H770" i="8"/>
  <c r="X313" i="8"/>
  <c r="R27" i="8"/>
  <c r="F30" i="8"/>
  <c r="C670" i="8"/>
  <c r="K219" i="8"/>
  <c r="X475" i="8"/>
  <c r="E573" i="8"/>
  <c r="E319" i="8"/>
  <c r="N342" i="8"/>
  <c r="C219" i="8"/>
  <c r="L669" i="8"/>
  <c r="W569" i="8"/>
  <c r="H25" i="8"/>
  <c r="T312" i="8"/>
  <c r="K300" i="8"/>
  <c r="U761" i="8"/>
  <c r="O222" i="8"/>
  <c r="T774" i="8"/>
  <c r="H670" i="8"/>
  <c r="K371" i="8"/>
  <c r="W219" i="8"/>
  <c r="H342" i="8"/>
  <c r="M375" i="8"/>
  <c r="I341" i="8"/>
  <c r="M225" i="8"/>
  <c r="J570" i="8"/>
  <c r="C314" i="8"/>
  <c r="C25" i="8"/>
  <c r="R475" i="8"/>
  <c r="K451" i="8"/>
  <c r="Q571" i="8"/>
  <c r="P373" i="8"/>
  <c r="F220" i="8"/>
  <c r="Q573" i="8"/>
  <c r="G775" i="8"/>
  <c r="H476" i="8"/>
  <c r="G773" i="8"/>
  <c r="Y763" i="8"/>
  <c r="U221" i="8"/>
  <c r="W100" i="8"/>
  <c r="Y31" i="8"/>
  <c r="T339" i="8"/>
  <c r="P28" i="8"/>
  <c r="X670" i="8"/>
  <c r="E32" i="8"/>
  <c r="E372" i="8"/>
  <c r="U451" i="8"/>
  <c r="W3" i="8"/>
  <c r="Y470" i="8"/>
  <c r="I672" i="8"/>
  <c r="I761" i="8"/>
  <c r="V673" i="8"/>
  <c r="V26" i="8"/>
  <c r="O350" i="8"/>
  <c r="H28" i="8"/>
  <c r="F309" i="8"/>
  <c r="N772" i="8"/>
  <c r="P773" i="8"/>
  <c r="O343" i="8"/>
  <c r="K340" i="8"/>
  <c r="V340" i="8"/>
  <c r="M674" i="8"/>
  <c r="F571" i="8"/>
  <c r="H771" i="8"/>
  <c r="V29" i="8"/>
  <c r="C764" i="8"/>
  <c r="X100" i="8"/>
  <c r="J450" i="8"/>
  <c r="P344" i="8"/>
  <c r="F343" i="8"/>
  <c r="M344" i="8"/>
  <c r="Y570" i="8"/>
  <c r="E223" i="8"/>
  <c r="V312" i="8"/>
  <c r="T344" i="8"/>
  <c r="D570" i="8"/>
  <c r="F313" i="8"/>
  <c r="Q674" i="8"/>
  <c r="D372" i="8"/>
  <c r="E572" i="8"/>
  <c r="U220" i="8"/>
  <c r="W308" i="8"/>
  <c r="U775" i="8"/>
  <c r="H313" i="8"/>
  <c r="I372" i="8"/>
  <c r="E766" i="8"/>
  <c r="H774" i="8"/>
  <c r="F317" i="8"/>
  <c r="P25" i="8"/>
  <c r="Q673" i="8"/>
  <c r="N27" i="8"/>
  <c r="K768" i="8"/>
  <c r="V30" i="8"/>
  <c r="L671" i="8"/>
  <c r="R26" i="8"/>
  <c r="Y769" i="8"/>
  <c r="M474" i="8"/>
  <c r="F763" i="8"/>
  <c r="F222" i="8"/>
  <c r="E29" i="8"/>
  <c r="O319" i="8"/>
  <c r="M315" i="8"/>
  <c r="D771" i="8"/>
  <c r="D671" i="8"/>
  <c r="G375" i="8"/>
  <c r="Q318" i="8"/>
  <c r="V300" i="8"/>
  <c r="X770" i="8"/>
  <c r="J474" i="8"/>
  <c r="L764" i="8"/>
  <c r="W670" i="8"/>
  <c r="C470" i="8"/>
  <c r="V31" i="8"/>
  <c r="M317" i="8"/>
  <c r="Q771" i="8"/>
  <c r="D764" i="8"/>
  <c r="N450" i="8"/>
  <c r="W771" i="8"/>
  <c r="O772" i="8"/>
  <c r="N310" i="8"/>
  <c r="L309" i="8"/>
  <c r="U669" i="8"/>
  <c r="X343" i="8"/>
  <c r="E770" i="8"/>
  <c r="T100" i="8"/>
  <c r="V674" i="8"/>
  <c r="T311" i="8"/>
  <c r="E771" i="8"/>
  <c r="Q772" i="8"/>
  <c r="X344" i="8"/>
  <c r="Q470" i="8"/>
  <c r="P311" i="8"/>
  <c r="M30" i="8"/>
  <c r="L375" i="8"/>
  <c r="Y776" i="8"/>
  <c r="V350" i="8"/>
  <c r="U771" i="8"/>
  <c r="I474" i="8"/>
  <c r="W315" i="8"/>
  <c r="D471" i="8"/>
  <c r="K572" i="8"/>
  <c r="U570" i="8"/>
  <c r="M340" i="8"/>
  <c r="J372" i="8"/>
  <c r="D319" i="8"/>
  <c r="T760" i="8"/>
  <c r="K475" i="8"/>
  <c r="J760" i="8"/>
  <c r="D313" i="8"/>
  <c r="O340" i="8"/>
  <c r="D477" i="8"/>
  <c r="F473" i="8"/>
  <c r="P572" i="8"/>
  <c r="C473" i="8"/>
  <c r="U478" i="8"/>
  <c r="N774" i="8"/>
  <c r="G222" i="8"/>
  <c r="M761" i="8"/>
  <c r="Y200" i="8"/>
  <c r="M309" i="8"/>
  <c r="U313" i="8"/>
  <c r="C451" i="8"/>
  <c r="C574" i="8"/>
  <c r="E475" i="8"/>
  <c r="C220" i="8"/>
  <c r="X569" i="8"/>
  <c r="L767" i="8"/>
  <c r="T309" i="8"/>
  <c r="P474" i="8"/>
  <c r="M372" i="8"/>
  <c r="J669" i="8"/>
  <c r="O768" i="8"/>
  <c r="F765" i="8"/>
  <c r="X30" i="8"/>
  <c r="J476" i="8"/>
  <c r="G569" i="8"/>
  <c r="U673" i="8"/>
  <c r="G674" i="8"/>
  <c r="N768" i="8"/>
  <c r="N343" i="8"/>
  <c r="U772" i="8"/>
  <c r="X575" i="8"/>
  <c r="N311" i="8"/>
  <c r="Y673" i="8"/>
  <c r="X470" i="8"/>
  <c r="Y222" i="8"/>
  <c r="X219" i="8"/>
  <c r="C221" i="8"/>
  <c r="R350" i="8"/>
  <c r="Q29" i="8"/>
  <c r="Q31" i="8"/>
  <c r="X315" i="8"/>
  <c r="T32" i="8"/>
  <c r="S32" i="8" s="1"/>
  <c r="C769" i="8"/>
  <c r="X307" i="8"/>
  <c r="Y320" i="8"/>
  <c r="P570" i="8"/>
  <c r="J316" i="8"/>
  <c r="X765" i="8"/>
  <c r="X573" i="8"/>
  <c r="N573" i="8"/>
  <c r="N574" i="8"/>
  <c r="H320" i="8"/>
  <c r="W344" i="8"/>
  <c r="W29" i="8"/>
  <c r="H319" i="8"/>
  <c r="L311" i="8"/>
  <c r="M572" i="8"/>
  <c r="L343" i="8"/>
  <c r="X476" i="8"/>
  <c r="U27" i="8"/>
  <c r="C319" i="8"/>
  <c r="T773" i="8"/>
  <c r="I571" i="8"/>
  <c r="L771" i="8"/>
  <c r="E309" i="8"/>
  <c r="F572" i="8"/>
  <c r="N219" i="8"/>
  <c r="G316" i="8"/>
  <c r="X26" i="8"/>
  <c r="I318" i="8"/>
  <c r="W26" i="8"/>
  <c r="N372" i="8"/>
  <c r="V572" i="8"/>
  <c r="J766" i="8"/>
  <c r="W27" i="8"/>
  <c r="R451" i="8"/>
  <c r="T26" i="8"/>
  <c r="T762" i="8"/>
  <c r="I219" i="8"/>
  <c r="N221" i="8"/>
  <c r="V223" i="8"/>
  <c r="M472" i="8"/>
  <c r="D25" i="8"/>
  <c r="H315" i="8"/>
  <c r="Y308" i="8"/>
  <c r="V315" i="8"/>
  <c r="H763" i="8"/>
  <c r="T372" i="8"/>
  <c r="S372" i="8" s="1"/>
  <c r="H674" i="8"/>
  <c r="X773" i="8"/>
  <c r="E314" i="8"/>
  <c r="E377" i="8"/>
  <c r="N776" i="8"/>
  <c r="Q769" i="8"/>
  <c r="T764" i="8"/>
  <c r="Y768" i="8"/>
  <c r="V343" i="8"/>
  <c r="G673" i="8"/>
  <c r="C773" i="8"/>
  <c r="O571" i="8"/>
  <c r="Q773" i="8"/>
  <c r="U372" i="8"/>
  <c r="W374" i="8"/>
  <c r="W370" i="8"/>
  <c r="O31" i="8"/>
  <c r="T572" i="8"/>
  <c r="M200" i="8"/>
  <c r="H477" i="8"/>
  <c r="R761" i="8"/>
  <c r="O671" i="8"/>
  <c r="F674" i="8"/>
  <c r="I344" i="8"/>
  <c r="R674" i="8"/>
  <c r="C763" i="8"/>
  <c r="H314" i="8"/>
  <c r="X340" i="8"/>
  <c r="D318" i="8"/>
  <c r="Q343" i="8"/>
  <c r="J30" i="8"/>
  <c r="Y315" i="8"/>
  <c r="M763" i="8"/>
  <c r="Q3" i="8"/>
  <c r="V475" i="8"/>
  <c r="S475" i="8" s="1"/>
  <c r="W474" i="8"/>
  <c r="L772" i="8"/>
  <c r="F374" i="8"/>
  <c r="I25" i="8"/>
  <c r="E317" i="8"/>
  <c r="Y573" i="8"/>
  <c r="V375" i="8"/>
  <c r="Q474" i="8"/>
  <c r="C374" i="8"/>
  <c r="O674" i="8"/>
  <c r="F224" i="8"/>
  <c r="M314" i="8"/>
  <c r="I27" i="8"/>
  <c r="F471" i="8"/>
  <c r="M343" i="8"/>
  <c r="O372" i="8"/>
  <c r="Q223" i="8"/>
  <c r="I767" i="8"/>
  <c r="G29" i="8"/>
  <c r="K570" i="8"/>
  <c r="Q763" i="8"/>
  <c r="H318" i="8"/>
  <c r="E342" i="8"/>
  <c r="V650" i="8"/>
  <c r="S650" i="8" s="1"/>
  <c r="Q25" i="8"/>
  <c r="X760" i="8"/>
  <c r="V476" i="8"/>
  <c r="R377" i="8"/>
  <c r="J373" i="8"/>
  <c r="X451" i="8"/>
  <c r="M223" i="8"/>
  <c r="M765" i="8"/>
  <c r="G761" i="8"/>
  <c r="J671" i="8"/>
  <c r="Y26" i="8"/>
  <c r="U572" i="8"/>
  <c r="X674" i="8"/>
  <c r="G574" i="8"/>
  <c r="N761" i="8"/>
  <c r="O572" i="8"/>
  <c r="D373" i="8"/>
  <c r="X316" i="8"/>
  <c r="W310" i="8"/>
  <c r="V342" i="8"/>
  <c r="J300" i="8"/>
  <c r="Y671" i="8"/>
  <c r="E472" i="8"/>
  <c r="K676" i="8"/>
  <c r="P774" i="8"/>
  <c r="G200" i="8"/>
  <c r="O477" i="8"/>
  <c r="Y760" i="8"/>
  <c r="W671" i="8"/>
  <c r="U671" i="8"/>
  <c r="Q26" i="8"/>
  <c r="V450" i="8"/>
  <c r="I470" i="8"/>
  <c r="Y318" i="8"/>
  <c r="U100" i="8"/>
  <c r="X768" i="8"/>
  <c r="F770" i="8"/>
  <c r="Y220" i="8"/>
  <c r="W342" i="8"/>
  <c r="G350" i="8"/>
  <c r="R569" i="8"/>
  <c r="H311" i="8"/>
  <c r="M771" i="8"/>
  <c r="N766" i="8"/>
  <c r="O220" i="8"/>
  <c r="R340" i="8"/>
  <c r="V316" i="8"/>
  <c r="D220" i="8"/>
  <c r="V222" i="8"/>
  <c r="C767" i="8"/>
  <c r="D309" i="8"/>
  <c r="I29" i="8"/>
  <c r="U670" i="8"/>
  <c r="W766" i="8"/>
  <c r="V577" i="8"/>
  <c r="K479" i="8"/>
  <c r="F774" i="8"/>
  <c r="G31" i="8"/>
  <c r="K343" i="8"/>
  <c r="J226" i="8"/>
  <c r="E775" i="8"/>
  <c r="J674" i="8"/>
  <c r="X772" i="8"/>
  <c r="U760" i="8"/>
  <c r="C350" i="8"/>
  <c r="I200" i="8"/>
  <c r="P772" i="8"/>
  <c r="T316" i="8"/>
  <c r="I319" i="8"/>
  <c r="T674" i="8"/>
  <c r="S674" i="8" s="1"/>
  <c r="H316" i="8"/>
  <c r="N30" i="8"/>
  <c r="M768" i="8"/>
  <c r="W224" i="8"/>
  <c r="M570" i="8"/>
  <c r="G771" i="8"/>
  <c r="H221" i="8"/>
  <c r="I309" i="8"/>
  <c r="O344" i="8"/>
  <c r="N25" i="8"/>
  <c r="V473" i="8"/>
  <c r="Y25" i="8"/>
  <c r="O450" i="8"/>
  <c r="N309" i="8"/>
  <c r="V775" i="8"/>
  <c r="X309" i="8"/>
  <c r="G342" i="8"/>
  <c r="P573" i="8"/>
  <c r="P222" i="8"/>
  <c r="D573" i="8"/>
  <c r="Q370" i="8"/>
  <c r="O312" i="8"/>
  <c r="L572" i="8"/>
  <c r="O315" i="8"/>
  <c r="P471" i="8"/>
  <c r="G476" i="8"/>
  <c r="V306" i="8"/>
  <c r="I222" i="8"/>
  <c r="F345" i="8"/>
  <c r="I350" i="8"/>
  <c r="R764" i="8"/>
  <c r="P26" i="8"/>
  <c r="U308" i="8"/>
  <c r="V339" i="8"/>
  <c r="R223" i="8"/>
  <c r="H571" i="8"/>
  <c r="K763" i="8"/>
  <c r="H569" i="8"/>
  <c r="V574" i="8"/>
  <c r="G319" i="8"/>
  <c r="L470" i="8"/>
  <c r="Q341" i="8"/>
  <c r="G371" i="8"/>
  <c r="C3" i="8"/>
  <c r="D200" i="8"/>
  <c r="Q27" i="8"/>
  <c r="W316" i="8"/>
  <c r="C341" i="8"/>
  <c r="R317" i="8"/>
  <c r="J310" i="8"/>
  <c r="M318" i="8"/>
  <c r="V769" i="8"/>
  <c r="X342" i="8"/>
  <c r="Y350" i="8"/>
  <c r="T769" i="8"/>
  <c r="P310" i="8"/>
  <c r="K771" i="8"/>
  <c r="H310" i="8"/>
  <c r="Q477" i="8"/>
  <c r="J776" i="8"/>
  <c r="X478" i="8"/>
  <c r="J311" i="8"/>
  <c r="U471" i="8"/>
  <c r="Y310" i="8"/>
  <c r="L450" i="8"/>
  <c r="Q450" i="8"/>
  <c r="K316" i="8"/>
  <c r="Q310" i="8"/>
  <c r="L773" i="8"/>
  <c r="I3" i="8"/>
  <c r="Q376" i="8"/>
  <c r="P312" i="8"/>
  <c r="P313" i="8"/>
  <c r="Q675" i="8"/>
  <c r="U768" i="8"/>
  <c r="O471" i="8"/>
  <c r="R770" i="8"/>
  <c r="T771" i="8"/>
  <c r="N341" i="8"/>
  <c r="Q221" i="8"/>
  <c r="L300" i="8"/>
  <c r="K472" i="8"/>
  <c r="V318" i="8"/>
  <c r="V768" i="8"/>
  <c r="N373" i="8"/>
  <c r="F450" i="8"/>
  <c r="K344" i="8"/>
  <c r="D314" i="8"/>
  <c r="M339" i="8"/>
  <c r="K314" i="8"/>
  <c r="C373" i="8"/>
  <c r="M219" i="8"/>
  <c r="P571" i="8"/>
  <c r="K29" i="8"/>
  <c r="Y341" i="8"/>
  <c r="J769" i="8"/>
  <c r="P3" i="8"/>
  <c r="T471" i="8"/>
  <c r="S471" i="8" s="1"/>
  <c r="E569" i="8"/>
  <c r="W571" i="8"/>
  <c r="P341" i="8"/>
  <c r="E25" i="8"/>
  <c r="U339" i="8"/>
  <c r="V773" i="8"/>
  <c r="S773" i="8" s="1"/>
  <c r="N472" i="8"/>
  <c r="K474" i="8"/>
  <c r="F477" i="8"/>
  <c r="W320" i="8"/>
  <c r="E473" i="8"/>
  <c r="R3" i="8"/>
  <c r="F314" i="8"/>
  <c r="I769" i="8"/>
  <c r="C312" i="8"/>
  <c r="T341" i="8"/>
  <c r="I575" i="8"/>
  <c r="L219" i="8"/>
  <c r="F475" i="8"/>
  <c r="K767" i="8"/>
  <c r="C450" i="8"/>
  <c r="I572" i="8"/>
  <c r="F675" i="8"/>
  <c r="J375" i="8"/>
  <c r="R343" i="8"/>
  <c r="L769" i="8"/>
  <c r="J342" i="8"/>
  <c r="J309" i="8"/>
  <c r="C762" i="8"/>
  <c r="C766" i="8"/>
  <c r="W314" i="8"/>
  <c r="W473" i="8"/>
  <c r="F671" i="8"/>
  <c r="V370" i="8"/>
  <c r="S370" i="8" s="1"/>
  <c r="X345" i="8"/>
  <c r="K312" i="8"/>
  <c r="M3" i="8"/>
  <c r="G313" i="8"/>
  <c r="H343" i="8"/>
  <c r="T671" i="8"/>
  <c r="M451" i="8"/>
  <c r="X317" i="8"/>
  <c r="V373" i="8"/>
  <c r="I570" i="8"/>
  <c r="E318" i="8"/>
  <c r="O28" i="8"/>
  <c r="D772" i="8"/>
  <c r="L475" i="8"/>
  <c r="R31" i="8"/>
  <c r="M672" i="8"/>
  <c r="Q200" i="8"/>
  <c r="R219" i="8"/>
  <c r="F32" i="8"/>
  <c r="X28" i="8"/>
  <c r="P761" i="8"/>
  <c r="O317" i="8"/>
  <c r="U26" i="8"/>
  <c r="U311" i="8"/>
  <c r="J475" i="8"/>
  <c r="T315" i="8"/>
  <c r="F670" i="8"/>
  <c r="U312" i="8"/>
  <c r="P339" i="8"/>
  <c r="D571" i="8"/>
  <c r="D311" i="8"/>
  <c r="X669" i="8"/>
  <c r="R371" i="8"/>
  <c r="W650" i="8"/>
  <c r="R339" i="8"/>
  <c r="L25" i="8"/>
  <c r="G767" i="8"/>
  <c r="Q320" i="8"/>
  <c r="G769" i="8"/>
  <c r="H572" i="8"/>
  <c r="R222" i="8"/>
  <c r="I312" i="8"/>
  <c r="Y370" i="8"/>
  <c r="R760" i="8"/>
  <c r="D670" i="8"/>
  <c r="V220" i="8"/>
  <c r="Q342" i="8"/>
  <c r="N226" i="8"/>
  <c r="P765" i="8"/>
  <c r="O339" i="8"/>
  <c r="O316" i="8"/>
  <c r="O320" i="8"/>
  <c r="I311" i="8"/>
  <c r="P475" i="8"/>
  <c r="L200" i="8"/>
  <c r="L339" i="8"/>
  <c r="F311" i="8"/>
  <c r="I374" i="8"/>
  <c r="Q570" i="8"/>
  <c r="Q225" i="8"/>
  <c r="R769" i="8"/>
  <c r="C569" i="8"/>
  <c r="V225" i="8"/>
  <c r="H471" i="8"/>
  <c r="I317" i="8"/>
  <c r="D770" i="8"/>
  <c r="J314" i="8"/>
  <c r="D374" i="8"/>
  <c r="J472" i="8"/>
  <c r="O25" i="8"/>
  <c r="N473" i="8"/>
  <c r="F25" i="8"/>
  <c r="R309" i="8"/>
  <c r="F28" i="8"/>
  <c r="G671" i="8"/>
  <c r="E339" i="8"/>
  <c r="I32" i="8"/>
  <c r="J571" i="8"/>
  <c r="M300" i="8"/>
  <c r="O318" i="8"/>
  <c r="C315" i="8"/>
  <c r="N317" i="8"/>
  <c r="W450" i="8"/>
  <c r="C571" i="8"/>
  <c r="D312" i="8"/>
  <c r="L451" i="8"/>
  <c r="P766" i="8"/>
  <c r="W451" i="8"/>
  <c r="F773" i="8"/>
  <c r="D775" i="8"/>
  <c r="Q476" i="8"/>
  <c r="L316" i="8"/>
  <c r="K26" i="8"/>
  <c r="D26" i="8"/>
  <c r="I573" i="8"/>
  <c r="M310" i="8"/>
  <c r="E471" i="8"/>
  <c r="T306" i="8"/>
  <c r="S306" i="8" s="1"/>
  <c r="K313" i="8"/>
  <c r="U473" i="8"/>
  <c r="N200" i="8"/>
  <c r="H765" i="8"/>
  <c r="E375" i="8"/>
  <c r="W222" i="8"/>
  <c r="I674" i="8"/>
  <c r="Q770" i="8"/>
  <c r="V672" i="8"/>
  <c r="V766" i="8"/>
  <c r="S766" i="8" s="1"/>
  <c r="X371" i="8"/>
  <c r="M316" i="8"/>
  <c r="U472" i="8"/>
  <c r="X450" i="8"/>
  <c r="E31" i="8"/>
  <c r="L571" i="8"/>
  <c r="K569" i="8"/>
  <c r="N764" i="8"/>
  <c r="E312" i="8"/>
  <c r="Q28" i="8"/>
  <c r="E669" i="8"/>
  <c r="L765" i="8"/>
  <c r="V774" i="8"/>
  <c r="S774" i="8" s="1"/>
  <c r="H300" i="8"/>
  <c r="O476" i="8"/>
  <c r="W477" i="8"/>
  <c r="U31" i="8"/>
  <c r="M342" i="8"/>
  <c r="R768" i="8"/>
  <c r="C477" i="8"/>
  <c r="T673" i="8"/>
  <c r="S673" i="8" s="1"/>
  <c r="W760" i="8"/>
  <c r="R473" i="8"/>
  <c r="Q32" i="8"/>
  <c r="I373" i="8"/>
  <c r="R224" i="8"/>
  <c r="L222" i="8"/>
  <c r="J569" i="8"/>
  <c r="K25" i="8"/>
  <c r="G317" i="8"/>
  <c r="J773" i="8"/>
  <c r="D574" i="8"/>
  <c r="Y307" i="8"/>
  <c r="H370" i="8"/>
  <c r="V671" i="8"/>
  <c r="I320" i="8"/>
  <c r="G762" i="8"/>
  <c r="M773" i="8"/>
  <c r="H768" i="8"/>
  <c r="E673" i="8"/>
  <c r="K310" i="8"/>
  <c r="X474" i="8"/>
  <c r="Q339" i="8"/>
  <c r="N770" i="8"/>
  <c r="N765" i="8"/>
  <c r="D475" i="8"/>
  <c r="J371" i="8"/>
  <c r="R570" i="8"/>
  <c r="M670" i="8"/>
  <c r="N760" i="8"/>
  <c r="G300" i="8"/>
  <c r="O764" i="8"/>
  <c r="W317" i="8"/>
  <c r="M374" i="8"/>
  <c r="X314" i="8"/>
  <c r="R28" i="8"/>
  <c r="T569" i="8"/>
  <c r="P319" i="8"/>
  <c r="Y29" i="8"/>
  <c r="Y650" i="8"/>
  <c r="E670" i="8"/>
  <c r="V221" i="8"/>
  <c r="S221" i="8" s="1"/>
  <c r="U574" i="8"/>
  <c r="W575" i="8"/>
  <c r="C316" i="8"/>
  <c r="M222" i="8"/>
  <c r="G474" i="8"/>
  <c r="T200" i="8"/>
  <c r="Q451" i="8"/>
  <c r="L768" i="8"/>
  <c r="N318" i="8"/>
  <c r="J313" i="8"/>
  <c r="J770" i="8"/>
  <c r="T450" i="8"/>
  <c r="S450" i="8" s="1"/>
  <c r="Y675" i="8"/>
  <c r="L319" i="8"/>
  <c r="H669" i="8"/>
  <c r="J673" i="8"/>
  <c r="Y770" i="8"/>
  <c r="O470" i="8"/>
  <c r="Q224" i="8"/>
  <c r="D676" i="8"/>
  <c r="U300" i="8"/>
  <c r="M29" i="8"/>
  <c r="Q375" i="8"/>
  <c r="T314" i="8"/>
  <c r="S314" i="8" s="1"/>
  <c r="U307" i="8"/>
  <c r="W371" i="8"/>
  <c r="N773" i="8"/>
  <c r="G570" i="8"/>
  <c r="W373" i="8"/>
  <c r="H220" i="8"/>
  <c r="R672" i="8"/>
  <c r="C671" i="8"/>
  <c r="M772" i="8"/>
  <c r="O221" i="8"/>
  <c r="N312" i="8"/>
  <c r="N471" i="8"/>
  <c r="Q316" i="8"/>
  <c r="W372" i="8"/>
  <c r="S339" i="8"/>
  <c r="S762" i="8"/>
  <c r="S763" i="8"/>
  <c r="S474" i="8"/>
  <c r="S226" i="8"/>
  <c r="S678" i="8"/>
  <c r="F579" i="8"/>
  <c r="J579" i="8"/>
  <c r="N579" i="8"/>
  <c r="R579" i="8"/>
  <c r="W579" i="8"/>
  <c r="C579" i="8"/>
  <c r="G579" i="8"/>
  <c r="K579" i="8"/>
  <c r="O579" i="8"/>
  <c r="T579" i="8"/>
  <c r="X579" i="8"/>
  <c r="D579" i="8"/>
  <c r="H579" i="8"/>
  <c r="L579" i="8"/>
  <c r="P579" i="8"/>
  <c r="U579" i="8"/>
  <c r="Y579" i="8"/>
  <c r="E579" i="8"/>
  <c r="V579" i="8"/>
  <c r="I579" i="8"/>
  <c r="Q579" i="8"/>
  <c r="M579" i="8"/>
  <c r="E481" i="8"/>
  <c r="I481" i="8"/>
  <c r="M481" i="8"/>
  <c r="Q481" i="8"/>
  <c r="W481" i="8"/>
  <c r="C481" i="8"/>
  <c r="G481" i="8"/>
  <c r="K481" i="8"/>
  <c r="O481" i="8"/>
  <c r="V481" i="8"/>
  <c r="N481" i="8"/>
  <c r="P481" i="8"/>
  <c r="J481" i="8"/>
  <c r="X481" i="8"/>
  <c r="D481" i="8"/>
  <c r="L481" i="8"/>
  <c r="R481" i="8"/>
  <c r="Y481" i="8"/>
  <c r="H481" i="8"/>
  <c r="U481" i="8"/>
  <c r="F481" i="8"/>
  <c r="T481" i="8"/>
  <c r="E679" i="8"/>
  <c r="I679" i="8"/>
  <c r="M679" i="8"/>
  <c r="Q679" i="8"/>
  <c r="V679" i="8"/>
  <c r="F679" i="8"/>
  <c r="J679" i="8"/>
  <c r="N679" i="8"/>
  <c r="R679" i="8"/>
  <c r="W679" i="8"/>
  <c r="C679" i="8"/>
  <c r="G679" i="8"/>
  <c r="K679" i="8"/>
  <c r="O679" i="8"/>
  <c r="T679" i="8"/>
  <c r="D679" i="8"/>
  <c r="H679" i="8"/>
  <c r="L679" i="8"/>
  <c r="P679" i="8"/>
  <c r="U679" i="8"/>
  <c r="X679" i="8"/>
  <c r="Y679" i="8"/>
  <c r="V35" i="8"/>
  <c r="F35" i="8"/>
  <c r="J35" i="8"/>
  <c r="N35" i="8"/>
  <c r="R35" i="8"/>
  <c r="W35" i="8"/>
  <c r="C35" i="8"/>
  <c r="G35" i="8"/>
  <c r="K35" i="8"/>
  <c r="O35" i="8"/>
  <c r="T35" i="8"/>
  <c r="X35" i="8"/>
  <c r="U35" i="8"/>
  <c r="Y35" i="8"/>
  <c r="E35" i="8"/>
  <c r="I35" i="8"/>
  <c r="M35" i="8"/>
  <c r="Q35" i="8"/>
  <c r="H35" i="8"/>
  <c r="L35" i="8"/>
  <c r="P35" i="8"/>
  <c r="D35" i="8"/>
  <c r="D380" i="8"/>
  <c r="H380" i="8"/>
  <c r="L380" i="8"/>
  <c r="P380" i="8"/>
  <c r="E380" i="8"/>
  <c r="I380" i="8"/>
  <c r="M380" i="8"/>
  <c r="Q380" i="8"/>
  <c r="F380" i="8"/>
  <c r="J380" i="8"/>
  <c r="N380" i="8"/>
  <c r="R380" i="8"/>
  <c r="K380" i="8"/>
  <c r="X380" i="8"/>
  <c r="Y380" i="8"/>
  <c r="G380" i="8"/>
  <c r="T380" i="8"/>
  <c r="U380" i="8"/>
  <c r="C380" i="8"/>
  <c r="W380" i="8"/>
  <c r="V380" i="8"/>
  <c r="O380" i="8"/>
  <c r="W229" i="8"/>
  <c r="C229" i="8"/>
  <c r="G229" i="8"/>
  <c r="K229" i="8"/>
  <c r="O229" i="8"/>
  <c r="T229" i="8"/>
  <c r="X229" i="8"/>
  <c r="D229" i="8"/>
  <c r="H229" i="8"/>
  <c r="L229" i="8"/>
  <c r="P229" i="8"/>
  <c r="U229" i="8"/>
  <c r="Y229" i="8"/>
  <c r="E229" i="8"/>
  <c r="I229" i="8"/>
  <c r="M229" i="8"/>
  <c r="Q229" i="8"/>
  <c r="V229" i="8"/>
  <c r="F229" i="8"/>
  <c r="J229" i="8"/>
  <c r="N229" i="8"/>
  <c r="R229" i="8"/>
  <c r="S34" i="8"/>
  <c r="U348" i="8"/>
  <c r="V348" i="8"/>
  <c r="L348" i="8"/>
  <c r="W348" i="8"/>
  <c r="O348" i="8"/>
  <c r="D348" i="8"/>
  <c r="T348" i="8"/>
  <c r="J348" i="8"/>
  <c r="B36" i="8"/>
  <c r="B580" i="8"/>
  <c r="B680" i="8"/>
  <c r="G779" i="8"/>
  <c r="V779" i="8"/>
  <c r="D779" i="8"/>
  <c r="K779" i="8"/>
  <c r="C779" i="8"/>
  <c r="Q779" i="8"/>
  <c r="Y779" i="8"/>
  <c r="W779" i="8"/>
  <c r="M779" i="8"/>
  <c r="X779" i="8"/>
  <c r="R779" i="8"/>
  <c r="I779" i="8"/>
  <c r="U779" i="8"/>
  <c r="N779" i="8"/>
  <c r="E779" i="8"/>
  <c r="T779" i="8"/>
  <c r="J779" i="8"/>
  <c r="P779" i="8"/>
  <c r="H779" i="8"/>
  <c r="O779" i="8"/>
  <c r="F779" i="8"/>
  <c r="L779" i="8"/>
  <c r="B781" i="8"/>
  <c r="S778" i="8"/>
  <c r="E349" i="8"/>
  <c r="O349" i="8"/>
  <c r="G349" i="8"/>
  <c r="H349" i="8"/>
  <c r="R349" i="8"/>
  <c r="Y349" i="8"/>
  <c r="M349" i="8"/>
  <c r="I349" i="8"/>
  <c r="Q349" i="8"/>
  <c r="L349" i="8"/>
  <c r="U349" i="8"/>
  <c r="V349" i="8"/>
  <c r="D349" i="8"/>
  <c r="F349" i="8"/>
  <c r="X349" i="8"/>
  <c r="N349" i="8"/>
  <c r="T349" i="8"/>
  <c r="P349" i="8"/>
  <c r="C349" i="8"/>
  <c r="K349" i="8"/>
  <c r="W349" i="8"/>
  <c r="J349" i="8"/>
  <c r="B230" i="8"/>
  <c r="B482" i="8"/>
  <c r="B381" i="8"/>
  <c r="T36" i="8" a="1"/>
  <c r="F381" i="8" a="1"/>
  <c r="J230" i="8" a="1"/>
  <c r="Q482" i="8" a="1"/>
  <c r="O580" i="8" a="1"/>
  <c r="M36" i="8" a="1"/>
  <c r="L680" i="8" a="1"/>
  <c r="F780" i="8" a="1"/>
  <c r="J680" i="8" a="1"/>
  <c r="Q230" i="8" a="1"/>
  <c r="T580" i="8" a="1"/>
  <c r="M230" i="8" a="1"/>
  <c r="H680" i="8" a="1"/>
  <c r="T381" i="8" a="1"/>
  <c r="R780" i="8" a="1"/>
  <c r="F36" i="8" a="1"/>
  <c r="M482" i="8" a="1"/>
  <c r="J580" i="8" a="1"/>
  <c r="G580" i="8" a="1"/>
  <c r="X482" i="8" a="1"/>
  <c r="N482" i="8" a="1"/>
  <c r="U780" i="8" a="1"/>
  <c r="O482" i="8" a="1"/>
  <c r="U580" i="8" a="1"/>
  <c r="G680" i="8" a="1"/>
  <c r="Y36" i="8" a="1"/>
  <c r="C381" i="8" a="1"/>
  <c r="L36" i="8" a="1"/>
  <c r="E36" i="8" a="1"/>
  <c r="U36" i="8" a="1"/>
  <c r="V680" i="8" a="1"/>
  <c r="X780" i="8" a="1"/>
  <c r="L780" i="8" a="1"/>
  <c r="N230" i="8" a="1"/>
  <c r="K482" i="8" a="1"/>
  <c r="U230" i="8" a="1"/>
  <c r="R680" i="8" a="1"/>
  <c r="D230" i="8" a="1"/>
  <c r="W36" i="8" a="1"/>
  <c r="K381" i="8" a="1"/>
  <c r="D482" i="8" a="1"/>
  <c r="N381" i="8" a="1"/>
  <c r="E230" i="8" a="1"/>
  <c r="L230" i="8" a="1"/>
  <c r="J36" i="8" a="1"/>
  <c r="Y580" i="8" a="1"/>
  <c r="E381" i="8" a="1"/>
  <c r="R482" i="8" a="1"/>
  <c r="H230" i="8" a="1"/>
  <c r="T230" i="8" a="1"/>
  <c r="Y780" i="8" a="1"/>
  <c r="I36" i="8" a="1"/>
  <c r="E780" i="8" a="1"/>
  <c r="E580" i="8" a="1"/>
  <c r="Y381" i="8" a="1"/>
  <c r="W381" i="8" a="1"/>
  <c r="H482" i="8" a="1"/>
  <c r="X381" i="8" a="1"/>
  <c r="G230" i="8" a="1"/>
  <c r="U482" i="8" a="1"/>
  <c r="Q36" i="8" a="1"/>
  <c r="N36" i="8" a="1"/>
  <c r="I381" i="8" a="1"/>
  <c r="I230" i="8" a="1"/>
  <c r="J381" i="8" a="1"/>
  <c r="Q680" i="8" a="1"/>
  <c r="N580" i="8" a="1"/>
  <c r="Q580" i="8" a="1"/>
  <c r="Y482" i="8" a="1"/>
  <c r="G36" i="8" a="1"/>
  <c r="D580" i="8" a="1"/>
  <c r="P36" i="8" a="1"/>
  <c r="O680" i="8" a="1"/>
  <c r="P780" i="8" a="1"/>
  <c r="I780" i="8" a="1"/>
  <c r="T482" i="8" a="1"/>
  <c r="G780" i="8" a="1"/>
  <c r="L580" i="8" a="1"/>
  <c r="O780" i="8" a="1"/>
  <c r="T780" i="8" a="1"/>
  <c r="D780" i="8" a="1"/>
  <c r="V230" i="8" a="1"/>
  <c r="N680" i="8" a="1"/>
  <c r="E482" i="8" a="1"/>
  <c r="M680" i="8" a="1"/>
  <c r="W680" i="8" a="1"/>
  <c r="T680" i="8" a="1"/>
  <c r="X680" i="8" a="1"/>
  <c r="F230" i="8" a="1"/>
  <c r="J482" i="8" a="1"/>
  <c r="I580" i="8" a="1"/>
  <c r="C36" i="8" a="1"/>
  <c r="Q780" i="8" a="1"/>
  <c r="R381" i="8" a="1"/>
  <c r="G381" i="8" a="1"/>
  <c r="F482" i="8" a="1"/>
  <c r="X36" i="8" a="1"/>
  <c r="D680" i="8" a="1"/>
  <c r="C482" i="8" a="1"/>
  <c r="M780" i="8" a="1"/>
  <c r="D36" i="8" a="1"/>
  <c r="O36" i="8" a="1"/>
  <c r="F580" i="8" a="1"/>
  <c r="C580" i="8" a="1"/>
  <c r="C780" i="8" a="1"/>
  <c r="V381" i="8" a="1"/>
  <c r="H36" i="8" a="1"/>
  <c r="O230" i="8" a="1"/>
  <c r="P482" i="8" a="1"/>
  <c r="H580" i="8" a="1"/>
  <c r="U381" i="8" a="1"/>
  <c r="V780" i="8" a="1"/>
  <c r="P580" i="8" a="1"/>
  <c r="W580" i="8" a="1"/>
  <c r="E680" i="8" a="1"/>
  <c r="V36" i="8" a="1"/>
  <c r="R36" i="8" a="1"/>
  <c r="V580" i="8" a="1"/>
  <c r="I680" i="8" a="1"/>
  <c r="K680" i="8" a="1"/>
  <c r="G482" i="8" a="1"/>
  <c r="R230" i="8" a="1"/>
  <c r="R580" i="8" a="1"/>
  <c r="O381" i="8" a="1"/>
  <c r="H381" i="8" a="1"/>
  <c r="W482" i="8" a="1"/>
  <c r="C680" i="8" a="1"/>
  <c r="F680" i="8" a="1"/>
  <c r="M381" i="8" a="1"/>
  <c r="L482" i="8" a="1"/>
  <c r="D381" i="8" a="1"/>
  <c r="X580" i="8" a="1"/>
  <c r="J780" i="8" a="1"/>
  <c r="U680" i="8" a="1"/>
  <c r="W780" i="8" a="1"/>
  <c r="X230" i="8" a="1"/>
  <c r="P381" i="8" a="1"/>
  <c r="Y680" i="8" a="1"/>
  <c r="C230" i="8" a="1"/>
  <c r="K580" i="8" a="1"/>
  <c r="L381" i="8" a="1"/>
  <c r="P230" i="8" a="1"/>
  <c r="Q381" i="8" a="1"/>
  <c r="Y230" i="8" a="1"/>
  <c r="M580" i="8" a="1"/>
  <c r="P680" i="8" a="1"/>
  <c r="K780" i="8" a="1"/>
  <c r="V482" i="8" a="1"/>
  <c r="K230" i="8" a="1"/>
  <c r="I482" i="8" a="1"/>
  <c r="N780" i="8" a="1"/>
  <c r="W230" i="8" a="1"/>
  <c r="K36" i="8" a="1"/>
  <c r="H780" i="8" a="1"/>
  <c r="S760" i="8" l="1"/>
  <c r="S379" i="8"/>
  <c r="S225" i="8"/>
  <c r="S574" i="8"/>
  <c r="S320" i="8"/>
  <c r="S472" i="8"/>
  <c r="S676" i="8"/>
  <c r="S374" i="8"/>
  <c r="S671" i="8"/>
  <c r="S473" i="8"/>
  <c r="S768" i="8"/>
  <c r="S100" i="8"/>
  <c r="S761" i="8"/>
  <c r="S313" i="8"/>
  <c r="S26" i="8"/>
  <c r="S578" i="8"/>
  <c r="S222" i="8"/>
  <c r="S476" i="8"/>
  <c r="S311" i="8"/>
  <c r="S28" i="8"/>
  <c r="S3" i="8"/>
  <c r="S315" i="8"/>
  <c r="S309" i="8"/>
  <c r="S318" i="8"/>
  <c r="S373" i="8"/>
  <c r="S478" i="8"/>
  <c r="S777" i="8"/>
  <c r="S776" i="8"/>
  <c r="S377" i="8"/>
  <c r="S223" i="8"/>
  <c r="S470" i="8"/>
  <c r="S29" i="8"/>
  <c r="S376" i="8"/>
  <c r="S371" i="8"/>
  <c r="S576" i="8"/>
  <c r="S342" i="8"/>
  <c r="S764" i="8"/>
  <c r="S769" i="8"/>
  <c r="S341" i="8"/>
  <c r="S771" i="8"/>
  <c r="S312" i="8"/>
  <c r="S25" i="8"/>
  <c r="S770" i="8"/>
  <c r="S308" i="8"/>
  <c r="S227" i="8"/>
  <c r="S775" i="8"/>
  <c r="S346" i="8"/>
  <c r="S317" i="8"/>
  <c r="S340" i="8"/>
  <c r="S31" i="8"/>
  <c r="S345" i="8"/>
  <c r="S30" i="8"/>
  <c r="S316" i="8"/>
  <c r="S575" i="8"/>
  <c r="S479" i="8"/>
  <c r="S767" i="8"/>
  <c r="S570" i="8"/>
  <c r="S343" i="8"/>
  <c r="S307" i="8"/>
  <c r="S569" i="8"/>
  <c r="S375" i="8"/>
  <c r="S572" i="8"/>
  <c r="S571" i="8"/>
  <c r="S219" i="8"/>
  <c r="S200" i="8"/>
  <c r="S344" i="8"/>
  <c r="S577" i="8"/>
  <c r="S378" i="8"/>
  <c r="S481" i="8"/>
  <c r="S679" i="8"/>
  <c r="W680" i="8"/>
  <c r="T680" i="8"/>
  <c r="X680" i="8"/>
  <c r="D680" i="8"/>
  <c r="H680" i="8"/>
  <c r="L680" i="8"/>
  <c r="P680" i="8"/>
  <c r="U680" i="8"/>
  <c r="Y680" i="8"/>
  <c r="V680" i="8"/>
  <c r="E680" i="8"/>
  <c r="O680" i="8"/>
  <c r="F680" i="8"/>
  <c r="Q680" i="8"/>
  <c r="I680" i="8"/>
  <c r="J680" i="8"/>
  <c r="K680" i="8"/>
  <c r="M680" i="8"/>
  <c r="C680" i="8"/>
  <c r="N680" i="8"/>
  <c r="R680" i="8"/>
  <c r="G680" i="8"/>
  <c r="T580" i="8"/>
  <c r="X580" i="8"/>
  <c r="D580" i="8"/>
  <c r="H580" i="8"/>
  <c r="L580" i="8"/>
  <c r="P580" i="8"/>
  <c r="U580" i="8"/>
  <c r="Y580" i="8"/>
  <c r="E580" i="8"/>
  <c r="I580" i="8"/>
  <c r="M580" i="8"/>
  <c r="Q580" i="8"/>
  <c r="V580" i="8"/>
  <c r="F580" i="8"/>
  <c r="J580" i="8"/>
  <c r="N580" i="8"/>
  <c r="R580" i="8"/>
  <c r="K580" i="8"/>
  <c r="O580" i="8"/>
  <c r="C580" i="8"/>
  <c r="G580" i="8"/>
  <c r="W580" i="8"/>
  <c r="W482" i="8"/>
  <c r="D482" i="8"/>
  <c r="H482" i="8"/>
  <c r="L482" i="8"/>
  <c r="P482" i="8"/>
  <c r="U482" i="8"/>
  <c r="Y482" i="8"/>
  <c r="R482" i="8"/>
  <c r="F482" i="8"/>
  <c r="M482" i="8"/>
  <c r="X482" i="8"/>
  <c r="G482" i="8"/>
  <c r="T482" i="8"/>
  <c r="N482" i="8"/>
  <c r="K482" i="8"/>
  <c r="I482" i="8"/>
  <c r="O482" i="8"/>
  <c r="V482" i="8"/>
  <c r="C482" i="8"/>
  <c r="J482" i="8"/>
  <c r="Q482" i="8"/>
  <c r="E482" i="8"/>
  <c r="S579" i="8"/>
  <c r="C36" i="8"/>
  <c r="G36" i="8"/>
  <c r="K36" i="8"/>
  <c r="O36" i="8"/>
  <c r="T36" i="8"/>
  <c r="X36" i="8"/>
  <c r="D36" i="8"/>
  <c r="H36" i="8"/>
  <c r="L36" i="8"/>
  <c r="P36" i="8"/>
  <c r="U36" i="8"/>
  <c r="Y36" i="8"/>
  <c r="E36" i="8"/>
  <c r="I36" i="8"/>
  <c r="M36" i="8"/>
  <c r="Q36" i="8"/>
  <c r="F36" i="8"/>
  <c r="J36" i="8"/>
  <c r="N36" i="8"/>
  <c r="R36" i="8"/>
  <c r="W36" i="8"/>
  <c r="V36" i="8"/>
  <c r="D230" i="8"/>
  <c r="H230" i="8"/>
  <c r="L230" i="8"/>
  <c r="P230" i="8"/>
  <c r="U230" i="8"/>
  <c r="Y230" i="8"/>
  <c r="E230" i="8"/>
  <c r="I230" i="8"/>
  <c r="M230" i="8"/>
  <c r="Q230" i="8"/>
  <c r="V230" i="8"/>
  <c r="F230" i="8"/>
  <c r="J230" i="8"/>
  <c r="N230" i="8"/>
  <c r="R230" i="8"/>
  <c r="W230" i="8"/>
  <c r="C230" i="8"/>
  <c r="G230" i="8"/>
  <c r="K230" i="8"/>
  <c r="O230" i="8"/>
  <c r="T230" i="8"/>
  <c r="X230" i="8"/>
  <c r="V381" i="8"/>
  <c r="W381" i="8"/>
  <c r="T381" i="8"/>
  <c r="X381" i="8"/>
  <c r="H381" i="8"/>
  <c r="N381" i="8"/>
  <c r="U381" i="8"/>
  <c r="O381" i="8"/>
  <c r="C381" i="8"/>
  <c r="I381" i="8"/>
  <c r="P381" i="8"/>
  <c r="D381" i="8"/>
  <c r="J381" i="8"/>
  <c r="K381" i="8"/>
  <c r="Q381" i="8"/>
  <c r="F381" i="8"/>
  <c r="G381" i="8"/>
  <c r="M381" i="8"/>
  <c r="E381" i="8"/>
  <c r="L381" i="8"/>
  <c r="R381" i="8"/>
  <c r="Y381" i="8"/>
  <c r="S35" i="8"/>
  <c r="S229" i="8"/>
  <c r="S380" i="8"/>
  <c r="S348" i="8"/>
  <c r="B37" i="8"/>
  <c r="B681" i="8"/>
  <c r="B581" i="8"/>
  <c r="S779" i="8"/>
  <c r="H780" i="8"/>
  <c r="W780" i="8"/>
  <c r="E780" i="8"/>
  <c r="D780" i="8"/>
  <c r="R780" i="8"/>
  <c r="L780" i="8"/>
  <c r="Y780" i="8"/>
  <c r="X780" i="8"/>
  <c r="N780" i="8"/>
  <c r="T780" i="8"/>
  <c r="J780" i="8"/>
  <c r="I780" i="8"/>
  <c r="V780" i="8"/>
  <c r="O780" i="8"/>
  <c r="F780" i="8"/>
  <c r="U780" i="8"/>
  <c r="K780" i="8"/>
  <c r="Q780" i="8"/>
  <c r="C780" i="8"/>
  <c r="P780" i="8"/>
  <c r="G780" i="8"/>
  <c r="M780" i="8"/>
  <c r="B782" i="8"/>
  <c r="S349" i="8"/>
  <c r="B231" i="8"/>
  <c r="B483" i="8"/>
  <c r="B382" i="8"/>
  <c r="T581" i="8" a="1"/>
  <c r="D382" i="8" a="1"/>
  <c r="U231" i="8" a="1"/>
  <c r="W581" i="8" a="1"/>
  <c r="J37" i="8" a="1"/>
  <c r="O581" i="8" a="1"/>
  <c r="X231" i="8" a="1"/>
  <c r="H681" i="8" a="1"/>
  <c r="X781" i="8" a="1"/>
  <c r="C681" i="8" a="1"/>
  <c r="H781" i="8" a="1"/>
  <c r="Y37" i="8" a="1"/>
  <c r="P483" i="8" a="1"/>
  <c r="X581" i="8" a="1"/>
  <c r="G382" i="8" a="1"/>
  <c r="V382" i="8" a="1"/>
  <c r="X681" i="8" a="1"/>
  <c r="M681" i="8" a="1"/>
  <c r="J581" i="8" a="1"/>
  <c r="F382" i="8" a="1"/>
  <c r="F231" i="8" a="1"/>
  <c r="U382" i="8" a="1"/>
  <c r="Y382" i="8" a="1"/>
  <c r="F37" i="8" a="1"/>
  <c r="I37" i="8" a="1"/>
  <c r="K581" i="8" a="1"/>
  <c r="P231" i="8" a="1"/>
  <c r="U681" i="8" a="1"/>
  <c r="R681" i="8" a="1"/>
  <c r="V231" i="8" a="1"/>
  <c r="R231" i="8" a="1"/>
  <c r="V483" i="8" a="1"/>
  <c r="O231" i="8" a="1"/>
  <c r="F581" i="8" a="1"/>
  <c r="L483" i="8" a="1"/>
  <c r="D37" i="8" a="1"/>
  <c r="C231" i="8" a="1"/>
  <c r="X382" i="8" a="1"/>
  <c r="G37" i="8" a="1"/>
  <c r="M37" i="8" a="1"/>
  <c r="G231" i="8" a="1"/>
  <c r="R37" i="8" a="1"/>
  <c r="I483" i="8" a="1"/>
  <c r="D581" i="8" a="1"/>
  <c r="G681" i="8" a="1"/>
  <c r="O382" i="8" a="1"/>
  <c r="N37" i="8" a="1"/>
  <c r="J382" i="8" a="1"/>
  <c r="C581" i="8" a="1"/>
  <c r="P681" i="8" a="1"/>
  <c r="Q483" i="8" a="1"/>
  <c r="Q781" i="8" a="1"/>
  <c r="G781" i="8" a="1"/>
  <c r="U37" i="8" a="1"/>
  <c r="Y681" i="8" a="1"/>
  <c r="J483" i="8" a="1"/>
  <c r="K781" i="8" a="1"/>
  <c r="I581" i="8" a="1"/>
  <c r="L382" i="8" a="1"/>
  <c r="M781" i="8" a="1"/>
  <c r="E231" i="8" a="1"/>
  <c r="E37" i="8" a="1"/>
  <c r="Q37" i="8" a="1"/>
  <c r="H231" i="8" a="1"/>
  <c r="V581" i="8" a="1"/>
  <c r="R581" i="8" a="1"/>
  <c r="T382" i="8" a="1"/>
  <c r="V681" i="8" a="1"/>
  <c r="D681" i="8" a="1"/>
  <c r="N483" i="8" a="1"/>
  <c r="C382" i="8" a="1"/>
  <c r="C781" i="8" a="1"/>
  <c r="U581" i="8" a="1"/>
  <c r="G581" i="8" a="1"/>
  <c r="L781" i="8" a="1"/>
  <c r="M483" i="8" a="1"/>
  <c r="X37" i="8" a="1"/>
  <c r="K382" i="8" a="1"/>
  <c r="P581" i="8" a="1"/>
  <c r="F781" i="8" a="1"/>
  <c r="P382" i="8" a="1"/>
  <c r="K37" i="8" a="1"/>
  <c r="W681" i="8" a="1"/>
  <c r="K231" i="8" a="1"/>
  <c r="T681" i="8" a="1"/>
  <c r="T483" i="8" a="1"/>
  <c r="F483" i="8" a="1"/>
  <c r="K483" i="8" a="1"/>
  <c r="K681" i="8" a="1"/>
  <c r="N231" i="8" a="1"/>
  <c r="Q581" i="8" a="1"/>
  <c r="T37" i="8" a="1"/>
  <c r="I681" i="8" a="1"/>
  <c r="R382" i="8" a="1"/>
  <c r="W382" i="8" a="1"/>
  <c r="I231" i="8" a="1"/>
  <c r="L581" i="8" a="1"/>
  <c r="L681" i="8" a="1"/>
  <c r="D483" i="8" a="1"/>
  <c r="C483" i="8" a="1"/>
  <c r="F681" i="8" a="1"/>
  <c r="I382" i="8" a="1"/>
  <c r="Q231" i="8" a="1"/>
  <c r="Y581" i="8" a="1"/>
  <c r="O483" i="8" a="1"/>
  <c r="Q681" i="8" a="1"/>
  <c r="R483" i="8" a="1"/>
  <c r="U483" i="8" a="1"/>
  <c r="U781" i="8" a="1"/>
  <c r="W483" i="8" a="1"/>
  <c r="O681" i="8" a="1"/>
  <c r="Y483" i="8" a="1"/>
  <c r="P781" i="8" a="1"/>
  <c r="H37" i="8" a="1"/>
  <c r="O781" i="8" a="1"/>
  <c r="P37" i="8" a="1"/>
  <c r="L37" i="8" a="1"/>
  <c r="L231" i="8" a="1"/>
  <c r="X483" i="8" a="1"/>
  <c r="R781" i="8" a="1"/>
  <c r="Y231" i="8" a="1"/>
  <c r="W231" i="8" a="1"/>
  <c r="G483" i="8" a="1"/>
  <c r="H382" i="8" a="1"/>
  <c r="N382" i="8" a="1"/>
  <c r="J781" i="8" a="1"/>
  <c r="T231" i="8" a="1"/>
  <c r="E681" i="8" a="1"/>
  <c r="E382" i="8" a="1"/>
  <c r="O37" i="8" a="1"/>
  <c r="H581" i="8" a="1"/>
  <c r="N781" i="8" a="1"/>
  <c r="J231" i="8" a="1"/>
  <c r="D781" i="8" a="1"/>
  <c r="N681" i="8" a="1"/>
  <c r="V37" i="8" a="1"/>
  <c r="D231" i="8" a="1"/>
  <c r="H483" i="8" a="1"/>
  <c r="E781" i="8" a="1"/>
  <c r="W781" i="8" a="1"/>
  <c r="V781" i="8" a="1"/>
  <c r="T781" i="8" a="1"/>
  <c r="M382" i="8" a="1"/>
  <c r="I781" i="8" a="1"/>
  <c r="E483" i="8" a="1"/>
  <c r="M581" i="8" a="1"/>
  <c r="W37" i="8" a="1"/>
  <c r="M231" i="8" a="1"/>
  <c r="J681" i="8" a="1"/>
  <c r="C37" i="8" a="1"/>
  <c r="Q382" i="8" a="1"/>
  <c r="N581" i="8" a="1"/>
  <c r="E581" i="8" a="1"/>
  <c r="Y781" i="8" a="1"/>
  <c r="S482" i="8" l="1"/>
  <c r="S680" i="8"/>
  <c r="D681" i="8"/>
  <c r="H681" i="8"/>
  <c r="L681" i="8"/>
  <c r="P681" i="8"/>
  <c r="E681" i="8"/>
  <c r="I681" i="8"/>
  <c r="M681" i="8"/>
  <c r="Q681" i="8"/>
  <c r="V681" i="8"/>
  <c r="F681" i="8"/>
  <c r="J681" i="8"/>
  <c r="N681" i="8"/>
  <c r="R681" i="8"/>
  <c r="C681" i="8"/>
  <c r="G681" i="8"/>
  <c r="K681" i="8"/>
  <c r="O681" i="8"/>
  <c r="Y681" i="8"/>
  <c r="T681" i="8"/>
  <c r="U681" i="8"/>
  <c r="W681" i="8"/>
  <c r="X681" i="8"/>
  <c r="E581" i="8"/>
  <c r="I581" i="8"/>
  <c r="M581" i="8"/>
  <c r="Q581" i="8"/>
  <c r="V581" i="8"/>
  <c r="F581" i="8"/>
  <c r="J581" i="8"/>
  <c r="N581" i="8"/>
  <c r="R581" i="8"/>
  <c r="W581" i="8"/>
  <c r="C581" i="8"/>
  <c r="G581" i="8"/>
  <c r="K581" i="8"/>
  <c r="O581" i="8"/>
  <c r="T581" i="8"/>
  <c r="X581" i="8"/>
  <c r="U581" i="8"/>
  <c r="H581" i="8"/>
  <c r="L581" i="8"/>
  <c r="Y581" i="8"/>
  <c r="D581" i="8"/>
  <c r="P581" i="8"/>
  <c r="D483" i="8"/>
  <c r="H483" i="8"/>
  <c r="L483" i="8"/>
  <c r="P483" i="8"/>
  <c r="V483" i="8"/>
  <c r="F483" i="8"/>
  <c r="J483" i="8"/>
  <c r="N483" i="8"/>
  <c r="R483" i="8"/>
  <c r="O483" i="8"/>
  <c r="U483" i="8"/>
  <c r="C483" i="8"/>
  <c r="I483" i="8"/>
  <c r="W483" i="8"/>
  <c r="K483" i="8"/>
  <c r="Q483" i="8"/>
  <c r="X483" i="8"/>
  <c r="E483" i="8"/>
  <c r="Y483" i="8"/>
  <c r="G483" i="8"/>
  <c r="M483" i="8"/>
  <c r="T483" i="8"/>
  <c r="S580" i="8"/>
  <c r="S381" i="8"/>
  <c r="S36" i="8"/>
  <c r="E37" i="8"/>
  <c r="D37" i="8"/>
  <c r="M37" i="8"/>
  <c r="Q37" i="8"/>
  <c r="I37" i="8"/>
  <c r="V37" i="8"/>
  <c r="J37" i="8"/>
  <c r="N37" i="8"/>
  <c r="R37" i="8"/>
  <c r="C37" i="8"/>
  <c r="W37" i="8"/>
  <c r="K37" i="8"/>
  <c r="O37" i="8"/>
  <c r="F37" i="8"/>
  <c r="T37" i="8"/>
  <c r="X37" i="8"/>
  <c r="G37" i="8"/>
  <c r="L37" i="8"/>
  <c r="P37" i="8"/>
  <c r="Y37" i="8"/>
  <c r="H37" i="8"/>
  <c r="U37" i="8"/>
  <c r="V231" i="8"/>
  <c r="F231" i="8"/>
  <c r="J231" i="8"/>
  <c r="N231" i="8"/>
  <c r="R231" i="8"/>
  <c r="W231" i="8"/>
  <c r="C231" i="8"/>
  <c r="G231" i="8"/>
  <c r="K231" i="8"/>
  <c r="O231" i="8"/>
  <c r="T231" i="8"/>
  <c r="X231" i="8"/>
  <c r="D231" i="8"/>
  <c r="H231" i="8"/>
  <c r="L231" i="8"/>
  <c r="P231" i="8"/>
  <c r="U231" i="8"/>
  <c r="Y231" i="8"/>
  <c r="E231" i="8"/>
  <c r="I231" i="8"/>
  <c r="M231" i="8"/>
  <c r="Q231" i="8"/>
  <c r="C382" i="8"/>
  <c r="G382" i="8"/>
  <c r="K382" i="8"/>
  <c r="O382" i="8"/>
  <c r="D382" i="8"/>
  <c r="H382" i="8"/>
  <c r="L382" i="8"/>
  <c r="P382" i="8"/>
  <c r="E382" i="8"/>
  <c r="I382" i="8"/>
  <c r="M382" i="8"/>
  <c r="Q382" i="8"/>
  <c r="R382" i="8"/>
  <c r="X382" i="8"/>
  <c r="F382" i="8"/>
  <c r="Y382" i="8"/>
  <c r="T382" i="8"/>
  <c r="N382" i="8"/>
  <c r="U382" i="8"/>
  <c r="J382" i="8"/>
  <c r="W382" i="8"/>
  <c r="V382" i="8"/>
  <c r="S230" i="8"/>
  <c r="B38" i="8"/>
  <c r="B582" i="8"/>
  <c r="B682" i="8"/>
  <c r="J781" i="8"/>
  <c r="F781" i="8"/>
  <c r="Y781" i="8"/>
  <c r="O781" i="8"/>
  <c r="X781" i="8"/>
  <c r="T781" i="8"/>
  <c r="U781" i="8"/>
  <c r="K781" i="8"/>
  <c r="E781" i="8"/>
  <c r="W781" i="8"/>
  <c r="P781" i="8"/>
  <c r="G781" i="8"/>
  <c r="V781" i="8"/>
  <c r="L781" i="8"/>
  <c r="C781" i="8"/>
  <c r="Q781" i="8"/>
  <c r="H781" i="8"/>
  <c r="R781" i="8"/>
  <c r="I781" i="8"/>
  <c r="M781" i="8"/>
  <c r="D781" i="8"/>
  <c r="N781" i="8"/>
  <c r="B783" i="8"/>
  <c r="S780" i="8"/>
  <c r="B232" i="8"/>
  <c r="B484" i="8"/>
  <c r="B383" i="8"/>
  <c r="L782" i="8" a="1"/>
  <c r="D484" i="8" a="1"/>
  <c r="L582" i="8" a="1"/>
  <c r="I582" i="8" a="1"/>
  <c r="T232" i="8" a="1"/>
  <c r="N38" i="8" a="1"/>
  <c r="D582" i="8" a="1"/>
  <c r="K484" i="8" a="1"/>
  <c r="V232" i="8" a="1"/>
  <c r="J682" i="8" a="1"/>
  <c r="Y38" i="8" a="1"/>
  <c r="K682" i="8" a="1"/>
  <c r="T484" i="8" a="1"/>
  <c r="H582" i="8" a="1"/>
  <c r="X232" i="8" a="1"/>
  <c r="N682" i="8" a="1"/>
  <c r="X383" i="8" a="1"/>
  <c r="M682" i="8" a="1"/>
  <c r="H383" i="8" a="1"/>
  <c r="Y582" i="8" a="1"/>
  <c r="P232" i="8" a="1"/>
  <c r="W232" i="8" a="1"/>
  <c r="X782" i="8" a="1"/>
  <c r="F38" i="8" a="1"/>
  <c r="K782" i="8" a="1"/>
  <c r="C38" i="8" a="1"/>
  <c r="D682" i="8" a="1"/>
  <c r="U232" i="8" a="1"/>
  <c r="F232" i="8" a="1"/>
  <c r="J383" i="8" a="1"/>
  <c r="U38" i="8" a="1"/>
  <c r="E782" i="8" a="1"/>
  <c r="M782" i="8" a="1"/>
  <c r="N383" i="8" a="1"/>
  <c r="W682" i="8" a="1"/>
  <c r="T782" i="8" a="1"/>
  <c r="D38" i="8" a="1"/>
  <c r="Q232" i="8" a="1"/>
  <c r="C682" i="8" a="1"/>
  <c r="R484" i="8" a="1"/>
  <c r="Y484" i="8" a="1"/>
  <c r="O383" i="8" a="1"/>
  <c r="P383" i="8" a="1"/>
  <c r="H38" i="8" a="1"/>
  <c r="W484" i="8" a="1"/>
  <c r="N782" i="8" a="1"/>
  <c r="K383" i="8" a="1"/>
  <c r="R582" i="8" a="1"/>
  <c r="V782" i="8" a="1"/>
  <c r="Y232" i="8" a="1"/>
  <c r="V38" i="8" a="1"/>
  <c r="Q484" i="8" a="1"/>
  <c r="N582" i="8" a="1"/>
  <c r="L484" i="8" a="1"/>
  <c r="T383" i="8" a="1"/>
  <c r="O782" i="8" a="1"/>
  <c r="W383" i="8" a="1"/>
  <c r="G782" i="8" a="1"/>
  <c r="I782" i="8" a="1"/>
  <c r="I38" i="8" a="1"/>
  <c r="P38" i="8" a="1"/>
  <c r="P782" i="8" a="1"/>
  <c r="G38" i="8" a="1"/>
  <c r="T582" i="8" a="1"/>
  <c r="O38" i="8" a="1"/>
  <c r="X582" i="8" a="1"/>
  <c r="J484" i="8" a="1"/>
  <c r="R38" i="8" a="1"/>
  <c r="L38" i="8" a="1"/>
  <c r="U782" i="8" a="1"/>
  <c r="C582" i="8" a="1"/>
  <c r="M582" i="8" a="1"/>
  <c r="I484" i="8" a="1"/>
  <c r="C782" i="8" a="1"/>
  <c r="U484" i="8" a="1"/>
  <c r="H484" i="8" a="1"/>
  <c r="H782" i="8" a="1"/>
  <c r="X484" i="8" a="1"/>
  <c r="M232" i="8" a="1"/>
  <c r="O484" i="8" a="1"/>
  <c r="M484" i="8" a="1"/>
  <c r="R232" i="8" a="1"/>
  <c r="I232" i="8" a="1"/>
  <c r="J38" i="8" a="1"/>
  <c r="L682" i="8" a="1"/>
  <c r="U383" i="8" a="1"/>
  <c r="Q383" i="8" a="1"/>
  <c r="O232" i="8" a="1"/>
  <c r="T38" i="8" a="1"/>
  <c r="F782" i="8" a="1"/>
  <c r="U682" i="8" a="1"/>
  <c r="I383" i="8" a="1"/>
  <c r="C383" i="8" a="1"/>
  <c r="G484" i="8" a="1"/>
  <c r="G232" i="8" a="1"/>
  <c r="E682" i="8" a="1"/>
  <c r="P582" i="8" a="1"/>
  <c r="C232" i="8" a="1"/>
  <c r="E38" i="8" a="1"/>
  <c r="F682" i="8" a="1"/>
  <c r="O682" i="8" a="1"/>
  <c r="R383" i="8" a="1"/>
  <c r="Q582" i="8" a="1"/>
  <c r="I682" i="8" a="1"/>
  <c r="G682" i="8" a="1"/>
  <c r="U582" i="8" a="1"/>
  <c r="M38" i="8" a="1"/>
  <c r="C484" i="8" a="1"/>
  <c r="N484" i="8" a="1"/>
  <c r="K38" i="8" a="1"/>
  <c r="R782" i="8" a="1"/>
  <c r="D232" i="8" a="1"/>
  <c r="X682" i="8" a="1"/>
  <c r="X38" i="8" a="1"/>
  <c r="Y682" i="8" a="1"/>
  <c r="V383" i="8" a="1"/>
  <c r="G582" i="8" a="1"/>
  <c r="N232" i="8" a="1"/>
  <c r="W782" i="8" a="1"/>
  <c r="L232" i="8" a="1"/>
  <c r="F582" i="8" a="1"/>
  <c r="D383" i="8" a="1"/>
  <c r="G383" i="8" a="1"/>
  <c r="W38" i="8" a="1"/>
  <c r="H682" i="8" a="1"/>
  <c r="V682" i="8" a="1"/>
  <c r="W582" i="8" a="1"/>
  <c r="Y782" i="8" a="1"/>
  <c r="J232" i="8" a="1"/>
  <c r="Q782" i="8" a="1"/>
  <c r="E383" i="8" a="1"/>
  <c r="T682" i="8" a="1"/>
  <c r="E582" i="8" a="1"/>
  <c r="P484" i="8" a="1"/>
  <c r="F383" i="8" a="1"/>
  <c r="E232" i="8" a="1"/>
  <c r="M383" i="8" a="1"/>
  <c r="V582" i="8" a="1"/>
  <c r="D782" i="8" a="1"/>
  <c r="R682" i="8" a="1"/>
  <c r="Q682" i="8" a="1"/>
  <c r="J782" i="8" a="1"/>
  <c r="P682" i="8" a="1"/>
  <c r="O582" i="8" a="1"/>
  <c r="V484" i="8" a="1"/>
  <c r="H232" i="8" a="1"/>
  <c r="E484" i="8" a="1"/>
  <c r="K582" i="8" a="1"/>
  <c r="J582" i="8" a="1"/>
  <c r="Y383" i="8" a="1"/>
  <c r="L383" i="8" a="1"/>
  <c r="K232" i="8" a="1"/>
  <c r="Q38" i="8" a="1"/>
  <c r="F484" i="8" a="1"/>
  <c r="S681" i="8" l="1"/>
  <c r="S581" i="8"/>
  <c r="V484" i="8"/>
  <c r="C484" i="8"/>
  <c r="G484" i="8"/>
  <c r="K484" i="8"/>
  <c r="O484" i="8"/>
  <c r="T484" i="8"/>
  <c r="X484" i="8"/>
  <c r="E484" i="8"/>
  <c r="L484" i="8"/>
  <c r="R484" i="8"/>
  <c r="Y484" i="8"/>
  <c r="F484" i="8"/>
  <c r="M484" i="8"/>
  <c r="H484" i="8"/>
  <c r="N484" i="8"/>
  <c r="U484" i="8"/>
  <c r="I484" i="8"/>
  <c r="P484" i="8"/>
  <c r="D484" i="8"/>
  <c r="J484" i="8"/>
  <c r="W484" i="8"/>
  <c r="Q484" i="8"/>
  <c r="U582" i="8"/>
  <c r="Y582" i="8"/>
  <c r="E582" i="8"/>
  <c r="I582" i="8"/>
  <c r="M582" i="8"/>
  <c r="Q582" i="8"/>
  <c r="V582" i="8"/>
  <c r="F582" i="8"/>
  <c r="J582" i="8"/>
  <c r="N582" i="8"/>
  <c r="R582" i="8"/>
  <c r="W582" i="8"/>
  <c r="T582" i="8"/>
  <c r="X582" i="8"/>
  <c r="D582" i="8"/>
  <c r="H582" i="8"/>
  <c r="L582" i="8"/>
  <c r="P582" i="8"/>
  <c r="C582" i="8"/>
  <c r="G582" i="8"/>
  <c r="K582" i="8"/>
  <c r="O582" i="8"/>
  <c r="V682" i="8"/>
  <c r="W682" i="8"/>
  <c r="C682" i="8"/>
  <c r="G682" i="8"/>
  <c r="K682" i="8"/>
  <c r="O682" i="8"/>
  <c r="T682" i="8"/>
  <c r="X682" i="8"/>
  <c r="U682" i="8"/>
  <c r="Y682" i="8"/>
  <c r="M682" i="8"/>
  <c r="D682" i="8"/>
  <c r="N682" i="8"/>
  <c r="F682" i="8"/>
  <c r="Q682" i="8"/>
  <c r="H682" i="8"/>
  <c r="R682" i="8"/>
  <c r="I682" i="8"/>
  <c r="J682" i="8"/>
  <c r="L682" i="8"/>
  <c r="E682" i="8"/>
  <c r="P682" i="8"/>
  <c r="S483" i="8"/>
  <c r="S382" i="8"/>
  <c r="S231" i="8"/>
  <c r="W38" i="8"/>
  <c r="C38" i="8"/>
  <c r="G38" i="8"/>
  <c r="K38" i="8"/>
  <c r="O38" i="8"/>
  <c r="T38" i="8"/>
  <c r="X38" i="8"/>
  <c r="D38" i="8"/>
  <c r="H38" i="8"/>
  <c r="L38" i="8"/>
  <c r="P38" i="8"/>
  <c r="U38" i="8"/>
  <c r="Y38" i="8"/>
  <c r="E38" i="8"/>
  <c r="I38" i="8"/>
  <c r="M38" i="8"/>
  <c r="Q38" i="8"/>
  <c r="V38" i="8"/>
  <c r="F38" i="8"/>
  <c r="J38" i="8"/>
  <c r="N38" i="8"/>
  <c r="R38" i="8"/>
  <c r="C232" i="8"/>
  <c r="G232" i="8"/>
  <c r="K232" i="8"/>
  <c r="O232" i="8"/>
  <c r="T232" i="8"/>
  <c r="X232" i="8"/>
  <c r="D232" i="8"/>
  <c r="H232" i="8"/>
  <c r="L232" i="8"/>
  <c r="P232" i="8"/>
  <c r="U232" i="8"/>
  <c r="Y232" i="8"/>
  <c r="E232" i="8"/>
  <c r="I232" i="8"/>
  <c r="M232" i="8"/>
  <c r="Q232" i="8"/>
  <c r="V232" i="8"/>
  <c r="F232" i="8"/>
  <c r="J232" i="8"/>
  <c r="N232" i="8"/>
  <c r="R232" i="8"/>
  <c r="W232" i="8"/>
  <c r="F383" i="8"/>
  <c r="G383" i="8"/>
  <c r="L383" i="8"/>
  <c r="Q383" i="8"/>
  <c r="V383" i="8"/>
  <c r="R383" i="8"/>
  <c r="C383" i="8"/>
  <c r="H383" i="8"/>
  <c r="M383" i="8"/>
  <c r="W383" i="8"/>
  <c r="N383" i="8"/>
  <c r="J383" i="8"/>
  <c r="E383" i="8"/>
  <c r="K383" i="8"/>
  <c r="P383" i="8"/>
  <c r="U383" i="8"/>
  <c r="Y383" i="8"/>
  <c r="D383" i="8"/>
  <c r="I383" i="8"/>
  <c r="O383" i="8"/>
  <c r="T383" i="8"/>
  <c r="X383" i="8"/>
  <c r="S37" i="8"/>
  <c r="B39" i="8"/>
  <c r="B683" i="8"/>
  <c r="B583" i="8"/>
  <c r="S781" i="8"/>
  <c r="J782" i="8"/>
  <c r="Y782" i="8"/>
  <c r="G782" i="8"/>
  <c r="F782" i="8"/>
  <c r="U782" i="8"/>
  <c r="C782" i="8"/>
  <c r="X782" i="8"/>
  <c r="V782" i="8"/>
  <c r="L782" i="8"/>
  <c r="P782" i="8"/>
  <c r="W782" i="8"/>
  <c r="Q782" i="8"/>
  <c r="H782" i="8"/>
  <c r="T782" i="8"/>
  <c r="M782" i="8"/>
  <c r="D782" i="8"/>
  <c r="R782" i="8"/>
  <c r="I782" i="8"/>
  <c r="O782" i="8"/>
  <c r="N782" i="8"/>
  <c r="E782" i="8"/>
  <c r="K782" i="8"/>
  <c r="B784" i="8"/>
  <c r="B233" i="8"/>
  <c r="B485" i="8"/>
  <c r="B384" i="8"/>
  <c r="H384" i="8" a="1"/>
  <c r="J233" i="8" a="1"/>
  <c r="L583" i="8" a="1"/>
  <c r="M783" i="8" a="1"/>
  <c r="I683" i="8" a="1"/>
  <c r="V583" i="8" a="1"/>
  <c r="J39" i="8" a="1"/>
  <c r="N384" i="8" a="1"/>
  <c r="F384" i="8" a="1"/>
  <c r="T485" i="8" a="1"/>
  <c r="W39" i="8" a="1"/>
  <c r="G384" i="8" a="1"/>
  <c r="W683" i="8" a="1"/>
  <c r="P39" i="8" a="1"/>
  <c r="K485" i="8" a="1"/>
  <c r="E683" i="8" a="1"/>
  <c r="O485" i="8" a="1"/>
  <c r="W485" i="8" a="1"/>
  <c r="N485" i="8" a="1"/>
  <c r="E39" i="8" a="1"/>
  <c r="Y384" i="8" a="1"/>
  <c r="D583" i="8" a="1"/>
  <c r="M485" i="8" a="1"/>
  <c r="U583" i="8" a="1"/>
  <c r="E783" i="8" a="1"/>
  <c r="V783" i="8" a="1"/>
  <c r="R233" i="8" a="1"/>
  <c r="V384" i="8" a="1"/>
  <c r="P384" i="8" a="1"/>
  <c r="C485" i="8" a="1"/>
  <c r="E485" i="8" a="1"/>
  <c r="M384" i="8" a="1"/>
  <c r="Y485" i="8" a="1"/>
  <c r="K683" i="8" a="1"/>
  <c r="G233" i="8" a="1"/>
  <c r="W583" i="8" a="1"/>
  <c r="M583" i="8" a="1"/>
  <c r="Q583" i="8" a="1"/>
  <c r="F233" i="8" a="1"/>
  <c r="O233" i="8" a="1"/>
  <c r="M683" i="8" a="1"/>
  <c r="X583" i="8" a="1"/>
  <c r="Q485" i="8" a="1"/>
  <c r="Y39" i="8" a="1"/>
  <c r="Q233" i="8" a="1"/>
  <c r="K783" i="8" a="1"/>
  <c r="M39" i="8" a="1"/>
  <c r="J783" i="8" a="1"/>
  <c r="Q39" i="8" a="1"/>
  <c r="H583" i="8" a="1"/>
  <c r="C783" i="8" a="1"/>
  <c r="I384" i="8" a="1"/>
  <c r="F783" i="8" a="1"/>
  <c r="H783" i="8" a="1"/>
  <c r="T783" i="8" a="1"/>
  <c r="H233" i="8" a="1"/>
  <c r="U384" i="8" a="1"/>
  <c r="H39" i="8" a="1"/>
  <c r="K233" i="8" a="1"/>
  <c r="P233" i="8" a="1"/>
  <c r="X39" i="8" a="1"/>
  <c r="I39" i="8" a="1"/>
  <c r="R783" i="8" a="1"/>
  <c r="H485" i="8" a="1"/>
  <c r="M233" i="8" a="1"/>
  <c r="L384" i="8" a="1"/>
  <c r="R583" i="8" a="1"/>
  <c r="E583" i="8" a="1"/>
  <c r="T39" i="8" a="1"/>
  <c r="V233" i="8" a="1"/>
  <c r="X485" i="8" a="1"/>
  <c r="L683" i="8" a="1"/>
  <c r="N783" i="8" a="1"/>
  <c r="Y233" i="8" a="1"/>
  <c r="P485" i="8" a="1"/>
  <c r="G683" i="8" a="1"/>
  <c r="Y583" i="8" a="1"/>
  <c r="K39" i="8" a="1"/>
  <c r="F683" i="8" a="1"/>
  <c r="I583" i="8" a="1"/>
  <c r="I783" i="8" a="1"/>
  <c r="I485" i="8" a="1"/>
  <c r="R683" i="8" a="1"/>
  <c r="R384" i="8" a="1"/>
  <c r="C233" i="8" a="1"/>
  <c r="F485" i="8" a="1"/>
  <c r="L233" i="8" a="1"/>
  <c r="O39" i="8" a="1"/>
  <c r="Q783" i="8" a="1"/>
  <c r="X233" i="8" a="1"/>
  <c r="P683" i="8" a="1"/>
  <c r="O683" i="8" a="1"/>
  <c r="P783" i="8" a="1"/>
  <c r="U233" i="8" a="1"/>
  <c r="X683" i="8" a="1"/>
  <c r="N583" i="8" a="1"/>
  <c r="Q683" i="8" a="1"/>
  <c r="X783" i="8" a="1"/>
  <c r="K384" i="8" a="1"/>
  <c r="F583" i="8" a="1"/>
  <c r="C583" i="8" a="1"/>
  <c r="D384" i="8" a="1"/>
  <c r="G39" i="8" a="1"/>
  <c r="C683" i="8" a="1"/>
  <c r="T233" i="8" a="1"/>
  <c r="N233" i="8" a="1"/>
  <c r="C384" i="8" a="1"/>
  <c r="D683" i="8" a="1"/>
  <c r="T583" i="8" a="1"/>
  <c r="L39" i="8" a="1"/>
  <c r="G485" i="8" a="1"/>
  <c r="U485" i="8" a="1"/>
  <c r="Q384" i="8" a="1"/>
  <c r="N683" i="8" a="1"/>
  <c r="Y783" i="8" a="1"/>
  <c r="I233" i="8" a="1"/>
  <c r="D783" i="8" a="1"/>
  <c r="J485" i="8" a="1"/>
  <c r="V683" i="8" a="1"/>
  <c r="G783" i="8" a="1"/>
  <c r="V485" i="8" a="1"/>
  <c r="U783" i="8" a="1"/>
  <c r="R39" i="8" a="1"/>
  <c r="O583" i="8" a="1"/>
  <c r="D485" i="8" a="1"/>
  <c r="D233" i="8" a="1"/>
  <c r="W384" i="8" a="1"/>
  <c r="C39" i="8" a="1"/>
  <c r="J384" i="8" a="1"/>
  <c r="V39" i="8" a="1"/>
  <c r="O384" i="8" a="1"/>
  <c r="J683" i="8" a="1"/>
  <c r="W233" i="8" a="1"/>
  <c r="N39" i="8" a="1"/>
  <c r="L485" i="8" a="1"/>
  <c r="J583" i="8" a="1"/>
  <c r="U683" i="8" a="1"/>
  <c r="R485" i="8" a="1"/>
  <c r="L783" i="8" a="1"/>
  <c r="O783" i="8" a="1"/>
  <c r="T384" i="8" a="1"/>
  <c r="G583" i="8" a="1"/>
  <c r="D39" i="8" a="1"/>
  <c r="H683" i="8" a="1"/>
  <c r="E384" i="8" a="1"/>
  <c r="W783" i="8" a="1"/>
  <c r="K583" i="8" a="1"/>
  <c r="Y683" i="8" a="1"/>
  <c r="E233" i="8" a="1"/>
  <c r="T683" i="8" a="1"/>
  <c r="X384" i="8" a="1"/>
  <c r="F39" i="8" a="1"/>
  <c r="P583" i="8" a="1"/>
  <c r="U39" i="8" a="1"/>
  <c r="F583" i="8" l="1"/>
  <c r="J583" i="8"/>
  <c r="N583" i="8"/>
  <c r="R583" i="8"/>
  <c r="W583" i="8"/>
  <c r="C583" i="8"/>
  <c r="G583" i="8"/>
  <c r="K583" i="8"/>
  <c r="O583" i="8"/>
  <c r="T583" i="8"/>
  <c r="X583" i="8"/>
  <c r="D583" i="8"/>
  <c r="H583" i="8"/>
  <c r="L583" i="8"/>
  <c r="P583" i="8"/>
  <c r="E583" i="8"/>
  <c r="I583" i="8"/>
  <c r="M583" i="8"/>
  <c r="Q583" i="8"/>
  <c r="V583" i="8"/>
  <c r="U583" i="8"/>
  <c r="Y583" i="8"/>
  <c r="C485" i="8"/>
  <c r="G485" i="8"/>
  <c r="K485" i="8"/>
  <c r="O485" i="8"/>
  <c r="E485" i="8"/>
  <c r="I485" i="8"/>
  <c r="M485" i="8"/>
  <c r="Q485" i="8"/>
  <c r="H485" i="8"/>
  <c r="X485" i="8"/>
  <c r="U485" i="8"/>
  <c r="Y485" i="8"/>
  <c r="T485" i="8"/>
  <c r="J485" i="8"/>
  <c r="P485" i="8"/>
  <c r="D485" i="8"/>
  <c r="V485" i="8"/>
  <c r="N485" i="8"/>
  <c r="R485" i="8"/>
  <c r="F485" i="8"/>
  <c r="L485" i="8"/>
  <c r="W485" i="8"/>
  <c r="C683" i="8"/>
  <c r="G683" i="8"/>
  <c r="K683" i="8"/>
  <c r="O683" i="8"/>
  <c r="D683" i="8"/>
  <c r="H683" i="8"/>
  <c r="L683" i="8"/>
  <c r="P683" i="8"/>
  <c r="U683" i="8"/>
  <c r="Y683" i="8"/>
  <c r="E683" i="8"/>
  <c r="I683" i="8"/>
  <c r="M683" i="8"/>
  <c r="Q683" i="8"/>
  <c r="F683" i="8"/>
  <c r="J683" i="8"/>
  <c r="N683" i="8"/>
  <c r="R683" i="8"/>
  <c r="W683" i="8"/>
  <c r="X683" i="8"/>
  <c r="T683" i="8"/>
  <c r="V683" i="8"/>
  <c r="S582" i="8"/>
  <c r="S682" i="8"/>
  <c r="S484" i="8"/>
  <c r="S38" i="8"/>
  <c r="W384" i="8"/>
  <c r="C384" i="8"/>
  <c r="G384" i="8"/>
  <c r="K384" i="8"/>
  <c r="O384" i="8"/>
  <c r="T384" i="8"/>
  <c r="X384" i="8"/>
  <c r="D384" i="8"/>
  <c r="H384" i="8"/>
  <c r="L384" i="8"/>
  <c r="P384" i="8"/>
  <c r="U384" i="8"/>
  <c r="Y384" i="8"/>
  <c r="V384" i="8"/>
  <c r="F384" i="8"/>
  <c r="J384" i="8"/>
  <c r="N384" i="8"/>
  <c r="R384" i="8"/>
  <c r="Q384" i="8"/>
  <c r="I384" i="8"/>
  <c r="M384" i="8"/>
  <c r="E384" i="8"/>
  <c r="E233" i="8"/>
  <c r="I233" i="8"/>
  <c r="M233" i="8"/>
  <c r="Q233" i="8"/>
  <c r="F233" i="8"/>
  <c r="J233" i="8"/>
  <c r="N233" i="8"/>
  <c r="R233" i="8"/>
  <c r="C233" i="8"/>
  <c r="G233" i="8"/>
  <c r="K233" i="8"/>
  <c r="O233" i="8"/>
  <c r="T233" i="8"/>
  <c r="H233" i="8"/>
  <c r="W233" i="8"/>
  <c r="L233" i="8"/>
  <c r="P233" i="8"/>
  <c r="X233" i="8"/>
  <c r="Y233" i="8"/>
  <c r="U233" i="8"/>
  <c r="V233" i="8"/>
  <c r="D233" i="8"/>
  <c r="D39" i="8"/>
  <c r="H39" i="8"/>
  <c r="L39" i="8"/>
  <c r="P39" i="8"/>
  <c r="U39" i="8"/>
  <c r="Y39" i="8"/>
  <c r="E39" i="8"/>
  <c r="I39" i="8"/>
  <c r="M39" i="8"/>
  <c r="Q39" i="8"/>
  <c r="V39" i="8"/>
  <c r="F39" i="8"/>
  <c r="J39" i="8"/>
  <c r="N39" i="8"/>
  <c r="R39" i="8"/>
  <c r="W39" i="8"/>
  <c r="C39" i="8"/>
  <c r="G39" i="8"/>
  <c r="K39" i="8"/>
  <c r="O39" i="8"/>
  <c r="T39" i="8"/>
  <c r="X39" i="8"/>
  <c r="S383" i="8"/>
  <c r="S232" i="8"/>
  <c r="B40" i="8"/>
  <c r="B584" i="8"/>
  <c r="B684" i="8"/>
  <c r="S782" i="8"/>
  <c r="K783" i="8"/>
  <c r="H783" i="8"/>
  <c r="G783" i="8"/>
  <c r="V783" i="8"/>
  <c r="D783" i="8"/>
  <c r="C783" i="8"/>
  <c r="Q783" i="8"/>
  <c r="T783" i="8"/>
  <c r="W783" i="8"/>
  <c r="M783" i="8"/>
  <c r="U783" i="8"/>
  <c r="R783" i="8"/>
  <c r="I783" i="8"/>
  <c r="Y783" i="8"/>
  <c r="N783" i="8"/>
  <c r="E783" i="8"/>
  <c r="X783" i="8"/>
  <c r="J783" i="8"/>
  <c r="P783" i="8"/>
  <c r="O783" i="8"/>
  <c r="F783" i="8"/>
  <c r="L783" i="8"/>
  <c r="B785" i="8"/>
  <c r="B234" i="8"/>
  <c r="B486" i="8"/>
  <c r="B385" i="8"/>
  <c r="O234" i="8" a="1"/>
  <c r="J784" i="8" a="1"/>
  <c r="L40" i="8" a="1"/>
  <c r="G486" i="8" a="1"/>
  <c r="M385" i="8" a="1"/>
  <c r="X40" i="8" a="1"/>
  <c r="E40" i="8" a="1"/>
  <c r="P486" i="8" a="1"/>
  <c r="E385" i="8" a="1"/>
  <c r="T40" i="8" a="1"/>
  <c r="T684" i="8" a="1"/>
  <c r="C684" i="8" a="1"/>
  <c r="Y385" i="8" a="1"/>
  <c r="E486" i="8" a="1"/>
  <c r="W40" i="8" a="1"/>
  <c r="G584" i="8" a="1"/>
  <c r="G385" i="8" a="1"/>
  <c r="Q784" i="8" a="1"/>
  <c r="D584" i="8" a="1"/>
  <c r="J584" i="8" a="1"/>
  <c r="K684" i="8" a="1"/>
  <c r="H584" i="8" a="1"/>
  <c r="N784" i="8" a="1"/>
  <c r="D486" i="8" a="1"/>
  <c r="L584" i="8" a="1"/>
  <c r="N40" i="8" a="1"/>
  <c r="M234" i="8" a="1"/>
  <c r="V385" i="8" a="1"/>
  <c r="L784" i="8" a="1"/>
  <c r="P385" i="8" a="1"/>
  <c r="Y486" i="8" a="1"/>
  <c r="F684" i="8" a="1"/>
  <c r="U385" i="8" a="1"/>
  <c r="F584" i="8" a="1"/>
  <c r="K385" i="8" a="1"/>
  <c r="X584" i="8" a="1"/>
  <c r="E584" i="8" a="1"/>
  <c r="Q385" i="8" a="1"/>
  <c r="K40" i="8" a="1"/>
  <c r="Y234" i="8" a="1"/>
  <c r="Q486" i="8" a="1"/>
  <c r="Q234" i="8" a="1"/>
  <c r="W584" i="8" a="1"/>
  <c r="H234" i="8" a="1"/>
  <c r="O784" i="8" a="1"/>
  <c r="C40" i="8" a="1"/>
  <c r="C584" i="8" a="1"/>
  <c r="C784" i="8" a="1"/>
  <c r="Q584" i="8" a="1"/>
  <c r="I784" i="8" a="1"/>
  <c r="H784" i="8" a="1"/>
  <c r="U234" i="8" a="1"/>
  <c r="P234" i="8" a="1"/>
  <c r="P584" i="8" a="1"/>
  <c r="W684" i="8" a="1"/>
  <c r="K234" i="8" a="1"/>
  <c r="N486" i="8" a="1"/>
  <c r="F486" i="8" a="1"/>
  <c r="I684" i="8" a="1"/>
  <c r="E234" i="8" a="1"/>
  <c r="C385" i="8" a="1"/>
  <c r="N234" i="8" a="1"/>
  <c r="H486" i="8" a="1"/>
  <c r="R784" i="8" a="1"/>
  <c r="X385" i="8" a="1"/>
  <c r="Q684" i="8" a="1"/>
  <c r="H684" i="8" a="1"/>
  <c r="U584" i="8" a="1"/>
  <c r="U684" i="8" a="1"/>
  <c r="N385" i="8" a="1"/>
  <c r="D40" i="8" a="1"/>
  <c r="W234" i="8" a="1"/>
  <c r="U40" i="8" a="1"/>
  <c r="W385" i="8" a="1"/>
  <c r="E684" i="8" a="1"/>
  <c r="F385" i="8" a="1"/>
  <c r="F234" i="8" a="1"/>
  <c r="F40" i="8" a="1"/>
  <c r="M684" i="8" a="1"/>
  <c r="Y40" i="8" a="1"/>
  <c r="T486" i="8" a="1"/>
  <c r="L486" i="8" a="1"/>
  <c r="U486" i="8" a="1"/>
  <c r="M40" i="8" a="1"/>
  <c r="R40" i="8" a="1"/>
  <c r="O486" i="8" a="1"/>
  <c r="R584" i="8" a="1"/>
  <c r="G684" i="8" a="1"/>
  <c r="R385" i="8" a="1"/>
  <c r="P684" i="8" a="1"/>
  <c r="Q40" i="8" a="1"/>
  <c r="T584" i="8" a="1"/>
  <c r="W486" i="8" a="1"/>
  <c r="H385" i="8" a="1"/>
  <c r="I486" i="8" a="1"/>
  <c r="U784" i="8" a="1"/>
  <c r="V234" i="8" a="1"/>
  <c r="K584" i="8" a="1"/>
  <c r="V784" i="8" a="1"/>
  <c r="I40" i="8" a="1"/>
  <c r="F784" i="8" a="1"/>
  <c r="P40" i="8" a="1"/>
  <c r="G784" i="8" a="1"/>
  <c r="V584" i="8" a="1"/>
  <c r="D234" i="8" a="1"/>
  <c r="G40" i="8" a="1"/>
  <c r="V684" i="8" a="1"/>
  <c r="D385" i="8" a="1"/>
  <c r="H40" i="8" a="1"/>
  <c r="I385" i="8" a="1"/>
  <c r="L234" i="8" a="1"/>
  <c r="G234" i="8" a="1"/>
  <c r="M486" i="8" a="1"/>
  <c r="J684" i="8" a="1"/>
  <c r="X784" i="8" a="1"/>
  <c r="O40" i="8" a="1"/>
  <c r="I234" i="8" a="1"/>
  <c r="C486" i="8" a="1"/>
  <c r="M584" i="8" a="1"/>
  <c r="M784" i="8" a="1"/>
  <c r="K486" i="8" a="1"/>
  <c r="J486" i="8" a="1"/>
  <c r="C234" i="8" a="1"/>
  <c r="O385" i="8" a="1"/>
  <c r="R684" i="8" a="1"/>
  <c r="E784" i="8" a="1"/>
  <c r="W784" i="8" a="1"/>
  <c r="L684" i="8" a="1"/>
  <c r="R486" i="8" a="1"/>
  <c r="T385" i="8" a="1"/>
  <c r="P784" i="8" a="1"/>
  <c r="X684" i="8" a="1"/>
  <c r="D784" i="8" a="1"/>
  <c r="D684" i="8" a="1"/>
  <c r="O684" i="8" a="1"/>
  <c r="Y784" i="8" a="1"/>
  <c r="O584" i="8" a="1"/>
  <c r="L385" i="8" a="1"/>
  <c r="I584" i="8" a="1"/>
  <c r="X234" i="8" a="1"/>
  <c r="J40" i="8" a="1"/>
  <c r="V486" i="8" a="1"/>
  <c r="T234" i="8" a="1"/>
  <c r="X486" i="8" a="1"/>
  <c r="N684" i="8" a="1"/>
  <c r="Y684" i="8" a="1"/>
  <c r="T784" i="8" a="1"/>
  <c r="K784" i="8" a="1"/>
  <c r="N584" i="8" a="1"/>
  <c r="Y584" i="8" a="1"/>
  <c r="R234" i="8" a="1"/>
  <c r="J385" i="8" a="1"/>
  <c r="V40" i="8" a="1"/>
  <c r="J234" i="8" a="1"/>
  <c r="S485" i="8" l="1"/>
  <c r="G684" i="8"/>
  <c r="U684" i="8"/>
  <c r="Y684" i="8"/>
  <c r="H684" i="8"/>
  <c r="M684" i="8"/>
  <c r="Q684" i="8"/>
  <c r="D684" i="8"/>
  <c r="I684" i="8"/>
  <c r="N684" i="8"/>
  <c r="R684" i="8"/>
  <c r="J684" i="8"/>
  <c r="W684" i="8"/>
  <c r="E684" i="8"/>
  <c r="O684" i="8"/>
  <c r="F684" i="8"/>
  <c r="K684" i="8"/>
  <c r="T684" i="8"/>
  <c r="X684" i="8"/>
  <c r="L684" i="8"/>
  <c r="P684" i="8"/>
  <c r="C684" i="8"/>
  <c r="V684" i="8"/>
  <c r="T584" i="8"/>
  <c r="X584" i="8"/>
  <c r="D584" i="8"/>
  <c r="H584" i="8"/>
  <c r="L584" i="8"/>
  <c r="P584" i="8"/>
  <c r="U584" i="8"/>
  <c r="Y584" i="8"/>
  <c r="E584" i="8"/>
  <c r="I584" i="8"/>
  <c r="M584" i="8"/>
  <c r="Q584" i="8"/>
  <c r="V584" i="8"/>
  <c r="W584" i="8"/>
  <c r="C584" i="8"/>
  <c r="G584" i="8"/>
  <c r="K584" i="8"/>
  <c r="O584" i="8"/>
  <c r="R584" i="8"/>
  <c r="F584" i="8"/>
  <c r="J584" i="8"/>
  <c r="N584" i="8"/>
  <c r="V486" i="8"/>
  <c r="Q486" i="8"/>
  <c r="F486" i="8"/>
  <c r="J486" i="8"/>
  <c r="N486" i="8"/>
  <c r="R486" i="8"/>
  <c r="W486" i="8"/>
  <c r="M486" i="8"/>
  <c r="C486" i="8"/>
  <c r="G486" i="8"/>
  <c r="K486" i="8"/>
  <c r="O486" i="8"/>
  <c r="T486" i="8"/>
  <c r="X486" i="8"/>
  <c r="E486" i="8"/>
  <c r="D486" i="8"/>
  <c r="H486" i="8"/>
  <c r="L486" i="8"/>
  <c r="P486" i="8"/>
  <c r="I486" i="8"/>
  <c r="U486" i="8"/>
  <c r="Y486" i="8"/>
  <c r="S583" i="8"/>
  <c r="S683" i="8"/>
  <c r="S39" i="8"/>
  <c r="D234" i="8"/>
  <c r="H234" i="8"/>
  <c r="L234" i="8"/>
  <c r="P234" i="8"/>
  <c r="U234" i="8"/>
  <c r="Y234" i="8"/>
  <c r="E234" i="8"/>
  <c r="I234" i="8"/>
  <c r="M234" i="8"/>
  <c r="Q234" i="8"/>
  <c r="V234" i="8"/>
  <c r="F234" i="8"/>
  <c r="J234" i="8"/>
  <c r="N234" i="8"/>
  <c r="R234" i="8"/>
  <c r="W234" i="8"/>
  <c r="C234" i="8"/>
  <c r="G234" i="8"/>
  <c r="K234" i="8"/>
  <c r="O234" i="8"/>
  <c r="T234" i="8"/>
  <c r="X234" i="8"/>
  <c r="V40" i="8"/>
  <c r="F40" i="8"/>
  <c r="J40" i="8"/>
  <c r="N40" i="8"/>
  <c r="R40" i="8"/>
  <c r="W40" i="8"/>
  <c r="C40" i="8"/>
  <c r="G40" i="8"/>
  <c r="K40" i="8"/>
  <c r="O40" i="8"/>
  <c r="T40" i="8"/>
  <c r="X40" i="8"/>
  <c r="D40" i="8"/>
  <c r="H40" i="8"/>
  <c r="L40" i="8"/>
  <c r="P40" i="8"/>
  <c r="U40" i="8"/>
  <c r="Y40" i="8"/>
  <c r="E40" i="8"/>
  <c r="M40" i="8"/>
  <c r="Q40" i="8"/>
  <c r="I40" i="8"/>
  <c r="D385" i="8"/>
  <c r="H385" i="8"/>
  <c r="L385" i="8"/>
  <c r="P385" i="8"/>
  <c r="U385" i="8"/>
  <c r="Y385" i="8"/>
  <c r="E385" i="8"/>
  <c r="I385" i="8"/>
  <c r="M385" i="8"/>
  <c r="Q385" i="8"/>
  <c r="V385" i="8"/>
  <c r="F385" i="8"/>
  <c r="J385" i="8"/>
  <c r="N385" i="8"/>
  <c r="R385" i="8"/>
  <c r="C385" i="8"/>
  <c r="G385" i="8"/>
  <c r="K385" i="8"/>
  <c r="O385" i="8"/>
  <c r="T385" i="8"/>
  <c r="X385" i="8"/>
  <c r="W385" i="8"/>
  <c r="S384" i="8"/>
  <c r="S233" i="8"/>
  <c r="B41" i="8"/>
  <c r="B685" i="8"/>
  <c r="B585" i="8"/>
  <c r="S783" i="8"/>
  <c r="H784" i="8"/>
  <c r="W784" i="8"/>
  <c r="E784" i="8"/>
  <c r="L784" i="8"/>
  <c r="C784" i="8"/>
  <c r="I784" i="8"/>
  <c r="R784" i="8"/>
  <c r="D784" i="8"/>
  <c r="X784" i="8"/>
  <c r="N784" i="8"/>
  <c r="Y784" i="8"/>
  <c r="T784" i="8"/>
  <c r="J784" i="8"/>
  <c r="V784" i="8"/>
  <c r="O784" i="8"/>
  <c r="F784" i="8"/>
  <c r="U784" i="8"/>
  <c r="K784" i="8"/>
  <c r="Q784" i="8"/>
  <c r="P784" i="8"/>
  <c r="G784" i="8"/>
  <c r="M784" i="8"/>
  <c r="B786" i="8"/>
  <c r="B235" i="8"/>
  <c r="B487" i="8"/>
  <c r="B386" i="8"/>
  <c r="O685" i="8" a="1"/>
  <c r="H785" i="8" a="1"/>
  <c r="K487" i="8" a="1"/>
  <c r="L487" i="8" a="1"/>
  <c r="E685" i="8" a="1"/>
  <c r="I685" i="8" a="1"/>
  <c r="W41" i="8" a="1"/>
  <c r="U685" i="8" a="1"/>
  <c r="N487" i="8" a="1"/>
  <c r="H235" i="8" a="1"/>
  <c r="C785" i="8" a="1"/>
  <c r="X235" i="8" a="1"/>
  <c r="U585" i="8" a="1"/>
  <c r="P41" i="8" a="1"/>
  <c r="X685" i="8" a="1"/>
  <c r="Q235" i="8" a="1"/>
  <c r="C487" i="8" a="1"/>
  <c r="L41" i="8" a="1"/>
  <c r="Y41" i="8" a="1"/>
  <c r="Q585" i="8" a="1"/>
  <c r="Q386" i="8" a="1"/>
  <c r="Q487" i="8" a="1"/>
  <c r="Y386" i="8" a="1"/>
  <c r="T487" i="8" a="1"/>
  <c r="P487" i="8" a="1"/>
  <c r="E41" i="8" a="1"/>
  <c r="F685" i="8" a="1"/>
  <c r="V235" i="8" a="1"/>
  <c r="U487" i="8" a="1"/>
  <c r="H386" i="8" a="1"/>
  <c r="Y487" i="8" a="1"/>
  <c r="K41" i="8" a="1"/>
  <c r="F41" i="8" a="1"/>
  <c r="K585" i="8" a="1"/>
  <c r="G235" i="8" a="1"/>
  <c r="C685" i="8" a="1"/>
  <c r="N41" i="8" a="1"/>
  <c r="Y785" i="8" a="1"/>
  <c r="N235" i="8" a="1"/>
  <c r="G487" i="8" a="1"/>
  <c r="T585" i="8" a="1"/>
  <c r="M41" i="8" a="1"/>
  <c r="E235" i="8" a="1"/>
  <c r="F585" i="8" a="1"/>
  <c r="D785" i="8" a="1"/>
  <c r="T235" i="8" a="1"/>
  <c r="W235" i="8" a="1"/>
  <c r="F785" i="8" a="1"/>
  <c r="J235" i="8" a="1"/>
  <c r="E386" i="8" a="1"/>
  <c r="J785" i="8" a="1"/>
  <c r="T685" i="8" a="1"/>
  <c r="R785" i="8" a="1"/>
  <c r="H487" i="8" a="1"/>
  <c r="L685" i="8" a="1"/>
  <c r="K235" i="8" a="1"/>
  <c r="X487" i="8" a="1"/>
  <c r="X386" i="8" a="1"/>
  <c r="W487" i="8" a="1"/>
  <c r="X585" i="8" a="1"/>
  <c r="P785" i="8" a="1"/>
  <c r="T785" i="8" a="1"/>
  <c r="L585" i="8" a="1"/>
  <c r="M585" i="8" a="1"/>
  <c r="M487" i="8" a="1"/>
  <c r="P235" i="8" a="1"/>
  <c r="R487" i="8" a="1"/>
  <c r="G41" i="8" a="1"/>
  <c r="Q785" i="8" a="1"/>
  <c r="W685" i="8" a="1"/>
  <c r="R386" i="8" a="1"/>
  <c r="E585" i="8" a="1"/>
  <c r="Y585" i="8" a="1"/>
  <c r="T41" i="8" a="1"/>
  <c r="K386" i="8" a="1"/>
  <c r="R685" i="8" a="1"/>
  <c r="P386" i="8" a="1"/>
  <c r="G785" i="8" a="1"/>
  <c r="M386" i="8" a="1"/>
  <c r="V785" i="8" a="1"/>
  <c r="V487" i="8" a="1"/>
  <c r="I585" i="8" a="1"/>
  <c r="Q685" i="8" a="1"/>
  <c r="Y235" i="8" a="1"/>
  <c r="M785" i="8" a="1"/>
  <c r="D235" i="8" a="1"/>
  <c r="U386" i="8" a="1"/>
  <c r="X785" i="8" a="1"/>
  <c r="X41" i="8" a="1"/>
  <c r="V685" i="8" a="1"/>
  <c r="O386" i="8" a="1"/>
  <c r="I785" i="8" a="1"/>
  <c r="W785" i="8" a="1"/>
  <c r="D386" i="8" a="1"/>
  <c r="E785" i="8" a="1"/>
  <c r="U785" i="8" a="1"/>
  <c r="L785" i="8" a="1"/>
  <c r="C41" i="8" a="1"/>
  <c r="I41" i="8" a="1"/>
  <c r="H585" i="8" a="1"/>
  <c r="K785" i="8" a="1"/>
  <c r="V585" i="8" a="1"/>
  <c r="O785" i="8" a="1"/>
  <c r="I386" i="8" a="1"/>
  <c r="J685" i="8" a="1"/>
  <c r="M685" i="8" a="1"/>
  <c r="R235" i="8" a="1"/>
  <c r="O585" i="8" a="1"/>
  <c r="I487" i="8" a="1"/>
  <c r="K685" i="8" a="1"/>
  <c r="D41" i="8" a="1"/>
  <c r="N785" i="8" a="1"/>
  <c r="P585" i="8" a="1"/>
  <c r="F487" i="8" a="1"/>
  <c r="O41" i="8" a="1"/>
  <c r="T386" i="8" a="1"/>
  <c r="U235" i="8" a="1"/>
  <c r="W386" i="8" a="1"/>
  <c r="N685" i="8" a="1"/>
  <c r="V386" i="8" a="1"/>
  <c r="N585" i="8" a="1"/>
  <c r="P685" i="8" a="1"/>
  <c r="H41" i="8" a="1"/>
  <c r="C585" i="8" a="1"/>
  <c r="I235" i="8" a="1"/>
  <c r="Y685" i="8" a="1"/>
  <c r="J487" i="8" a="1"/>
  <c r="D585" i="8" a="1"/>
  <c r="L386" i="8" a="1"/>
  <c r="H685" i="8" a="1"/>
  <c r="O487" i="8" a="1"/>
  <c r="R41" i="8" a="1"/>
  <c r="C386" i="8" a="1"/>
  <c r="G685" i="8" a="1"/>
  <c r="Q41" i="8" a="1"/>
  <c r="N386" i="8" a="1"/>
  <c r="C235" i="8" a="1"/>
  <c r="U41" i="8" a="1"/>
  <c r="M235" i="8" a="1"/>
  <c r="W585" i="8" a="1"/>
  <c r="F386" i="8" a="1"/>
  <c r="R585" i="8" a="1"/>
  <c r="L235" i="8" a="1"/>
  <c r="E487" i="8" a="1"/>
  <c r="G585" i="8" a="1"/>
  <c r="D487" i="8" a="1"/>
  <c r="D685" i="8" a="1"/>
  <c r="J41" i="8" a="1"/>
  <c r="V41" i="8" a="1"/>
  <c r="J585" i="8" a="1"/>
  <c r="F235" i="8" a="1"/>
  <c r="O235" i="8" a="1"/>
  <c r="J386" i="8" a="1"/>
  <c r="G386" i="8" a="1"/>
  <c r="E585" i="8" l="1"/>
  <c r="I585" i="8"/>
  <c r="M585" i="8"/>
  <c r="Q585" i="8"/>
  <c r="V585" i="8"/>
  <c r="F585" i="8"/>
  <c r="J585" i="8"/>
  <c r="N585" i="8"/>
  <c r="R585" i="8"/>
  <c r="W585" i="8"/>
  <c r="C585" i="8"/>
  <c r="G585" i="8"/>
  <c r="K585" i="8"/>
  <c r="O585" i="8"/>
  <c r="D585" i="8"/>
  <c r="H585" i="8"/>
  <c r="L585" i="8"/>
  <c r="P585" i="8"/>
  <c r="U585" i="8"/>
  <c r="Y585" i="8"/>
  <c r="T585" i="8"/>
  <c r="X585" i="8"/>
  <c r="F685" i="8"/>
  <c r="J685" i="8"/>
  <c r="N685" i="8"/>
  <c r="R685" i="8"/>
  <c r="W685" i="8"/>
  <c r="T685" i="8"/>
  <c r="X685" i="8"/>
  <c r="D685" i="8"/>
  <c r="H685" i="8"/>
  <c r="L685" i="8"/>
  <c r="P685" i="8"/>
  <c r="U685" i="8"/>
  <c r="Y685" i="8"/>
  <c r="E685" i="8"/>
  <c r="I685" i="8"/>
  <c r="M685" i="8"/>
  <c r="Q685" i="8"/>
  <c r="V685" i="8"/>
  <c r="C685" i="8"/>
  <c r="O685" i="8"/>
  <c r="G685" i="8"/>
  <c r="K685" i="8"/>
  <c r="S684" i="8"/>
  <c r="S486" i="8"/>
  <c r="S584" i="8"/>
  <c r="S234" i="8"/>
  <c r="S40" i="8"/>
  <c r="C41" i="8"/>
  <c r="G41" i="8"/>
  <c r="K41" i="8"/>
  <c r="O41" i="8"/>
  <c r="T41" i="8"/>
  <c r="X41" i="8"/>
  <c r="D41" i="8"/>
  <c r="H41" i="8"/>
  <c r="L41" i="8"/>
  <c r="P41" i="8"/>
  <c r="U41" i="8"/>
  <c r="Y41" i="8"/>
  <c r="E41" i="8"/>
  <c r="I41" i="8"/>
  <c r="M41" i="8"/>
  <c r="Q41" i="8"/>
  <c r="V41" i="8"/>
  <c r="F41" i="8"/>
  <c r="J41" i="8"/>
  <c r="N41" i="8"/>
  <c r="R41" i="8"/>
  <c r="W41" i="8"/>
  <c r="V386" i="8"/>
  <c r="F386" i="8"/>
  <c r="J386" i="8"/>
  <c r="N386" i="8"/>
  <c r="R386" i="8"/>
  <c r="W386" i="8"/>
  <c r="C386" i="8"/>
  <c r="G386" i="8"/>
  <c r="K386" i="8"/>
  <c r="O386" i="8"/>
  <c r="T386" i="8"/>
  <c r="X386" i="8"/>
  <c r="U386" i="8"/>
  <c r="Y386" i="8"/>
  <c r="E386" i="8"/>
  <c r="I386" i="8"/>
  <c r="M386" i="8"/>
  <c r="Q386" i="8"/>
  <c r="D386" i="8"/>
  <c r="H386" i="8"/>
  <c r="L386" i="8"/>
  <c r="P386" i="8"/>
  <c r="W487" i="8"/>
  <c r="C487" i="8"/>
  <c r="G487" i="8"/>
  <c r="K487" i="8"/>
  <c r="O487" i="8"/>
  <c r="T487" i="8"/>
  <c r="X487" i="8"/>
  <c r="D487" i="8"/>
  <c r="H487" i="8"/>
  <c r="L487" i="8"/>
  <c r="P487" i="8"/>
  <c r="U487" i="8"/>
  <c r="Y487" i="8"/>
  <c r="E487" i="8"/>
  <c r="I487" i="8"/>
  <c r="M487" i="8"/>
  <c r="Q487" i="8"/>
  <c r="V487" i="8"/>
  <c r="F487" i="8"/>
  <c r="J487" i="8"/>
  <c r="N487" i="8"/>
  <c r="R487" i="8"/>
  <c r="V235" i="8"/>
  <c r="F235" i="8"/>
  <c r="J235" i="8"/>
  <c r="N235" i="8"/>
  <c r="R235" i="8"/>
  <c r="W235" i="8"/>
  <c r="C235" i="8"/>
  <c r="G235" i="8"/>
  <c r="K235" i="8"/>
  <c r="O235" i="8"/>
  <c r="T235" i="8"/>
  <c r="X235" i="8"/>
  <c r="D235" i="8"/>
  <c r="H235" i="8"/>
  <c r="L235" i="8"/>
  <c r="P235" i="8"/>
  <c r="U235" i="8"/>
  <c r="Y235" i="8"/>
  <c r="E235" i="8"/>
  <c r="I235" i="8"/>
  <c r="M235" i="8"/>
  <c r="Q235" i="8"/>
  <c r="S385" i="8"/>
  <c r="B42" i="8"/>
  <c r="B686" i="8"/>
  <c r="B586" i="8"/>
  <c r="S784" i="8"/>
  <c r="J785" i="8"/>
  <c r="E785" i="8"/>
  <c r="T785" i="8"/>
  <c r="F785" i="8"/>
  <c r="X785" i="8"/>
  <c r="Y785" i="8"/>
  <c r="O785" i="8"/>
  <c r="W785" i="8"/>
  <c r="U785" i="8"/>
  <c r="K785" i="8"/>
  <c r="I785" i="8"/>
  <c r="V785" i="8"/>
  <c r="P785" i="8"/>
  <c r="G785" i="8"/>
  <c r="L785" i="8"/>
  <c r="C785" i="8"/>
  <c r="Q785" i="8"/>
  <c r="H785" i="8"/>
  <c r="R785" i="8"/>
  <c r="M785" i="8"/>
  <c r="D785" i="8"/>
  <c r="N785" i="8"/>
  <c r="B787" i="8"/>
  <c r="B236" i="8"/>
  <c r="B488" i="8"/>
  <c r="B387" i="8"/>
  <c r="M488" i="8" a="1"/>
  <c r="E236" i="8" a="1"/>
  <c r="L488" i="8" a="1"/>
  <c r="V488" i="8" a="1"/>
  <c r="X686" i="8" a="1"/>
  <c r="H586" i="8" a="1"/>
  <c r="C387" i="8" a="1"/>
  <c r="V586" i="8" a="1"/>
  <c r="N236" i="8" a="1"/>
  <c r="H236" i="8" a="1"/>
  <c r="M236" i="8" a="1"/>
  <c r="O42" i="8" a="1"/>
  <c r="H42" i="8" a="1"/>
  <c r="N586" i="8" a="1"/>
  <c r="W786" i="8" a="1"/>
  <c r="R686" i="8" a="1"/>
  <c r="P236" i="8" a="1"/>
  <c r="G387" i="8" a="1"/>
  <c r="Q42" i="8" a="1"/>
  <c r="K42" i="8" a="1"/>
  <c r="D42" i="8" a="1"/>
  <c r="I786" i="8" a="1"/>
  <c r="F686" i="8" a="1"/>
  <c r="E586" i="8" a="1"/>
  <c r="P686" i="8" a="1"/>
  <c r="H786" i="8" a="1"/>
  <c r="Y786" i="8" a="1"/>
  <c r="W42" i="8" a="1"/>
  <c r="K488" i="8" a="1"/>
  <c r="F387" i="8" a="1"/>
  <c r="D786" i="8" a="1"/>
  <c r="Y586" i="8" a="1"/>
  <c r="V236" i="8" a="1"/>
  <c r="G686" i="8" a="1"/>
  <c r="D488" i="8" a="1"/>
  <c r="F488" i="8" a="1"/>
  <c r="I686" i="8" a="1"/>
  <c r="O236" i="8" a="1"/>
  <c r="F786" i="8" a="1"/>
  <c r="O586" i="8" a="1"/>
  <c r="I387" i="8" a="1"/>
  <c r="Q236" i="8" a="1"/>
  <c r="P488" i="8" a="1"/>
  <c r="L686" i="8" a="1"/>
  <c r="M387" i="8" a="1"/>
  <c r="J786" i="8" a="1"/>
  <c r="D236" i="8" a="1"/>
  <c r="X42" i="8" a="1"/>
  <c r="W236" i="8" a="1"/>
  <c r="J586" i="8" a="1"/>
  <c r="X236" i="8" a="1"/>
  <c r="L586" i="8" a="1"/>
  <c r="T488" i="8" a="1"/>
  <c r="O488" i="8" a="1"/>
  <c r="L786" i="8" a="1"/>
  <c r="N387" i="8" a="1"/>
  <c r="L236" i="8" a="1"/>
  <c r="R42" i="8" a="1"/>
  <c r="R488" i="8" a="1"/>
  <c r="U686" i="8" a="1"/>
  <c r="C586" i="8" a="1"/>
  <c r="Q488" i="8" a="1"/>
  <c r="D387" i="8" a="1"/>
  <c r="P42" i="8" a="1"/>
  <c r="O686" i="8" a="1"/>
  <c r="E786" i="8" a="1"/>
  <c r="Q786" i="8" a="1"/>
  <c r="G488" i="8" a="1"/>
  <c r="N488" i="8" a="1"/>
  <c r="P586" i="8" a="1"/>
  <c r="X488" i="8" a="1"/>
  <c r="I488" i="8" a="1"/>
  <c r="K786" i="8" a="1"/>
  <c r="C488" i="8" a="1"/>
  <c r="J236" i="8" a="1"/>
  <c r="Y236" i="8" a="1"/>
  <c r="M42" i="8" a="1"/>
  <c r="C42" i="8" a="1"/>
  <c r="I586" i="8" a="1"/>
  <c r="R387" i="8" a="1"/>
  <c r="U586" i="8" a="1"/>
  <c r="G786" i="8" a="1"/>
  <c r="Y387" i="8" a="1"/>
  <c r="M686" i="8" a="1"/>
  <c r="J686" i="8" a="1"/>
  <c r="O387" i="8" a="1"/>
  <c r="E42" i="8" a="1"/>
  <c r="D686" i="8" a="1"/>
  <c r="J387" i="8" a="1"/>
  <c r="W387" i="8" a="1"/>
  <c r="H686" i="8" a="1"/>
  <c r="F236" i="8" a="1"/>
  <c r="K236" i="8" a="1"/>
  <c r="C786" i="8" a="1"/>
  <c r="I236" i="8" a="1"/>
  <c r="N786" i="8" a="1"/>
  <c r="X586" i="8" a="1"/>
  <c r="F42" i="8" a="1"/>
  <c r="K686" i="8" a="1"/>
  <c r="G586" i="8" a="1"/>
  <c r="L387" i="8" a="1"/>
  <c r="Y488" i="8" a="1"/>
  <c r="G236" i="8" a="1"/>
  <c r="U786" i="8" a="1"/>
  <c r="Q686" i="8" a="1"/>
  <c r="F586" i="8" a="1"/>
  <c r="Y686" i="8" a="1"/>
  <c r="Y42" i="8" a="1"/>
  <c r="K387" i="8" a="1"/>
  <c r="T586" i="8" a="1"/>
  <c r="U387" i="8" a="1"/>
  <c r="R586" i="8" a="1"/>
  <c r="V387" i="8" a="1"/>
  <c r="W686" i="8" a="1"/>
  <c r="Q387" i="8" a="1"/>
  <c r="J488" i="8" a="1"/>
  <c r="X786" i="8" a="1"/>
  <c r="C686" i="8" a="1"/>
  <c r="M786" i="8" a="1"/>
  <c r="G42" i="8" a="1"/>
  <c r="T786" i="8" a="1"/>
  <c r="N42" i="8" a="1"/>
  <c r="E686" i="8" a="1"/>
  <c r="P786" i="8" a="1"/>
  <c r="M586" i="8" a="1"/>
  <c r="X387" i="8" a="1"/>
  <c r="T236" i="8" a="1"/>
  <c r="C236" i="8" a="1"/>
  <c r="E488" i="8" a="1"/>
  <c r="W586" i="8" a="1"/>
  <c r="V686" i="8" a="1"/>
  <c r="W488" i="8" a="1"/>
  <c r="L42" i="8" a="1"/>
  <c r="N686" i="8" a="1"/>
  <c r="P387" i="8" a="1"/>
  <c r="T686" i="8" a="1"/>
  <c r="T42" i="8" a="1"/>
  <c r="E387" i="8" a="1"/>
  <c r="Q586" i="8" a="1"/>
  <c r="U236" i="8" a="1"/>
  <c r="R236" i="8" a="1"/>
  <c r="H488" i="8" a="1"/>
  <c r="H387" i="8" a="1"/>
  <c r="V42" i="8" a="1"/>
  <c r="J42" i="8" a="1"/>
  <c r="T387" i="8" a="1"/>
  <c r="U42" i="8" a="1"/>
  <c r="R786" i="8" a="1"/>
  <c r="V786" i="8" a="1"/>
  <c r="U488" i="8" a="1"/>
  <c r="O786" i="8" a="1"/>
  <c r="D586" i="8" a="1"/>
  <c r="K586" i="8" a="1"/>
  <c r="I42" i="8" a="1"/>
  <c r="S585" i="8" l="1"/>
  <c r="W586" i="8"/>
  <c r="C586" i="8"/>
  <c r="G586" i="8"/>
  <c r="K586" i="8"/>
  <c r="O586" i="8"/>
  <c r="T586" i="8"/>
  <c r="X586" i="8"/>
  <c r="D586" i="8"/>
  <c r="H586" i="8"/>
  <c r="L586" i="8"/>
  <c r="P586" i="8"/>
  <c r="U586" i="8"/>
  <c r="Y586" i="8"/>
  <c r="V586" i="8"/>
  <c r="F586" i="8"/>
  <c r="J586" i="8"/>
  <c r="N586" i="8"/>
  <c r="R586" i="8"/>
  <c r="E586" i="8"/>
  <c r="I586" i="8"/>
  <c r="M586" i="8"/>
  <c r="Q586" i="8"/>
  <c r="T686" i="8"/>
  <c r="X686" i="8"/>
  <c r="D686" i="8"/>
  <c r="H686" i="8"/>
  <c r="L686" i="8"/>
  <c r="P686" i="8"/>
  <c r="E686" i="8"/>
  <c r="I686" i="8"/>
  <c r="M686" i="8"/>
  <c r="Q686" i="8"/>
  <c r="V686" i="8"/>
  <c r="F686" i="8"/>
  <c r="J686" i="8"/>
  <c r="N686" i="8"/>
  <c r="R686" i="8"/>
  <c r="W686" i="8"/>
  <c r="C686" i="8"/>
  <c r="G686" i="8"/>
  <c r="K686" i="8"/>
  <c r="O686" i="8"/>
  <c r="Y686" i="8"/>
  <c r="U686" i="8"/>
  <c r="S685" i="8"/>
  <c r="S386" i="8"/>
  <c r="U42" i="8"/>
  <c r="Y42" i="8"/>
  <c r="E42" i="8"/>
  <c r="I42" i="8"/>
  <c r="M42" i="8"/>
  <c r="Q42" i="8"/>
  <c r="V42" i="8"/>
  <c r="F42" i="8"/>
  <c r="J42" i="8"/>
  <c r="N42" i="8"/>
  <c r="R42" i="8"/>
  <c r="W42" i="8"/>
  <c r="C42" i="8"/>
  <c r="G42" i="8"/>
  <c r="K42" i="8"/>
  <c r="O42" i="8"/>
  <c r="T42" i="8"/>
  <c r="X42" i="8"/>
  <c r="H42" i="8"/>
  <c r="L42" i="8"/>
  <c r="P42" i="8"/>
  <c r="D42" i="8"/>
  <c r="D488" i="8"/>
  <c r="H488" i="8"/>
  <c r="L488" i="8"/>
  <c r="P488" i="8"/>
  <c r="U488" i="8"/>
  <c r="Y488" i="8"/>
  <c r="E488" i="8"/>
  <c r="I488" i="8"/>
  <c r="M488" i="8"/>
  <c r="Q488" i="8"/>
  <c r="V488" i="8"/>
  <c r="F488" i="8"/>
  <c r="J488" i="8"/>
  <c r="N488" i="8"/>
  <c r="R488" i="8"/>
  <c r="W488" i="8"/>
  <c r="C488" i="8"/>
  <c r="G488" i="8"/>
  <c r="K488" i="8"/>
  <c r="O488" i="8"/>
  <c r="T488" i="8"/>
  <c r="X488" i="8"/>
  <c r="C236" i="8"/>
  <c r="G236" i="8"/>
  <c r="K236" i="8"/>
  <c r="O236" i="8"/>
  <c r="T236" i="8"/>
  <c r="X236" i="8"/>
  <c r="D236" i="8"/>
  <c r="H236" i="8"/>
  <c r="L236" i="8"/>
  <c r="P236" i="8"/>
  <c r="U236" i="8"/>
  <c r="Y236" i="8"/>
  <c r="E236" i="8"/>
  <c r="I236" i="8"/>
  <c r="M236" i="8"/>
  <c r="Q236" i="8"/>
  <c r="V236" i="8"/>
  <c r="F236" i="8"/>
  <c r="J236" i="8"/>
  <c r="N236" i="8"/>
  <c r="R236" i="8"/>
  <c r="W236" i="8"/>
  <c r="C387" i="8"/>
  <c r="G387" i="8"/>
  <c r="K387" i="8"/>
  <c r="O387" i="8"/>
  <c r="T387" i="8"/>
  <c r="X387" i="8"/>
  <c r="D387" i="8"/>
  <c r="H387" i="8"/>
  <c r="L387" i="8"/>
  <c r="P387" i="8"/>
  <c r="U387" i="8"/>
  <c r="Y387" i="8"/>
  <c r="E387" i="8"/>
  <c r="I387" i="8"/>
  <c r="M387" i="8"/>
  <c r="Q387" i="8"/>
  <c r="F387" i="8"/>
  <c r="J387" i="8"/>
  <c r="N387" i="8"/>
  <c r="R387" i="8"/>
  <c r="W387" i="8"/>
  <c r="V387" i="8"/>
  <c r="S235" i="8"/>
  <c r="S41" i="8"/>
  <c r="S487" i="8"/>
  <c r="B43" i="8"/>
  <c r="B587" i="8"/>
  <c r="B687" i="8"/>
  <c r="S785" i="8"/>
  <c r="F786" i="8"/>
  <c r="U786" i="8"/>
  <c r="C786" i="8"/>
  <c r="J786" i="8"/>
  <c r="G786" i="8"/>
  <c r="P786" i="8"/>
  <c r="E786" i="8"/>
  <c r="Y786" i="8"/>
  <c r="X786" i="8"/>
  <c r="V786" i="8"/>
  <c r="L786" i="8"/>
  <c r="N786" i="8"/>
  <c r="W786" i="8"/>
  <c r="Q786" i="8"/>
  <c r="H786" i="8"/>
  <c r="D786" i="8"/>
  <c r="T786" i="8"/>
  <c r="M786" i="8"/>
  <c r="R786" i="8"/>
  <c r="I786" i="8"/>
  <c r="O786" i="8"/>
  <c r="K786" i="8"/>
  <c r="B788" i="8"/>
  <c r="B237" i="8"/>
  <c r="B489" i="8"/>
  <c r="B388" i="8"/>
  <c r="T687" i="8" a="1"/>
  <c r="O237" i="8" a="1"/>
  <c r="J388" i="8" a="1"/>
  <c r="X687" i="8" a="1"/>
  <c r="N687" i="8" a="1"/>
  <c r="P43" i="8" a="1"/>
  <c r="E687" i="8" a="1"/>
  <c r="R587" i="8" a="1"/>
  <c r="T43" i="8" a="1"/>
  <c r="U787" i="8" a="1"/>
  <c r="Q587" i="8" a="1"/>
  <c r="V489" i="8" a="1"/>
  <c r="V43" i="8" a="1"/>
  <c r="D237" i="8" a="1"/>
  <c r="I43" i="8" a="1"/>
  <c r="N237" i="8" a="1"/>
  <c r="R388" i="8" a="1"/>
  <c r="W587" i="8" a="1"/>
  <c r="L489" i="8" a="1"/>
  <c r="J43" i="8" a="1"/>
  <c r="N388" i="8" a="1"/>
  <c r="O388" i="8" a="1"/>
  <c r="G237" i="8" a="1"/>
  <c r="F388" i="8" a="1"/>
  <c r="J489" i="8" a="1"/>
  <c r="I237" i="8" a="1"/>
  <c r="W489" i="8" a="1"/>
  <c r="V587" i="8" a="1"/>
  <c r="C787" i="8" a="1"/>
  <c r="J587" i="8" a="1"/>
  <c r="P237" i="8" a="1"/>
  <c r="O43" i="8" a="1"/>
  <c r="V687" i="8" a="1"/>
  <c r="X388" i="8" a="1"/>
  <c r="E388" i="8" a="1"/>
  <c r="X489" i="8" a="1"/>
  <c r="J237" i="8" a="1"/>
  <c r="L237" i="8" a="1"/>
  <c r="K489" i="8" a="1"/>
  <c r="U237" i="8" a="1"/>
  <c r="E489" i="8" a="1"/>
  <c r="G787" i="8" a="1"/>
  <c r="F237" i="8" a="1"/>
  <c r="Q43" i="8" a="1"/>
  <c r="N787" i="8" a="1"/>
  <c r="W388" i="8" a="1"/>
  <c r="C489" i="8" a="1"/>
  <c r="Q388" i="8" a="1"/>
  <c r="R787" i="8" a="1"/>
  <c r="U489" i="8" a="1"/>
  <c r="W787" i="8" a="1"/>
  <c r="I587" i="8" a="1"/>
  <c r="R687" i="8" a="1"/>
  <c r="U388" i="8" a="1"/>
  <c r="O587" i="8" a="1"/>
  <c r="I687" i="8" a="1"/>
  <c r="C587" i="8" a="1"/>
  <c r="T237" i="8" a="1"/>
  <c r="O489" i="8" a="1"/>
  <c r="M787" i="8" a="1"/>
  <c r="W237" i="8" a="1"/>
  <c r="F43" i="8" a="1"/>
  <c r="N587" i="8" a="1"/>
  <c r="D787" i="8" a="1"/>
  <c r="F587" i="8" a="1"/>
  <c r="K687" i="8" a="1"/>
  <c r="G388" i="8" a="1"/>
  <c r="R43" i="8" a="1"/>
  <c r="Q237" i="8" a="1"/>
  <c r="J687" i="8" a="1"/>
  <c r="J787" i="8" a="1"/>
  <c r="V237" i="8" a="1"/>
  <c r="H787" i="8" a="1"/>
  <c r="X587" i="8" a="1"/>
  <c r="U687" i="8" a="1"/>
  <c r="D687" i="8" a="1"/>
  <c r="P587" i="8" a="1"/>
  <c r="F687" i="8" a="1"/>
  <c r="L787" i="8" a="1"/>
  <c r="H43" i="8" a="1"/>
  <c r="L687" i="8" a="1"/>
  <c r="M43" i="8" a="1"/>
  <c r="Y587" i="8" a="1"/>
  <c r="K43" i="8" a="1"/>
  <c r="D587" i="8" a="1"/>
  <c r="G587" i="8" a="1"/>
  <c r="H587" i="8" a="1"/>
  <c r="I489" i="8" a="1"/>
  <c r="E43" i="8" a="1"/>
  <c r="K587" i="8" a="1"/>
  <c r="F489" i="8" a="1"/>
  <c r="T388" i="8" a="1"/>
  <c r="G489" i="8" a="1"/>
  <c r="Q787" i="8" a="1"/>
  <c r="X237" i="8" a="1"/>
  <c r="E237" i="8" a="1"/>
  <c r="Y43" i="8" a="1"/>
  <c r="P489" i="8" a="1"/>
  <c r="L43" i="8" a="1"/>
  <c r="R237" i="8" a="1"/>
  <c r="M687" i="8" a="1"/>
  <c r="V787" i="8" a="1"/>
  <c r="X43" i="8" a="1"/>
  <c r="Q489" i="8" a="1"/>
  <c r="Y687" i="8" a="1"/>
  <c r="P388" i="8" a="1"/>
  <c r="C237" i="8" a="1"/>
  <c r="I388" i="8" a="1"/>
  <c r="K787" i="8" a="1"/>
  <c r="C43" i="8" a="1"/>
  <c r="Y489" i="8" a="1"/>
  <c r="T787" i="8" a="1"/>
  <c r="U43" i="8" a="1"/>
  <c r="F787" i="8" a="1"/>
  <c r="N489" i="8" a="1"/>
  <c r="O787" i="8" a="1"/>
  <c r="T489" i="8" a="1"/>
  <c r="U587" i="8" a="1"/>
  <c r="M587" i="8" a="1"/>
  <c r="P687" i="8" a="1"/>
  <c r="D43" i="8" a="1"/>
  <c r="W43" i="8" a="1"/>
  <c r="G43" i="8" a="1"/>
  <c r="D489" i="8" a="1"/>
  <c r="H237" i="8" a="1"/>
  <c r="H489" i="8" a="1"/>
  <c r="M237" i="8" a="1"/>
  <c r="L388" i="8" a="1"/>
  <c r="Y388" i="8" a="1"/>
  <c r="I787" i="8" a="1"/>
  <c r="P787" i="8" a="1"/>
  <c r="H388" i="8" a="1"/>
  <c r="C687" i="8" a="1"/>
  <c r="Y237" i="8" a="1"/>
  <c r="Y787" i="8" a="1"/>
  <c r="E587" i="8" a="1"/>
  <c r="R489" i="8" a="1"/>
  <c r="L587" i="8" a="1"/>
  <c r="G687" i="8" a="1"/>
  <c r="M388" i="8" a="1"/>
  <c r="O687" i="8" a="1"/>
  <c r="E787" i="8" a="1"/>
  <c r="H687" i="8" a="1"/>
  <c r="C388" i="8" a="1"/>
  <c r="Q687" i="8" a="1"/>
  <c r="M489" i="8" a="1"/>
  <c r="V388" i="8" a="1"/>
  <c r="K237" i="8" a="1"/>
  <c r="D388" i="8" a="1"/>
  <c r="W687" i="8" a="1"/>
  <c r="N43" i="8" a="1"/>
  <c r="T587" i="8" a="1"/>
  <c r="K388" i="8" a="1"/>
  <c r="X787" i="8" a="1"/>
  <c r="S686" i="8" l="1"/>
  <c r="E687" i="8"/>
  <c r="I687" i="8"/>
  <c r="M687" i="8"/>
  <c r="Q687" i="8"/>
  <c r="V687" i="8"/>
  <c r="W687" i="8"/>
  <c r="C687" i="8"/>
  <c r="G687" i="8"/>
  <c r="K687" i="8"/>
  <c r="O687" i="8"/>
  <c r="T687" i="8"/>
  <c r="X687" i="8"/>
  <c r="D687" i="8"/>
  <c r="H687" i="8"/>
  <c r="L687" i="8"/>
  <c r="P687" i="8"/>
  <c r="U687" i="8"/>
  <c r="Y687" i="8"/>
  <c r="F687" i="8"/>
  <c r="J687" i="8"/>
  <c r="N687" i="8"/>
  <c r="R687" i="8"/>
  <c r="D587" i="8"/>
  <c r="H587" i="8"/>
  <c r="L587" i="8"/>
  <c r="P587" i="8"/>
  <c r="U587" i="8"/>
  <c r="Y587" i="8"/>
  <c r="E587" i="8"/>
  <c r="I587" i="8"/>
  <c r="M587" i="8"/>
  <c r="Q587" i="8"/>
  <c r="V587" i="8"/>
  <c r="F587" i="8"/>
  <c r="J587" i="8"/>
  <c r="N587" i="8"/>
  <c r="R587" i="8"/>
  <c r="C587" i="8"/>
  <c r="G587" i="8"/>
  <c r="K587" i="8"/>
  <c r="O587" i="8"/>
  <c r="T587" i="8"/>
  <c r="X587" i="8"/>
  <c r="W587" i="8"/>
  <c r="S586" i="8"/>
  <c r="S387" i="8"/>
  <c r="S488" i="8"/>
  <c r="S236" i="8"/>
  <c r="S42" i="8"/>
  <c r="U388" i="8"/>
  <c r="Y388" i="8"/>
  <c r="E388" i="8"/>
  <c r="I388" i="8"/>
  <c r="M388" i="8"/>
  <c r="Q388" i="8"/>
  <c r="V388" i="8"/>
  <c r="F388" i="8"/>
  <c r="J388" i="8"/>
  <c r="N388" i="8"/>
  <c r="R388" i="8"/>
  <c r="W388" i="8"/>
  <c r="T388" i="8"/>
  <c r="X388" i="8"/>
  <c r="D388" i="8"/>
  <c r="H388" i="8"/>
  <c r="L388" i="8"/>
  <c r="P388" i="8"/>
  <c r="C388" i="8"/>
  <c r="G388" i="8"/>
  <c r="O388" i="8"/>
  <c r="K388" i="8"/>
  <c r="V489" i="8"/>
  <c r="F489" i="8"/>
  <c r="J489" i="8"/>
  <c r="N489" i="8"/>
  <c r="R489" i="8"/>
  <c r="W489" i="8"/>
  <c r="C489" i="8"/>
  <c r="G489" i="8"/>
  <c r="K489" i="8"/>
  <c r="O489" i="8"/>
  <c r="T489" i="8"/>
  <c r="X489" i="8"/>
  <c r="D489" i="8"/>
  <c r="H489" i="8"/>
  <c r="L489" i="8"/>
  <c r="P489" i="8"/>
  <c r="U489" i="8"/>
  <c r="Y489" i="8"/>
  <c r="Q489" i="8"/>
  <c r="M489" i="8"/>
  <c r="E489" i="8"/>
  <c r="I489" i="8"/>
  <c r="U237" i="8"/>
  <c r="Y237" i="8"/>
  <c r="E237" i="8"/>
  <c r="I237" i="8"/>
  <c r="M237" i="8"/>
  <c r="Q237" i="8"/>
  <c r="V237" i="8"/>
  <c r="F237" i="8"/>
  <c r="J237" i="8"/>
  <c r="N237" i="8"/>
  <c r="R237" i="8"/>
  <c r="W237" i="8"/>
  <c r="C237" i="8"/>
  <c r="G237" i="8"/>
  <c r="K237" i="8"/>
  <c r="O237" i="8"/>
  <c r="T237" i="8"/>
  <c r="X237" i="8"/>
  <c r="L237" i="8"/>
  <c r="P237" i="8"/>
  <c r="H237" i="8"/>
  <c r="D237" i="8"/>
  <c r="F43" i="8"/>
  <c r="J43" i="8"/>
  <c r="N43" i="8"/>
  <c r="R43" i="8"/>
  <c r="W43" i="8"/>
  <c r="C43" i="8"/>
  <c r="G43" i="8"/>
  <c r="K43" i="8"/>
  <c r="O43" i="8"/>
  <c r="T43" i="8"/>
  <c r="X43" i="8"/>
  <c r="D43" i="8"/>
  <c r="H43" i="8"/>
  <c r="L43" i="8"/>
  <c r="P43" i="8"/>
  <c r="U43" i="8"/>
  <c r="Y43" i="8"/>
  <c r="E43" i="8"/>
  <c r="I43" i="8"/>
  <c r="M43" i="8"/>
  <c r="Q43" i="8"/>
  <c r="V43" i="8"/>
  <c r="B44" i="8"/>
  <c r="B588" i="8"/>
  <c r="B688" i="8"/>
  <c r="K787" i="8"/>
  <c r="G787" i="8"/>
  <c r="V787" i="8"/>
  <c r="D787" i="8"/>
  <c r="C787" i="8"/>
  <c r="Q787" i="8"/>
  <c r="J787" i="8"/>
  <c r="H787" i="8"/>
  <c r="Y787" i="8"/>
  <c r="W787" i="8"/>
  <c r="M787" i="8"/>
  <c r="X787" i="8"/>
  <c r="R787" i="8"/>
  <c r="I787" i="8"/>
  <c r="U787" i="8"/>
  <c r="N787" i="8"/>
  <c r="E787" i="8"/>
  <c r="T787" i="8"/>
  <c r="P787" i="8"/>
  <c r="O787" i="8"/>
  <c r="F787" i="8"/>
  <c r="L787" i="8"/>
  <c r="B789" i="8"/>
  <c r="S786" i="8"/>
  <c r="B238" i="8"/>
  <c r="B490" i="8"/>
  <c r="B389" i="8"/>
  <c r="N389" i="8" a="1"/>
  <c r="U389" i="8" a="1"/>
  <c r="I389" i="8" a="1"/>
  <c r="K44" i="8" a="1"/>
  <c r="J788" i="8" a="1"/>
  <c r="O44" i="8" a="1"/>
  <c r="M490" i="8" a="1"/>
  <c r="T788" i="8" a="1"/>
  <c r="I588" i="8" a="1"/>
  <c r="T588" i="8" a="1"/>
  <c r="W490" i="8" a="1"/>
  <c r="Y238" i="8" a="1"/>
  <c r="E688" i="8" a="1"/>
  <c r="X389" i="8" a="1"/>
  <c r="F788" i="8" a="1"/>
  <c r="D389" i="8" a="1"/>
  <c r="C788" i="8" a="1"/>
  <c r="N688" i="8" a="1"/>
  <c r="T490" i="8" a="1"/>
  <c r="Y688" i="8" a="1"/>
  <c r="O588" i="8" a="1"/>
  <c r="W389" i="8" a="1"/>
  <c r="M688" i="8" a="1"/>
  <c r="I44" i="8" a="1"/>
  <c r="Q588" i="8" a="1"/>
  <c r="J44" i="8" a="1"/>
  <c r="T688" i="8" a="1"/>
  <c r="O490" i="8" a="1"/>
  <c r="K490" i="8" a="1"/>
  <c r="P44" i="8" a="1"/>
  <c r="P588" i="8" a="1"/>
  <c r="H389" i="8" a="1"/>
  <c r="U588" i="8" a="1"/>
  <c r="O238" i="8" a="1"/>
  <c r="R788" i="8" a="1"/>
  <c r="G688" i="8" a="1"/>
  <c r="Q238" i="8" a="1"/>
  <c r="H490" i="8" a="1"/>
  <c r="O688" i="8" a="1"/>
  <c r="X688" i="8" a="1"/>
  <c r="D588" i="8" a="1"/>
  <c r="X44" i="8" a="1"/>
  <c r="G389" i="8" a="1"/>
  <c r="L688" i="8" a="1"/>
  <c r="I238" i="8" a="1"/>
  <c r="R44" i="8" a="1"/>
  <c r="X238" i="8" a="1"/>
  <c r="U490" i="8" a="1"/>
  <c r="Q389" i="8" a="1"/>
  <c r="E490" i="8" a="1"/>
  <c r="O788" i="8" a="1"/>
  <c r="V588" i="8" a="1"/>
  <c r="Y44" i="8" a="1"/>
  <c r="R688" i="8" a="1"/>
  <c r="U44" i="8" a="1"/>
  <c r="M44" i="8" a="1"/>
  <c r="X490" i="8" a="1"/>
  <c r="T389" i="8" a="1"/>
  <c r="W238" i="8" a="1"/>
  <c r="Q688" i="8" a="1"/>
  <c r="V490" i="8" a="1"/>
  <c r="W688" i="8" a="1"/>
  <c r="R238" i="8" a="1"/>
  <c r="N588" i="8" a="1"/>
  <c r="H688" i="8" a="1"/>
  <c r="P688" i="8" a="1"/>
  <c r="R490" i="8" a="1"/>
  <c r="N238" i="8" a="1"/>
  <c r="C44" i="8" a="1"/>
  <c r="F688" i="8" a="1"/>
  <c r="J389" i="8" a="1"/>
  <c r="V389" i="8" a="1"/>
  <c r="N490" i="8" a="1"/>
  <c r="C688" i="8" a="1"/>
  <c r="G44" i="8" a="1"/>
  <c r="E44" i="8" a="1"/>
  <c r="X788" i="8" a="1"/>
  <c r="V788" i="8" a="1"/>
  <c r="Y588" i="8" a="1"/>
  <c r="M788" i="8" a="1"/>
  <c r="D788" i="8" a="1"/>
  <c r="X588" i="8" a="1"/>
  <c r="N44" i="8" a="1"/>
  <c r="M389" i="8" a="1"/>
  <c r="P238" i="8" a="1"/>
  <c r="C490" i="8" a="1"/>
  <c r="L588" i="8" a="1"/>
  <c r="H788" i="8" a="1"/>
  <c r="V44" i="8" a="1"/>
  <c r="U238" i="8" a="1"/>
  <c r="J588" i="8" a="1"/>
  <c r="I688" i="8" a="1"/>
  <c r="P788" i="8" a="1"/>
  <c r="K389" i="8" a="1"/>
  <c r="C389" i="8" a="1"/>
  <c r="Y788" i="8" a="1"/>
  <c r="Q44" i="8" a="1"/>
  <c r="O389" i="8" a="1"/>
  <c r="K238" i="8" a="1"/>
  <c r="L238" i="8" a="1"/>
  <c r="G788" i="8" a="1"/>
  <c r="I788" i="8" a="1"/>
  <c r="G588" i="8" a="1"/>
  <c r="L389" i="8" a="1"/>
  <c r="E389" i="8" a="1"/>
  <c r="W588" i="8" a="1"/>
  <c r="E588" i="8" a="1"/>
  <c r="Y389" i="8" a="1"/>
  <c r="F238" i="8" a="1"/>
  <c r="M588" i="8" a="1"/>
  <c r="J490" i="8" a="1"/>
  <c r="F44" i="8" a="1"/>
  <c r="W788" i="8" a="1"/>
  <c r="H238" i="8" a="1"/>
  <c r="U688" i="8" a="1"/>
  <c r="C588" i="8" a="1"/>
  <c r="U788" i="8" a="1"/>
  <c r="R389" i="8" a="1"/>
  <c r="E788" i="8" a="1"/>
  <c r="L490" i="8" a="1"/>
  <c r="K588" i="8" a="1"/>
  <c r="I490" i="8" a="1"/>
  <c r="C238" i="8" a="1"/>
  <c r="F389" i="8" a="1"/>
  <c r="D688" i="8" a="1"/>
  <c r="N788" i="8" a="1"/>
  <c r="M238" i="8" a="1"/>
  <c r="Q788" i="8" a="1"/>
  <c r="K788" i="8" a="1"/>
  <c r="L44" i="8" a="1"/>
  <c r="H588" i="8" a="1"/>
  <c r="P389" i="8" a="1"/>
  <c r="W44" i="8" a="1"/>
  <c r="V238" i="8" a="1"/>
  <c r="D238" i="8" a="1"/>
  <c r="T238" i="8" a="1"/>
  <c r="P490" i="8" a="1"/>
  <c r="Y490" i="8" a="1"/>
  <c r="G238" i="8" a="1"/>
  <c r="J688" i="8" a="1"/>
  <c r="Q490" i="8" a="1"/>
  <c r="R588" i="8" a="1"/>
  <c r="K688" i="8" a="1"/>
  <c r="D44" i="8" a="1"/>
  <c r="G490" i="8" a="1"/>
  <c r="H44" i="8" a="1"/>
  <c r="L788" i="8" a="1"/>
  <c r="F490" i="8" a="1"/>
  <c r="J238" i="8" a="1"/>
  <c r="E238" i="8" a="1"/>
  <c r="V688" i="8" a="1"/>
  <c r="D490" i="8" a="1"/>
  <c r="T44" i="8" a="1"/>
  <c r="F588" i="8" a="1"/>
  <c r="W688" i="8" l="1"/>
  <c r="C688" i="8"/>
  <c r="G688" i="8"/>
  <c r="K688" i="8"/>
  <c r="O688" i="8"/>
  <c r="D688" i="8"/>
  <c r="H688" i="8"/>
  <c r="L688" i="8"/>
  <c r="P688" i="8"/>
  <c r="U688" i="8"/>
  <c r="Y688" i="8"/>
  <c r="E688" i="8"/>
  <c r="I688" i="8"/>
  <c r="M688" i="8"/>
  <c r="Q688" i="8"/>
  <c r="V688" i="8"/>
  <c r="F688" i="8"/>
  <c r="J688" i="8"/>
  <c r="N688" i="8"/>
  <c r="R688" i="8"/>
  <c r="T688" i="8"/>
  <c r="X688" i="8"/>
  <c r="V588" i="8"/>
  <c r="F588" i="8"/>
  <c r="J588" i="8"/>
  <c r="N588" i="8"/>
  <c r="R588" i="8"/>
  <c r="W588" i="8"/>
  <c r="C588" i="8"/>
  <c r="G588" i="8"/>
  <c r="K588" i="8"/>
  <c r="O588" i="8"/>
  <c r="T588" i="8"/>
  <c r="X588" i="8"/>
  <c r="U588" i="8"/>
  <c r="Y588" i="8"/>
  <c r="E588" i="8"/>
  <c r="I588" i="8"/>
  <c r="M588" i="8"/>
  <c r="Q588" i="8"/>
  <c r="D588" i="8"/>
  <c r="H588" i="8"/>
  <c r="L588" i="8"/>
  <c r="P588" i="8"/>
  <c r="S687" i="8"/>
  <c r="S587" i="8"/>
  <c r="T44" i="8"/>
  <c r="X44" i="8"/>
  <c r="D44" i="8"/>
  <c r="H44" i="8"/>
  <c r="L44" i="8"/>
  <c r="P44" i="8"/>
  <c r="U44" i="8"/>
  <c r="Y44" i="8"/>
  <c r="E44" i="8"/>
  <c r="I44" i="8"/>
  <c r="M44" i="8"/>
  <c r="Q44" i="8"/>
  <c r="V44" i="8"/>
  <c r="F44" i="8"/>
  <c r="J44" i="8"/>
  <c r="N44" i="8"/>
  <c r="R44" i="8"/>
  <c r="W44" i="8"/>
  <c r="C44" i="8"/>
  <c r="G44" i="8"/>
  <c r="K44" i="8"/>
  <c r="O44" i="8"/>
  <c r="F389" i="8"/>
  <c r="J389" i="8"/>
  <c r="N389" i="8"/>
  <c r="R389" i="8"/>
  <c r="W389" i="8"/>
  <c r="C389" i="8"/>
  <c r="G389" i="8"/>
  <c r="K389" i="8"/>
  <c r="O389" i="8"/>
  <c r="T389" i="8"/>
  <c r="X389" i="8"/>
  <c r="D389" i="8"/>
  <c r="H389" i="8"/>
  <c r="L389" i="8"/>
  <c r="P389" i="8"/>
  <c r="E389" i="8"/>
  <c r="I389" i="8"/>
  <c r="M389" i="8"/>
  <c r="Q389" i="8"/>
  <c r="U389" i="8"/>
  <c r="V389" i="8"/>
  <c r="Y389" i="8"/>
  <c r="C490" i="8"/>
  <c r="G490" i="8"/>
  <c r="K490" i="8"/>
  <c r="O490" i="8"/>
  <c r="T490" i="8"/>
  <c r="X490" i="8"/>
  <c r="D490" i="8"/>
  <c r="H490" i="8"/>
  <c r="L490" i="8"/>
  <c r="P490" i="8"/>
  <c r="U490" i="8"/>
  <c r="Y490" i="8"/>
  <c r="E490" i="8"/>
  <c r="I490" i="8"/>
  <c r="M490" i="8"/>
  <c r="Q490" i="8"/>
  <c r="V490" i="8"/>
  <c r="F490" i="8"/>
  <c r="J490" i="8"/>
  <c r="N490" i="8"/>
  <c r="R490" i="8"/>
  <c r="W490" i="8"/>
  <c r="F238" i="8"/>
  <c r="J238" i="8"/>
  <c r="N238" i="8"/>
  <c r="R238" i="8"/>
  <c r="W238" i="8"/>
  <c r="C238" i="8"/>
  <c r="G238" i="8"/>
  <c r="K238" i="8"/>
  <c r="O238" i="8"/>
  <c r="T238" i="8"/>
  <c r="X238" i="8"/>
  <c r="D238" i="8"/>
  <c r="H238" i="8"/>
  <c r="L238" i="8"/>
  <c r="P238" i="8"/>
  <c r="U238" i="8"/>
  <c r="Y238" i="8"/>
  <c r="E238" i="8"/>
  <c r="I238" i="8"/>
  <c r="M238" i="8"/>
  <c r="Q238" i="8"/>
  <c r="V238" i="8"/>
  <c r="S489" i="8"/>
  <c r="S43" i="8"/>
  <c r="S237" i="8"/>
  <c r="S388" i="8"/>
  <c r="B45" i="8"/>
  <c r="B689" i="8"/>
  <c r="B589" i="8"/>
  <c r="S787" i="8"/>
  <c r="C788" i="8"/>
  <c r="H788" i="8"/>
  <c r="W788" i="8"/>
  <c r="E788" i="8"/>
  <c r="L788" i="8"/>
  <c r="I788" i="8"/>
  <c r="D788" i="8"/>
  <c r="R788" i="8"/>
  <c r="X788" i="8"/>
  <c r="N788" i="8"/>
  <c r="Y788" i="8"/>
  <c r="T788" i="8"/>
  <c r="J788" i="8"/>
  <c r="V788" i="8"/>
  <c r="O788" i="8"/>
  <c r="F788" i="8"/>
  <c r="U788" i="8"/>
  <c r="K788" i="8"/>
  <c r="Q788" i="8"/>
  <c r="P788" i="8"/>
  <c r="G788" i="8"/>
  <c r="M788" i="8"/>
  <c r="B790" i="8"/>
  <c r="B239" i="8"/>
  <c r="B491" i="8"/>
  <c r="B390" i="8"/>
  <c r="X491" i="8" a="1"/>
  <c r="O589" i="8" a="1"/>
  <c r="H45" i="8" a="1"/>
  <c r="V239" i="8" a="1"/>
  <c r="O45" i="8" a="1"/>
  <c r="C789" i="8" a="1"/>
  <c r="F689" i="8" a="1"/>
  <c r="K491" i="8" a="1"/>
  <c r="K789" i="8" a="1"/>
  <c r="R689" i="8" a="1"/>
  <c r="Q491" i="8" a="1"/>
  <c r="V689" i="8" a="1"/>
  <c r="N491" i="8" a="1"/>
  <c r="K45" i="8" a="1"/>
  <c r="Q239" i="8" a="1"/>
  <c r="N390" i="8" a="1"/>
  <c r="O390" i="8" a="1"/>
  <c r="X689" i="8" a="1"/>
  <c r="K589" i="8" a="1"/>
  <c r="C45" i="8" a="1"/>
  <c r="X45" i="8" a="1"/>
  <c r="I491" i="8" a="1"/>
  <c r="K689" i="8" a="1"/>
  <c r="K239" i="8" a="1"/>
  <c r="Y239" i="8" a="1"/>
  <c r="D589" i="8" a="1"/>
  <c r="U390" i="8" a="1"/>
  <c r="N789" i="8" a="1"/>
  <c r="J789" i="8" a="1"/>
  <c r="I390" i="8" a="1"/>
  <c r="E491" i="8" a="1"/>
  <c r="H491" i="8" a="1"/>
  <c r="H689" i="8" a="1"/>
  <c r="W789" i="8" a="1"/>
  <c r="X589" i="8" a="1"/>
  <c r="D390" i="8" a="1"/>
  <c r="V390" i="8" a="1"/>
  <c r="X390" i="8" a="1"/>
  <c r="U689" i="8" a="1"/>
  <c r="U789" i="8" a="1"/>
  <c r="D239" i="8" a="1"/>
  <c r="W390" i="8" a="1"/>
  <c r="C491" i="8" a="1"/>
  <c r="L45" i="8" a="1"/>
  <c r="G789" i="8" a="1"/>
  <c r="P239" i="8" a="1"/>
  <c r="R239" i="8" a="1"/>
  <c r="T239" i="8" a="1"/>
  <c r="R45" i="8" a="1"/>
  <c r="L789" i="8" a="1"/>
  <c r="P789" i="8" a="1"/>
  <c r="D689" i="8" a="1"/>
  <c r="P589" i="8" a="1"/>
  <c r="C689" i="8" a="1"/>
  <c r="J491" i="8" a="1"/>
  <c r="P45" i="8" a="1"/>
  <c r="C589" i="8" a="1"/>
  <c r="N239" i="8" a="1"/>
  <c r="U491" i="8" a="1"/>
  <c r="I689" i="8" a="1"/>
  <c r="H239" i="8" a="1"/>
  <c r="X789" i="8" a="1"/>
  <c r="W239" i="8" a="1"/>
  <c r="E689" i="8" a="1"/>
  <c r="T491" i="8" a="1"/>
  <c r="T45" i="8" a="1"/>
  <c r="O789" i="8" a="1"/>
  <c r="G239" i="8" a="1"/>
  <c r="R789" i="8" a="1"/>
  <c r="X239" i="8" a="1"/>
  <c r="D789" i="8" a="1"/>
  <c r="M789" i="8" a="1"/>
  <c r="P390" i="8" a="1"/>
  <c r="E390" i="8" a="1"/>
  <c r="Y390" i="8" a="1"/>
  <c r="R390" i="8" a="1"/>
  <c r="E239" i="8" a="1"/>
  <c r="P491" i="8" a="1"/>
  <c r="V589" i="8" a="1"/>
  <c r="G589" i="8" a="1"/>
  <c r="U45" i="8" a="1"/>
  <c r="L589" i="8" a="1"/>
  <c r="E589" i="8" a="1"/>
  <c r="M239" i="8" a="1"/>
  <c r="F589" i="8" a="1"/>
  <c r="Y689" i="8" a="1"/>
  <c r="W45" i="8" a="1"/>
  <c r="L491" i="8" a="1"/>
  <c r="J689" i="8" a="1"/>
  <c r="K390" i="8" a="1"/>
  <c r="D45" i="8" a="1"/>
  <c r="I789" i="8" a="1"/>
  <c r="T589" i="8" a="1"/>
  <c r="U589" i="8" a="1"/>
  <c r="H390" i="8" a="1"/>
  <c r="N45" i="8" a="1"/>
  <c r="Y789" i="8" a="1"/>
  <c r="L689" i="8" a="1"/>
  <c r="M491" i="8" a="1"/>
  <c r="V789" i="8" a="1"/>
  <c r="F789" i="8" a="1"/>
  <c r="M689" i="8" a="1"/>
  <c r="O689" i="8" a="1"/>
  <c r="C239" i="8" a="1"/>
  <c r="F390" i="8" a="1"/>
  <c r="J45" i="8" a="1"/>
  <c r="M45" i="8" a="1"/>
  <c r="G45" i="8" a="1"/>
  <c r="Q789" i="8" a="1"/>
  <c r="V491" i="8" a="1"/>
  <c r="G491" i="8" a="1"/>
  <c r="J390" i="8" a="1"/>
  <c r="R491" i="8" a="1"/>
  <c r="I239" i="8" a="1"/>
  <c r="W689" i="8" a="1"/>
  <c r="Y589" i="8" a="1"/>
  <c r="W589" i="8" a="1"/>
  <c r="H789" i="8" a="1"/>
  <c r="U239" i="8" a="1"/>
  <c r="M390" i="8" a="1"/>
  <c r="O491" i="8" a="1"/>
  <c r="Q589" i="8" a="1"/>
  <c r="N689" i="8" a="1"/>
  <c r="Q390" i="8" a="1"/>
  <c r="L390" i="8" a="1"/>
  <c r="F239" i="8" a="1"/>
  <c r="T689" i="8" a="1"/>
  <c r="F45" i="8" a="1"/>
  <c r="Q689" i="8" a="1"/>
  <c r="E45" i="8" a="1"/>
  <c r="V45" i="8" a="1"/>
  <c r="G390" i="8" a="1"/>
  <c r="Q45" i="8" a="1"/>
  <c r="R589" i="8" a="1"/>
  <c r="I589" i="8" a="1"/>
  <c r="O239" i="8" a="1"/>
  <c r="Y45" i="8" a="1"/>
  <c r="T390" i="8" a="1"/>
  <c r="G689" i="8" a="1"/>
  <c r="D491" i="8" a="1"/>
  <c r="C390" i="8" a="1"/>
  <c r="I45" i="8" a="1"/>
  <c r="E789" i="8" a="1"/>
  <c r="W491" i="8" a="1"/>
  <c r="T789" i="8" a="1"/>
  <c r="F491" i="8" a="1"/>
  <c r="L239" i="8" a="1"/>
  <c r="M589" i="8" a="1"/>
  <c r="J239" i="8" a="1"/>
  <c r="P689" i="8" a="1"/>
  <c r="N589" i="8" a="1"/>
  <c r="H589" i="8" a="1"/>
  <c r="J589" i="8" a="1"/>
  <c r="Y491" i="8" a="1"/>
  <c r="C589" i="8" l="1"/>
  <c r="G589" i="8"/>
  <c r="K589" i="8"/>
  <c r="O589" i="8"/>
  <c r="T589" i="8"/>
  <c r="X589" i="8"/>
  <c r="D589" i="8"/>
  <c r="H589" i="8"/>
  <c r="L589" i="8"/>
  <c r="P589" i="8"/>
  <c r="U589" i="8"/>
  <c r="Y589" i="8"/>
  <c r="E589" i="8"/>
  <c r="I589" i="8"/>
  <c r="M589" i="8"/>
  <c r="Q589" i="8"/>
  <c r="F589" i="8"/>
  <c r="J589" i="8"/>
  <c r="N589" i="8"/>
  <c r="R589" i="8"/>
  <c r="W589" i="8"/>
  <c r="V589" i="8"/>
  <c r="D689" i="8"/>
  <c r="H689" i="8"/>
  <c r="L689" i="8"/>
  <c r="P689" i="8"/>
  <c r="F689" i="8"/>
  <c r="J689" i="8"/>
  <c r="N689" i="8"/>
  <c r="R689" i="8"/>
  <c r="W689" i="8"/>
  <c r="C689" i="8"/>
  <c r="G689" i="8"/>
  <c r="K689" i="8"/>
  <c r="O689" i="8"/>
  <c r="T689" i="8"/>
  <c r="X689" i="8"/>
  <c r="M689" i="8"/>
  <c r="Y689" i="8"/>
  <c r="Q689" i="8"/>
  <c r="E689" i="8"/>
  <c r="U689" i="8"/>
  <c r="I689" i="8"/>
  <c r="V689" i="8"/>
  <c r="S588" i="8"/>
  <c r="S688" i="8"/>
  <c r="T390" i="8"/>
  <c r="X390" i="8"/>
  <c r="D390" i="8"/>
  <c r="H390" i="8"/>
  <c r="L390" i="8"/>
  <c r="P390" i="8"/>
  <c r="U390" i="8"/>
  <c r="Y390" i="8"/>
  <c r="E390" i="8"/>
  <c r="I390" i="8"/>
  <c r="M390" i="8"/>
  <c r="Q390" i="8"/>
  <c r="V390" i="8"/>
  <c r="W390" i="8"/>
  <c r="G390" i="8"/>
  <c r="J390" i="8"/>
  <c r="K390" i="8"/>
  <c r="N390" i="8"/>
  <c r="O390" i="8"/>
  <c r="C390" i="8"/>
  <c r="F390" i="8"/>
  <c r="R390" i="8"/>
  <c r="E45" i="8"/>
  <c r="I45" i="8"/>
  <c r="M45" i="8"/>
  <c r="Q45" i="8"/>
  <c r="V45" i="8"/>
  <c r="F45" i="8"/>
  <c r="J45" i="8"/>
  <c r="N45" i="8"/>
  <c r="R45" i="8"/>
  <c r="W45" i="8"/>
  <c r="C45" i="8"/>
  <c r="G45" i="8"/>
  <c r="K45" i="8"/>
  <c r="O45" i="8"/>
  <c r="T45" i="8"/>
  <c r="X45" i="8"/>
  <c r="D45" i="8"/>
  <c r="H45" i="8"/>
  <c r="L45" i="8"/>
  <c r="P45" i="8"/>
  <c r="U45" i="8"/>
  <c r="Y45" i="8"/>
  <c r="U491" i="8"/>
  <c r="Y491" i="8"/>
  <c r="E491" i="8"/>
  <c r="I491" i="8"/>
  <c r="M491" i="8"/>
  <c r="Q491" i="8"/>
  <c r="V491" i="8"/>
  <c r="F491" i="8"/>
  <c r="J491" i="8"/>
  <c r="N491" i="8"/>
  <c r="R491" i="8"/>
  <c r="W491" i="8"/>
  <c r="C491" i="8"/>
  <c r="G491" i="8"/>
  <c r="K491" i="8"/>
  <c r="O491" i="8"/>
  <c r="T491" i="8"/>
  <c r="X491" i="8"/>
  <c r="D491" i="8"/>
  <c r="H491" i="8"/>
  <c r="L491" i="8"/>
  <c r="P491" i="8"/>
  <c r="T239" i="8"/>
  <c r="X239" i="8"/>
  <c r="D239" i="8"/>
  <c r="H239" i="8"/>
  <c r="L239" i="8"/>
  <c r="P239" i="8"/>
  <c r="U239" i="8"/>
  <c r="Y239" i="8"/>
  <c r="E239" i="8"/>
  <c r="I239" i="8"/>
  <c r="M239" i="8"/>
  <c r="Q239" i="8"/>
  <c r="V239" i="8"/>
  <c r="F239" i="8"/>
  <c r="J239" i="8"/>
  <c r="N239" i="8"/>
  <c r="R239" i="8"/>
  <c r="W239" i="8"/>
  <c r="C239" i="8"/>
  <c r="G239" i="8"/>
  <c r="K239" i="8"/>
  <c r="O239" i="8"/>
  <c r="S238" i="8"/>
  <c r="S490" i="8"/>
  <c r="S44" i="8"/>
  <c r="S389" i="8"/>
  <c r="B46" i="8"/>
  <c r="B590" i="8"/>
  <c r="B690" i="8"/>
  <c r="S788" i="8"/>
  <c r="L789" i="8"/>
  <c r="E789" i="8"/>
  <c r="T789" i="8"/>
  <c r="F789" i="8"/>
  <c r="V789" i="8"/>
  <c r="I789" i="8"/>
  <c r="J789" i="8"/>
  <c r="Y789" i="8"/>
  <c r="O789" i="8"/>
  <c r="C789" i="8"/>
  <c r="X789" i="8"/>
  <c r="U789" i="8"/>
  <c r="K789" i="8"/>
  <c r="W789" i="8"/>
  <c r="P789" i="8"/>
  <c r="G789" i="8"/>
  <c r="Q789" i="8"/>
  <c r="H789" i="8"/>
  <c r="R789" i="8"/>
  <c r="M789" i="8"/>
  <c r="D789" i="8"/>
  <c r="N789" i="8"/>
  <c r="B791" i="8"/>
  <c r="B240" i="8"/>
  <c r="B492" i="8"/>
  <c r="B391" i="8"/>
  <c r="U790" i="8" a="1"/>
  <c r="W690" i="8" a="1"/>
  <c r="J590" i="8" a="1"/>
  <c r="N240" i="8" a="1"/>
  <c r="P790" i="8" a="1"/>
  <c r="P590" i="8" a="1"/>
  <c r="N790" i="8" a="1"/>
  <c r="I590" i="8" a="1"/>
  <c r="C391" i="8" a="1"/>
  <c r="Y590" i="8" a="1"/>
  <c r="I46" i="8" a="1"/>
  <c r="Q690" i="8" a="1"/>
  <c r="K690" i="8" a="1"/>
  <c r="Q790" i="8" a="1"/>
  <c r="X590" i="8" a="1"/>
  <c r="P690" i="8" a="1"/>
  <c r="G46" i="8" a="1"/>
  <c r="G790" i="8" a="1"/>
  <c r="Q46" i="8" a="1"/>
  <c r="C240" i="8" a="1"/>
  <c r="Y391" i="8" a="1"/>
  <c r="T690" i="8" a="1"/>
  <c r="E790" i="8" a="1"/>
  <c r="J391" i="8" a="1"/>
  <c r="L240" i="8" a="1"/>
  <c r="C590" i="8" a="1"/>
  <c r="I690" i="8" a="1"/>
  <c r="J492" i="8" a="1"/>
  <c r="E590" i="8" a="1"/>
  <c r="V492" i="8" a="1"/>
  <c r="W590" i="8" a="1"/>
  <c r="O690" i="8" a="1"/>
  <c r="L690" i="8" a="1"/>
  <c r="Y46" i="8" a="1"/>
  <c r="M391" i="8" a="1"/>
  <c r="J790" i="8" a="1"/>
  <c r="T492" i="8" a="1"/>
  <c r="E690" i="8" a="1"/>
  <c r="C46" i="8" a="1"/>
  <c r="U391" i="8" a="1"/>
  <c r="G590" i="8" a="1"/>
  <c r="G391" i="8" a="1"/>
  <c r="W492" i="8" a="1"/>
  <c r="G690" i="8" a="1"/>
  <c r="G492" i="8" a="1"/>
  <c r="O46" i="8" a="1"/>
  <c r="U690" i="8" a="1"/>
  <c r="H690" i="8" a="1"/>
  <c r="P391" i="8" a="1"/>
  <c r="I492" i="8" a="1"/>
  <c r="J240" i="8" a="1"/>
  <c r="U590" i="8" a="1"/>
  <c r="F690" i="8" a="1"/>
  <c r="D590" i="8" a="1"/>
  <c r="F240" i="8" a="1"/>
  <c r="D391" i="8" a="1"/>
  <c r="D790" i="8" a="1"/>
  <c r="Q492" i="8" a="1"/>
  <c r="W240" i="8" a="1"/>
  <c r="K492" i="8" a="1"/>
  <c r="M590" i="8" a="1"/>
  <c r="X492" i="8" a="1"/>
  <c r="L790" i="8" a="1"/>
  <c r="D690" i="8" a="1"/>
  <c r="Q590" i="8" a="1"/>
  <c r="H590" i="8" a="1"/>
  <c r="L590" i="8" a="1"/>
  <c r="F790" i="8" a="1"/>
  <c r="J46" i="8" a="1"/>
  <c r="K46" i="8" a="1"/>
  <c r="K391" i="8" a="1"/>
  <c r="C690" i="8" a="1"/>
  <c r="K790" i="8" a="1"/>
  <c r="R790" i="8" a="1"/>
  <c r="W391" i="8" a="1"/>
  <c r="T240" i="8" a="1"/>
  <c r="U46" i="8" a="1"/>
  <c r="M240" i="8" a="1"/>
  <c r="O590" i="8" a="1"/>
  <c r="U240" i="8" a="1"/>
  <c r="D46" i="8" a="1"/>
  <c r="R690" i="8" a="1"/>
  <c r="V590" i="8" a="1"/>
  <c r="R590" i="8" a="1"/>
  <c r="N391" i="8" a="1"/>
  <c r="E492" i="8" a="1"/>
  <c r="E391" i="8" a="1"/>
  <c r="T46" i="8" a="1"/>
  <c r="K590" i="8" a="1"/>
  <c r="R492" i="8" a="1"/>
  <c r="N46" i="8" a="1"/>
  <c r="F46" i="8" a="1"/>
  <c r="V690" i="8" a="1"/>
  <c r="O391" i="8" a="1"/>
  <c r="M492" i="8" a="1"/>
  <c r="T590" i="8" a="1"/>
  <c r="V391" i="8" a="1"/>
  <c r="Y790" i="8" a="1"/>
  <c r="Q240" i="8" a="1"/>
  <c r="L492" i="8" a="1"/>
  <c r="N690" i="8" a="1"/>
  <c r="M690" i="8" a="1"/>
  <c r="J690" i="8" a="1"/>
  <c r="O492" i="8" a="1"/>
  <c r="C492" i="8" a="1"/>
  <c r="P492" i="8" a="1"/>
  <c r="L391" i="8" a="1"/>
  <c r="T391" i="8" a="1"/>
  <c r="N590" i="8" a="1"/>
  <c r="W46" i="8" a="1"/>
  <c r="F391" i="8" a="1"/>
  <c r="Q391" i="8" a="1"/>
  <c r="X46" i="8" a="1"/>
  <c r="W790" i="8" a="1"/>
  <c r="X790" i="8" a="1"/>
  <c r="H46" i="8" a="1"/>
  <c r="O790" i="8" a="1"/>
  <c r="Y690" i="8" a="1"/>
  <c r="V240" i="8" a="1"/>
  <c r="M790" i="8" a="1"/>
  <c r="F492" i="8" a="1"/>
  <c r="H790" i="8" a="1"/>
  <c r="E46" i="8" a="1"/>
  <c r="G240" i="8" a="1"/>
  <c r="P240" i="8" a="1"/>
  <c r="Y492" i="8" a="1"/>
  <c r="N492" i="8" a="1"/>
  <c r="V46" i="8" a="1"/>
  <c r="R46" i="8" a="1"/>
  <c r="H391" i="8" a="1"/>
  <c r="R391" i="8" a="1"/>
  <c r="D240" i="8" a="1"/>
  <c r="Y240" i="8" a="1"/>
  <c r="X690" i="8" a="1"/>
  <c r="O240" i="8" a="1"/>
  <c r="X391" i="8" a="1"/>
  <c r="V790" i="8" a="1"/>
  <c r="H492" i="8" a="1"/>
  <c r="X240" i="8" a="1"/>
  <c r="I240" i="8" a="1"/>
  <c r="I391" i="8" a="1"/>
  <c r="U492" i="8" a="1"/>
  <c r="I790" i="8" a="1"/>
  <c r="D492" i="8" a="1"/>
  <c r="H240" i="8" a="1"/>
  <c r="M46" i="8" a="1"/>
  <c r="C790" i="8" a="1"/>
  <c r="L46" i="8" a="1"/>
  <c r="P46" i="8" a="1"/>
  <c r="E240" i="8" a="1"/>
  <c r="R240" i="8" a="1"/>
  <c r="F590" i="8" a="1"/>
  <c r="K240" i="8" a="1"/>
  <c r="T790" i="8" a="1"/>
  <c r="S589" i="8" l="1"/>
  <c r="V690" i="8"/>
  <c r="T690" i="8"/>
  <c r="X690" i="8"/>
  <c r="D690" i="8"/>
  <c r="H690" i="8"/>
  <c r="L690" i="8"/>
  <c r="P690" i="8"/>
  <c r="U690" i="8"/>
  <c r="Y690" i="8"/>
  <c r="E690" i="8"/>
  <c r="I690" i="8"/>
  <c r="M690" i="8"/>
  <c r="Q690" i="8"/>
  <c r="K690" i="8"/>
  <c r="W690" i="8"/>
  <c r="N690" i="8"/>
  <c r="C690" i="8"/>
  <c r="F690" i="8"/>
  <c r="O690" i="8"/>
  <c r="R690" i="8"/>
  <c r="G690" i="8"/>
  <c r="J690" i="8"/>
  <c r="U590" i="8"/>
  <c r="Y590" i="8"/>
  <c r="E590" i="8"/>
  <c r="I590" i="8"/>
  <c r="M590" i="8"/>
  <c r="Q590" i="8"/>
  <c r="V590" i="8"/>
  <c r="F590" i="8"/>
  <c r="J590" i="8"/>
  <c r="N590" i="8"/>
  <c r="R590" i="8"/>
  <c r="W590" i="8"/>
  <c r="T590" i="8"/>
  <c r="X590" i="8"/>
  <c r="D590" i="8"/>
  <c r="H590" i="8"/>
  <c r="L590" i="8"/>
  <c r="P590" i="8"/>
  <c r="K590" i="8"/>
  <c r="O590" i="8"/>
  <c r="C590" i="8"/>
  <c r="G590" i="8"/>
  <c r="S689" i="8"/>
  <c r="W46" i="8"/>
  <c r="C46" i="8"/>
  <c r="G46" i="8"/>
  <c r="K46" i="8"/>
  <c r="O46" i="8"/>
  <c r="T46" i="8"/>
  <c r="X46" i="8"/>
  <c r="D46" i="8"/>
  <c r="H46" i="8"/>
  <c r="L46" i="8"/>
  <c r="P46" i="8"/>
  <c r="U46" i="8"/>
  <c r="Y46" i="8"/>
  <c r="E46" i="8"/>
  <c r="I46" i="8"/>
  <c r="M46" i="8"/>
  <c r="Q46" i="8"/>
  <c r="V46" i="8"/>
  <c r="N46" i="8"/>
  <c r="R46" i="8"/>
  <c r="F46" i="8"/>
  <c r="J46" i="8"/>
  <c r="E240" i="8"/>
  <c r="I240" i="8"/>
  <c r="M240" i="8"/>
  <c r="Q240" i="8"/>
  <c r="V240" i="8"/>
  <c r="F240" i="8"/>
  <c r="J240" i="8"/>
  <c r="N240" i="8"/>
  <c r="R240" i="8"/>
  <c r="W240" i="8"/>
  <c r="C240" i="8"/>
  <c r="G240" i="8"/>
  <c r="K240" i="8"/>
  <c r="O240" i="8"/>
  <c r="T240" i="8"/>
  <c r="X240" i="8"/>
  <c r="D240" i="8"/>
  <c r="H240" i="8"/>
  <c r="L240" i="8"/>
  <c r="P240" i="8"/>
  <c r="U240" i="8"/>
  <c r="Y240" i="8"/>
  <c r="E391" i="8"/>
  <c r="I391" i="8"/>
  <c r="M391" i="8"/>
  <c r="Q391" i="8"/>
  <c r="V391" i="8"/>
  <c r="F391" i="8"/>
  <c r="J391" i="8"/>
  <c r="N391" i="8"/>
  <c r="R391" i="8"/>
  <c r="W391" i="8"/>
  <c r="C391" i="8"/>
  <c r="G391" i="8"/>
  <c r="K391" i="8"/>
  <c r="D391" i="8"/>
  <c r="H391" i="8"/>
  <c r="L391" i="8"/>
  <c r="X391" i="8"/>
  <c r="P391" i="8"/>
  <c r="Y391" i="8"/>
  <c r="T391" i="8"/>
  <c r="U391" i="8"/>
  <c r="O391" i="8"/>
  <c r="F492" i="8"/>
  <c r="J492" i="8"/>
  <c r="N492" i="8"/>
  <c r="R492" i="8"/>
  <c r="W492" i="8"/>
  <c r="C492" i="8"/>
  <c r="G492" i="8"/>
  <c r="K492" i="8"/>
  <c r="O492" i="8"/>
  <c r="T492" i="8"/>
  <c r="X492" i="8"/>
  <c r="D492" i="8"/>
  <c r="H492" i="8"/>
  <c r="L492" i="8"/>
  <c r="P492" i="8"/>
  <c r="U492" i="8"/>
  <c r="Y492" i="8"/>
  <c r="E492" i="8"/>
  <c r="I492" i="8"/>
  <c r="M492" i="8"/>
  <c r="Q492" i="8"/>
  <c r="V492" i="8"/>
  <c r="S45" i="8"/>
  <c r="S239" i="8"/>
  <c r="S491" i="8"/>
  <c r="S390" i="8"/>
  <c r="B47" i="8"/>
  <c r="B691" i="8"/>
  <c r="B591" i="8"/>
  <c r="W790" i="8"/>
  <c r="E790" i="8"/>
  <c r="U790" i="8"/>
  <c r="C790" i="8"/>
  <c r="J790" i="8"/>
  <c r="R790" i="8"/>
  <c r="P790" i="8"/>
  <c r="T790" i="8"/>
  <c r="Q790" i="8"/>
  <c r="Y790" i="8"/>
  <c r="G790" i="8"/>
  <c r="X790" i="8"/>
  <c r="N790" i="8"/>
  <c r="L790" i="8"/>
  <c r="M790" i="8"/>
  <c r="F790" i="8"/>
  <c r="D790" i="8"/>
  <c r="H790" i="8"/>
  <c r="O790" i="8"/>
  <c r="I790" i="8"/>
  <c r="V790" i="8"/>
  <c r="K790" i="8"/>
  <c r="S789" i="8"/>
  <c r="B792" i="8"/>
  <c r="B241" i="8"/>
  <c r="B493" i="8"/>
  <c r="B392" i="8"/>
  <c r="L493" i="8" a="1"/>
  <c r="H591" i="8" a="1"/>
  <c r="R392" i="8" a="1"/>
  <c r="G591" i="8" a="1"/>
  <c r="M241" i="8" a="1"/>
  <c r="Y241" i="8" a="1"/>
  <c r="F392" i="8" a="1"/>
  <c r="N791" i="8" a="1"/>
  <c r="H791" i="8" a="1"/>
  <c r="P241" i="8" a="1"/>
  <c r="K241" i="8" a="1"/>
  <c r="E493" i="8" a="1"/>
  <c r="L47" i="8" a="1"/>
  <c r="V392" i="8" a="1"/>
  <c r="X591" i="8" a="1"/>
  <c r="D791" i="8" a="1"/>
  <c r="F691" i="8" a="1"/>
  <c r="T493" i="8" a="1"/>
  <c r="P392" i="8" a="1"/>
  <c r="Q493" i="8" a="1"/>
  <c r="I591" i="8" a="1"/>
  <c r="Y691" i="8" a="1"/>
  <c r="C47" i="8" a="1"/>
  <c r="U591" i="8" a="1"/>
  <c r="G241" i="8" a="1"/>
  <c r="W691" i="8" a="1"/>
  <c r="F591" i="8" a="1"/>
  <c r="P47" i="8" a="1"/>
  <c r="V591" i="8" a="1"/>
  <c r="Q791" i="8" a="1"/>
  <c r="X241" i="8" a="1"/>
  <c r="T591" i="8" a="1"/>
  <c r="N392" i="8" a="1"/>
  <c r="W241" i="8" a="1"/>
  <c r="I47" i="8" a="1"/>
  <c r="Q47" i="8" a="1"/>
  <c r="Y493" i="8" a="1"/>
  <c r="T392" i="8" a="1"/>
  <c r="P591" i="8" a="1"/>
  <c r="E791" i="8" a="1"/>
  <c r="V241" i="8" a="1"/>
  <c r="U493" i="8" a="1"/>
  <c r="T241" i="8" a="1"/>
  <c r="O691" i="8" a="1"/>
  <c r="O791" i="8" a="1"/>
  <c r="E691" i="8" a="1"/>
  <c r="J241" i="8" a="1"/>
  <c r="D591" i="8" a="1"/>
  <c r="J47" i="8" a="1"/>
  <c r="M791" i="8" a="1"/>
  <c r="I392" i="8" a="1"/>
  <c r="U791" i="8" a="1"/>
  <c r="K392" i="8" a="1"/>
  <c r="Q691" i="8" a="1"/>
  <c r="N47" i="8" a="1"/>
  <c r="E392" i="8" a="1"/>
  <c r="V691" i="8" a="1"/>
  <c r="N493" i="8" a="1"/>
  <c r="D241" i="8" a="1"/>
  <c r="T691" i="8" a="1"/>
  <c r="H392" i="8" a="1"/>
  <c r="R493" i="8" a="1"/>
  <c r="I791" i="8" a="1"/>
  <c r="R791" i="8" a="1"/>
  <c r="P493" i="8" a="1"/>
  <c r="C392" i="8" a="1"/>
  <c r="O493" i="8" a="1"/>
  <c r="G691" i="8" a="1"/>
  <c r="X691" i="8" a="1"/>
  <c r="D392" i="8" a="1"/>
  <c r="H691" i="8" a="1"/>
  <c r="N591" i="8" a="1"/>
  <c r="U47" i="8" a="1"/>
  <c r="U241" i="8" a="1"/>
  <c r="E241" i="8" a="1"/>
  <c r="X791" i="8" a="1"/>
  <c r="H47" i="8" a="1"/>
  <c r="K47" i="8" a="1"/>
  <c r="G47" i="8" a="1"/>
  <c r="Y791" i="8" a="1"/>
  <c r="L591" i="8" a="1"/>
  <c r="G493" i="8" a="1"/>
  <c r="E47" i="8" a="1"/>
  <c r="E591" i="8" a="1"/>
  <c r="J591" i="8" a="1"/>
  <c r="T47" i="8" a="1"/>
  <c r="K791" i="8" a="1"/>
  <c r="F493" i="8" a="1"/>
  <c r="Y392" i="8" a="1"/>
  <c r="C591" i="8" a="1"/>
  <c r="D47" i="8" a="1"/>
  <c r="W591" i="8" a="1"/>
  <c r="H241" i="8" a="1"/>
  <c r="Q392" i="8" a="1"/>
  <c r="M691" i="8" a="1"/>
  <c r="K691" i="8" a="1"/>
  <c r="P691" i="8" a="1"/>
  <c r="L691" i="8" a="1"/>
  <c r="Q591" i="8" a="1"/>
  <c r="R591" i="8" a="1"/>
  <c r="H493" i="8" a="1"/>
  <c r="F47" i="8" a="1"/>
  <c r="P791" i="8" a="1"/>
  <c r="M47" i="8" a="1"/>
  <c r="L241" i="8" a="1"/>
  <c r="I241" i="8" a="1"/>
  <c r="C791" i="8" a="1"/>
  <c r="X47" i="8" a="1"/>
  <c r="X493" i="8" a="1"/>
  <c r="Q241" i="8" a="1"/>
  <c r="C691" i="8" a="1"/>
  <c r="W493" i="8" a="1"/>
  <c r="L791" i="8" a="1"/>
  <c r="Y591" i="8" a="1"/>
  <c r="D493" i="8" a="1"/>
  <c r="W47" i="8" a="1"/>
  <c r="K591" i="8" a="1"/>
  <c r="C241" i="8" a="1"/>
  <c r="M493" i="8" a="1"/>
  <c r="F791" i="8" a="1"/>
  <c r="C493" i="8" a="1"/>
  <c r="I691" i="8" a="1"/>
  <c r="J392" i="8" a="1"/>
  <c r="Y47" i="8" a="1"/>
  <c r="I493" i="8" a="1"/>
  <c r="N241" i="8" a="1"/>
  <c r="U691" i="8" a="1"/>
  <c r="G392" i="8" a="1"/>
  <c r="W791" i="8" a="1"/>
  <c r="J791" i="8" a="1"/>
  <c r="O392" i="8" a="1"/>
  <c r="O591" i="8" a="1"/>
  <c r="M392" i="8" a="1"/>
  <c r="T791" i="8" a="1"/>
  <c r="R47" i="8" a="1"/>
  <c r="D691" i="8" a="1"/>
  <c r="J493" i="8" a="1"/>
  <c r="V493" i="8" a="1"/>
  <c r="O241" i="8" a="1"/>
  <c r="K493" i="8" a="1"/>
  <c r="F241" i="8" a="1"/>
  <c r="V47" i="8" a="1"/>
  <c r="V791" i="8" a="1"/>
  <c r="N691" i="8" a="1"/>
  <c r="R241" i="8" a="1"/>
  <c r="U392" i="8" a="1"/>
  <c r="X392" i="8" a="1"/>
  <c r="W392" i="8" a="1"/>
  <c r="G791" i="8" a="1"/>
  <c r="O47" i="8" a="1"/>
  <c r="L392" i="8" a="1"/>
  <c r="R691" i="8" a="1"/>
  <c r="M591" i="8" a="1"/>
  <c r="J691" i="8" a="1"/>
  <c r="S690" i="8" l="1"/>
  <c r="F591" i="8"/>
  <c r="J591" i="8"/>
  <c r="N591" i="8"/>
  <c r="R591" i="8"/>
  <c r="W591" i="8"/>
  <c r="C591" i="8"/>
  <c r="G591" i="8"/>
  <c r="K591" i="8"/>
  <c r="O591" i="8"/>
  <c r="T591" i="8"/>
  <c r="X591" i="8"/>
  <c r="D591" i="8"/>
  <c r="H591" i="8"/>
  <c r="L591" i="8"/>
  <c r="P591" i="8"/>
  <c r="E591" i="8"/>
  <c r="I591" i="8"/>
  <c r="M591" i="8"/>
  <c r="Q591" i="8"/>
  <c r="V591" i="8"/>
  <c r="U591" i="8"/>
  <c r="Y591" i="8"/>
  <c r="C691" i="8"/>
  <c r="G691" i="8"/>
  <c r="K691" i="8"/>
  <c r="O691" i="8"/>
  <c r="E691" i="8"/>
  <c r="I691" i="8"/>
  <c r="M691" i="8"/>
  <c r="Q691" i="8"/>
  <c r="V691" i="8"/>
  <c r="F691" i="8"/>
  <c r="J691" i="8"/>
  <c r="N691" i="8"/>
  <c r="R691" i="8"/>
  <c r="W691" i="8"/>
  <c r="U691" i="8"/>
  <c r="L691" i="8"/>
  <c r="X691" i="8"/>
  <c r="D691" i="8"/>
  <c r="Y691" i="8"/>
  <c r="P691" i="8"/>
  <c r="H691" i="8"/>
  <c r="T691" i="8"/>
  <c r="S590" i="8"/>
  <c r="S492" i="8"/>
  <c r="S46" i="8"/>
  <c r="S240" i="8"/>
  <c r="C392" i="8"/>
  <c r="G392" i="8"/>
  <c r="K392" i="8"/>
  <c r="O392" i="8"/>
  <c r="T392" i="8"/>
  <c r="X392" i="8"/>
  <c r="D392" i="8"/>
  <c r="H392" i="8"/>
  <c r="L392" i="8"/>
  <c r="P392" i="8"/>
  <c r="I392" i="8"/>
  <c r="Q392" i="8"/>
  <c r="W392" i="8"/>
  <c r="Y392" i="8"/>
  <c r="J392" i="8"/>
  <c r="R392" i="8"/>
  <c r="E392" i="8"/>
  <c r="M392" i="8"/>
  <c r="U392" i="8"/>
  <c r="F392" i="8"/>
  <c r="N392" i="8"/>
  <c r="V392" i="8"/>
  <c r="T493" i="8"/>
  <c r="X493" i="8"/>
  <c r="D493" i="8"/>
  <c r="H493" i="8"/>
  <c r="L493" i="8"/>
  <c r="P493" i="8"/>
  <c r="U493" i="8"/>
  <c r="Y493" i="8"/>
  <c r="E493" i="8"/>
  <c r="I493" i="8"/>
  <c r="M493" i="8"/>
  <c r="Q493" i="8"/>
  <c r="V493" i="8"/>
  <c r="F493" i="8"/>
  <c r="J493" i="8"/>
  <c r="N493" i="8"/>
  <c r="R493" i="8"/>
  <c r="W493" i="8"/>
  <c r="C493" i="8"/>
  <c r="G493" i="8"/>
  <c r="K493" i="8"/>
  <c r="O493" i="8"/>
  <c r="W241" i="8"/>
  <c r="C241" i="8"/>
  <c r="G241" i="8"/>
  <c r="K241" i="8"/>
  <c r="O241" i="8"/>
  <c r="T241" i="8"/>
  <c r="X241" i="8"/>
  <c r="D241" i="8"/>
  <c r="H241" i="8"/>
  <c r="L241" i="8"/>
  <c r="P241" i="8"/>
  <c r="U241" i="8"/>
  <c r="Y241" i="8"/>
  <c r="E241" i="8"/>
  <c r="I241" i="8"/>
  <c r="M241" i="8"/>
  <c r="Q241" i="8"/>
  <c r="V241" i="8"/>
  <c r="R241" i="8"/>
  <c r="F241" i="8"/>
  <c r="J241" i="8"/>
  <c r="N241" i="8"/>
  <c r="D47" i="8"/>
  <c r="H47" i="8"/>
  <c r="L47" i="8"/>
  <c r="P47" i="8"/>
  <c r="U47" i="8"/>
  <c r="Y47" i="8"/>
  <c r="E47" i="8"/>
  <c r="I47" i="8"/>
  <c r="M47" i="8"/>
  <c r="Q47" i="8"/>
  <c r="V47" i="8"/>
  <c r="F47" i="8"/>
  <c r="J47" i="8"/>
  <c r="N47" i="8"/>
  <c r="R47" i="8"/>
  <c r="W47" i="8"/>
  <c r="C47" i="8"/>
  <c r="G47" i="8"/>
  <c r="K47" i="8"/>
  <c r="O47" i="8"/>
  <c r="X47" i="8"/>
  <c r="T47" i="8"/>
  <c r="S391" i="8"/>
  <c r="B48" i="8"/>
  <c r="B692" i="8"/>
  <c r="B592" i="8"/>
  <c r="S790" i="8"/>
  <c r="N791" i="8"/>
  <c r="V791" i="8"/>
  <c r="D791" i="8"/>
  <c r="Q791" i="8"/>
  <c r="X791" i="8"/>
  <c r="U791" i="8"/>
  <c r="O791" i="8"/>
  <c r="M791" i="8"/>
  <c r="J791" i="8"/>
  <c r="K791" i="8"/>
  <c r="I791" i="8"/>
  <c r="T791" i="8"/>
  <c r="G791" i="8"/>
  <c r="E791" i="8"/>
  <c r="R791" i="8"/>
  <c r="C791" i="8"/>
  <c r="P791" i="8"/>
  <c r="F791" i="8"/>
  <c r="W791" i="8"/>
  <c r="L791" i="8"/>
  <c r="Y791" i="8"/>
  <c r="H791" i="8"/>
  <c r="B793" i="8"/>
  <c r="B242" i="8"/>
  <c r="B494" i="8"/>
  <c r="B393" i="8"/>
  <c r="C494" i="8" a="1"/>
  <c r="T692" i="8" a="1"/>
  <c r="Q494" i="8" a="1"/>
  <c r="R792" i="8" a="1"/>
  <c r="V792" i="8" a="1"/>
  <c r="R494" i="8" a="1"/>
  <c r="D48" i="8" a="1"/>
  <c r="K592" i="8" a="1"/>
  <c r="D592" i="8" a="1"/>
  <c r="X692" i="8" a="1"/>
  <c r="K494" i="8" a="1"/>
  <c r="E393" i="8" a="1"/>
  <c r="R393" i="8" a="1"/>
  <c r="W692" i="8" a="1"/>
  <c r="N592" i="8" a="1"/>
  <c r="W393" i="8" a="1"/>
  <c r="W792" i="8" a="1"/>
  <c r="W494" i="8" a="1"/>
  <c r="I48" i="8" a="1"/>
  <c r="T592" i="8" a="1"/>
  <c r="D494" i="8" a="1"/>
  <c r="J48" i="8" a="1"/>
  <c r="Q592" i="8" a="1"/>
  <c r="P393" i="8" a="1"/>
  <c r="M242" i="8" a="1"/>
  <c r="G494" i="8" a="1"/>
  <c r="P592" i="8" a="1"/>
  <c r="F792" i="8" a="1"/>
  <c r="P48" i="8" a="1"/>
  <c r="J792" i="8" a="1"/>
  <c r="Q792" i="8" a="1"/>
  <c r="Y792" i="8" a="1"/>
  <c r="K692" i="8" a="1"/>
  <c r="D242" i="8" a="1"/>
  <c r="H792" i="8" a="1"/>
  <c r="I393" i="8" a="1"/>
  <c r="O242" i="8" a="1"/>
  <c r="N792" i="8" a="1"/>
  <c r="T242" i="8" a="1"/>
  <c r="U692" i="8" a="1"/>
  <c r="P792" i="8" a="1"/>
  <c r="I242" i="8" a="1"/>
  <c r="I692" i="8" a="1"/>
  <c r="O48" i="8" a="1"/>
  <c r="F692" i="8" a="1"/>
  <c r="P494" i="8" a="1"/>
  <c r="M692" i="8" a="1"/>
  <c r="F48" i="8" a="1"/>
  <c r="U242" i="8" a="1"/>
  <c r="M792" i="8" a="1"/>
  <c r="C242" i="8" a="1"/>
  <c r="T792" i="8" a="1"/>
  <c r="K393" i="8" a="1"/>
  <c r="E692" i="8" a="1"/>
  <c r="L393" i="8" a="1"/>
  <c r="Q242" i="8" a="1"/>
  <c r="L692" i="8" a="1"/>
  <c r="Q692" i="8" a="1"/>
  <c r="V692" i="8" a="1"/>
  <c r="V494" i="8" a="1"/>
  <c r="J242" i="8" a="1"/>
  <c r="U592" i="8" a="1"/>
  <c r="J393" i="8" a="1"/>
  <c r="L242" i="8" a="1"/>
  <c r="I592" i="8" a="1"/>
  <c r="N393" i="8" a="1"/>
  <c r="E494" i="8" a="1"/>
  <c r="T48" i="8" a="1"/>
  <c r="R592" i="8" a="1"/>
  <c r="H48" i="8" a="1"/>
  <c r="L792" i="8" a="1"/>
  <c r="O592" i="8" a="1"/>
  <c r="Y494" i="8" a="1"/>
  <c r="U48" i="8" a="1"/>
  <c r="C692" i="8" a="1"/>
  <c r="G792" i="8" a="1"/>
  <c r="G48" i="8" a="1"/>
  <c r="N494" i="8" a="1"/>
  <c r="P692" i="8" a="1"/>
  <c r="Y393" i="8" a="1"/>
  <c r="C592" i="8" a="1"/>
  <c r="N692" i="8" a="1"/>
  <c r="M48" i="8" a="1"/>
  <c r="I792" i="8" a="1"/>
  <c r="X48" i="8" a="1"/>
  <c r="K242" i="8" a="1"/>
  <c r="O393" i="8" a="1"/>
  <c r="H242" i="8" a="1"/>
  <c r="X242" i="8" a="1"/>
  <c r="W592" i="8" a="1"/>
  <c r="V48" i="8" a="1"/>
  <c r="Y692" i="8" a="1"/>
  <c r="K48" i="8" a="1"/>
  <c r="G692" i="8" a="1"/>
  <c r="R692" i="8" a="1"/>
  <c r="F592" i="8" a="1"/>
  <c r="J494" i="8" a="1"/>
  <c r="L592" i="8" a="1"/>
  <c r="E592" i="8" a="1"/>
  <c r="I494" i="8" a="1"/>
  <c r="M494" i="8" a="1"/>
  <c r="H692" i="8" a="1"/>
  <c r="O692" i="8" a="1"/>
  <c r="Y592" i="8" a="1"/>
  <c r="P242" i="8" a="1"/>
  <c r="U393" i="8" a="1"/>
  <c r="O792" i="8" a="1"/>
  <c r="U494" i="8" a="1"/>
  <c r="O494" i="8" a="1"/>
  <c r="X792" i="8" a="1"/>
  <c r="U792" i="8" a="1"/>
  <c r="L48" i="8" a="1"/>
  <c r="L494" i="8" a="1"/>
  <c r="V393" i="8" a="1"/>
  <c r="W48" i="8" a="1"/>
  <c r="D692" i="8" a="1"/>
  <c r="E48" i="8" a="1"/>
  <c r="Y48" i="8" a="1"/>
  <c r="V242" i="8" a="1"/>
  <c r="E242" i="8" a="1"/>
  <c r="F494" i="8" a="1"/>
  <c r="G592" i="8" a="1"/>
  <c r="X393" i="8" a="1"/>
  <c r="E792" i="8" a="1"/>
  <c r="C48" i="8" a="1"/>
  <c r="Q48" i="8" a="1"/>
  <c r="G393" i="8" a="1"/>
  <c r="N48" i="8" a="1"/>
  <c r="X494" i="8" a="1"/>
  <c r="X592" i="8" a="1"/>
  <c r="J592" i="8" a="1"/>
  <c r="G242" i="8" a="1"/>
  <c r="D792" i="8" a="1"/>
  <c r="W242" i="8" a="1"/>
  <c r="R48" i="8" a="1"/>
  <c r="H592" i="8" a="1"/>
  <c r="H393" i="8" a="1"/>
  <c r="J692" i="8" a="1"/>
  <c r="K792" i="8" a="1"/>
  <c r="M592" i="8" a="1"/>
  <c r="T393" i="8" a="1"/>
  <c r="T494" i="8" a="1"/>
  <c r="N242" i="8" a="1"/>
  <c r="V592" i="8" a="1"/>
  <c r="M393" i="8" a="1"/>
  <c r="C393" i="8" a="1"/>
  <c r="D393" i="8" a="1"/>
  <c r="Y242" i="8" a="1"/>
  <c r="H494" i="8" a="1"/>
  <c r="C792" i="8" a="1"/>
  <c r="F242" i="8" a="1"/>
  <c r="F393" i="8" a="1"/>
  <c r="Q393" i="8" a="1"/>
  <c r="R242" i="8" a="1"/>
  <c r="S691" i="8" l="1"/>
  <c r="D592" i="8"/>
  <c r="H592" i="8"/>
  <c r="L592" i="8"/>
  <c r="P592" i="8"/>
  <c r="U592" i="8"/>
  <c r="Y592" i="8"/>
  <c r="E592" i="8"/>
  <c r="I592" i="8"/>
  <c r="M592" i="8"/>
  <c r="Q592" i="8"/>
  <c r="V592" i="8"/>
  <c r="W592" i="8"/>
  <c r="C592" i="8"/>
  <c r="G592" i="8"/>
  <c r="K592" i="8"/>
  <c r="O592" i="8"/>
  <c r="R592" i="8"/>
  <c r="T592" i="8"/>
  <c r="F592" i="8"/>
  <c r="X592" i="8"/>
  <c r="J592" i="8"/>
  <c r="N592" i="8"/>
  <c r="U692" i="8"/>
  <c r="Y692" i="8"/>
  <c r="W692" i="8"/>
  <c r="C692" i="8"/>
  <c r="G692" i="8"/>
  <c r="K692" i="8"/>
  <c r="O692" i="8"/>
  <c r="T692" i="8"/>
  <c r="X692" i="8"/>
  <c r="D692" i="8"/>
  <c r="H692" i="8"/>
  <c r="L692" i="8"/>
  <c r="P692" i="8"/>
  <c r="J692" i="8"/>
  <c r="V692" i="8"/>
  <c r="R692" i="8"/>
  <c r="M692" i="8"/>
  <c r="E692" i="8"/>
  <c r="N692" i="8"/>
  <c r="Q692" i="8"/>
  <c r="F692" i="8"/>
  <c r="I692" i="8"/>
  <c r="S591" i="8"/>
  <c r="S47" i="8"/>
  <c r="S392" i="8"/>
  <c r="U393" i="8"/>
  <c r="E393" i="8"/>
  <c r="I393" i="8"/>
  <c r="M393" i="8"/>
  <c r="Q393" i="8"/>
  <c r="V393" i="8"/>
  <c r="G393" i="8"/>
  <c r="N393" i="8"/>
  <c r="T393" i="8"/>
  <c r="H393" i="8"/>
  <c r="O393" i="8"/>
  <c r="C393" i="8"/>
  <c r="J393" i="8"/>
  <c r="W393" i="8"/>
  <c r="P393" i="8"/>
  <c r="F393" i="8"/>
  <c r="L393" i="8"/>
  <c r="Y393" i="8"/>
  <c r="D393" i="8"/>
  <c r="K393" i="8"/>
  <c r="R393" i="8"/>
  <c r="X393" i="8"/>
  <c r="E494" i="8"/>
  <c r="I494" i="8"/>
  <c r="M494" i="8"/>
  <c r="Q494" i="8"/>
  <c r="V494" i="8"/>
  <c r="F494" i="8"/>
  <c r="J494" i="8"/>
  <c r="N494" i="8"/>
  <c r="R494" i="8"/>
  <c r="W494" i="8"/>
  <c r="C494" i="8"/>
  <c r="G494" i="8"/>
  <c r="K494" i="8"/>
  <c r="O494" i="8"/>
  <c r="T494" i="8"/>
  <c r="X494" i="8"/>
  <c r="D494" i="8"/>
  <c r="H494" i="8"/>
  <c r="L494" i="8"/>
  <c r="P494" i="8"/>
  <c r="U494" i="8"/>
  <c r="Y494" i="8"/>
  <c r="D242" i="8"/>
  <c r="H242" i="8"/>
  <c r="L242" i="8"/>
  <c r="P242" i="8"/>
  <c r="U242" i="8"/>
  <c r="Y242" i="8"/>
  <c r="E242" i="8"/>
  <c r="I242" i="8"/>
  <c r="M242" i="8"/>
  <c r="Q242" i="8"/>
  <c r="V242" i="8"/>
  <c r="F242" i="8"/>
  <c r="J242" i="8"/>
  <c r="N242" i="8"/>
  <c r="R242" i="8"/>
  <c r="W242" i="8"/>
  <c r="C242" i="8"/>
  <c r="G242" i="8"/>
  <c r="K242" i="8"/>
  <c r="O242" i="8"/>
  <c r="X242" i="8"/>
  <c r="T242" i="8"/>
  <c r="V48" i="8"/>
  <c r="F48" i="8"/>
  <c r="J48" i="8"/>
  <c r="N48" i="8"/>
  <c r="R48" i="8"/>
  <c r="W48" i="8"/>
  <c r="C48" i="8"/>
  <c r="G48" i="8"/>
  <c r="K48" i="8"/>
  <c r="O48" i="8"/>
  <c r="T48" i="8"/>
  <c r="X48" i="8"/>
  <c r="D48" i="8"/>
  <c r="H48" i="8"/>
  <c r="L48" i="8"/>
  <c r="P48" i="8"/>
  <c r="U48" i="8"/>
  <c r="Y48" i="8"/>
  <c r="E48" i="8"/>
  <c r="I48" i="8"/>
  <c r="M48" i="8"/>
  <c r="Q48" i="8"/>
  <c r="S241" i="8"/>
  <c r="S493" i="8"/>
  <c r="B49" i="8"/>
  <c r="B593" i="8"/>
  <c r="B693" i="8"/>
  <c r="S791" i="8"/>
  <c r="G792" i="8"/>
  <c r="C792" i="8"/>
  <c r="V792" i="8"/>
  <c r="W792" i="8"/>
  <c r="E792" i="8"/>
  <c r="I792" i="8"/>
  <c r="K792" i="8"/>
  <c r="R792" i="8"/>
  <c r="T792" i="8"/>
  <c r="U792" i="8"/>
  <c r="P792" i="8"/>
  <c r="N792" i="8"/>
  <c r="L792" i="8"/>
  <c r="J792" i="8"/>
  <c r="H792" i="8"/>
  <c r="F792" i="8"/>
  <c r="O792" i="8"/>
  <c r="D792" i="8"/>
  <c r="Q792" i="8"/>
  <c r="Y792" i="8"/>
  <c r="X792" i="8"/>
  <c r="M792" i="8"/>
  <c r="B794" i="8"/>
  <c r="B243" i="8"/>
  <c r="B495" i="8"/>
  <c r="B394" i="8"/>
  <c r="R49" i="8" a="1"/>
  <c r="O243" i="8" a="1"/>
  <c r="U593" i="8" a="1"/>
  <c r="C793" i="8" a="1"/>
  <c r="R495" i="8" a="1"/>
  <c r="E693" i="8" a="1"/>
  <c r="F49" i="8" a="1"/>
  <c r="D394" i="8" a="1"/>
  <c r="G49" i="8" a="1"/>
  <c r="K243" i="8" a="1"/>
  <c r="N593" i="8" a="1"/>
  <c r="R593" i="8" a="1"/>
  <c r="R793" i="8" a="1"/>
  <c r="U793" i="8" a="1"/>
  <c r="N495" i="8" a="1"/>
  <c r="L243" i="8" a="1"/>
  <c r="P793" i="8" a="1"/>
  <c r="U693" i="8" a="1"/>
  <c r="J243" i="8" a="1"/>
  <c r="W49" i="8" a="1"/>
  <c r="I693" i="8" a="1"/>
  <c r="M394" i="8" a="1"/>
  <c r="V593" i="8" a="1"/>
  <c r="C495" i="8" a="1"/>
  <c r="J495" i="8" a="1"/>
  <c r="X495" i="8" a="1"/>
  <c r="J793" i="8" a="1"/>
  <c r="C693" i="8" a="1"/>
  <c r="N793" i="8" a="1"/>
  <c r="H593" i="8" a="1"/>
  <c r="Q49" i="8" a="1"/>
  <c r="T693" i="8" a="1"/>
  <c r="E495" i="8" a="1"/>
  <c r="U495" i="8" a="1"/>
  <c r="W243" i="8" a="1"/>
  <c r="K495" i="8" a="1"/>
  <c r="D793" i="8" a="1"/>
  <c r="N49" i="8" a="1"/>
  <c r="R394" i="8" a="1"/>
  <c r="I793" i="8" a="1"/>
  <c r="F243" i="8" a="1"/>
  <c r="E243" i="8" a="1"/>
  <c r="P495" i="8" a="1"/>
  <c r="V243" i="8" a="1"/>
  <c r="T593" i="8" a="1"/>
  <c r="Q593" i="8" a="1"/>
  <c r="Y495" i="8" a="1"/>
  <c r="X394" i="8" a="1"/>
  <c r="W394" i="8" a="1"/>
  <c r="X593" i="8" a="1"/>
  <c r="Y49" i="8" a="1"/>
  <c r="E49" i="8" a="1"/>
  <c r="K49" i="8" a="1"/>
  <c r="E593" i="8" a="1"/>
  <c r="D49" i="8" a="1"/>
  <c r="G495" i="8" a="1"/>
  <c r="M243" i="8" a="1"/>
  <c r="U49" i="8" a="1"/>
  <c r="H793" i="8" a="1"/>
  <c r="C49" i="8" a="1"/>
  <c r="L793" i="8" a="1"/>
  <c r="W693" i="8" a="1"/>
  <c r="V793" i="8" a="1"/>
  <c r="W495" i="8" a="1"/>
  <c r="V693" i="8" a="1"/>
  <c r="J394" i="8" a="1"/>
  <c r="J693" i="8" a="1"/>
  <c r="P49" i="8" a="1"/>
  <c r="U243" i="8" a="1"/>
  <c r="H394" i="8" a="1"/>
  <c r="Q394" i="8" a="1"/>
  <c r="K793" i="8" a="1"/>
  <c r="I243" i="8" a="1"/>
  <c r="W793" i="8" a="1"/>
  <c r="Q243" i="8" a="1"/>
  <c r="T793" i="8" a="1"/>
  <c r="Y793" i="8" a="1"/>
  <c r="T243" i="8" a="1"/>
  <c r="Q495" i="8" a="1"/>
  <c r="H243" i="8" a="1"/>
  <c r="J49" i="8" a="1"/>
  <c r="J593" i="8" a="1"/>
  <c r="Q793" i="8" a="1"/>
  <c r="E394" i="8" a="1"/>
  <c r="P693" i="8" a="1"/>
  <c r="Y693" i="8" a="1"/>
  <c r="F394" i="8" a="1"/>
  <c r="H49" i="8" a="1"/>
  <c r="F693" i="8" a="1"/>
  <c r="O793" i="8" a="1"/>
  <c r="N394" i="8" a="1"/>
  <c r="K593" i="8" a="1"/>
  <c r="F495" i="8" a="1"/>
  <c r="T394" i="8" a="1"/>
  <c r="O593" i="8" a="1"/>
  <c r="T495" i="8" a="1"/>
  <c r="X693" i="8" a="1"/>
  <c r="V495" i="8" a="1"/>
  <c r="L693" i="8" a="1"/>
  <c r="H495" i="8" a="1"/>
  <c r="K394" i="8" a="1"/>
  <c r="N693" i="8" a="1"/>
  <c r="D243" i="8" a="1"/>
  <c r="N243" i="8" a="1"/>
  <c r="D693" i="8" a="1"/>
  <c r="R243" i="8" a="1"/>
  <c r="D495" i="8" a="1"/>
  <c r="M495" i="8" a="1"/>
  <c r="M793" i="8" a="1"/>
  <c r="L495" i="8" a="1"/>
  <c r="V394" i="8" a="1"/>
  <c r="T49" i="8" a="1"/>
  <c r="L593" i="8" a="1"/>
  <c r="Y243" i="8" a="1"/>
  <c r="G693" i="8" a="1"/>
  <c r="P593" i="8" a="1"/>
  <c r="F793" i="8" a="1"/>
  <c r="X243" i="8" a="1"/>
  <c r="O495" i="8" a="1"/>
  <c r="V49" i="8" a="1"/>
  <c r="W593" i="8" a="1"/>
  <c r="D593" i="8" a="1"/>
  <c r="O394" i="8" a="1"/>
  <c r="I49" i="8" a="1"/>
  <c r="O49" i="8" a="1"/>
  <c r="G593" i="8" a="1"/>
  <c r="M593" i="8" a="1"/>
  <c r="E793" i="8" a="1"/>
  <c r="R693" i="8" a="1"/>
  <c r="I593" i="8" a="1"/>
  <c r="O693" i="8" a="1"/>
  <c r="C243" i="8" a="1"/>
  <c r="I394" i="8" a="1"/>
  <c r="G394" i="8" a="1"/>
  <c r="U394" i="8" a="1"/>
  <c r="C394" i="8" a="1"/>
  <c r="L394" i="8" a="1"/>
  <c r="Y394" i="8" a="1"/>
  <c r="K693" i="8" a="1"/>
  <c r="Q693" i="8" a="1"/>
  <c r="L49" i="8" a="1"/>
  <c r="X49" i="8" a="1"/>
  <c r="G243" i="8" a="1"/>
  <c r="M49" i="8" a="1"/>
  <c r="P243" i="8" a="1"/>
  <c r="Y593" i="8" a="1"/>
  <c r="F593" i="8" a="1"/>
  <c r="G793" i="8" a="1"/>
  <c r="H693" i="8" a="1"/>
  <c r="X793" i="8" a="1"/>
  <c r="P394" i="8" a="1"/>
  <c r="M693" i="8" a="1"/>
  <c r="I495" i="8" a="1"/>
  <c r="C593" i="8" a="1"/>
  <c r="S592" i="8" l="1"/>
  <c r="F693" i="8"/>
  <c r="J693" i="8"/>
  <c r="N693" i="8"/>
  <c r="R693" i="8"/>
  <c r="D693" i="8"/>
  <c r="H693" i="8"/>
  <c r="L693" i="8"/>
  <c r="P693" i="8"/>
  <c r="U693" i="8"/>
  <c r="Y693" i="8"/>
  <c r="E693" i="8"/>
  <c r="I693" i="8"/>
  <c r="M693" i="8"/>
  <c r="Q693" i="8"/>
  <c r="V693" i="8"/>
  <c r="T693" i="8"/>
  <c r="K693" i="8"/>
  <c r="W693" i="8"/>
  <c r="C693" i="8"/>
  <c r="X693" i="8"/>
  <c r="O693" i="8"/>
  <c r="G693" i="8"/>
  <c r="V593" i="8"/>
  <c r="F593" i="8"/>
  <c r="J593" i="8"/>
  <c r="N593" i="8"/>
  <c r="R593" i="8"/>
  <c r="C593" i="8"/>
  <c r="G593" i="8"/>
  <c r="K593" i="8"/>
  <c r="O593" i="8"/>
  <c r="D593" i="8"/>
  <c r="H593" i="8"/>
  <c r="L593" i="8"/>
  <c r="P593" i="8"/>
  <c r="I593" i="8"/>
  <c r="T593" i="8"/>
  <c r="U593" i="8"/>
  <c r="M593" i="8"/>
  <c r="W593" i="8"/>
  <c r="E593" i="8"/>
  <c r="X593" i="8"/>
  <c r="Y593" i="8"/>
  <c r="Q593" i="8"/>
  <c r="S393" i="8"/>
  <c r="S692" i="8"/>
  <c r="S242" i="8"/>
  <c r="S48" i="8"/>
  <c r="S494" i="8"/>
  <c r="W394" i="8"/>
  <c r="C394" i="8"/>
  <c r="G394" i="8"/>
  <c r="K394" i="8"/>
  <c r="O394" i="8"/>
  <c r="T394" i="8"/>
  <c r="X394" i="8"/>
  <c r="D394" i="8"/>
  <c r="H394" i="8"/>
  <c r="L394" i="8"/>
  <c r="P394" i="8"/>
  <c r="U394" i="8"/>
  <c r="Y394" i="8"/>
  <c r="V394" i="8"/>
  <c r="F394" i="8"/>
  <c r="J394" i="8"/>
  <c r="N394" i="8"/>
  <c r="R394" i="8"/>
  <c r="Q394" i="8"/>
  <c r="E394" i="8"/>
  <c r="I394" i="8"/>
  <c r="M394" i="8"/>
  <c r="W495" i="8"/>
  <c r="C495" i="8"/>
  <c r="G495" i="8"/>
  <c r="K495" i="8"/>
  <c r="O495" i="8"/>
  <c r="T495" i="8"/>
  <c r="X495" i="8"/>
  <c r="D495" i="8"/>
  <c r="H495" i="8"/>
  <c r="L495" i="8"/>
  <c r="P495" i="8"/>
  <c r="U495" i="8"/>
  <c r="Y495" i="8"/>
  <c r="E495" i="8"/>
  <c r="I495" i="8"/>
  <c r="M495" i="8"/>
  <c r="Q495" i="8"/>
  <c r="V495" i="8"/>
  <c r="J495" i="8"/>
  <c r="N495" i="8"/>
  <c r="R495" i="8"/>
  <c r="F495" i="8"/>
  <c r="V243" i="8"/>
  <c r="F243" i="8"/>
  <c r="J243" i="8"/>
  <c r="N243" i="8"/>
  <c r="R243" i="8"/>
  <c r="W243" i="8"/>
  <c r="C243" i="8"/>
  <c r="G243" i="8"/>
  <c r="K243" i="8"/>
  <c r="O243" i="8"/>
  <c r="T243" i="8"/>
  <c r="X243" i="8"/>
  <c r="D243" i="8"/>
  <c r="H243" i="8"/>
  <c r="L243" i="8"/>
  <c r="P243" i="8"/>
  <c r="U243" i="8"/>
  <c r="Y243" i="8"/>
  <c r="E243" i="8"/>
  <c r="I243" i="8"/>
  <c r="M243" i="8"/>
  <c r="Q243" i="8"/>
  <c r="C49" i="8"/>
  <c r="G49" i="8"/>
  <c r="K49" i="8"/>
  <c r="O49" i="8"/>
  <c r="T49" i="8"/>
  <c r="X49" i="8"/>
  <c r="D49" i="8"/>
  <c r="H49" i="8"/>
  <c r="L49" i="8"/>
  <c r="P49" i="8"/>
  <c r="U49" i="8"/>
  <c r="Y49" i="8"/>
  <c r="E49" i="8"/>
  <c r="I49" i="8"/>
  <c r="M49" i="8"/>
  <c r="Q49" i="8"/>
  <c r="V49" i="8"/>
  <c r="F49" i="8"/>
  <c r="J49" i="8"/>
  <c r="N49" i="8"/>
  <c r="R49" i="8"/>
  <c r="W49" i="8"/>
  <c r="B50" i="8"/>
  <c r="B694" i="8"/>
  <c r="B594" i="8"/>
  <c r="S792" i="8"/>
  <c r="U793" i="8"/>
  <c r="X793" i="8"/>
  <c r="V793" i="8"/>
  <c r="T793" i="8"/>
  <c r="F793" i="8"/>
  <c r="Q793" i="8"/>
  <c r="O793" i="8"/>
  <c r="W793" i="8"/>
  <c r="N793" i="8"/>
  <c r="L793" i="8"/>
  <c r="J793" i="8"/>
  <c r="H793" i="8"/>
  <c r="M793" i="8"/>
  <c r="K793" i="8"/>
  <c r="P793" i="8"/>
  <c r="I793" i="8"/>
  <c r="G793" i="8"/>
  <c r="E793" i="8"/>
  <c r="C793" i="8"/>
  <c r="D793" i="8"/>
  <c r="Y793" i="8"/>
  <c r="R793" i="8"/>
  <c r="B795" i="8"/>
  <c r="B244" i="8"/>
  <c r="B496" i="8"/>
  <c r="B395" i="8"/>
  <c r="D794" i="8" a="1"/>
  <c r="M794" i="8" a="1"/>
  <c r="G496" i="8" a="1"/>
  <c r="J395" i="8" a="1"/>
  <c r="J50" i="8" a="1"/>
  <c r="O794" i="8" a="1"/>
  <c r="I395" i="8" a="1"/>
  <c r="O694" i="8" a="1"/>
  <c r="W244" i="8" a="1"/>
  <c r="T694" i="8" a="1"/>
  <c r="L694" i="8" a="1"/>
  <c r="Y395" i="8" a="1"/>
  <c r="M50" i="8" a="1"/>
  <c r="L244" i="8" a="1"/>
  <c r="R395" i="8" a="1"/>
  <c r="U594" i="8" a="1"/>
  <c r="E244" i="8" a="1"/>
  <c r="C794" i="8" a="1"/>
  <c r="R496" i="8" a="1"/>
  <c r="D244" i="8" a="1"/>
  <c r="X694" i="8" a="1"/>
  <c r="Q694" i="8" a="1"/>
  <c r="D50" i="8" a="1"/>
  <c r="J594" i="8" a="1"/>
  <c r="F244" i="8" a="1"/>
  <c r="C50" i="8" a="1"/>
  <c r="N594" i="8" a="1"/>
  <c r="C244" i="8" a="1"/>
  <c r="L395" i="8" a="1"/>
  <c r="N794" i="8" a="1"/>
  <c r="V244" i="8" a="1"/>
  <c r="F594" i="8" a="1"/>
  <c r="P395" i="8" a="1"/>
  <c r="Q395" i="8" a="1"/>
  <c r="X395" i="8" a="1"/>
  <c r="J244" i="8" a="1"/>
  <c r="F794" i="8" a="1"/>
  <c r="W395" i="8" a="1"/>
  <c r="T794" i="8" a="1"/>
  <c r="F395" i="8" a="1"/>
  <c r="Q496" i="8" a="1"/>
  <c r="H395" i="8" a="1"/>
  <c r="K244" i="8" a="1"/>
  <c r="I794" i="8" a="1"/>
  <c r="H50" i="8" a="1"/>
  <c r="O496" i="8" a="1"/>
  <c r="V594" i="8" a="1"/>
  <c r="M594" i="8" a="1"/>
  <c r="U244" i="8" a="1"/>
  <c r="W694" i="8" a="1"/>
  <c r="P794" i="8" a="1"/>
  <c r="R244" i="8" a="1"/>
  <c r="E794" i="8" a="1"/>
  <c r="I694" i="8" a="1"/>
  <c r="N694" i="8" a="1"/>
  <c r="D395" i="8" a="1"/>
  <c r="P496" i="8" a="1"/>
  <c r="H244" i="8" a="1"/>
  <c r="I496" i="8" a="1"/>
  <c r="O50" i="8" a="1"/>
  <c r="P244" i="8" a="1"/>
  <c r="O594" i="8" a="1"/>
  <c r="P694" i="8" a="1"/>
  <c r="G244" i="8" a="1"/>
  <c r="H794" i="8" a="1"/>
  <c r="U50" i="8" a="1"/>
  <c r="R50" i="8" a="1"/>
  <c r="W594" i="8" a="1"/>
  <c r="Q794" i="8" a="1"/>
  <c r="D694" i="8" a="1"/>
  <c r="N496" i="8" a="1"/>
  <c r="M244" i="8" a="1"/>
  <c r="R594" i="8" a="1"/>
  <c r="H594" i="8" a="1"/>
  <c r="Y594" i="8" a="1"/>
  <c r="E395" i="8" a="1"/>
  <c r="T594" i="8" a="1"/>
  <c r="H496" i="8" a="1"/>
  <c r="T244" i="8" a="1"/>
  <c r="G594" i="8" a="1"/>
  <c r="L50" i="8" a="1"/>
  <c r="K794" i="8" a="1"/>
  <c r="H694" i="8" a="1"/>
  <c r="G50" i="8" a="1"/>
  <c r="Y496" i="8" a="1"/>
  <c r="V496" i="8" a="1"/>
  <c r="C496" i="8" a="1"/>
  <c r="K594" i="8" a="1"/>
  <c r="R694" i="8" a="1"/>
  <c r="G694" i="8" a="1"/>
  <c r="W50" i="8" a="1"/>
  <c r="I594" i="8" a="1"/>
  <c r="U496" i="8" a="1"/>
  <c r="K694" i="8" a="1"/>
  <c r="G395" i="8" a="1"/>
  <c r="U694" i="8" a="1"/>
  <c r="J496" i="8" a="1"/>
  <c r="R794" i="8" a="1"/>
  <c r="Y694" i="8" a="1"/>
  <c r="X244" i="8" a="1"/>
  <c r="N244" i="8" a="1"/>
  <c r="O244" i="8" a="1"/>
  <c r="D496" i="8" a="1"/>
  <c r="Q244" i="8" a="1"/>
  <c r="Q50" i="8" a="1"/>
  <c r="K395" i="8" a="1"/>
  <c r="V50" i="8" a="1"/>
  <c r="V794" i="8" a="1"/>
  <c r="E496" i="8" a="1"/>
  <c r="T50" i="8" a="1"/>
  <c r="L594" i="8" a="1"/>
  <c r="I244" i="8" a="1"/>
  <c r="N395" i="8" a="1"/>
  <c r="F496" i="8" a="1"/>
  <c r="C395" i="8" a="1"/>
  <c r="T395" i="8" a="1"/>
  <c r="E694" i="8" a="1"/>
  <c r="W794" i="8" a="1"/>
  <c r="L496" i="8" a="1"/>
  <c r="J794" i="8" a="1"/>
  <c r="X594" i="8" a="1"/>
  <c r="Y244" i="8" a="1"/>
  <c r="I50" i="8" a="1"/>
  <c r="K50" i="8" a="1"/>
  <c r="C694" i="8" a="1"/>
  <c r="J694" i="8" a="1"/>
  <c r="F50" i="8" a="1"/>
  <c r="V694" i="8" a="1"/>
  <c r="L794" i="8" a="1"/>
  <c r="D594" i="8" a="1"/>
  <c r="M496" i="8" a="1"/>
  <c r="T496" i="8" a="1"/>
  <c r="G794" i="8" a="1"/>
  <c r="Q594" i="8" a="1"/>
  <c r="Y794" i="8" a="1"/>
  <c r="V395" i="8" a="1"/>
  <c r="U794" i="8" a="1"/>
  <c r="F694" i="8" a="1"/>
  <c r="W496" i="8" a="1"/>
  <c r="Y50" i="8" a="1"/>
  <c r="X50" i="8" a="1"/>
  <c r="E50" i="8" a="1"/>
  <c r="P594" i="8" a="1"/>
  <c r="E594" i="8" a="1"/>
  <c r="X496" i="8" a="1"/>
  <c r="C594" i="8" a="1"/>
  <c r="O395" i="8" a="1"/>
  <c r="M694" i="8" a="1"/>
  <c r="K496" i="8" a="1"/>
  <c r="P50" i="8" a="1"/>
  <c r="N50" i="8" a="1"/>
  <c r="U395" i="8" a="1"/>
  <c r="M395" i="8" a="1"/>
  <c r="X794" i="8" a="1"/>
  <c r="S593" i="8" l="1"/>
  <c r="C594" i="8"/>
  <c r="G594" i="8"/>
  <c r="K594" i="8"/>
  <c r="O594" i="8"/>
  <c r="T594" i="8"/>
  <c r="X594" i="8"/>
  <c r="U594" i="8"/>
  <c r="Y594" i="8"/>
  <c r="V594" i="8"/>
  <c r="D594" i="8"/>
  <c r="L594" i="8"/>
  <c r="E594" i="8"/>
  <c r="M594" i="8"/>
  <c r="F594" i="8"/>
  <c r="N594" i="8"/>
  <c r="W594" i="8"/>
  <c r="H594" i="8"/>
  <c r="P594" i="8"/>
  <c r="I594" i="8"/>
  <c r="Q594" i="8"/>
  <c r="J594" i="8"/>
  <c r="R594" i="8"/>
  <c r="T694" i="8"/>
  <c r="X694" i="8"/>
  <c r="V694" i="8"/>
  <c r="F694" i="8"/>
  <c r="J694" i="8"/>
  <c r="N694" i="8"/>
  <c r="R694" i="8"/>
  <c r="W694" i="8"/>
  <c r="C694" i="8"/>
  <c r="G694" i="8"/>
  <c r="K694" i="8"/>
  <c r="O694" i="8"/>
  <c r="H694" i="8"/>
  <c r="Q694" i="8"/>
  <c r="I694" i="8"/>
  <c r="U694" i="8"/>
  <c r="L694" i="8"/>
  <c r="E694" i="8"/>
  <c r="D694" i="8"/>
  <c r="M694" i="8"/>
  <c r="Y694" i="8"/>
  <c r="P694" i="8"/>
  <c r="S693" i="8"/>
  <c r="S495" i="8"/>
  <c r="C244" i="8"/>
  <c r="G244" i="8"/>
  <c r="K244" i="8"/>
  <c r="O244" i="8"/>
  <c r="T244" i="8"/>
  <c r="X244" i="8"/>
  <c r="D244" i="8"/>
  <c r="H244" i="8"/>
  <c r="L244" i="8"/>
  <c r="P244" i="8"/>
  <c r="U244" i="8"/>
  <c r="Y244" i="8"/>
  <c r="E244" i="8"/>
  <c r="I244" i="8"/>
  <c r="M244" i="8"/>
  <c r="Q244" i="8"/>
  <c r="V244" i="8"/>
  <c r="F244" i="8"/>
  <c r="J244" i="8"/>
  <c r="N244" i="8"/>
  <c r="R244" i="8"/>
  <c r="W244" i="8"/>
  <c r="D395" i="8"/>
  <c r="H395" i="8"/>
  <c r="L395" i="8"/>
  <c r="P395" i="8"/>
  <c r="U395" i="8"/>
  <c r="Y395" i="8"/>
  <c r="E395" i="8"/>
  <c r="I395" i="8"/>
  <c r="M395" i="8"/>
  <c r="Q395" i="8"/>
  <c r="V395" i="8"/>
  <c r="F395" i="8"/>
  <c r="J395" i="8"/>
  <c r="N395" i="8"/>
  <c r="R395" i="8"/>
  <c r="C395" i="8"/>
  <c r="G395" i="8"/>
  <c r="K395" i="8"/>
  <c r="O395" i="8"/>
  <c r="T395" i="8"/>
  <c r="X395" i="8"/>
  <c r="W395" i="8"/>
  <c r="U50" i="8"/>
  <c r="Y50" i="8"/>
  <c r="E50" i="8"/>
  <c r="I50" i="8"/>
  <c r="M50" i="8"/>
  <c r="Q50" i="8"/>
  <c r="V50" i="8"/>
  <c r="F50" i="8"/>
  <c r="J50" i="8"/>
  <c r="N50" i="8"/>
  <c r="R50" i="8"/>
  <c r="W50" i="8"/>
  <c r="C50" i="8"/>
  <c r="G50" i="8"/>
  <c r="K50" i="8"/>
  <c r="O50" i="8"/>
  <c r="T50" i="8"/>
  <c r="X50" i="8"/>
  <c r="D50" i="8"/>
  <c r="L50" i="8"/>
  <c r="P50" i="8"/>
  <c r="H50" i="8"/>
  <c r="D496" i="8"/>
  <c r="H496" i="8"/>
  <c r="L496" i="8"/>
  <c r="P496" i="8"/>
  <c r="U496" i="8"/>
  <c r="Y496" i="8"/>
  <c r="E496" i="8"/>
  <c r="I496" i="8"/>
  <c r="M496" i="8"/>
  <c r="V496" i="8"/>
  <c r="F496" i="8"/>
  <c r="J496" i="8"/>
  <c r="N496" i="8"/>
  <c r="R496" i="8"/>
  <c r="W496" i="8"/>
  <c r="C496" i="8"/>
  <c r="G496" i="8"/>
  <c r="K496" i="8"/>
  <c r="O496" i="8"/>
  <c r="Q496" i="8"/>
  <c r="T496" i="8"/>
  <c r="X496" i="8"/>
  <c r="S49" i="8"/>
  <c r="S243" i="8"/>
  <c r="S394" i="8"/>
  <c r="B51" i="8"/>
  <c r="B595" i="8"/>
  <c r="B695" i="8"/>
  <c r="W794" i="8"/>
  <c r="K794" i="8"/>
  <c r="G794" i="8"/>
  <c r="I794" i="8"/>
  <c r="U794" i="8"/>
  <c r="C794" i="8"/>
  <c r="V794" i="8"/>
  <c r="T794" i="8"/>
  <c r="R794" i="8"/>
  <c r="P794" i="8"/>
  <c r="Q794" i="8"/>
  <c r="N794" i="8"/>
  <c r="L794" i="8"/>
  <c r="Y794" i="8"/>
  <c r="E794" i="8"/>
  <c r="J794" i="8"/>
  <c r="H794" i="8"/>
  <c r="X794" i="8"/>
  <c r="F794" i="8"/>
  <c r="D794" i="8"/>
  <c r="M794" i="8"/>
  <c r="O794" i="8"/>
  <c r="S793" i="8"/>
  <c r="B796" i="8"/>
  <c r="B245" i="8"/>
  <c r="B497" i="8"/>
  <c r="B396" i="8"/>
  <c r="Y695" i="8" a="1"/>
  <c r="T51" i="8" a="1"/>
  <c r="T497" i="8" a="1"/>
  <c r="F695" i="8" a="1"/>
  <c r="I396" i="8" a="1"/>
  <c r="D595" i="8" a="1"/>
  <c r="I497" i="8" a="1"/>
  <c r="I795" i="8" a="1"/>
  <c r="R51" i="8" a="1"/>
  <c r="I695" i="8" a="1"/>
  <c r="N795" i="8" a="1"/>
  <c r="O497" i="8" a="1"/>
  <c r="W245" i="8" a="1"/>
  <c r="X245" i="8" a="1"/>
  <c r="U497" i="8" a="1"/>
  <c r="H245" i="8" a="1"/>
  <c r="J51" i="8" a="1"/>
  <c r="O795" i="8" a="1"/>
  <c r="J795" i="8" a="1"/>
  <c r="D497" i="8" a="1"/>
  <c r="P595" i="8" a="1"/>
  <c r="J245" i="8" a="1"/>
  <c r="U51" i="8" a="1"/>
  <c r="L396" i="8" a="1"/>
  <c r="P795" i="8" a="1"/>
  <c r="U245" i="8" a="1"/>
  <c r="L795" i="8" a="1"/>
  <c r="D396" i="8" a="1"/>
  <c r="Q795" i="8" a="1"/>
  <c r="R396" i="8" a="1"/>
  <c r="L595" i="8" a="1"/>
  <c r="Q396" i="8" a="1"/>
  <c r="O396" i="8" a="1"/>
  <c r="T396" i="8" a="1"/>
  <c r="E695" i="8" a="1"/>
  <c r="K795" i="8" a="1"/>
  <c r="L497" i="8" a="1"/>
  <c r="U695" i="8" a="1"/>
  <c r="W51" i="8" a="1"/>
  <c r="N245" i="8" a="1"/>
  <c r="P51" i="8" a="1"/>
  <c r="C695" i="8" a="1"/>
  <c r="J695" i="8" a="1"/>
  <c r="C497" i="8" a="1"/>
  <c r="F795" i="8" a="1"/>
  <c r="V396" i="8" a="1"/>
  <c r="W396" i="8" a="1"/>
  <c r="H497" i="8" a="1"/>
  <c r="F497" i="8" a="1"/>
  <c r="J497" i="8" a="1"/>
  <c r="U795" i="8" a="1"/>
  <c r="X795" i="8" a="1"/>
  <c r="K497" i="8" a="1"/>
  <c r="O695" i="8" a="1"/>
  <c r="F595" i="8" a="1"/>
  <c r="P396" i="8" a="1"/>
  <c r="K595" i="8" a="1"/>
  <c r="N595" i="8" a="1"/>
  <c r="X595" i="8" a="1"/>
  <c r="Y497" i="8" a="1"/>
  <c r="G396" i="8" a="1"/>
  <c r="R497" i="8" a="1"/>
  <c r="G245" i="8" a="1"/>
  <c r="I595" i="8" a="1"/>
  <c r="C795" i="8" a="1"/>
  <c r="C245" i="8" a="1"/>
  <c r="E396" i="8" a="1"/>
  <c r="X396" i="8" a="1"/>
  <c r="E795" i="8" a="1"/>
  <c r="O51" i="8" a="1"/>
  <c r="E51" i="8" a="1"/>
  <c r="V695" i="8" a="1"/>
  <c r="N497" i="8" a="1"/>
  <c r="X497" i="8" a="1"/>
  <c r="G695" i="8" a="1"/>
  <c r="I245" i="8" a="1"/>
  <c r="M497" i="8" a="1"/>
  <c r="Y245" i="8" a="1"/>
  <c r="P497" i="8" a="1"/>
  <c r="H795" i="8" a="1"/>
  <c r="I51" i="8" a="1"/>
  <c r="R695" i="8" a="1"/>
  <c r="K245" i="8" a="1"/>
  <c r="Y51" i="8" a="1"/>
  <c r="M245" i="8" a="1"/>
  <c r="K51" i="8" a="1"/>
  <c r="N396" i="8" a="1"/>
  <c r="H595" i="8" a="1"/>
  <c r="W595" i="8" a="1"/>
  <c r="D795" i="8" a="1"/>
  <c r="M595" i="8" a="1"/>
  <c r="T245" i="8" a="1"/>
  <c r="M396" i="8" a="1"/>
  <c r="T695" i="8" a="1"/>
  <c r="G795" i="8" a="1"/>
  <c r="C396" i="8" a="1"/>
  <c r="M795" i="8" a="1"/>
  <c r="O245" i="8" a="1"/>
  <c r="O595" i="8" a="1"/>
  <c r="C51" i="8" a="1"/>
  <c r="D245" i="8" a="1"/>
  <c r="M695" i="8" a="1"/>
  <c r="W497" i="8" a="1"/>
  <c r="N51" i="8" a="1"/>
  <c r="W695" i="8" a="1"/>
  <c r="Q245" i="8" a="1"/>
  <c r="T595" i="8" a="1"/>
  <c r="U396" i="8" a="1"/>
  <c r="J595" i="8" a="1"/>
  <c r="R245" i="8" a="1"/>
  <c r="M51" i="8" a="1"/>
  <c r="G595" i="8" a="1"/>
  <c r="F396" i="8" a="1"/>
  <c r="V795" i="8" a="1"/>
  <c r="Q497" i="8" a="1"/>
  <c r="E497" i="8" a="1"/>
  <c r="P695" i="8" a="1"/>
  <c r="L245" i="8" a="1"/>
  <c r="D51" i="8" a="1"/>
  <c r="T795" i="8" a="1"/>
  <c r="L695" i="8" a="1"/>
  <c r="V245" i="8" a="1"/>
  <c r="F51" i="8" a="1"/>
  <c r="X695" i="8" a="1"/>
  <c r="R595" i="8" a="1"/>
  <c r="Q695" i="8" a="1"/>
  <c r="Y795" i="8" a="1"/>
  <c r="Q51" i="8" a="1"/>
  <c r="F245" i="8" a="1"/>
  <c r="X51" i="8" a="1"/>
  <c r="W795" i="8" a="1"/>
  <c r="V595" i="8" a="1"/>
  <c r="U595" i="8" a="1"/>
  <c r="V497" i="8" a="1"/>
  <c r="Q595" i="8" a="1"/>
  <c r="E245" i="8" a="1"/>
  <c r="H695" i="8" a="1"/>
  <c r="N695" i="8" a="1"/>
  <c r="Y396" i="8" a="1"/>
  <c r="K695" i="8" a="1"/>
  <c r="P245" i="8" a="1"/>
  <c r="C595" i="8" a="1"/>
  <c r="H51" i="8" a="1"/>
  <c r="R795" i="8" a="1"/>
  <c r="D695" i="8" a="1"/>
  <c r="V51" i="8" a="1"/>
  <c r="K396" i="8" a="1"/>
  <c r="G497" i="8" a="1"/>
  <c r="E595" i="8" a="1"/>
  <c r="G51" i="8" a="1"/>
  <c r="Y595" i="8" a="1"/>
  <c r="J396" i="8" a="1"/>
  <c r="L51" i="8" a="1"/>
  <c r="H396" i="8" a="1"/>
  <c r="S594" i="8" l="1"/>
  <c r="S694" i="8"/>
  <c r="E695" i="8"/>
  <c r="I695" i="8"/>
  <c r="M695" i="8"/>
  <c r="Q695" i="8"/>
  <c r="C695" i="8"/>
  <c r="G695" i="8"/>
  <c r="K695" i="8"/>
  <c r="O695" i="8"/>
  <c r="T695" i="8"/>
  <c r="X695" i="8"/>
  <c r="D695" i="8"/>
  <c r="H695" i="8"/>
  <c r="L695" i="8"/>
  <c r="P695" i="8"/>
  <c r="U695" i="8"/>
  <c r="Y695" i="8"/>
  <c r="F695" i="8"/>
  <c r="R695" i="8"/>
  <c r="J695" i="8"/>
  <c r="V695" i="8"/>
  <c r="W695" i="8"/>
  <c r="N695" i="8"/>
  <c r="E595" i="8"/>
  <c r="I595" i="8"/>
  <c r="M595" i="8"/>
  <c r="F595" i="8"/>
  <c r="C595" i="8"/>
  <c r="G595" i="8"/>
  <c r="K595" i="8"/>
  <c r="D595" i="8"/>
  <c r="J595" i="8"/>
  <c r="O595" i="8"/>
  <c r="T595" i="8"/>
  <c r="X595" i="8"/>
  <c r="P595" i="8"/>
  <c r="L595" i="8"/>
  <c r="U595" i="8"/>
  <c r="Y595" i="8"/>
  <c r="Q595" i="8"/>
  <c r="H595" i="8"/>
  <c r="V595" i="8"/>
  <c r="N595" i="8"/>
  <c r="R595" i="8"/>
  <c r="W595" i="8"/>
  <c r="S50" i="8"/>
  <c r="S496" i="8"/>
  <c r="S244" i="8"/>
  <c r="V396" i="8"/>
  <c r="F396" i="8"/>
  <c r="J396" i="8"/>
  <c r="N396" i="8"/>
  <c r="R396" i="8"/>
  <c r="W396" i="8"/>
  <c r="C396" i="8"/>
  <c r="G396" i="8"/>
  <c r="K396" i="8"/>
  <c r="O396" i="8"/>
  <c r="T396" i="8"/>
  <c r="X396" i="8"/>
  <c r="U396" i="8"/>
  <c r="Y396" i="8"/>
  <c r="E396" i="8"/>
  <c r="I396" i="8"/>
  <c r="D396" i="8"/>
  <c r="H396" i="8"/>
  <c r="L396" i="8"/>
  <c r="M396" i="8"/>
  <c r="P396" i="8"/>
  <c r="Q396" i="8"/>
  <c r="F497" i="8"/>
  <c r="J497" i="8"/>
  <c r="N497" i="8"/>
  <c r="R497" i="8"/>
  <c r="C497" i="8"/>
  <c r="G497" i="8"/>
  <c r="K497" i="8"/>
  <c r="O497" i="8"/>
  <c r="T497" i="8"/>
  <c r="X497" i="8"/>
  <c r="D497" i="8"/>
  <c r="H497" i="8"/>
  <c r="L497" i="8"/>
  <c r="P497" i="8"/>
  <c r="U497" i="8"/>
  <c r="E497" i="8"/>
  <c r="M497" i="8"/>
  <c r="V497" i="8"/>
  <c r="W497" i="8"/>
  <c r="Y497" i="8"/>
  <c r="I497" i="8"/>
  <c r="Q497" i="8"/>
  <c r="F51" i="8"/>
  <c r="J51" i="8"/>
  <c r="N51" i="8"/>
  <c r="R51" i="8"/>
  <c r="W51" i="8"/>
  <c r="C51" i="8"/>
  <c r="G51" i="8"/>
  <c r="K51" i="8"/>
  <c r="O51" i="8"/>
  <c r="T51" i="8"/>
  <c r="X51" i="8"/>
  <c r="D51" i="8"/>
  <c r="H51" i="8"/>
  <c r="L51" i="8"/>
  <c r="P51" i="8"/>
  <c r="U51" i="8"/>
  <c r="Y51" i="8"/>
  <c r="E51" i="8"/>
  <c r="I51" i="8"/>
  <c r="M51" i="8"/>
  <c r="Q51" i="8"/>
  <c r="V51" i="8"/>
  <c r="U245" i="8"/>
  <c r="Y245" i="8"/>
  <c r="E245" i="8"/>
  <c r="I245" i="8"/>
  <c r="M245" i="8"/>
  <c r="Q245" i="8"/>
  <c r="V245" i="8"/>
  <c r="F245" i="8"/>
  <c r="J245" i="8"/>
  <c r="N245" i="8"/>
  <c r="R245" i="8"/>
  <c r="W245" i="8"/>
  <c r="C245" i="8"/>
  <c r="G245" i="8"/>
  <c r="K245" i="8"/>
  <c r="O245" i="8"/>
  <c r="T245" i="8"/>
  <c r="X245" i="8"/>
  <c r="D245" i="8"/>
  <c r="H245" i="8"/>
  <c r="L245" i="8"/>
  <c r="P245" i="8"/>
  <c r="S395" i="8"/>
  <c r="B52" i="8"/>
  <c r="B696" i="8"/>
  <c r="B596" i="8"/>
  <c r="R795" i="8"/>
  <c r="V795" i="8"/>
  <c r="D795" i="8"/>
  <c r="F795" i="8"/>
  <c r="Q795" i="8"/>
  <c r="O795" i="8"/>
  <c r="Y795" i="8"/>
  <c r="X795" i="8"/>
  <c r="G795" i="8"/>
  <c r="E795" i="8"/>
  <c r="N795" i="8"/>
  <c r="M795" i="8"/>
  <c r="K795" i="8"/>
  <c r="U795" i="8"/>
  <c r="C795" i="8"/>
  <c r="P795" i="8"/>
  <c r="I795" i="8"/>
  <c r="J795" i="8"/>
  <c r="W795" i="8"/>
  <c r="L795" i="8"/>
  <c r="T795" i="8"/>
  <c r="H795" i="8"/>
  <c r="S794" i="8"/>
  <c r="B246" i="8"/>
  <c r="B498" i="8"/>
  <c r="B397" i="8"/>
  <c r="L52" i="8" a="1"/>
  <c r="N498" i="8" a="1"/>
  <c r="X397" i="8" a="1"/>
  <c r="W397" i="8" a="1"/>
  <c r="R52" i="8" a="1"/>
  <c r="D498" i="8" a="1"/>
  <c r="C796" i="8" a="1"/>
  <c r="C397" i="8" a="1"/>
  <c r="N397" i="8" a="1"/>
  <c r="I52" i="8" a="1"/>
  <c r="C696" i="8" a="1"/>
  <c r="U596" i="8" a="1"/>
  <c r="M596" i="8" a="1"/>
  <c r="W696" i="8" a="1"/>
  <c r="H596" i="8" a="1"/>
  <c r="W596" i="8" a="1"/>
  <c r="K246" i="8" a="1"/>
  <c r="C246" i="8" a="1"/>
  <c r="L498" i="8" a="1"/>
  <c r="D397" i="8" a="1"/>
  <c r="K498" i="8" a="1"/>
  <c r="J498" i="8" a="1"/>
  <c r="V397" i="8" a="1"/>
  <c r="P696" i="8" a="1"/>
  <c r="X52" i="8" a="1"/>
  <c r="H796" i="8" a="1"/>
  <c r="X596" i="8" a="1"/>
  <c r="H52" i="8" a="1"/>
  <c r="U696" i="8" a="1"/>
  <c r="G796" i="8" a="1"/>
  <c r="X498" i="8" a="1"/>
  <c r="G246" i="8" a="1"/>
  <c r="I596" i="8" a="1"/>
  <c r="M796" i="8" a="1"/>
  <c r="O796" i="8" a="1"/>
  <c r="P52" i="8" a="1"/>
  <c r="R796" i="8" a="1"/>
  <c r="M52" i="8" a="1"/>
  <c r="Q397" i="8" a="1"/>
  <c r="K596" i="8" a="1"/>
  <c r="M397" i="8" a="1"/>
  <c r="I246" i="8" a="1"/>
  <c r="D596" i="8" a="1"/>
  <c r="T52" i="8" a="1"/>
  <c r="O246" i="8" a="1"/>
  <c r="U397" i="8" a="1"/>
  <c r="N696" i="8" a="1"/>
  <c r="Y596" i="8" a="1"/>
  <c r="K696" i="8" a="1"/>
  <c r="R696" i="8" a="1"/>
  <c r="Y498" i="8" a="1"/>
  <c r="O498" i="8" a="1"/>
  <c r="L596" i="8" a="1"/>
  <c r="F498" i="8" a="1"/>
  <c r="Q246" i="8" a="1"/>
  <c r="F796" i="8" a="1"/>
  <c r="U52" i="8" a="1"/>
  <c r="E246" i="8" a="1"/>
  <c r="K796" i="8" a="1"/>
  <c r="R498" i="8" a="1"/>
  <c r="G498" i="8" a="1"/>
  <c r="Y397" i="8" a="1"/>
  <c r="E696" i="8" a="1"/>
  <c r="T796" i="8" a="1"/>
  <c r="Y52" i="8" a="1"/>
  <c r="T397" i="8" a="1"/>
  <c r="I498" i="8" a="1"/>
  <c r="M696" i="8" a="1"/>
  <c r="L796" i="8" a="1"/>
  <c r="O696" i="8" a="1"/>
  <c r="G52" i="8" a="1"/>
  <c r="E498" i="8" a="1"/>
  <c r="G696" i="8" a="1"/>
  <c r="P596" i="8" a="1"/>
  <c r="T696" i="8" a="1"/>
  <c r="C52" i="8" a="1"/>
  <c r="V696" i="8" a="1"/>
  <c r="W498" i="8" a="1"/>
  <c r="C498" i="8" a="1"/>
  <c r="P246" i="8" a="1"/>
  <c r="P498" i="8" a="1"/>
  <c r="C596" i="8" a="1"/>
  <c r="H246" i="8" a="1"/>
  <c r="X796" i="8" a="1"/>
  <c r="R246" i="8" a="1"/>
  <c r="T246" i="8" a="1"/>
  <c r="J796" i="8" a="1"/>
  <c r="F52" i="8" a="1"/>
  <c r="E596" i="8" a="1"/>
  <c r="I397" i="8" a="1"/>
  <c r="E52" i="8" a="1"/>
  <c r="X246" i="8" a="1"/>
  <c r="J696" i="8" a="1"/>
  <c r="G397" i="8" a="1"/>
  <c r="F696" i="8" a="1"/>
  <c r="M498" i="8" a="1"/>
  <c r="N596" i="8" a="1"/>
  <c r="F246" i="8" a="1"/>
  <c r="U498" i="8" a="1"/>
  <c r="J52" i="8" a="1"/>
  <c r="E397" i="8" a="1"/>
  <c r="P397" i="8" a="1"/>
  <c r="L696" i="8" a="1"/>
  <c r="N246" i="8" a="1"/>
  <c r="P796" i="8" a="1"/>
  <c r="Q596" i="8" a="1"/>
  <c r="V596" i="8" a="1"/>
  <c r="J596" i="8" a="1"/>
  <c r="U246" i="8" a="1"/>
  <c r="V52" i="8" a="1"/>
  <c r="U796" i="8" a="1"/>
  <c r="V498" i="8" a="1"/>
  <c r="T498" i="8" a="1"/>
  <c r="Q498" i="8" a="1"/>
  <c r="H397" i="8" a="1"/>
  <c r="R397" i="8" a="1"/>
  <c r="V796" i="8" a="1"/>
  <c r="R596" i="8" a="1"/>
  <c r="D796" i="8" a="1"/>
  <c r="O52" i="8" a="1"/>
  <c r="H696" i="8" a="1"/>
  <c r="X696" i="8" a="1"/>
  <c r="K397" i="8" a="1"/>
  <c r="Q696" i="8" a="1"/>
  <c r="G596" i="8" a="1"/>
  <c r="H498" i="8" a="1"/>
  <c r="J246" i="8" a="1"/>
  <c r="W796" i="8" a="1"/>
  <c r="I796" i="8" a="1"/>
  <c r="Q52" i="8" a="1"/>
  <c r="W246" i="8" a="1"/>
  <c r="J397" i="8" a="1"/>
  <c r="W52" i="8" a="1"/>
  <c r="O596" i="8" a="1"/>
  <c r="L397" i="8" a="1"/>
  <c r="M246" i="8" a="1"/>
  <c r="I696" i="8" a="1"/>
  <c r="Y246" i="8" a="1"/>
  <c r="K52" i="8" a="1"/>
  <c r="Y796" i="8" a="1"/>
  <c r="V246" i="8" a="1"/>
  <c r="O397" i="8" a="1"/>
  <c r="Y696" i="8" a="1"/>
  <c r="D696" i="8" a="1"/>
  <c r="E796" i="8" a="1"/>
  <c r="D246" i="8" a="1"/>
  <c r="Q796" i="8" a="1"/>
  <c r="N796" i="8" a="1"/>
  <c r="L246" i="8" a="1"/>
  <c r="N52" i="8" a="1"/>
  <c r="F397" i="8" a="1"/>
  <c r="T596" i="8" a="1"/>
  <c r="F596" i="8" a="1"/>
  <c r="D52" i="8" a="1"/>
  <c r="S595" i="8" l="1"/>
  <c r="S695" i="8"/>
  <c r="W696" i="8"/>
  <c r="E696" i="8"/>
  <c r="I696" i="8"/>
  <c r="M696" i="8"/>
  <c r="Q696" i="8"/>
  <c r="V696" i="8"/>
  <c r="F696" i="8"/>
  <c r="J696" i="8"/>
  <c r="N696" i="8"/>
  <c r="R696" i="8"/>
  <c r="T696" i="8"/>
  <c r="D696" i="8"/>
  <c r="L696" i="8"/>
  <c r="U696" i="8"/>
  <c r="G696" i="8"/>
  <c r="O696" i="8"/>
  <c r="K696" i="8"/>
  <c r="X696" i="8"/>
  <c r="H696" i="8"/>
  <c r="P696" i="8"/>
  <c r="Y696" i="8"/>
  <c r="C696" i="8"/>
  <c r="U596" i="8"/>
  <c r="Y596" i="8"/>
  <c r="E596" i="8"/>
  <c r="I596" i="8"/>
  <c r="M596" i="8"/>
  <c r="Q596" i="8"/>
  <c r="V596" i="8"/>
  <c r="F596" i="8"/>
  <c r="J596" i="8"/>
  <c r="N596" i="8"/>
  <c r="R596" i="8"/>
  <c r="W596" i="8"/>
  <c r="C596" i="8"/>
  <c r="G596" i="8"/>
  <c r="K596" i="8"/>
  <c r="O596" i="8"/>
  <c r="T596" i="8"/>
  <c r="X596" i="8"/>
  <c r="P596" i="8"/>
  <c r="D596" i="8"/>
  <c r="H596" i="8"/>
  <c r="L596" i="8"/>
  <c r="S245" i="8"/>
  <c r="S396" i="8"/>
  <c r="S497" i="8"/>
  <c r="F246" i="8"/>
  <c r="J246" i="8"/>
  <c r="N246" i="8"/>
  <c r="R246" i="8"/>
  <c r="W246" i="8"/>
  <c r="C246" i="8"/>
  <c r="G246" i="8"/>
  <c r="K246" i="8"/>
  <c r="O246" i="8"/>
  <c r="T246" i="8"/>
  <c r="X246" i="8"/>
  <c r="D246" i="8"/>
  <c r="H246" i="8"/>
  <c r="L246" i="8"/>
  <c r="P246" i="8"/>
  <c r="U246" i="8"/>
  <c r="Y246" i="8"/>
  <c r="E246" i="8"/>
  <c r="I246" i="8"/>
  <c r="M246" i="8"/>
  <c r="Q246" i="8"/>
  <c r="V246" i="8"/>
  <c r="D52" i="8"/>
  <c r="H52" i="8"/>
  <c r="U52" i="8"/>
  <c r="Y52" i="8"/>
  <c r="E52" i="8"/>
  <c r="I52" i="8"/>
  <c r="M52" i="8"/>
  <c r="Q52" i="8"/>
  <c r="V52" i="8"/>
  <c r="F52" i="8"/>
  <c r="J52" i="8"/>
  <c r="W52" i="8"/>
  <c r="C52" i="8"/>
  <c r="O52" i="8"/>
  <c r="G52" i="8"/>
  <c r="P52" i="8"/>
  <c r="X52" i="8"/>
  <c r="R52" i="8"/>
  <c r="K52" i="8"/>
  <c r="L52" i="8"/>
  <c r="N52" i="8"/>
  <c r="T52" i="8"/>
  <c r="C397" i="8"/>
  <c r="G397" i="8"/>
  <c r="K397" i="8"/>
  <c r="O397" i="8"/>
  <c r="T397" i="8"/>
  <c r="X397" i="8"/>
  <c r="D397" i="8"/>
  <c r="H397" i="8"/>
  <c r="L397" i="8"/>
  <c r="P397" i="8"/>
  <c r="U397" i="8"/>
  <c r="Y397" i="8"/>
  <c r="E397" i="8"/>
  <c r="I397" i="8"/>
  <c r="M397" i="8"/>
  <c r="Q397" i="8"/>
  <c r="F397" i="8"/>
  <c r="J397" i="8"/>
  <c r="N397" i="8"/>
  <c r="R397" i="8"/>
  <c r="V397" i="8"/>
  <c r="W397" i="8"/>
  <c r="T498" i="8"/>
  <c r="X498" i="8"/>
  <c r="U498" i="8"/>
  <c r="Y498" i="8"/>
  <c r="E498" i="8"/>
  <c r="I498" i="8"/>
  <c r="M498" i="8"/>
  <c r="V498" i="8"/>
  <c r="F498" i="8"/>
  <c r="N498" i="8"/>
  <c r="D498" i="8"/>
  <c r="G498" i="8"/>
  <c r="O498" i="8"/>
  <c r="H498" i="8"/>
  <c r="P498" i="8"/>
  <c r="W498" i="8"/>
  <c r="L498" i="8"/>
  <c r="J498" i="8"/>
  <c r="Q498" i="8"/>
  <c r="R498" i="8"/>
  <c r="C498" i="8"/>
  <c r="K498" i="8"/>
  <c r="S51" i="8"/>
  <c r="B53" i="8"/>
  <c r="B597" i="8"/>
  <c r="B697" i="8"/>
  <c r="S795" i="8"/>
  <c r="Y796" i="8"/>
  <c r="G796" i="8"/>
  <c r="T796" i="8"/>
  <c r="I796" i="8"/>
  <c r="W796" i="8"/>
  <c r="E796" i="8"/>
  <c r="O796" i="8"/>
  <c r="R796" i="8"/>
  <c r="N796" i="8"/>
  <c r="V796" i="8"/>
  <c r="H796" i="8"/>
  <c r="F796" i="8"/>
  <c r="P796" i="8"/>
  <c r="C796" i="8"/>
  <c r="J796" i="8"/>
  <c r="K796" i="8"/>
  <c r="D796" i="8"/>
  <c r="Q796" i="8"/>
  <c r="L796" i="8"/>
  <c r="U796" i="8"/>
  <c r="X796" i="8"/>
  <c r="M796" i="8"/>
  <c r="B247" i="8"/>
  <c r="B499" i="8"/>
  <c r="B398" i="8"/>
  <c r="Q398" i="8" a="1"/>
  <c r="R597" i="8" a="1"/>
  <c r="M597" i="8" a="1"/>
  <c r="Y597" i="8" a="1"/>
  <c r="J53" i="8" a="1"/>
  <c r="F247" i="8" a="1"/>
  <c r="M398" i="8" a="1"/>
  <c r="T398" i="8" a="1"/>
  <c r="U247" i="8" a="1"/>
  <c r="D53" i="8" a="1"/>
  <c r="G597" i="8" a="1"/>
  <c r="M697" i="8" a="1"/>
  <c r="C53" i="8" a="1"/>
  <c r="P597" i="8" a="1"/>
  <c r="X697" i="8" a="1"/>
  <c r="D499" i="8" a="1"/>
  <c r="G398" i="8" a="1"/>
  <c r="Q597" i="8" a="1"/>
  <c r="E398" i="8" a="1"/>
  <c r="P697" i="8" a="1"/>
  <c r="E247" i="8" a="1"/>
  <c r="H597" i="8" a="1"/>
  <c r="Q697" i="8" a="1"/>
  <c r="Y697" i="8" a="1"/>
  <c r="Q53" i="8" a="1"/>
  <c r="R398" i="8" a="1"/>
  <c r="U697" i="8" a="1"/>
  <c r="C247" i="8" a="1"/>
  <c r="Y247" i="8" a="1"/>
  <c r="L697" i="8" a="1"/>
  <c r="V499" i="8" a="1"/>
  <c r="L597" i="8" a="1"/>
  <c r="C697" i="8" a="1"/>
  <c r="N697" i="8" a="1"/>
  <c r="I499" i="8" a="1"/>
  <c r="J697" i="8" a="1"/>
  <c r="P499" i="8" a="1"/>
  <c r="M247" i="8" a="1"/>
  <c r="F697" i="8" a="1"/>
  <c r="H398" i="8" a="1"/>
  <c r="K697" i="8" a="1"/>
  <c r="N597" i="8" a="1"/>
  <c r="J499" i="8" a="1"/>
  <c r="X53" i="8" a="1"/>
  <c r="F53" i="8" a="1"/>
  <c r="H697" i="8" a="1"/>
  <c r="D398" i="8" a="1"/>
  <c r="O247" i="8" a="1"/>
  <c r="T597" i="8" a="1"/>
  <c r="R499" i="8" a="1"/>
  <c r="L53" i="8" a="1"/>
  <c r="U499" i="8" a="1"/>
  <c r="N53" i="8" a="1"/>
  <c r="E499" i="8" a="1"/>
  <c r="W499" i="8" a="1"/>
  <c r="H499" i="8" a="1"/>
  <c r="N247" i="8" a="1"/>
  <c r="P53" i="8" a="1"/>
  <c r="G697" i="8" a="1"/>
  <c r="K398" i="8" a="1"/>
  <c r="E53" i="8" a="1"/>
  <c r="H53" i="8" a="1"/>
  <c r="X597" i="8" a="1"/>
  <c r="J247" i="8" a="1"/>
  <c r="Y53" i="8" a="1"/>
  <c r="R247" i="8" a="1"/>
  <c r="R697" i="8" a="1"/>
  <c r="P247" i="8" a="1"/>
  <c r="W53" i="8" a="1"/>
  <c r="T247" i="8" a="1"/>
  <c r="C398" i="8" a="1"/>
  <c r="T53" i="8" a="1"/>
  <c r="M499" i="8" a="1"/>
  <c r="P398" i="8" a="1"/>
  <c r="K499" i="8" a="1"/>
  <c r="X398" i="8" a="1"/>
  <c r="C499" i="8" a="1"/>
  <c r="M53" i="8" a="1"/>
  <c r="I53" i="8" a="1"/>
  <c r="W697" i="8" a="1"/>
  <c r="O53" i="8" a="1"/>
  <c r="V597" i="8" a="1"/>
  <c r="Q247" i="8" a="1"/>
  <c r="W597" i="8" a="1"/>
  <c r="T499" i="8" a="1"/>
  <c r="I597" i="8" a="1"/>
  <c r="N499" i="8" a="1"/>
  <c r="L247" i="8" a="1"/>
  <c r="G499" i="8" a="1"/>
  <c r="I398" i="8" a="1"/>
  <c r="V697" i="8" a="1"/>
  <c r="V53" i="8" a="1"/>
  <c r="X247" i="8" a="1"/>
  <c r="I697" i="8" a="1"/>
  <c r="G247" i="8" a="1"/>
  <c r="T697" i="8" a="1"/>
  <c r="W398" i="8" a="1"/>
  <c r="O398" i="8" a="1"/>
  <c r="N398" i="8" a="1"/>
  <c r="E697" i="8" a="1"/>
  <c r="U597" i="8" a="1"/>
  <c r="L499" i="8" a="1"/>
  <c r="D247" i="8" a="1"/>
  <c r="F499" i="8" a="1"/>
  <c r="G53" i="8" a="1"/>
  <c r="O697" i="8" a="1"/>
  <c r="K597" i="8" a="1"/>
  <c r="D697" i="8" a="1"/>
  <c r="F597" i="8" a="1"/>
  <c r="J597" i="8" a="1"/>
  <c r="J398" i="8" a="1"/>
  <c r="F398" i="8" a="1"/>
  <c r="Q499" i="8" a="1"/>
  <c r="E597" i="8" a="1"/>
  <c r="O597" i="8" a="1"/>
  <c r="C597" i="8" a="1"/>
  <c r="V398" i="8" a="1"/>
  <c r="W247" i="8" a="1"/>
  <c r="R53" i="8" a="1"/>
  <c r="L398" i="8" a="1"/>
  <c r="K247" i="8" a="1"/>
  <c r="Y398" i="8" a="1"/>
  <c r="U398" i="8" a="1"/>
  <c r="K53" i="8" a="1"/>
  <c r="H247" i="8" a="1"/>
  <c r="O499" i="8" a="1"/>
  <c r="V247" i="8" a="1"/>
  <c r="D597" i="8" a="1"/>
  <c r="U53" i="8" a="1"/>
  <c r="X499" i="8" a="1"/>
  <c r="Y499" i="8" a="1"/>
  <c r="I247" i="8" a="1"/>
  <c r="S696" i="8" l="1"/>
  <c r="W697" i="8"/>
  <c r="C697" i="8"/>
  <c r="G697" i="8"/>
  <c r="K697" i="8"/>
  <c r="O697" i="8"/>
  <c r="T697" i="8"/>
  <c r="X697" i="8"/>
  <c r="J697" i="8"/>
  <c r="Q697" i="8"/>
  <c r="E697" i="8"/>
  <c r="L697" i="8"/>
  <c r="Y697" i="8"/>
  <c r="R697" i="8"/>
  <c r="F697" i="8"/>
  <c r="M697" i="8"/>
  <c r="D697" i="8"/>
  <c r="H697" i="8"/>
  <c r="U697" i="8"/>
  <c r="N697" i="8"/>
  <c r="I697" i="8"/>
  <c r="P697" i="8"/>
  <c r="V697" i="8"/>
  <c r="F597" i="8"/>
  <c r="J597" i="8"/>
  <c r="N597" i="8"/>
  <c r="R597" i="8"/>
  <c r="W597" i="8"/>
  <c r="C597" i="8"/>
  <c r="G597" i="8"/>
  <c r="K597" i="8"/>
  <c r="O597" i="8"/>
  <c r="T597" i="8"/>
  <c r="X597" i="8"/>
  <c r="D597" i="8"/>
  <c r="H597" i="8"/>
  <c r="L597" i="8"/>
  <c r="P597" i="8"/>
  <c r="U597" i="8"/>
  <c r="Y597" i="8"/>
  <c r="E597" i="8"/>
  <c r="I597" i="8"/>
  <c r="M597" i="8"/>
  <c r="Q597" i="8"/>
  <c r="V597" i="8"/>
  <c r="S596" i="8"/>
  <c r="E499" i="8"/>
  <c r="C499" i="8"/>
  <c r="D499" i="8"/>
  <c r="U499" i="8"/>
  <c r="Y499" i="8"/>
  <c r="H499" i="8"/>
  <c r="I499" i="8"/>
  <c r="M499" i="8"/>
  <c r="Q499" i="8"/>
  <c r="P499" i="8"/>
  <c r="V499" i="8"/>
  <c r="F499" i="8"/>
  <c r="J499" i="8"/>
  <c r="N499" i="8"/>
  <c r="R499" i="8"/>
  <c r="L499" i="8"/>
  <c r="W499" i="8"/>
  <c r="G499" i="8"/>
  <c r="K499" i="8"/>
  <c r="O499" i="8"/>
  <c r="T499" i="8"/>
  <c r="X499" i="8"/>
  <c r="U53" i="8"/>
  <c r="Y53" i="8"/>
  <c r="E53" i="8"/>
  <c r="I53" i="8"/>
  <c r="M53" i="8"/>
  <c r="Q53" i="8"/>
  <c r="V53" i="8"/>
  <c r="F53" i="8"/>
  <c r="J53" i="8"/>
  <c r="N53" i="8"/>
  <c r="R53" i="8"/>
  <c r="W53" i="8"/>
  <c r="T53" i="8"/>
  <c r="X53" i="8"/>
  <c r="D53" i="8"/>
  <c r="H53" i="8"/>
  <c r="L53" i="8"/>
  <c r="P53" i="8"/>
  <c r="K53" i="8"/>
  <c r="O53" i="8"/>
  <c r="C53" i="8"/>
  <c r="G53" i="8"/>
  <c r="U398" i="8"/>
  <c r="Y398" i="8"/>
  <c r="E398" i="8"/>
  <c r="I398" i="8"/>
  <c r="M398" i="8"/>
  <c r="Q398" i="8"/>
  <c r="V398" i="8"/>
  <c r="F398" i="8"/>
  <c r="J398" i="8"/>
  <c r="N398" i="8"/>
  <c r="R398" i="8"/>
  <c r="W398" i="8"/>
  <c r="T398" i="8"/>
  <c r="X398" i="8"/>
  <c r="K398" i="8"/>
  <c r="L398" i="8"/>
  <c r="O398" i="8"/>
  <c r="P398" i="8"/>
  <c r="C398" i="8"/>
  <c r="D398" i="8"/>
  <c r="G398" i="8"/>
  <c r="H398" i="8"/>
  <c r="T247" i="8"/>
  <c r="X247" i="8"/>
  <c r="D247" i="8"/>
  <c r="H247" i="8"/>
  <c r="L247" i="8"/>
  <c r="P247" i="8"/>
  <c r="U247" i="8"/>
  <c r="Y247" i="8"/>
  <c r="E247" i="8"/>
  <c r="I247" i="8"/>
  <c r="M247" i="8"/>
  <c r="Q247" i="8"/>
  <c r="V247" i="8"/>
  <c r="F247" i="8"/>
  <c r="J247" i="8"/>
  <c r="N247" i="8"/>
  <c r="R247" i="8"/>
  <c r="W247" i="8"/>
  <c r="K247" i="8"/>
  <c r="O247" i="8"/>
  <c r="G247" i="8"/>
  <c r="C247" i="8"/>
  <c r="S52" i="8"/>
  <c r="S246" i="8"/>
  <c r="S498" i="8"/>
  <c r="S397" i="8"/>
  <c r="B54" i="8"/>
  <c r="B698" i="8"/>
  <c r="B598" i="8"/>
  <c r="S796" i="8"/>
  <c r="B500" i="8"/>
  <c r="B248" i="8"/>
  <c r="B399" i="8"/>
  <c r="F399" i="8" a="1"/>
  <c r="I598" i="8" a="1"/>
  <c r="G248" i="8" a="1"/>
  <c r="Q598" i="8" a="1"/>
  <c r="I500" i="8" a="1"/>
  <c r="J500" i="8" a="1"/>
  <c r="W598" i="8" a="1"/>
  <c r="M698" i="8" a="1"/>
  <c r="I698" i="8" a="1"/>
  <c r="R598" i="8" a="1"/>
  <c r="C598" i="8" a="1"/>
  <c r="T399" i="8" a="1"/>
  <c r="F500" i="8" a="1"/>
  <c r="O698" i="8" a="1"/>
  <c r="G399" i="8" a="1"/>
  <c r="G54" i="8" a="1"/>
  <c r="T54" i="8" a="1"/>
  <c r="L698" i="8" a="1"/>
  <c r="I54" i="8" a="1"/>
  <c r="D598" i="8" a="1"/>
  <c r="Q399" i="8" a="1"/>
  <c r="V54" i="8" a="1"/>
  <c r="Y54" i="8" a="1"/>
  <c r="D248" i="8" a="1"/>
  <c r="H399" i="8" a="1"/>
  <c r="X500" i="8" a="1"/>
  <c r="V698" i="8" a="1"/>
  <c r="E54" i="8" a="1"/>
  <c r="F248" i="8" a="1"/>
  <c r="N500" i="8" a="1"/>
  <c r="R500" i="8" a="1"/>
  <c r="U54" i="8" a="1"/>
  <c r="L54" i="8" a="1"/>
  <c r="M500" i="8" a="1"/>
  <c r="U698" i="8" a="1"/>
  <c r="U399" i="8" a="1"/>
  <c r="H598" i="8" a="1"/>
  <c r="Q698" i="8" a="1"/>
  <c r="M248" i="8" a="1"/>
  <c r="C399" i="8" a="1"/>
  <c r="X54" i="8" a="1"/>
  <c r="C698" i="8" a="1"/>
  <c r="L500" i="8" a="1"/>
  <c r="R248" i="8" a="1"/>
  <c r="J598" i="8" a="1"/>
  <c r="F598" i="8" a="1"/>
  <c r="D500" i="8" a="1"/>
  <c r="V598" i="8" a="1"/>
  <c r="Y248" i="8" a="1"/>
  <c r="R399" i="8" a="1"/>
  <c r="J248" i="8" a="1"/>
  <c r="X598" i="8" a="1"/>
  <c r="K248" i="8" a="1"/>
  <c r="P54" i="8" a="1"/>
  <c r="N698" i="8" a="1"/>
  <c r="H500" i="8" a="1"/>
  <c r="E598" i="8" a="1"/>
  <c r="H248" i="8" a="1"/>
  <c r="N399" i="8" a="1"/>
  <c r="Y598" i="8" a="1"/>
  <c r="U248" i="8" a="1"/>
  <c r="J54" i="8" a="1"/>
  <c r="N598" i="8" a="1"/>
  <c r="Y698" i="8" a="1"/>
  <c r="I399" i="8" a="1"/>
  <c r="Y500" i="8" a="1"/>
  <c r="V399" i="8" a="1"/>
  <c r="P248" i="8" a="1"/>
  <c r="E500" i="8" a="1"/>
  <c r="D698" i="8" a="1"/>
  <c r="W698" i="8" a="1"/>
  <c r="K698" i="8" a="1"/>
  <c r="P500" i="8" a="1"/>
  <c r="P399" i="8" a="1"/>
  <c r="X248" i="8" a="1"/>
  <c r="J698" i="8" a="1"/>
  <c r="U598" i="8" a="1"/>
  <c r="E399" i="8" a="1"/>
  <c r="M399" i="8" a="1"/>
  <c r="O399" i="8" a="1"/>
  <c r="R54" i="8" a="1"/>
  <c r="T598" i="8" a="1"/>
  <c r="K598" i="8" a="1"/>
  <c r="L248" i="8" a="1"/>
  <c r="O54" i="8" a="1"/>
  <c r="Q500" i="8" a="1"/>
  <c r="P598" i="8" a="1"/>
  <c r="P698" i="8" a="1"/>
  <c r="Q54" i="8" a="1"/>
  <c r="D399" i="8" a="1"/>
  <c r="T248" i="8" a="1"/>
  <c r="W54" i="8" a="1"/>
  <c r="T698" i="8" a="1"/>
  <c r="M598" i="8" a="1"/>
  <c r="K399" i="8" a="1"/>
  <c r="V500" i="8" a="1"/>
  <c r="G500" i="8" a="1"/>
  <c r="C54" i="8" a="1"/>
  <c r="N248" i="8" a="1"/>
  <c r="O248" i="8" a="1"/>
  <c r="J399" i="8" a="1"/>
  <c r="L399" i="8" a="1"/>
  <c r="H54" i="8" a="1"/>
  <c r="F54" i="8" a="1"/>
  <c r="W248" i="8" a="1"/>
  <c r="W500" i="8" a="1"/>
  <c r="V248" i="8" a="1"/>
  <c r="L598" i="8" a="1"/>
  <c r="H698" i="8" a="1"/>
  <c r="X399" i="8" a="1"/>
  <c r="T500" i="8" a="1"/>
  <c r="G698" i="8" a="1"/>
  <c r="E698" i="8" a="1"/>
  <c r="D54" i="8" a="1"/>
  <c r="G598" i="8" a="1"/>
  <c r="E248" i="8" a="1"/>
  <c r="I248" i="8" a="1"/>
  <c r="C248" i="8" a="1"/>
  <c r="N54" i="8" a="1"/>
  <c r="K54" i="8" a="1"/>
  <c r="M54" i="8" a="1"/>
  <c r="O598" i="8" a="1"/>
  <c r="Y399" i="8" a="1"/>
  <c r="R698" i="8" a="1"/>
  <c r="X698" i="8" a="1"/>
  <c r="U500" i="8" a="1"/>
  <c r="Q248" i="8" a="1"/>
  <c r="O500" i="8" a="1"/>
  <c r="C500" i="8" a="1"/>
  <c r="W399" i="8" a="1"/>
  <c r="F698" i="8" a="1"/>
  <c r="K500" i="8" a="1"/>
  <c r="S697" i="8" l="1"/>
  <c r="T598" i="8"/>
  <c r="X598" i="8"/>
  <c r="D598" i="8"/>
  <c r="H598" i="8"/>
  <c r="L598" i="8"/>
  <c r="P598" i="8"/>
  <c r="U598" i="8"/>
  <c r="Y598" i="8"/>
  <c r="E598" i="8"/>
  <c r="I598" i="8"/>
  <c r="M598" i="8"/>
  <c r="Q598" i="8"/>
  <c r="V598" i="8"/>
  <c r="F598" i="8"/>
  <c r="J598" i="8"/>
  <c r="N598" i="8"/>
  <c r="R598" i="8"/>
  <c r="W598" i="8"/>
  <c r="C598" i="8"/>
  <c r="G598" i="8"/>
  <c r="K598" i="8"/>
  <c r="O598" i="8"/>
  <c r="D698" i="8"/>
  <c r="H698" i="8"/>
  <c r="L698" i="8"/>
  <c r="P698" i="8"/>
  <c r="U698" i="8"/>
  <c r="E698" i="8"/>
  <c r="I698" i="8"/>
  <c r="M698" i="8"/>
  <c r="Q698" i="8"/>
  <c r="G698" i="8"/>
  <c r="N698" i="8"/>
  <c r="T698" i="8"/>
  <c r="V698" i="8"/>
  <c r="O698" i="8"/>
  <c r="C698" i="8"/>
  <c r="J698" i="8"/>
  <c r="W698" i="8"/>
  <c r="K698" i="8"/>
  <c r="R698" i="8"/>
  <c r="X698" i="8"/>
  <c r="F698" i="8"/>
  <c r="Y698" i="8"/>
  <c r="S597" i="8"/>
  <c r="S499" i="8"/>
  <c r="F399" i="8"/>
  <c r="J399" i="8"/>
  <c r="N399" i="8"/>
  <c r="R399" i="8"/>
  <c r="W399" i="8"/>
  <c r="C399" i="8"/>
  <c r="G399" i="8"/>
  <c r="K399" i="8"/>
  <c r="O399" i="8"/>
  <c r="T399" i="8"/>
  <c r="X399" i="8"/>
  <c r="D399" i="8"/>
  <c r="H399" i="8"/>
  <c r="L399" i="8"/>
  <c r="P399" i="8"/>
  <c r="E399" i="8"/>
  <c r="I399" i="8"/>
  <c r="M399" i="8"/>
  <c r="Q399" i="8"/>
  <c r="U399" i="8"/>
  <c r="V399" i="8"/>
  <c r="Y399" i="8"/>
  <c r="E248" i="8"/>
  <c r="I248" i="8"/>
  <c r="M248" i="8"/>
  <c r="Q248" i="8"/>
  <c r="V248" i="8"/>
  <c r="F248" i="8"/>
  <c r="J248" i="8"/>
  <c r="N248" i="8"/>
  <c r="R248" i="8"/>
  <c r="W248" i="8"/>
  <c r="C248" i="8"/>
  <c r="G248" i="8"/>
  <c r="K248" i="8"/>
  <c r="O248" i="8"/>
  <c r="T248" i="8"/>
  <c r="X248" i="8"/>
  <c r="D248" i="8"/>
  <c r="H248" i="8"/>
  <c r="L248" i="8"/>
  <c r="P248" i="8"/>
  <c r="U248" i="8"/>
  <c r="Y248" i="8"/>
  <c r="F500" i="8"/>
  <c r="J500" i="8"/>
  <c r="N500" i="8"/>
  <c r="R500" i="8"/>
  <c r="W500" i="8"/>
  <c r="C500" i="8"/>
  <c r="G500" i="8"/>
  <c r="K500" i="8"/>
  <c r="O500" i="8"/>
  <c r="T500" i="8"/>
  <c r="X500" i="8"/>
  <c r="V500" i="8"/>
  <c r="D500" i="8"/>
  <c r="H500" i="8"/>
  <c r="L500" i="8"/>
  <c r="P500" i="8"/>
  <c r="U500" i="8"/>
  <c r="Y500" i="8"/>
  <c r="E500" i="8"/>
  <c r="I500" i="8"/>
  <c r="M500" i="8"/>
  <c r="Q500" i="8"/>
  <c r="F54" i="8"/>
  <c r="J54" i="8"/>
  <c r="N54" i="8"/>
  <c r="R54" i="8"/>
  <c r="W54" i="8"/>
  <c r="C54" i="8"/>
  <c r="G54" i="8"/>
  <c r="K54" i="8"/>
  <c r="O54" i="8"/>
  <c r="T54" i="8"/>
  <c r="X54" i="8"/>
  <c r="D54" i="8"/>
  <c r="H54" i="8"/>
  <c r="L54" i="8"/>
  <c r="P54" i="8"/>
  <c r="E54" i="8"/>
  <c r="I54" i="8"/>
  <c r="M54" i="8"/>
  <c r="Q54" i="8"/>
  <c r="V54" i="8"/>
  <c r="U54" i="8"/>
  <c r="Y54" i="8"/>
  <c r="S247" i="8"/>
  <c r="S53" i="8"/>
  <c r="S398" i="8"/>
  <c r="B55" i="8"/>
  <c r="B599" i="8"/>
  <c r="B699" i="8"/>
  <c r="B501" i="8"/>
  <c r="B249" i="8"/>
  <c r="B400" i="8"/>
  <c r="M699" i="8" a="1"/>
  <c r="G249" i="8" a="1"/>
  <c r="I599" i="8" a="1"/>
  <c r="F699" i="8" a="1"/>
  <c r="H400" i="8" a="1"/>
  <c r="X699" i="8" a="1"/>
  <c r="W400" i="8" a="1"/>
  <c r="X599" i="8" a="1"/>
  <c r="F599" i="8" a="1"/>
  <c r="M400" i="8" a="1"/>
  <c r="I400" i="8" a="1"/>
  <c r="R400" i="8" a="1"/>
  <c r="G599" i="8" a="1"/>
  <c r="H501" i="8" a="1"/>
  <c r="Y699" i="8" a="1"/>
  <c r="M599" i="8" a="1"/>
  <c r="T55" i="8" a="1"/>
  <c r="J699" i="8" a="1"/>
  <c r="E599" i="8" a="1"/>
  <c r="L249" i="8" a="1"/>
  <c r="T599" i="8" a="1"/>
  <c r="Y249" i="8" a="1"/>
  <c r="N501" i="8" a="1"/>
  <c r="R699" i="8" a="1"/>
  <c r="K249" i="8" a="1"/>
  <c r="K400" i="8" a="1"/>
  <c r="Q249" i="8" a="1"/>
  <c r="N55" i="8" a="1"/>
  <c r="O400" i="8" a="1"/>
  <c r="N599" i="8" a="1"/>
  <c r="Y55" i="8" a="1"/>
  <c r="U599" i="8" a="1"/>
  <c r="L400" i="8" a="1"/>
  <c r="V55" i="8" a="1"/>
  <c r="C599" i="8" a="1"/>
  <c r="L599" i="8" a="1"/>
  <c r="M249" i="8" a="1"/>
  <c r="P249" i="8" a="1"/>
  <c r="C249" i="8" a="1"/>
  <c r="P599" i="8" a="1"/>
  <c r="Q501" i="8" a="1"/>
  <c r="I501" i="8" a="1"/>
  <c r="O249" i="8" a="1"/>
  <c r="Y400" i="8" a="1"/>
  <c r="D599" i="8" a="1"/>
  <c r="D501" i="8" a="1"/>
  <c r="M55" i="8" a="1"/>
  <c r="F400" i="8" a="1"/>
  <c r="H249" i="8" a="1"/>
  <c r="K599" i="8" a="1"/>
  <c r="K501" i="8" a="1"/>
  <c r="R55" i="8" a="1"/>
  <c r="K699" i="8" a="1"/>
  <c r="J501" i="8" a="1"/>
  <c r="C699" i="8" a="1"/>
  <c r="X400" i="8" a="1"/>
  <c r="D400" i="8" a="1"/>
  <c r="Q400" i="8" a="1"/>
  <c r="E55" i="8" a="1"/>
  <c r="T400" i="8" a="1"/>
  <c r="U400" i="8" a="1"/>
  <c r="V400" i="8" a="1"/>
  <c r="N249" i="8" a="1"/>
  <c r="G55" i="8" a="1"/>
  <c r="L501" i="8" a="1"/>
  <c r="D699" i="8" a="1"/>
  <c r="G699" i="8" a="1"/>
  <c r="O55" i="8" a="1"/>
  <c r="T249" i="8" a="1"/>
  <c r="L55" i="8" a="1"/>
  <c r="V699" i="8" a="1"/>
  <c r="H699" i="8" a="1"/>
  <c r="E699" i="8" a="1"/>
  <c r="H599" i="8" a="1"/>
  <c r="P55" i="8" a="1"/>
  <c r="R599" i="8" a="1"/>
  <c r="P699" i="8" a="1"/>
  <c r="I55" i="8" a="1"/>
  <c r="Y599" i="8" a="1"/>
  <c r="F55" i="8" a="1"/>
  <c r="J249" i="8" a="1"/>
  <c r="C55" i="8" a="1"/>
  <c r="N400" i="8" a="1"/>
  <c r="D249" i="8" a="1"/>
  <c r="K55" i="8" a="1"/>
  <c r="E400" i="8" a="1"/>
  <c r="L699" i="8" a="1"/>
  <c r="O699" i="8" a="1"/>
  <c r="E501" i="8" a="1"/>
  <c r="P400" i="8" a="1"/>
  <c r="I699" i="8" a="1"/>
  <c r="F501" i="8" a="1"/>
  <c r="O501" i="8" a="1"/>
  <c r="U55" i="8" a="1"/>
  <c r="J599" i="8" a="1"/>
  <c r="D55" i="8" a="1"/>
  <c r="O599" i="8" a="1"/>
  <c r="G501" i="8" a="1"/>
  <c r="Q599" i="8" a="1"/>
  <c r="H55" i="8" a="1"/>
  <c r="C400" i="8" a="1"/>
  <c r="G400" i="8" a="1"/>
  <c r="W599" i="8" a="1"/>
  <c r="U699" i="8" a="1"/>
  <c r="J400" i="8" a="1"/>
  <c r="T699" i="8" a="1"/>
  <c r="Q699" i="8" a="1"/>
  <c r="W55" i="8" a="1"/>
  <c r="V599" i="8" a="1"/>
  <c r="M501" i="8" a="1"/>
  <c r="X55" i="8" a="1"/>
  <c r="J55" i="8" a="1"/>
  <c r="P501" i="8" a="1"/>
  <c r="X249" i="8" a="1"/>
  <c r="Q55" i="8" a="1"/>
  <c r="W249" i="8" a="1"/>
  <c r="F249" i="8" a="1"/>
  <c r="W501" i="8" a="1"/>
  <c r="W699" i="8" a="1"/>
  <c r="V249" i="8" a="1"/>
  <c r="R501" i="8" a="1"/>
  <c r="I249" i="8" a="1"/>
  <c r="C501" i="8" a="1"/>
  <c r="U249" i="8" a="1"/>
  <c r="N699" i="8" a="1"/>
  <c r="E249" i="8" a="1"/>
  <c r="R249" i="8" a="1"/>
  <c r="S698" i="8" l="1"/>
  <c r="S598" i="8"/>
  <c r="W699" i="8"/>
  <c r="J699" i="8"/>
  <c r="C699" i="8"/>
  <c r="G699" i="8"/>
  <c r="K699" i="8"/>
  <c r="O699" i="8"/>
  <c r="N699" i="8"/>
  <c r="T699" i="8"/>
  <c r="X699" i="8"/>
  <c r="D699" i="8"/>
  <c r="H699" i="8"/>
  <c r="L699" i="8"/>
  <c r="P699" i="8"/>
  <c r="U699" i="8"/>
  <c r="Y699" i="8"/>
  <c r="E699" i="8"/>
  <c r="I699" i="8"/>
  <c r="M699" i="8"/>
  <c r="Q699" i="8"/>
  <c r="F699" i="8"/>
  <c r="V699" i="8"/>
  <c r="R699" i="8"/>
  <c r="E599" i="8"/>
  <c r="I599" i="8"/>
  <c r="M599" i="8"/>
  <c r="V599" i="8"/>
  <c r="F599" i="8"/>
  <c r="J599" i="8"/>
  <c r="N599" i="8"/>
  <c r="R599" i="8"/>
  <c r="W599" i="8"/>
  <c r="C599" i="8"/>
  <c r="G599" i="8"/>
  <c r="K599" i="8"/>
  <c r="O599" i="8"/>
  <c r="T599" i="8"/>
  <c r="X599" i="8"/>
  <c r="D599" i="8"/>
  <c r="H599" i="8"/>
  <c r="L599" i="8"/>
  <c r="P599" i="8"/>
  <c r="Q599" i="8"/>
  <c r="U599" i="8"/>
  <c r="Y599" i="8"/>
  <c r="S248" i="8"/>
  <c r="S500" i="8"/>
  <c r="T400" i="8"/>
  <c r="X400" i="8"/>
  <c r="D400" i="8"/>
  <c r="H400" i="8"/>
  <c r="L400" i="8"/>
  <c r="P400" i="8"/>
  <c r="U400" i="8"/>
  <c r="Y400" i="8"/>
  <c r="E400" i="8"/>
  <c r="I400" i="8"/>
  <c r="M400" i="8"/>
  <c r="Q400" i="8"/>
  <c r="V400" i="8"/>
  <c r="W400" i="8"/>
  <c r="N400" i="8"/>
  <c r="O400" i="8"/>
  <c r="R400" i="8"/>
  <c r="C400" i="8"/>
  <c r="F400" i="8"/>
  <c r="G400" i="8"/>
  <c r="J400" i="8"/>
  <c r="K400" i="8"/>
  <c r="C249" i="8"/>
  <c r="D249" i="8"/>
  <c r="H249" i="8"/>
  <c r="L249" i="8"/>
  <c r="E249" i="8"/>
  <c r="I249" i="8"/>
  <c r="M249" i="8"/>
  <c r="K249" i="8"/>
  <c r="W249" i="8"/>
  <c r="N249" i="8"/>
  <c r="T249" i="8"/>
  <c r="X249" i="8"/>
  <c r="O249" i="8"/>
  <c r="J249" i="8"/>
  <c r="F249" i="8"/>
  <c r="U249" i="8"/>
  <c r="Y249" i="8"/>
  <c r="G249" i="8"/>
  <c r="P249" i="8"/>
  <c r="Q249" i="8"/>
  <c r="V249" i="8"/>
  <c r="R249" i="8"/>
  <c r="T55" i="8"/>
  <c r="X55" i="8"/>
  <c r="D55" i="8"/>
  <c r="H55" i="8"/>
  <c r="L55" i="8"/>
  <c r="P55" i="8"/>
  <c r="U55" i="8"/>
  <c r="Y55" i="8"/>
  <c r="E55" i="8"/>
  <c r="I55" i="8"/>
  <c r="M55" i="8"/>
  <c r="Q55" i="8"/>
  <c r="V55" i="8"/>
  <c r="W55" i="8"/>
  <c r="C55" i="8"/>
  <c r="G55" i="8"/>
  <c r="K55" i="8"/>
  <c r="O55" i="8"/>
  <c r="F55" i="8"/>
  <c r="J55" i="8"/>
  <c r="N55" i="8"/>
  <c r="R55" i="8"/>
  <c r="S54" i="8"/>
  <c r="S399" i="8"/>
  <c r="C501" i="8"/>
  <c r="G501" i="8"/>
  <c r="K501" i="8"/>
  <c r="O501" i="8"/>
  <c r="D501" i="8"/>
  <c r="H501" i="8"/>
  <c r="L501" i="8"/>
  <c r="P501" i="8"/>
  <c r="E501" i="8"/>
  <c r="I501" i="8"/>
  <c r="M501" i="8"/>
  <c r="Q501" i="8"/>
  <c r="F501" i="8"/>
  <c r="J501" i="8"/>
  <c r="N501" i="8"/>
  <c r="R501" i="8"/>
  <c r="B502" i="8"/>
  <c r="B503" i="8" s="1"/>
  <c r="B401" i="8"/>
  <c r="B56" i="8"/>
  <c r="B600" i="8"/>
  <c r="B700" i="8"/>
  <c r="W501" i="8"/>
  <c r="B250" i="8"/>
  <c r="F503" i="8" a="1"/>
  <c r="L56" i="8" a="1"/>
  <c r="W700" i="8" a="1"/>
  <c r="T501" i="8" a="1"/>
  <c r="R600" i="8" a="1"/>
  <c r="T600" i="8" a="1"/>
  <c r="L503" i="8" a="1"/>
  <c r="Y700" i="8" a="1"/>
  <c r="D502" i="8" a="1"/>
  <c r="M401" i="8" a="1"/>
  <c r="M700" i="8" a="1"/>
  <c r="H502" i="8" a="1"/>
  <c r="I250" i="8" a="1"/>
  <c r="G250" i="8" a="1"/>
  <c r="I600" i="8" a="1"/>
  <c r="L502" i="8" a="1"/>
  <c r="X503" i="8" a="1"/>
  <c r="L700" i="8" a="1"/>
  <c r="K401" i="8" a="1"/>
  <c r="T700" i="8" a="1"/>
  <c r="U700" i="8" a="1"/>
  <c r="G56" i="8" a="1"/>
  <c r="P600" i="8" a="1"/>
  <c r="P502" i="8" a="1"/>
  <c r="Q401" i="8" a="1"/>
  <c r="X501" i="8" a="1"/>
  <c r="R250" i="8" a="1"/>
  <c r="X700" i="8" a="1"/>
  <c r="N56" i="8" a="1"/>
  <c r="I56" i="8" a="1"/>
  <c r="E502" i="8" a="1"/>
  <c r="Q56" i="8" a="1"/>
  <c r="T503" i="8" a="1"/>
  <c r="V56" i="8" a="1"/>
  <c r="E600" i="8" a="1"/>
  <c r="O600" i="8" a="1"/>
  <c r="G401" i="8" a="1"/>
  <c r="G600" i="8" a="1"/>
  <c r="O503" i="8" a="1"/>
  <c r="K502" i="8" a="1"/>
  <c r="H56" i="8" a="1"/>
  <c r="C502" i="8" a="1"/>
  <c r="F600" i="8" a="1"/>
  <c r="T56" i="8" a="1"/>
  <c r="C503" i="8" a="1"/>
  <c r="N700" i="8" a="1"/>
  <c r="N401" i="8" a="1"/>
  <c r="V401" i="8" a="1"/>
  <c r="Y502" i="8" a="1"/>
  <c r="I502" i="8" a="1"/>
  <c r="D503" i="8" a="1"/>
  <c r="V502" i="8" a="1"/>
  <c r="V250" i="8" a="1"/>
  <c r="N502" i="8" a="1"/>
  <c r="Q700" i="8" a="1"/>
  <c r="M56" i="8" a="1"/>
  <c r="M250" i="8" a="1"/>
  <c r="F502" i="8" a="1"/>
  <c r="J250" i="8" a="1"/>
  <c r="C401" i="8" a="1"/>
  <c r="U56" i="8" a="1"/>
  <c r="X56" i="8" a="1"/>
  <c r="R56" i="8" a="1"/>
  <c r="U502" i="8" a="1"/>
  <c r="V700" i="8" a="1"/>
  <c r="O250" i="8" a="1"/>
  <c r="T401" i="8" a="1"/>
  <c r="W502" i="8" a="1"/>
  <c r="C600" i="8" a="1"/>
  <c r="E401" i="8" a="1"/>
  <c r="L401" i="8" a="1"/>
  <c r="U501" i="8" a="1"/>
  <c r="K503" i="8" a="1"/>
  <c r="O401" i="8" a="1"/>
  <c r="P250" i="8" a="1"/>
  <c r="U503" i="8" a="1"/>
  <c r="P700" i="8" a="1"/>
  <c r="N250" i="8" a="1"/>
  <c r="F401" i="8" a="1"/>
  <c r="D56" i="8" a="1"/>
  <c r="F250" i="8" a="1"/>
  <c r="C56" i="8" a="1"/>
  <c r="Q503" i="8" a="1"/>
  <c r="J401" i="8" a="1"/>
  <c r="D250" i="8" a="1"/>
  <c r="F700" i="8" a="1"/>
  <c r="H600" i="8" a="1"/>
  <c r="Y56" i="8" a="1"/>
  <c r="M502" i="8" a="1"/>
  <c r="J700" i="8" a="1"/>
  <c r="H503" i="8" a="1"/>
  <c r="D401" i="8" a="1"/>
  <c r="R700" i="8" a="1"/>
  <c r="O502" i="8" a="1"/>
  <c r="L250" i="8" a="1"/>
  <c r="J56" i="8" a="1"/>
  <c r="H401" i="8" a="1"/>
  <c r="D700" i="8" a="1"/>
  <c r="Y401" i="8" a="1"/>
  <c r="H250" i="8" a="1"/>
  <c r="R502" i="8" a="1"/>
  <c r="Q600" i="8" a="1"/>
  <c r="Y501" i="8" a="1"/>
  <c r="G502" i="8" a="1"/>
  <c r="Q502" i="8" a="1"/>
  <c r="W56" i="8" a="1"/>
  <c r="V503" i="8" a="1"/>
  <c r="V501" i="8" a="1"/>
  <c r="M600" i="8" a="1"/>
  <c r="J600" i="8" a="1"/>
  <c r="I401" i="8" a="1"/>
  <c r="X401" i="8" a="1"/>
  <c r="P503" i="8" a="1"/>
  <c r="V600" i="8" a="1"/>
  <c r="K250" i="8" a="1"/>
  <c r="X600" i="8" a="1"/>
  <c r="L600" i="8" a="1"/>
  <c r="F56" i="8" a="1"/>
  <c r="W401" i="8" a="1"/>
  <c r="P56" i="8" a="1"/>
  <c r="E503" i="8" a="1"/>
  <c r="U600" i="8" a="1"/>
  <c r="E250" i="8" a="1"/>
  <c r="C700" i="8" a="1"/>
  <c r="N503" i="8" a="1"/>
  <c r="D600" i="8" a="1"/>
  <c r="O700" i="8" a="1"/>
  <c r="G503" i="8" a="1"/>
  <c r="I700" i="8" a="1"/>
  <c r="R401" i="8" a="1"/>
  <c r="K600" i="8" a="1"/>
  <c r="K700" i="8" a="1"/>
  <c r="E700" i="8" a="1"/>
  <c r="H700" i="8" a="1"/>
  <c r="C250" i="8" a="1"/>
  <c r="I503" i="8" a="1"/>
  <c r="T502" i="8" a="1"/>
  <c r="Q250" i="8" a="1"/>
  <c r="X502" i="8" a="1"/>
  <c r="N600" i="8" a="1"/>
  <c r="J502" i="8" a="1"/>
  <c r="U401" i="8" a="1"/>
  <c r="M503" i="8" a="1"/>
  <c r="K56" i="8" a="1"/>
  <c r="E56" i="8" a="1"/>
  <c r="Y600" i="8" a="1"/>
  <c r="P401" i="8" a="1"/>
  <c r="J503" i="8" a="1"/>
  <c r="R503" i="8" a="1"/>
  <c r="W600" i="8" a="1"/>
  <c r="O56" i="8" a="1"/>
  <c r="G700" i="8" a="1"/>
  <c r="S599" i="8" l="1"/>
  <c r="C600" i="8"/>
  <c r="G600" i="8"/>
  <c r="K600" i="8"/>
  <c r="O600" i="8"/>
  <c r="T600" i="8"/>
  <c r="X600" i="8"/>
  <c r="D600" i="8"/>
  <c r="H600" i="8"/>
  <c r="L600" i="8"/>
  <c r="P600" i="8"/>
  <c r="U600" i="8"/>
  <c r="Y600" i="8"/>
  <c r="E600" i="8"/>
  <c r="I600" i="8"/>
  <c r="M600" i="8"/>
  <c r="Q600" i="8"/>
  <c r="V600" i="8"/>
  <c r="W600" i="8"/>
  <c r="J600" i="8"/>
  <c r="N600" i="8"/>
  <c r="R600" i="8"/>
  <c r="F600" i="8"/>
  <c r="D700" i="8"/>
  <c r="H700" i="8"/>
  <c r="L700" i="8"/>
  <c r="P700" i="8"/>
  <c r="U700" i="8"/>
  <c r="Y700" i="8"/>
  <c r="T700" i="8"/>
  <c r="E700" i="8"/>
  <c r="I700" i="8"/>
  <c r="M700" i="8"/>
  <c r="Q700" i="8"/>
  <c r="V700" i="8"/>
  <c r="F700" i="8"/>
  <c r="J700" i="8"/>
  <c r="N700" i="8"/>
  <c r="R700" i="8"/>
  <c r="W700" i="8"/>
  <c r="X700" i="8"/>
  <c r="C700" i="8"/>
  <c r="G700" i="8"/>
  <c r="K700" i="8"/>
  <c r="O700" i="8"/>
  <c r="S699" i="8"/>
  <c r="S249" i="8"/>
  <c r="E56" i="8"/>
  <c r="I56" i="8"/>
  <c r="M56" i="8"/>
  <c r="Q56" i="8"/>
  <c r="V56" i="8"/>
  <c r="F56" i="8"/>
  <c r="J56" i="8"/>
  <c r="N56" i="8"/>
  <c r="R56" i="8"/>
  <c r="W56" i="8"/>
  <c r="C56" i="8"/>
  <c r="G56" i="8"/>
  <c r="K56" i="8"/>
  <c r="O56" i="8"/>
  <c r="D56" i="8"/>
  <c r="H56" i="8"/>
  <c r="L56" i="8"/>
  <c r="P56" i="8"/>
  <c r="U56" i="8"/>
  <c r="Y56" i="8"/>
  <c r="T56" i="8"/>
  <c r="X56" i="8"/>
  <c r="E401" i="8"/>
  <c r="I401" i="8"/>
  <c r="M401" i="8"/>
  <c r="Q401" i="8"/>
  <c r="V401" i="8"/>
  <c r="F401" i="8"/>
  <c r="J401" i="8"/>
  <c r="N401" i="8"/>
  <c r="R401" i="8"/>
  <c r="W401" i="8"/>
  <c r="C401" i="8"/>
  <c r="G401" i="8"/>
  <c r="K401" i="8"/>
  <c r="O401" i="8"/>
  <c r="D401" i="8"/>
  <c r="H401" i="8"/>
  <c r="L401" i="8"/>
  <c r="P401" i="8"/>
  <c r="X401" i="8"/>
  <c r="Y401" i="8"/>
  <c r="T401" i="8"/>
  <c r="U401" i="8"/>
  <c r="S400" i="8"/>
  <c r="S55" i="8"/>
  <c r="B402" i="8"/>
  <c r="F503" i="8"/>
  <c r="C503" i="8"/>
  <c r="G503" i="8"/>
  <c r="K503" i="8"/>
  <c r="O503" i="8"/>
  <c r="D503" i="8"/>
  <c r="H503" i="8"/>
  <c r="L503" i="8"/>
  <c r="P503" i="8"/>
  <c r="E503" i="8"/>
  <c r="I503" i="8"/>
  <c r="M503" i="8"/>
  <c r="Q503" i="8"/>
  <c r="J503" i="8"/>
  <c r="N503" i="8"/>
  <c r="R503" i="8"/>
  <c r="C502" i="8"/>
  <c r="G502" i="8"/>
  <c r="K502" i="8"/>
  <c r="O502" i="8"/>
  <c r="D502" i="8"/>
  <c r="H502" i="8"/>
  <c r="L502" i="8"/>
  <c r="P502" i="8"/>
  <c r="E502" i="8"/>
  <c r="I502" i="8"/>
  <c r="M502" i="8"/>
  <c r="Q502" i="8"/>
  <c r="R502" i="8"/>
  <c r="F502" i="8"/>
  <c r="J502" i="8"/>
  <c r="N502" i="8"/>
  <c r="T502" i="8"/>
  <c r="Y502" i="8"/>
  <c r="F250" i="8"/>
  <c r="J250" i="8"/>
  <c r="N250" i="8"/>
  <c r="R250" i="8"/>
  <c r="C250" i="8"/>
  <c r="G250" i="8"/>
  <c r="K250" i="8"/>
  <c r="O250" i="8"/>
  <c r="D250" i="8"/>
  <c r="H250" i="8"/>
  <c r="L250" i="8"/>
  <c r="P250" i="8"/>
  <c r="M250" i="8"/>
  <c r="I250" i="8"/>
  <c r="Q250" i="8"/>
  <c r="E250" i="8"/>
  <c r="V502" i="8"/>
  <c r="X501" i="8"/>
  <c r="X502" i="8"/>
  <c r="V501" i="8"/>
  <c r="T501" i="8"/>
  <c r="U501" i="8"/>
  <c r="W502" i="8"/>
  <c r="U502" i="8"/>
  <c r="Y501" i="8"/>
  <c r="B57" i="8"/>
  <c r="B701" i="8"/>
  <c r="B601" i="8"/>
  <c r="V250" i="8"/>
  <c r="B251" i="8"/>
  <c r="X503" i="8"/>
  <c r="U503" i="8"/>
  <c r="V503" i="8"/>
  <c r="T503" i="8"/>
  <c r="B504" i="8"/>
  <c r="T402" i="8" a="1"/>
  <c r="C601" i="8" a="1"/>
  <c r="T601" i="8" a="1"/>
  <c r="F251" i="8" a="1"/>
  <c r="X504" i="8" a="1"/>
  <c r="J504" i="8" a="1"/>
  <c r="F402" i="8" a="1"/>
  <c r="V504" i="8" a="1"/>
  <c r="H504" i="8" a="1"/>
  <c r="N504" i="8" a="1"/>
  <c r="R701" i="8" a="1"/>
  <c r="W402" i="8" a="1"/>
  <c r="H57" i="8" a="1"/>
  <c r="U701" i="8" a="1"/>
  <c r="W251" i="8" a="1"/>
  <c r="K57" i="8" a="1"/>
  <c r="Y701" i="8" a="1"/>
  <c r="D57" i="8" a="1"/>
  <c r="Y402" i="8" a="1"/>
  <c r="Y601" i="8" a="1"/>
  <c r="M601" i="8" a="1"/>
  <c r="L701" i="8" a="1"/>
  <c r="W250" i="8" a="1"/>
  <c r="W504" i="8" a="1"/>
  <c r="G701" i="8" a="1"/>
  <c r="P251" i="8" a="1"/>
  <c r="K701" i="8" a="1"/>
  <c r="N601" i="8" a="1"/>
  <c r="X402" i="8" a="1"/>
  <c r="Q57" i="8" a="1"/>
  <c r="O601" i="8" a="1"/>
  <c r="V57" i="8" a="1"/>
  <c r="H701" i="8" a="1"/>
  <c r="V251" i="8" a="1"/>
  <c r="M701" i="8" a="1"/>
  <c r="K601" i="8" a="1"/>
  <c r="P57" i="8" a="1"/>
  <c r="T250" i="8" a="1"/>
  <c r="R57" i="8" a="1"/>
  <c r="O251" i="8" a="1"/>
  <c r="U601" i="8" a="1"/>
  <c r="N701" i="8" a="1"/>
  <c r="N57" i="8" a="1"/>
  <c r="T251" i="8" a="1"/>
  <c r="C504" i="8" a="1"/>
  <c r="N251" i="8" a="1"/>
  <c r="D504" i="8" a="1"/>
  <c r="E601" i="8" a="1"/>
  <c r="F57" i="8" a="1"/>
  <c r="R402" i="8" a="1"/>
  <c r="I251" i="8" a="1"/>
  <c r="I601" i="8" a="1"/>
  <c r="D701" i="8" a="1"/>
  <c r="I57" i="8" a="1"/>
  <c r="M57" i="8" a="1"/>
  <c r="Y250" i="8" a="1"/>
  <c r="L504" i="8" a="1"/>
  <c r="T504" i="8" a="1"/>
  <c r="C57" i="8" a="1"/>
  <c r="H402" i="8" a="1"/>
  <c r="E504" i="8" a="1"/>
  <c r="P402" i="8" a="1"/>
  <c r="Q402" i="8" a="1"/>
  <c r="U57" i="8" a="1"/>
  <c r="D251" i="8" a="1"/>
  <c r="T701" i="8" a="1"/>
  <c r="U402" i="8" a="1"/>
  <c r="I701" i="8" a="1"/>
  <c r="Y503" i="8" a="1"/>
  <c r="G601" i="8" a="1"/>
  <c r="Y504" i="8" a="1"/>
  <c r="J601" i="8" a="1"/>
  <c r="U250" i="8" a="1"/>
  <c r="J402" i="8" a="1"/>
  <c r="N402" i="8" a="1"/>
  <c r="W701" i="8" a="1"/>
  <c r="D601" i="8" a="1"/>
  <c r="M504" i="8" a="1"/>
  <c r="G504" i="8" a="1"/>
  <c r="C701" i="8" a="1"/>
  <c r="G251" i="8" a="1"/>
  <c r="R251" i="8" a="1"/>
  <c r="L57" i="8" a="1"/>
  <c r="Q601" i="8" a="1"/>
  <c r="V402" i="8" a="1"/>
  <c r="R504" i="8" a="1"/>
  <c r="H601" i="8" a="1"/>
  <c r="L402" i="8" a="1"/>
  <c r="J701" i="8" a="1"/>
  <c r="J57" i="8" a="1"/>
  <c r="J251" i="8" a="1"/>
  <c r="X57" i="8" a="1"/>
  <c r="K402" i="8" a="1"/>
  <c r="P701" i="8" a="1"/>
  <c r="X701" i="8" a="1"/>
  <c r="F601" i="8" a="1"/>
  <c r="H251" i="8" a="1"/>
  <c r="P601" i="8" a="1"/>
  <c r="W57" i="8" a="1"/>
  <c r="C251" i="8" a="1"/>
  <c r="E701" i="8" a="1"/>
  <c r="W503" i="8" a="1"/>
  <c r="V701" i="8" a="1"/>
  <c r="O701" i="8" a="1"/>
  <c r="U504" i="8" a="1"/>
  <c r="E402" i="8" a="1"/>
  <c r="X250" i="8" a="1"/>
  <c r="F504" i="8" a="1"/>
  <c r="K251" i="8" a="1"/>
  <c r="R601" i="8" a="1"/>
  <c r="D402" i="8" a="1"/>
  <c r="O504" i="8" a="1"/>
  <c r="E57" i="8" a="1"/>
  <c r="E251" i="8" a="1"/>
  <c r="Q251" i="8" a="1"/>
  <c r="O402" i="8" a="1"/>
  <c r="F701" i="8" a="1"/>
  <c r="M251" i="8" a="1"/>
  <c r="M402" i="8" a="1"/>
  <c r="L251" i="8" a="1"/>
  <c r="I504" i="8" a="1"/>
  <c r="Y57" i="8" a="1"/>
  <c r="T57" i="8" a="1"/>
  <c r="I402" i="8" a="1"/>
  <c r="V601" i="8" a="1"/>
  <c r="G402" i="8" a="1"/>
  <c r="O57" i="8" a="1"/>
  <c r="K504" i="8" a="1"/>
  <c r="C402" i="8" a="1"/>
  <c r="W601" i="8" a="1"/>
  <c r="X601" i="8" a="1"/>
  <c r="Q701" i="8" a="1"/>
  <c r="U251" i="8" a="1"/>
  <c r="G57" i="8" a="1"/>
  <c r="Q504" i="8" a="1"/>
  <c r="L601" i="8" a="1"/>
  <c r="P504" i="8" a="1"/>
  <c r="S700" i="8" l="1"/>
  <c r="S600" i="8"/>
  <c r="U601" i="8"/>
  <c r="Y601" i="8"/>
  <c r="E601" i="8"/>
  <c r="I601" i="8"/>
  <c r="M601" i="8"/>
  <c r="Q601" i="8"/>
  <c r="V601" i="8"/>
  <c r="F601" i="8"/>
  <c r="W601" i="8"/>
  <c r="C601" i="8"/>
  <c r="G601" i="8"/>
  <c r="K601" i="8"/>
  <c r="O601" i="8"/>
  <c r="N601" i="8"/>
  <c r="D601" i="8"/>
  <c r="P601" i="8"/>
  <c r="R601" i="8"/>
  <c r="H601" i="8"/>
  <c r="T601" i="8"/>
  <c r="J601" i="8"/>
  <c r="X601" i="8"/>
  <c r="L601" i="8"/>
  <c r="V701" i="8"/>
  <c r="F701" i="8"/>
  <c r="J701" i="8"/>
  <c r="N701" i="8"/>
  <c r="R701" i="8"/>
  <c r="I701" i="8"/>
  <c r="W701" i="8"/>
  <c r="C701" i="8"/>
  <c r="G701" i="8"/>
  <c r="K701" i="8"/>
  <c r="O701" i="8"/>
  <c r="T701" i="8"/>
  <c r="X701" i="8"/>
  <c r="D701" i="8"/>
  <c r="H701" i="8"/>
  <c r="L701" i="8"/>
  <c r="P701" i="8"/>
  <c r="M701" i="8"/>
  <c r="U701" i="8"/>
  <c r="Y701" i="8"/>
  <c r="E701" i="8"/>
  <c r="Q701" i="8"/>
  <c r="S401" i="8"/>
  <c r="S56" i="8"/>
  <c r="W402" i="8"/>
  <c r="C402" i="8"/>
  <c r="G402" i="8"/>
  <c r="K402" i="8"/>
  <c r="O402" i="8"/>
  <c r="T402" i="8"/>
  <c r="X402" i="8"/>
  <c r="D402" i="8"/>
  <c r="H402" i="8"/>
  <c r="L402" i="8"/>
  <c r="P402" i="8"/>
  <c r="U402" i="8"/>
  <c r="Y402" i="8"/>
  <c r="V402" i="8"/>
  <c r="Q402" i="8"/>
  <c r="R402" i="8"/>
  <c r="E402" i="8"/>
  <c r="F402" i="8"/>
  <c r="I402" i="8"/>
  <c r="J402" i="8"/>
  <c r="M402" i="8"/>
  <c r="N402" i="8"/>
  <c r="W57" i="8"/>
  <c r="C57" i="8"/>
  <c r="G57" i="8"/>
  <c r="K57" i="8"/>
  <c r="O57" i="8"/>
  <c r="T57" i="8"/>
  <c r="X57" i="8"/>
  <c r="D57" i="8"/>
  <c r="H57" i="8"/>
  <c r="L57" i="8"/>
  <c r="P57" i="8"/>
  <c r="U57" i="8"/>
  <c r="Y57" i="8"/>
  <c r="V57" i="8"/>
  <c r="F57" i="8"/>
  <c r="J57" i="8"/>
  <c r="N57" i="8"/>
  <c r="R57" i="8"/>
  <c r="Q57" i="8"/>
  <c r="E57" i="8"/>
  <c r="I57" i="8"/>
  <c r="M57" i="8"/>
  <c r="B403" i="8"/>
  <c r="B404" i="8" s="1"/>
  <c r="F504" i="8"/>
  <c r="J504" i="8"/>
  <c r="N504" i="8"/>
  <c r="C504" i="8"/>
  <c r="G504" i="8"/>
  <c r="K504" i="8"/>
  <c r="O504" i="8"/>
  <c r="D504" i="8"/>
  <c r="H504" i="8"/>
  <c r="L504" i="8"/>
  <c r="P504" i="8"/>
  <c r="E504" i="8"/>
  <c r="R504" i="8"/>
  <c r="I504" i="8"/>
  <c r="M504" i="8"/>
  <c r="Q504" i="8"/>
  <c r="E251" i="8"/>
  <c r="I251" i="8"/>
  <c r="M251" i="8"/>
  <c r="Q251" i="8"/>
  <c r="F251" i="8"/>
  <c r="J251" i="8"/>
  <c r="N251" i="8"/>
  <c r="R251" i="8"/>
  <c r="C251" i="8"/>
  <c r="G251" i="8"/>
  <c r="K251" i="8"/>
  <c r="O251" i="8"/>
  <c r="D251" i="8"/>
  <c r="H251" i="8"/>
  <c r="L251" i="8"/>
  <c r="P251" i="8"/>
  <c r="S501" i="8"/>
  <c r="S502" i="8"/>
  <c r="S503" i="8"/>
  <c r="Y503" i="8"/>
  <c r="U250" i="8"/>
  <c r="W503" i="8"/>
  <c r="X250" i="8"/>
  <c r="T250" i="8"/>
  <c r="W250" i="8"/>
  <c r="Y250" i="8"/>
  <c r="B58" i="8"/>
  <c r="B702" i="8"/>
  <c r="B602" i="8"/>
  <c r="U251" i="8"/>
  <c r="W251" i="8"/>
  <c r="V251" i="8"/>
  <c r="T251" i="8"/>
  <c r="B252" i="8"/>
  <c r="V504" i="8"/>
  <c r="U504" i="8"/>
  <c r="W504" i="8"/>
  <c r="Y504" i="8"/>
  <c r="T504" i="8"/>
  <c r="X504" i="8"/>
  <c r="B505" i="8"/>
  <c r="N252" i="8" a="1"/>
  <c r="K602" i="8" a="1"/>
  <c r="G505" i="8" a="1"/>
  <c r="L404" i="8" a="1"/>
  <c r="I602" i="8" a="1"/>
  <c r="G404" i="8" a="1"/>
  <c r="V252" i="8" a="1"/>
  <c r="K404" i="8" a="1"/>
  <c r="K58" i="8" a="1"/>
  <c r="V602" i="8" a="1"/>
  <c r="X702" i="8" a="1"/>
  <c r="W702" i="8" a="1"/>
  <c r="H403" i="8" a="1"/>
  <c r="L58" i="8" a="1"/>
  <c r="G602" i="8" a="1"/>
  <c r="K403" i="8" a="1"/>
  <c r="E505" i="8" a="1"/>
  <c r="N404" i="8" a="1"/>
  <c r="J702" i="8" a="1"/>
  <c r="F404" i="8" a="1"/>
  <c r="E252" i="8" a="1"/>
  <c r="O403" i="8" a="1"/>
  <c r="H58" i="8" a="1"/>
  <c r="I702" i="8" a="1"/>
  <c r="U404" i="8" a="1"/>
  <c r="Y58" i="8" a="1"/>
  <c r="P602" i="8" a="1"/>
  <c r="L702" i="8" a="1"/>
  <c r="D252" i="8" a="1"/>
  <c r="Q404" i="8" a="1"/>
  <c r="R702" i="8" a="1"/>
  <c r="G403" i="8" a="1"/>
  <c r="N58" i="8" a="1"/>
  <c r="R403" i="8" a="1"/>
  <c r="M404" i="8" a="1"/>
  <c r="O702" i="8" a="1"/>
  <c r="R404" i="8" a="1"/>
  <c r="N505" i="8" a="1"/>
  <c r="W403" i="8" a="1"/>
  <c r="M58" i="8" a="1"/>
  <c r="O602" i="8" a="1"/>
  <c r="W252" i="8" a="1"/>
  <c r="X602" i="8" a="1"/>
  <c r="C702" i="8" a="1"/>
  <c r="H404" i="8" a="1"/>
  <c r="T404" i="8" a="1"/>
  <c r="X251" i="8" a="1"/>
  <c r="N602" i="8" a="1"/>
  <c r="Y602" i="8" a="1"/>
  <c r="E58" i="8" a="1"/>
  <c r="X252" i="8" a="1"/>
  <c r="C505" i="8" a="1"/>
  <c r="L602" i="8" a="1"/>
  <c r="U602" i="8" a="1"/>
  <c r="H702" i="8" a="1"/>
  <c r="E403" i="8" a="1"/>
  <c r="P403" i="8" a="1"/>
  <c r="Q702" i="8" a="1"/>
  <c r="Q505" i="8" a="1"/>
  <c r="U58" i="8" a="1"/>
  <c r="T702" i="8" a="1"/>
  <c r="R505" i="8" a="1"/>
  <c r="T252" i="8" a="1"/>
  <c r="E404" i="8" a="1"/>
  <c r="X403" i="8" a="1"/>
  <c r="M505" i="8" a="1"/>
  <c r="F252" i="8" a="1"/>
  <c r="L252" i="8" a="1"/>
  <c r="V505" i="8" a="1"/>
  <c r="C58" i="8" a="1"/>
  <c r="V702" i="8" a="1"/>
  <c r="N702" i="8" a="1"/>
  <c r="I403" i="8" a="1"/>
  <c r="Y403" i="8" a="1"/>
  <c r="O252" i="8" a="1"/>
  <c r="Y404" i="8" a="1"/>
  <c r="Y252" i="8" a="1"/>
  <c r="J404" i="8" a="1"/>
  <c r="J505" i="8" a="1"/>
  <c r="O58" i="8" a="1"/>
  <c r="Q403" i="8" a="1"/>
  <c r="X404" i="8" a="1"/>
  <c r="G252" i="8" a="1"/>
  <c r="J58" i="8" a="1"/>
  <c r="V58" i="8" a="1"/>
  <c r="T58" i="8" a="1"/>
  <c r="T602" i="8" a="1"/>
  <c r="H252" i="8" a="1"/>
  <c r="D602" i="8" a="1"/>
  <c r="Q252" i="8" a="1"/>
  <c r="Y251" i="8" a="1"/>
  <c r="Q58" i="8" a="1"/>
  <c r="N403" i="8" a="1"/>
  <c r="V404" i="8" a="1"/>
  <c r="J252" i="8" a="1"/>
  <c r="U403" i="8" a="1"/>
  <c r="F702" i="8" a="1"/>
  <c r="C404" i="8" a="1"/>
  <c r="P58" i="8" a="1"/>
  <c r="C403" i="8" a="1"/>
  <c r="I505" i="8" a="1"/>
  <c r="I404" i="8" a="1"/>
  <c r="M403" i="8" a="1"/>
  <c r="R252" i="8" a="1"/>
  <c r="W58" i="8" a="1"/>
  <c r="U252" i="8" a="1"/>
  <c r="J602" i="8" a="1"/>
  <c r="E702" i="8" a="1"/>
  <c r="C602" i="8" a="1"/>
  <c r="V403" i="8" a="1"/>
  <c r="P404" i="8" a="1"/>
  <c r="R602" i="8" a="1"/>
  <c r="D404" i="8" a="1"/>
  <c r="G58" i="8" a="1"/>
  <c r="K252" i="8" a="1"/>
  <c r="H505" i="8" a="1"/>
  <c r="O505" i="8" a="1"/>
  <c r="W602" i="8" a="1"/>
  <c r="U505" i="8" a="1"/>
  <c r="R58" i="8" a="1"/>
  <c r="M602" i="8" a="1"/>
  <c r="I252" i="8" a="1"/>
  <c r="L505" i="8" a="1"/>
  <c r="Y505" i="8" a="1"/>
  <c r="U702" i="8" a="1"/>
  <c r="X505" i="8" a="1"/>
  <c r="G702" i="8" a="1"/>
  <c r="W505" i="8" a="1"/>
  <c r="C252" i="8" a="1"/>
  <c r="P505" i="8" a="1"/>
  <c r="H602" i="8" a="1"/>
  <c r="T403" i="8" a="1"/>
  <c r="M252" i="8" a="1"/>
  <c r="X58" i="8" a="1"/>
  <c r="F58" i="8" a="1"/>
  <c r="F403" i="8" a="1"/>
  <c r="P702" i="8" a="1"/>
  <c r="D403" i="8" a="1"/>
  <c r="D702" i="8" a="1"/>
  <c r="F505" i="8" a="1"/>
  <c r="P252" i="8" a="1"/>
  <c r="K702" i="8" a="1"/>
  <c r="K505" i="8" a="1"/>
  <c r="F602" i="8" a="1"/>
  <c r="T505" i="8" a="1"/>
  <c r="Q602" i="8" a="1"/>
  <c r="O404" i="8" a="1"/>
  <c r="E602" i="8" a="1"/>
  <c r="L403" i="8" a="1"/>
  <c r="Y702" i="8" a="1"/>
  <c r="D58" i="8" a="1"/>
  <c r="I58" i="8" a="1"/>
  <c r="W404" i="8" a="1"/>
  <c r="M702" i="8" a="1"/>
  <c r="D505" i="8" a="1"/>
  <c r="J403" i="8" a="1"/>
  <c r="S601" i="8" l="1"/>
  <c r="S701" i="8"/>
  <c r="F602" i="8"/>
  <c r="J602" i="8"/>
  <c r="N602" i="8"/>
  <c r="R602" i="8"/>
  <c r="W602" i="8"/>
  <c r="C602" i="8"/>
  <c r="G602" i="8"/>
  <c r="K602" i="8"/>
  <c r="O602" i="8"/>
  <c r="D602" i="8"/>
  <c r="H602" i="8"/>
  <c r="L602" i="8"/>
  <c r="P602" i="8"/>
  <c r="U602" i="8"/>
  <c r="Y602" i="8"/>
  <c r="M602" i="8"/>
  <c r="X602" i="8"/>
  <c r="E602" i="8"/>
  <c r="Q602" i="8"/>
  <c r="I602" i="8"/>
  <c r="T602" i="8"/>
  <c r="V602" i="8"/>
  <c r="C702" i="8"/>
  <c r="G702" i="8"/>
  <c r="K702" i="8"/>
  <c r="O702" i="8"/>
  <c r="T702" i="8"/>
  <c r="X702" i="8"/>
  <c r="W702" i="8"/>
  <c r="D702" i="8"/>
  <c r="H702" i="8"/>
  <c r="L702" i="8"/>
  <c r="P702" i="8"/>
  <c r="U702" i="8"/>
  <c r="Y702" i="8"/>
  <c r="E702" i="8"/>
  <c r="I702" i="8"/>
  <c r="M702" i="8"/>
  <c r="Q702" i="8"/>
  <c r="V702" i="8"/>
  <c r="F702" i="8"/>
  <c r="J702" i="8"/>
  <c r="N702" i="8"/>
  <c r="R702" i="8"/>
  <c r="V404" i="8"/>
  <c r="F404" i="8"/>
  <c r="J404" i="8"/>
  <c r="N404" i="8"/>
  <c r="R404" i="8"/>
  <c r="C404" i="8"/>
  <c r="G404" i="8"/>
  <c r="K404" i="8"/>
  <c r="O404" i="8"/>
  <c r="T404" i="8"/>
  <c r="X404" i="8"/>
  <c r="U404" i="8"/>
  <c r="Y404" i="8"/>
  <c r="D404" i="8"/>
  <c r="Q404" i="8"/>
  <c r="E404" i="8"/>
  <c r="H404" i="8"/>
  <c r="I404" i="8"/>
  <c r="L404" i="8"/>
  <c r="W404" i="8"/>
  <c r="M404" i="8"/>
  <c r="P404" i="8"/>
  <c r="D403" i="8"/>
  <c r="H403" i="8"/>
  <c r="L403" i="8"/>
  <c r="P403" i="8"/>
  <c r="U403" i="8"/>
  <c r="Y403" i="8"/>
  <c r="E403" i="8"/>
  <c r="I403" i="8"/>
  <c r="M403" i="8"/>
  <c r="Q403" i="8"/>
  <c r="V403" i="8"/>
  <c r="F403" i="8"/>
  <c r="J403" i="8"/>
  <c r="N403" i="8"/>
  <c r="R403" i="8"/>
  <c r="C403" i="8"/>
  <c r="G403" i="8"/>
  <c r="K403" i="8"/>
  <c r="O403" i="8"/>
  <c r="T403" i="8"/>
  <c r="W403" i="8"/>
  <c r="X403" i="8"/>
  <c r="D58" i="8"/>
  <c r="H58" i="8"/>
  <c r="L58" i="8"/>
  <c r="P58" i="8"/>
  <c r="U58" i="8"/>
  <c r="Y58" i="8"/>
  <c r="E58" i="8"/>
  <c r="I58" i="8"/>
  <c r="M58" i="8"/>
  <c r="Q58" i="8"/>
  <c r="V58" i="8"/>
  <c r="F58" i="8"/>
  <c r="J58" i="8"/>
  <c r="N58" i="8"/>
  <c r="R58" i="8"/>
  <c r="C58" i="8"/>
  <c r="G58" i="8"/>
  <c r="K58" i="8"/>
  <c r="O58" i="8"/>
  <c r="T58" i="8"/>
  <c r="X58" i="8"/>
  <c r="W58" i="8"/>
  <c r="S57" i="8"/>
  <c r="S402" i="8"/>
  <c r="E252" i="8"/>
  <c r="I252" i="8"/>
  <c r="M252" i="8"/>
  <c r="Q252" i="8"/>
  <c r="F252" i="8"/>
  <c r="J252" i="8"/>
  <c r="N252" i="8"/>
  <c r="R252" i="8"/>
  <c r="C252" i="8"/>
  <c r="G252" i="8"/>
  <c r="K252" i="8"/>
  <c r="O252" i="8"/>
  <c r="L252" i="8"/>
  <c r="P252" i="8"/>
  <c r="H252" i="8"/>
  <c r="D252" i="8"/>
  <c r="C505" i="8"/>
  <c r="G505" i="8"/>
  <c r="D505" i="8"/>
  <c r="H505" i="8"/>
  <c r="J505" i="8"/>
  <c r="N505" i="8"/>
  <c r="R505" i="8"/>
  <c r="E505" i="8"/>
  <c r="K505" i="8"/>
  <c r="O505" i="8"/>
  <c r="F505" i="8"/>
  <c r="L505" i="8"/>
  <c r="P505" i="8"/>
  <c r="I505" i="8"/>
  <c r="Q505" i="8"/>
  <c r="M505" i="8"/>
  <c r="S250" i="8"/>
  <c r="S504" i="8"/>
  <c r="X251" i="8"/>
  <c r="S251" i="8" s="1"/>
  <c r="Y251" i="8"/>
  <c r="B59" i="8"/>
  <c r="B603" i="8"/>
  <c r="B703" i="8"/>
  <c r="U252" i="8"/>
  <c r="X252" i="8"/>
  <c r="Y252" i="8"/>
  <c r="T252" i="8"/>
  <c r="W252" i="8"/>
  <c r="V252" i="8"/>
  <c r="B253" i="8"/>
  <c r="T505" i="8"/>
  <c r="W505" i="8"/>
  <c r="Y505" i="8"/>
  <c r="V505" i="8"/>
  <c r="X505" i="8"/>
  <c r="U505" i="8"/>
  <c r="B506" i="8"/>
  <c r="B405" i="8"/>
  <c r="Y703" i="8" a="1"/>
  <c r="T603" i="8" a="1"/>
  <c r="L703" i="8" a="1"/>
  <c r="P59" i="8" a="1"/>
  <c r="Q405" i="8" a="1"/>
  <c r="R59" i="8" a="1"/>
  <c r="N506" i="8" a="1"/>
  <c r="M253" i="8" a="1"/>
  <c r="M703" i="8" a="1"/>
  <c r="M59" i="8" a="1"/>
  <c r="T253" i="8" a="1"/>
  <c r="L253" i="8" a="1"/>
  <c r="O703" i="8" a="1"/>
  <c r="C405" i="8" a="1"/>
  <c r="I603" i="8" a="1"/>
  <c r="W59" i="8" a="1"/>
  <c r="L405" i="8" a="1"/>
  <c r="P405" i="8" a="1"/>
  <c r="C603" i="8" a="1"/>
  <c r="G59" i="8" a="1"/>
  <c r="X405" i="8" a="1"/>
  <c r="W405" i="8" a="1"/>
  <c r="F405" i="8" a="1"/>
  <c r="Q253" i="8" a="1"/>
  <c r="K253" i="8" a="1"/>
  <c r="Y506" i="8" a="1"/>
  <c r="D59" i="8" a="1"/>
  <c r="O603" i="8" a="1"/>
  <c r="U506" i="8" a="1"/>
  <c r="G703" i="8" a="1"/>
  <c r="Q59" i="8" a="1"/>
  <c r="V405" i="8" a="1"/>
  <c r="Y603" i="8" a="1"/>
  <c r="J253" i="8" a="1"/>
  <c r="E405" i="8" a="1"/>
  <c r="E506" i="8" a="1"/>
  <c r="M405" i="8" a="1"/>
  <c r="E603" i="8" a="1"/>
  <c r="R405" i="8" a="1"/>
  <c r="P253" i="8" a="1"/>
  <c r="F506" i="8" a="1"/>
  <c r="I506" i="8" a="1"/>
  <c r="D703" i="8" a="1"/>
  <c r="F703" i="8" a="1"/>
  <c r="T703" i="8" a="1"/>
  <c r="G253" i="8" a="1"/>
  <c r="H703" i="8" a="1"/>
  <c r="I405" i="8" a="1"/>
  <c r="D603" i="8" a="1"/>
  <c r="L603" i="8" a="1"/>
  <c r="N603" i="8" a="1"/>
  <c r="V603" i="8" a="1"/>
  <c r="J506" i="8" a="1"/>
  <c r="T405" i="8" a="1"/>
  <c r="Q703" i="8" a="1"/>
  <c r="N253" i="8" a="1"/>
  <c r="H253" i="8" a="1"/>
  <c r="X603" i="8" a="1"/>
  <c r="E703" i="8" a="1"/>
  <c r="J405" i="8" a="1"/>
  <c r="X59" i="8" a="1"/>
  <c r="Q506" i="8" a="1"/>
  <c r="U59" i="8" a="1"/>
  <c r="C703" i="8" a="1"/>
  <c r="E253" i="8" a="1"/>
  <c r="O253" i="8" a="1"/>
  <c r="Y405" i="8" a="1"/>
  <c r="K59" i="8" a="1"/>
  <c r="G603" i="8" a="1"/>
  <c r="O506" i="8" a="1"/>
  <c r="K506" i="8" a="1"/>
  <c r="H603" i="8" a="1"/>
  <c r="T506" i="8" a="1"/>
  <c r="R703" i="8" a="1"/>
  <c r="I59" i="8" a="1"/>
  <c r="V703" i="8" a="1"/>
  <c r="X506" i="8" a="1"/>
  <c r="H506" i="8" a="1"/>
  <c r="R603" i="8" a="1"/>
  <c r="K603" i="8" a="1"/>
  <c r="U405" i="8" a="1"/>
  <c r="M603" i="8" a="1"/>
  <c r="K703" i="8" a="1"/>
  <c r="V506" i="8" a="1"/>
  <c r="J59" i="8" a="1"/>
  <c r="U603" i="8" a="1"/>
  <c r="L59" i="8" a="1"/>
  <c r="F59" i="8" a="1"/>
  <c r="L506" i="8" a="1"/>
  <c r="Q603" i="8" a="1"/>
  <c r="G506" i="8" a="1"/>
  <c r="E59" i="8" a="1"/>
  <c r="D506" i="8" a="1"/>
  <c r="J703" i="8" a="1"/>
  <c r="N703" i="8" a="1"/>
  <c r="U703" i="8" a="1"/>
  <c r="J603" i="8" a="1"/>
  <c r="C506" i="8" a="1"/>
  <c r="X703" i="8" a="1"/>
  <c r="V59" i="8" a="1"/>
  <c r="N405" i="8" a="1"/>
  <c r="I703" i="8" a="1"/>
  <c r="O405" i="8" a="1"/>
  <c r="D405" i="8" a="1"/>
  <c r="R253" i="8" a="1"/>
  <c r="C59" i="8" a="1"/>
  <c r="G405" i="8" a="1"/>
  <c r="C253" i="8" a="1"/>
  <c r="N59" i="8" a="1"/>
  <c r="F603" i="8" a="1"/>
  <c r="F253" i="8" a="1"/>
  <c r="O59" i="8" a="1"/>
  <c r="D253" i="8" a="1"/>
  <c r="V253" i="8" a="1"/>
  <c r="P506" i="8" a="1"/>
  <c r="W703" i="8" a="1"/>
  <c r="T59" i="8" a="1"/>
  <c r="K405" i="8" a="1"/>
  <c r="Y59" i="8" a="1"/>
  <c r="P703" i="8" a="1"/>
  <c r="M506" i="8" a="1"/>
  <c r="I253" i="8" a="1"/>
  <c r="P603" i="8" a="1"/>
  <c r="W506" i="8" a="1"/>
  <c r="R506" i="8" a="1"/>
  <c r="H405" i="8" a="1"/>
  <c r="W603" i="8" a="1"/>
  <c r="H59" i="8" a="1"/>
  <c r="S702" i="8" l="1"/>
  <c r="S602" i="8"/>
  <c r="T603" i="8"/>
  <c r="X603" i="8"/>
  <c r="D603" i="8"/>
  <c r="H603" i="8"/>
  <c r="L603" i="8"/>
  <c r="P603" i="8"/>
  <c r="U603" i="8"/>
  <c r="Y603" i="8"/>
  <c r="V603" i="8"/>
  <c r="F603" i="8"/>
  <c r="J603" i="8"/>
  <c r="N603" i="8"/>
  <c r="R603" i="8"/>
  <c r="K603" i="8"/>
  <c r="W603" i="8"/>
  <c r="M603" i="8"/>
  <c r="C603" i="8"/>
  <c r="E603" i="8"/>
  <c r="O603" i="8"/>
  <c r="Q603" i="8"/>
  <c r="G603" i="8"/>
  <c r="I603" i="8"/>
  <c r="U703" i="8"/>
  <c r="Y703" i="8"/>
  <c r="E703" i="8"/>
  <c r="I703" i="8"/>
  <c r="M703" i="8"/>
  <c r="Q703" i="8"/>
  <c r="V703" i="8"/>
  <c r="F703" i="8"/>
  <c r="J703" i="8"/>
  <c r="N703" i="8"/>
  <c r="R703" i="8"/>
  <c r="D703" i="8"/>
  <c r="W703" i="8"/>
  <c r="P703" i="8"/>
  <c r="C703" i="8"/>
  <c r="G703" i="8"/>
  <c r="K703" i="8"/>
  <c r="O703" i="8"/>
  <c r="L703" i="8"/>
  <c r="T703" i="8"/>
  <c r="X703" i="8"/>
  <c r="H703" i="8"/>
  <c r="V59" i="8"/>
  <c r="F59" i="8"/>
  <c r="J59" i="8"/>
  <c r="N59" i="8"/>
  <c r="R59" i="8"/>
  <c r="W59" i="8"/>
  <c r="C59" i="8"/>
  <c r="G59" i="8"/>
  <c r="K59" i="8"/>
  <c r="O59" i="8"/>
  <c r="T59" i="8"/>
  <c r="X59" i="8"/>
  <c r="U59" i="8"/>
  <c r="Y59" i="8"/>
  <c r="E59" i="8"/>
  <c r="I59" i="8"/>
  <c r="M59" i="8"/>
  <c r="Q59" i="8"/>
  <c r="D59" i="8"/>
  <c r="H59" i="8"/>
  <c r="L59" i="8"/>
  <c r="P59" i="8"/>
  <c r="C405" i="8"/>
  <c r="G405" i="8"/>
  <c r="K405" i="8"/>
  <c r="O405" i="8"/>
  <c r="T405" i="8"/>
  <c r="X405" i="8"/>
  <c r="U405" i="8"/>
  <c r="Y405" i="8"/>
  <c r="E405" i="8"/>
  <c r="I405" i="8"/>
  <c r="M405" i="8"/>
  <c r="Q405" i="8"/>
  <c r="F405" i="8"/>
  <c r="J405" i="8"/>
  <c r="N405" i="8"/>
  <c r="R405" i="8"/>
  <c r="P405" i="8"/>
  <c r="H405" i="8"/>
  <c r="V405" i="8"/>
  <c r="L405" i="8"/>
  <c r="W405" i="8"/>
  <c r="D405" i="8"/>
  <c r="S404" i="8"/>
  <c r="S58" i="8"/>
  <c r="S403" i="8"/>
  <c r="D253" i="8"/>
  <c r="H253" i="8"/>
  <c r="L253" i="8"/>
  <c r="P253" i="8"/>
  <c r="E253" i="8"/>
  <c r="I253" i="8"/>
  <c r="M253" i="8"/>
  <c r="Q253" i="8"/>
  <c r="F253" i="8"/>
  <c r="J253" i="8"/>
  <c r="N253" i="8"/>
  <c r="R253" i="8"/>
  <c r="C253" i="8"/>
  <c r="G253" i="8"/>
  <c r="K253" i="8"/>
  <c r="O253" i="8"/>
  <c r="E506" i="8"/>
  <c r="I506" i="8"/>
  <c r="M506" i="8"/>
  <c r="Q506" i="8"/>
  <c r="F506" i="8"/>
  <c r="J506" i="8"/>
  <c r="N506" i="8"/>
  <c r="R506" i="8"/>
  <c r="C506" i="8"/>
  <c r="G506" i="8"/>
  <c r="K506" i="8"/>
  <c r="O506" i="8"/>
  <c r="D506" i="8"/>
  <c r="H506" i="8"/>
  <c r="L506" i="8"/>
  <c r="P506" i="8"/>
  <c r="S252" i="8"/>
  <c r="S505" i="8"/>
  <c r="B60" i="8"/>
  <c r="B704" i="8"/>
  <c r="B604" i="8"/>
  <c r="V253" i="8"/>
  <c r="T253" i="8"/>
  <c r="B254" i="8"/>
  <c r="T506" i="8"/>
  <c r="U506" i="8"/>
  <c r="Y506" i="8"/>
  <c r="X506" i="8"/>
  <c r="V506" i="8"/>
  <c r="W506" i="8"/>
  <c r="B507" i="8"/>
  <c r="B406" i="8"/>
  <c r="M604" i="8" a="1"/>
  <c r="U60" i="8" a="1"/>
  <c r="J60" i="8" a="1"/>
  <c r="C604" i="8" a="1"/>
  <c r="E604" i="8" a="1"/>
  <c r="K60" i="8" a="1"/>
  <c r="U604" i="8" a="1"/>
  <c r="D604" i="8" a="1"/>
  <c r="P704" i="8" a="1"/>
  <c r="J704" i="8" a="1"/>
  <c r="M704" i="8" a="1"/>
  <c r="L406" i="8" a="1"/>
  <c r="F60" i="8" a="1"/>
  <c r="Q406" i="8" a="1"/>
  <c r="O704" i="8" a="1"/>
  <c r="W604" i="8" a="1"/>
  <c r="O604" i="8" a="1"/>
  <c r="V704" i="8" a="1"/>
  <c r="I704" i="8" a="1"/>
  <c r="H60" i="8" a="1"/>
  <c r="N507" i="8" a="1"/>
  <c r="Q604" i="8" a="1"/>
  <c r="T406" i="8" a="1"/>
  <c r="V60" i="8" a="1"/>
  <c r="Y704" i="8" a="1"/>
  <c r="X60" i="8" a="1"/>
  <c r="C507" i="8" a="1"/>
  <c r="K254" i="8" a="1"/>
  <c r="G704" i="8" a="1"/>
  <c r="K704" i="8" a="1"/>
  <c r="N704" i="8" a="1"/>
  <c r="U704" i="8" a="1"/>
  <c r="W60" i="8" a="1"/>
  <c r="L604" i="8" a="1"/>
  <c r="R604" i="8" a="1"/>
  <c r="C254" i="8" a="1"/>
  <c r="R704" i="8" a="1"/>
  <c r="I60" i="8" a="1"/>
  <c r="K507" i="8" a="1"/>
  <c r="J406" i="8" a="1"/>
  <c r="Y604" i="8" a="1"/>
  <c r="P60" i="8" a="1"/>
  <c r="M60" i="8" a="1"/>
  <c r="C704" i="8" a="1"/>
  <c r="Y60" i="8" a="1"/>
  <c r="I507" i="8" a="1"/>
  <c r="D704" i="8" a="1"/>
  <c r="D254" i="8" a="1"/>
  <c r="F254" i="8" a="1"/>
  <c r="C60" i="8" a="1"/>
  <c r="W406" i="8" a="1"/>
  <c r="W253" i="8" a="1"/>
  <c r="H704" i="8" a="1"/>
  <c r="T60" i="8" a="1"/>
  <c r="Q254" i="8" a="1"/>
  <c r="H406" i="8" a="1"/>
  <c r="U507" i="8" a="1"/>
  <c r="U253" i="8" a="1"/>
  <c r="N60" i="8" a="1"/>
  <c r="K604" i="8" a="1"/>
  <c r="D406" i="8" a="1"/>
  <c r="W704" i="8" a="1"/>
  <c r="O406" i="8" a="1"/>
  <c r="X507" i="8" a="1"/>
  <c r="F704" i="8" a="1"/>
  <c r="R507" i="8" a="1"/>
  <c r="L507" i="8" a="1"/>
  <c r="P507" i="8" a="1"/>
  <c r="F604" i="8" a="1"/>
  <c r="V406" i="8" a="1"/>
  <c r="M254" i="8" a="1"/>
  <c r="X704" i="8" a="1"/>
  <c r="E60" i="8" a="1"/>
  <c r="J507" i="8" a="1"/>
  <c r="G254" i="8" a="1"/>
  <c r="F507" i="8" a="1"/>
  <c r="G604" i="8" a="1"/>
  <c r="W507" i="8" a="1"/>
  <c r="X604" i="8" a="1"/>
  <c r="I604" i="8" a="1"/>
  <c r="F406" i="8" a="1"/>
  <c r="O60" i="8" a="1"/>
  <c r="X253" i="8" a="1"/>
  <c r="Y406" i="8" a="1"/>
  <c r="K406" i="8" a="1"/>
  <c r="H507" i="8" a="1"/>
  <c r="R254" i="8" a="1"/>
  <c r="E406" i="8" a="1"/>
  <c r="G406" i="8" a="1"/>
  <c r="Q704" i="8" a="1"/>
  <c r="Y507" i="8" a="1"/>
  <c r="U406" i="8" a="1"/>
  <c r="L60" i="8" a="1"/>
  <c r="Y253" i="8" a="1"/>
  <c r="E254" i="8" a="1"/>
  <c r="R406" i="8" a="1"/>
  <c r="N254" i="8" a="1"/>
  <c r="E507" i="8" a="1"/>
  <c r="V507" i="8" a="1"/>
  <c r="O507" i="8" a="1"/>
  <c r="D60" i="8" a="1"/>
  <c r="Y254" i="8" a="1"/>
  <c r="G507" i="8" a="1"/>
  <c r="T604" i="8" a="1"/>
  <c r="J254" i="8" a="1"/>
  <c r="T704" i="8" a="1"/>
  <c r="L254" i="8" a="1"/>
  <c r="P254" i="8" a="1"/>
  <c r="Q507" i="8" a="1"/>
  <c r="D507" i="8" a="1"/>
  <c r="L704" i="8" a="1"/>
  <c r="M406" i="8" a="1"/>
  <c r="O254" i="8" a="1"/>
  <c r="G60" i="8" a="1"/>
  <c r="N604" i="8" a="1"/>
  <c r="M507" i="8" a="1"/>
  <c r="C406" i="8" a="1"/>
  <c r="P604" i="8" a="1"/>
  <c r="H604" i="8" a="1"/>
  <c r="V604" i="8" a="1"/>
  <c r="X406" i="8" a="1"/>
  <c r="I254" i="8" a="1"/>
  <c r="E704" i="8" a="1"/>
  <c r="P406" i="8" a="1"/>
  <c r="I406" i="8" a="1"/>
  <c r="R60" i="8" a="1"/>
  <c r="H254" i="8" a="1"/>
  <c r="J604" i="8" a="1"/>
  <c r="T507" i="8" a="1"/>
  <c r="N406" i="8" a="1"/>
  <c r="Q60" i="8" a="1"/>
  <c r="E604" i="8" l="1"/>
  <c r="I604" i="8"/>
  <c r="M604" i="8"/>
  <c r="Q604" i="8"/>
  <c r="V604" i="8"/>
  <c r="F604" i="8"/>
  <c r="J604" i="8"/>
  <c r="N604" i="8"/>
  <c r="R604" i="8"/>
  <c r="C604" i="8"/>
  <c r="G604" i="8"/>
  <c r="K604" i="8"/>
  <c r="O604" i="8"/>
  <c r="T604" i="8"/>
  <c r="X604" i="8"/>
  <c r="U604" i="8"/>
  <c r="L604" i="8"/>
  <c r="W604" i="8"/>
  <c r="D604" i="8"/>
  <c r="Y604" i="8"/>
  <c r="P604" i="8"/>
  <c r="H604" i="8"/>
  <c r="F704" i="8"/>
  <c r="J704" i="8"/>
  <c r="N704" i="8"/>
  <c r="R704" i="8"/>
  <c r="W704" i="8"/>
  <c r="C704" i="8"/>
  <c r="G704" i="8"/>
  <c r="K704" i="8"/>
  <c r="O704" i="8"/>
  <c r="T704" i="8"/>
  <c r="X704" i="8"/>
  <c r="Y704" i="8"/>
  <c r="D704" i="8"/>
  <c r="H704" i="8"/>
  <c r="L704" i="8"/>
  <c r="P704" i="8"/>
  <c r="U704" i="8"/>
  <c r="V704" i="8"/>
  <c r="E704" i="8"/>
  <c r="I704" i="8"/>
  <c r="M704" i="8"/>
  <c r="Q704" i="8"/>
  <c r="S603" i="8"/>
  <c r="S703" i="8"/>
  <c r="C60" i="8"/>
  <c r="G60" i="8"/>
  <c r="K60" i="8"/>
  <c r="O60" i="8"/>
  <c r="T60" i="8"/>
  <c r="X60" i="8"/>
  <c r="D60" i="8"/>
  <c r="H60" i="8"/>
  <c r="L60" i="8"/>
  <c r="P60" i="8"/>
  <c r="U60" i="8"/>
  <c r="Y60" i="8"/>
  <c r="E60" i="8"/>
  <c r="I60" i="8"/>
  <c r="M60" i="8"/>
  <c r="Q60" i="8"/>
  <c r="F60" i="8"/>
  <c r="J60" i="8"/>
  <c r="N60" i="8"/>
  <c r="R60" i="8"/>
  <c r="W60" i="8"/>
  <c r="V60" i="8"/>
  <c r="U406" i="8"/>
  <c r="Y406" i="8"/>
  <c r="E406" i="8"/>
  <c r="I406" i="8"/>
  <c r="M406" i="8"/>
  <c r="Q406" i="8"/>
  <c r="F406" i="8"/>
  <c r="J406" i="8"/>
  <c r="N406" i="8"/>
  <c r="R406" i="8"/>
  <c r="W406" i="8"/>
  <c r="T406" i="8"/>
  <c r="X406" i="8"/>
  <c r="D406" i="8"/>
  <c r="O406" i="8"/>
  <c r="P406" i="8"/>
  <c r="G406" i="8"/>
  <c r="H406" i="8"/>
  <c r="K406" i="8"/>
  <c r="V406" i="8"/>
  <c r="L406" i="8"/>
  <c r="C406" i="8"/>
  <c r="S59" i="8"/>
  <c r="S405" i="8"/>
  <c r="E507" i="8"/>
  <c r="I507" i="8"/>
  <c r="M507" i="8"/>
  <c r="Q507" i="8"/>
  <c r="F507" i="8"/>
  <c r="J507" i="8"/>
  <c r="N507" i="8"/>
  <c r="R507" i="8"/>
  <c r="C507" i="8"/>
  <c r="G507" i="8"/>
  <c r="K507" i="8"/>
  <c r="O507" i="8"/>
  <c r="D507" i="8"/>
  <c r="P507" i="8"/>
  <c r="H507" i="8"/>
  <c r="L507" i="8"/>
  <c r="D254" i="8"/>
  <c r="H254" i="8"/>
  <c r="L254" i="8"/>
  <c r="P254" i="8"/>
  <c r="E254" i="8"/>
  <c r="I254" i="8"/>
  <c r="M254" i="8"/>
  <c r="Q254" i="8"/>
  <c r="F254" i="8"/>
  <c r="J254" i="8"/>
  <c r="N254" i="8"/>
  <c r="R254" i="8"/>
  <c r="K254" i="8"/>
  <c r="O254" i="8"/>
  <c r="G254" i="8"/>
  <c r="C254" i="8"/>
  <c r="S506" i="8"/>
  <c r="U253" i="8"/>
  <c r="Y253" i="8"/>
  <c r="X253" i="8"/>
  <c r="S253" i="8" s="1"/>
  <c r="W253" i="8"/>
  <c r="B61" i="8"/>
  <c r="B605" i="8"/>
  <c r="B705" i="8"/>
  <c r="Y254" i="8"/>
  <c r="B255" i="8"/>
  <c r="W507" i="8"/>
  <c r="T507" i="8"/>
  <c r="V507" i="8"/>
  <c r="X507" i="8"/>
  <c r="U507" i="8"/>
  <c r="Y507" i="8"/>
  <c r="B508" i="8"/>
  <c r="B407" i="8"/>
  <c r="V705" i="8" a="1"/>
  <c r="O508" i="8" a="1"/>
  <c r="M61" i="8" a="1"/>
  <c r="Q61" i="8" a="1"/>
  <c r="D255" i="8" a="1"/>
  <c r="K61" i="8" a="1"/>
  <c r="O407" i="8" a="1"/>
  <c r="F61" i="8" a="1"/>
  <c r="R705" i="8" a="1"/>
  <c r="W254" i="8" a="1"/>
  <c r="X508" i="8" a="1"/>
  <c r="U407" i="8" a="1"/>
  <c r="L508" i="8" a="1"/>
  <c r="K255" i="8" a="1"/>
  <c r="Q605" i="8" a="1"/>
  <c r="I255" i="8" a="1"/>
  <c r="G508" i="8" a="1"/>
  <c r="L407" i="8" a="1"/>
  <c r="I61" i="8" a="1"/>
  <c r="N61" i="8" a="1"/>
  <c r="V605" i="8" a="1"/>
  <c r="X705" i="8" a="1"/>
  <c r="C508" i="8" a="1"/>
  <c r="X61" i="8" a="1"/>
  <c r="V254" i="8" a="1"/>
  <c r="T407" i="8" a="1"/>
  <c r="R255" i="8" a="1"/>
  <c r="P705" i="8" a="1"/>
  <c r="R605" i="8" a="1"/>
  <c r="H255" i="8" a="1"/>
  <c r="I407" i="8" a="1"/>
  <c r="X255" i="8" a="1"/>
  <c r="O605" i="8" a="1"/>
  <c r="J255" i="8" a="1"/>
  <c r="W705" i="8" a="1"/>
  <c r="N605" i="8" a="1"/>
  <c r="D61" i="8" a="1"/>
  <c r="C61" i="8" a="1"/>
  <c r="V407" i="8" a="1"/>
  <c r="T61" i="8" a="1"/>
  <c r="V508" i="8" a="1"/>
  <c r="C605" i="8" a="1"/>
  <c r="N407" i="8" a="1"/>
  <c r="K407" i="8" a="1"/>
  <c r="W61" i="8" a="1"/>
  <c r="X407" i="8" a="1"/>
  <c r="V61" i="8" a="1"/>
  <c r="E508" i="8" a="1"/>
  <c r="H605" i="8" a="1"/>
  <c r="E605" i="8" a="1"/>
  <c r="H61" i="8" a="1"/>
  <c r="E407" i="8" a="1"/>
  <c r="C255" i="8" a="1"/>
  <c r="W605" i="8" a="1"/>
  <c r="W255" i="8" a="1"/>
  <c r="L605" i="8" a="1"/>
  <c r="O255" i="8" a="1"/>
  <c r="E255" i="8" a="1"/>
  <c r="U508" i="8" a="1"/>
  <c r="L61" i="8" a="1"/>
  <c r="J61" i="8" a="1"/>
  <c r="W508" i="8" a="1"/>
  <c r="T705" i="8" a="1"/>
  <c r="T508" i="8" a="1"/>
  <c r="O61" i="8" a="1"/>
  <c r="K705" i="8" a="1"/>
  <c r="D605" i="8" a="1"/>
  <c r="K508" i="8" a="1"/>
  <c r="W407" i="8" a="1"/>
  <c r="I508" i="8" a="1"/>
  <c r="T605" i="8" a="1"/>
  <c r="Q407" i="8" a="1"/>
  <c r="M605" i="8" a="1"/>
  <c r="D407" i="8" a="1"/>
  <c r="F508" i="8" a="1"/>
  <c r="P508" i="8" a="1"/>
  <c r="J705" i="8" a="1"/>
  <c r="L255" i="8" a="1"/>
  <c r="U605" i="8" a="1"/>
  <c r="Q255" i="8" a="1"/>
  <c r="I705" i="8" a="1"/>
  <c r="Y61" i="8" a="1"/>
  <c r="E705" i="8" a="1"/>
  <c r="R407" i="8" a="1"/>
  <c r="C407" i="8" a="1"/>
  <c r="P407" i="8" a="1"/>
  <c r="N705" i="8" a="1"/>
  <c r="P61" i="8" a="1"/>
  <c r="K605" i="8" a="1"/>
  <c r="G705" i="8" a="1"/>
  <c r="T254" i="8" a="1"/>
  <c r="N508" i="8" a="1"/>
  <c r="J605" i="8" a="1"/>
  <c r="Q705" i="8" a="1"/>
  <c r="J407" i="8" a="1"/>
  <c r="X605" i="8" a="1"/>
  <c r="P255" i="8" a="1"/>
  <c r="Q508" i="8" a="1"/>
  <c r="M255" i="8" a="1"/>
  <c r="M407" i="8" a="1"/>
  <c r="J508" i="8" a="1"/>
  <c r="R61" i="8" a="1"/>
  <c r="E61" i="8" a="1"/>
  <c r="F255" i="8" a="1"/>
  <c r="I605" i="8" a="1"/>
  <c r="R508" i="8" a="1"/>
  <c r="D508" i="8" a="1"/>
  <c r="H508" i="8" a="1"/>
  <c r="Y605" i="8" a="1"/>
  <c r="F605" i="8" a="1"/>
  <c r="G61" i="8" a="1"/>
  <c r="F407" i="8" a="1"/>
  <c r="N255" i="8" a="1"/>
  <c r="P605" i="8" a="1"/>
  <c r="H407" i="8" a="1"/>
  <c r="Y508" i="8" a="1"/>
  <c r="G605" i="8" a="1"/>
  <c r="X254" i="8" a="1"/>
  <c r="U254" i="8" a="1"/>
  <c r="G407" i="8" a="1"/>
  <c r="U61" i="8" a="1"/>
  <c r="G255" i="8" a="1"/>
  <c r="M508" i="8" a="1"/>
  <c r="Y407" i="8" a="1"/>
  <c r="W605" i="8" l="1"/>
  <c r="C605" i="8"/>
  <c r="G605" i="8"/>
  <c r="K605" i="8"/>
  <c r="O605" i="8"/>
  <c r="T605" i="8"/>
  <c r="X605" i="8"/>
  <c r="U605" i="8"/>
  <c r="Y605" i="8"/>
  <c r="E605" i="8"/>
  <c r="I605" i="8"/>
  <c r="M605" i="8"/>
  <c r="Q605" i="8"/>
  <c r="J605" i="8"/>
  <c r="V605" i="8"/>
  <c r="L605" i="8"/>
  <c r="D605" i="8"/>
  <c r="N605" i="8"/>
  <c r="P605" i="8"/>
  <c r="F605" i="8"/>
  <c r="R605" i="8"/>
  <c r="H605" i="8"/>
  <c r="S704" i="8"/>
  <c r="S604" i="8"/>
  <c r="U61" i="8"/>
  <c r="Y61" i="8"/>
  <c r="E61" i="8"/>
  <c r="I61" i="8"/>
  <c r="M61" i="8"/>
  <c r="Q61" i="8"/>
  <c r="V61" i="8"/>
  <c r="F61" i="8"/>
  <c r="J61" i="8"/>
  <c r="N61" i="8"/>
  <c r="R61" i="8"/>
  <c r="W61" i="8"/>
  <c r="T61" i="8"/>
  <c r="X61" i="8"/>
  <c r="D61" i="8"/>
  <c r="H61" i="8"/>
  <c r="L61" i="8"/>
  <c r="P61" i="8"/>
  <c r="C61" i="8"/>
  <c r="G61" i="8"/>
  <c r="K61" i="8"/>
  <c r="O61" i="8"/>
  <c r="F407" i="8"/>
  <c r="J407" i="8"/>
  <c r="N407" i="8"/>
  <c r="R407" i="8"/>
  <c r="W407" i="8"/>
  <c r="T407" i="8"/>
  <c r="X407" i="8"/>
  <c r="D407" i="8"/>
  <c r="H407" i="8"/>
  <c r="L407" i="8"/>
  <c r="P407" i="8"/>
  <c r="E407" i="8"/>
  <c r="I407" i="8"/>
  <c r="M407" i="8"/>
  <c r="Q407" i="8"/>
  <c r="C407" i="8"/>
  <c r="O407" i="8"/>
  <c r="Y407" i="8"/>
  <c r="G407" i="8"/>
  <c r="U407" i="8"/>
  <c r="K407" i="8"/>
  <c r="V407" i="8"/>
  <c r="S60" i="8"/>
  <c r="S406" i="8"/>
  <c r="C255" i="8"/>
  <c r="G255" i="8"/>
  <c r="D255" i="8"/>
  <c r="H255" i="8"/>
  <c r="L255" i="8"/>
  <c r="E255" i="8"/>
  <c r="I255" i="8"/>
  <c r="F255" i="8"/>
  <c r="J255" i="8"/>
  <c r="M255" i="8"/>
  <c r="Q255" i="8"/>
  <c r="N255" i="8"/>
  <c r="R255" i="8"/>
  <c r="O255" i="8"/>
  <c r="K255" i="8"/>
  <c r="P255" i="8"/>
  <c r="D508" i="8"/>
  <c r="H508" i="8"/>
  <c r="L508" i="8"/>
  <c r="P508" i="8"/>
  <c r="E508" i="8"/>
  <c r="I508" i="8"/>
  <c r="M508" i="8"/>
  <c r="Q508" i="8"/>
  <c r="F508" i="8"/>
  <c r="J508" i="8"/>
  <c r="C508" i="8"/>
  <c r="G508" i="8"/>
  <c r="K508" i="8"/>
  <c r="O508" i="8"/>
  <c r="N508" i="8"/>
  <c r="R508" i="8"/>
  <c r="S507" i="8"/>
  <c r="X254" i="8"/>
  <c r="V254" i="8"/>
  <c r="T254" i="8"/>
  <c r="W254" i="8"/>
  <c r="U254" i="8"/>
  <c r="B62" i="8"/>
  <c r="N705" i="8"/>
  <c r="W705" i="8"/>
  <c r="I705" i="8"/>
  <c r="J705" i="8"/>
  <c r="G705" i="8"/>
  <c r="P705" i="8"/>
  <c r="K705" i="8"/>
  <c r="R705" i="8"/>
  <c r="T705" i="8"/>
  <c r="E705" i="8"/>
  <c r="Q705" i="8"/>
  <c r="V705" i="8"/>
  <c r="X705" i="8"/>
  <c r="B706" i="8"/>
  <c r="B606" i="8"/>
  <c r="W255" i="8"/>
  <c r="X255" i="8"/>
  <c r="B256" i="8"/>
  <c r="U508" i="8"/>
  <c r="Y508" i="8"/>
  <c r="T508" i="8"/>
  <c r="V508" i="8"/>
  <c r="X508" i="8"/>
  <c r="W508" i="8"/>
  <c r="B509" i="8"/>
  <c r="B408" i="8"/>
  <c r="I256" i="8" a="1"/>
  <c r="M706" i="8" a="1"/>
  <c r="W706" i="8" a="1"/>
  <c r="U255" i="8" a="1"/>
  <c r="F706" i="8" a="1"/>
  <c r="Y256" i="8" a="1"/>
  <c r="K408" i="8" a="1"/>
  <c r="C62" i="8" a="1"/>
  <c r="J706" i="8" a="1"/>
  <c r="T255" i="8" a="1"/>
  <c r="U606" i="8" a="1"/>
  <c r="Q256" i="8" a="1"/>
  <c r="D509" i="8" a="1"/>
  <c r="N509" i="8" a="1"/>
  <c r="H606" i="8" a="1"/>
  <c r="L706" i="8" a="1"/>
  <c r="V255" i="8" a="1"/>
  <c r="L408" i="8" a="1"/>
  <c r="C706" i="8" a="1"/>
  <c r="R256" i="8" a="1"/>
  <c r="Y606" i="8" a="1"/>
  <c r="N62" i="8" a="1"/>
  <c r="N706" i="8" a="1"/>
  <c r="Y705" i="8" a="1"/>
  <c r="O256" i="8" a="1"/>
  <c r="H509" i="8" a="1"/>
  <c r="L509" i="8" a="1"/>
  <c r="N606" i="8" a="1"/>
  <c r="T706" i="8" a="1"/>
  <c r="D62" i="8" a="1"/>
  <c r="M606" i="8" a="1"/>
  <c r="P256" i="8" a="1"/>
  <c r="C606" i="8" a="1"/>
  <c r="U408" i="8" a="1"/>
  <c r="M705" i="8" a="1"/>
  <c r="H256" i="8" a="1"/>
  <c r="R706" i="8" a="1"/>
  <c r="F509" i="8" a="1"/>
  <c r="J256" i="8" a="1"/>
  <c r="G62" i="8" a="1"/>
  <c r="F408" i="8" a="1"/>
  <c r="F705" i="8" a="1"/>
  <c r="R606" i="8" a="1"/>
  <c r="I62" i="8" a="1"/>
  <c r="H408" i="8" a="1"/>
  <c r="F606" i="8" a="1"/>
  <c r="I606" i="8" a="1"/>
  <c r="N408" i="8" a="1"/>
  <c r="J408" i="8" a="1"/>
  <c r="J62" i="8" a="1"/>
  <c r="T256" i="8" a="1"/>
  <c r="Q408" i="8" a="1"/>
  <c r="R62" i="8" a="1"/>
  <c r="K62" i="8" a="1"/>
  <c r="Y408" i="8" a="1"/>
  <c r="P509" i="8" a="1"/>
  <c r="E706" i="8" a="1"/>
  <c r="O62" i="8" a="1"/>
  <c r="U705" i="8" a="1"/>
  <c r="M408" i="8" a="1"/>
  <c r="C705" i="8" a="1"/>
  <c r="P408" i="8" a="1"/>
  <c r="X62" i="8" a="1"/>
  <c r="X408" i="8" a="1"/>
  <c r="K706" i="8" a="1"/>
  <c r="W408" i="8" a="1"/>
  <c r="O706" i="8" a="1"/>
  <c r="F62" i="8" a="1"/>
  <c r="V408" i="8" a="1"/>
  <c r="T62" i="8" a="1"/>
  <c r="Q606" i="8" a="1"/>
  <c r="M256" i="8" a="1"/>
  <c r="U256" i="8" a="1"/>
  <c r="D408" i="8" a="1"/>
  <c r="H706" i="8" a="1"/>
  <c r="K256" i="8" a="1"/>
  <c r="G509" i="8" a="1"/>
  <c r="Y255" i="8" a="1"/>
  <c r="T606" i="8" a="1"/>
  <c r="O408" i="8" a="1"/>
  <c r="D706" i="8" a="1"/>
  <c r="V606" i="8" a="1"/>
  <c r="J606" i="8" a="1"/>
  <c r="K509" i="8" a="1"/>
  <c r="D705" i="8" a="1"/>
  <c r="D256" i="8" a="1"/>
  <c r="V62" i="8" a="1"/>
  <c r="L606" i="8" a="1"/>
  <c r="C256" i="8" a="1"/>
  <c r="G706" i="8" a="1"/>
  <c r="V706" i="8" a="1"/>
  <c r="I706" i="8" a="1"/>
  <c r="P62" i="8" a="1"/>
  <c r="C408" i="8" a="1"/>
  <c r="O509" i="8" a="1"/>
  <c r="R509" i="8" a="1"/>
  <c r="F256" i="8" a="1"/>
  <c r="W606" i="8" a="1"/>
  <c r="P706" i="8" a="1"/>
  <c r="X606" i="8" a="1"/>
  <c r="N256" i="8" a="1"/>
  <c r="C509" i="8" a="1"/>
  <c r="L705" i="8" a="1"/>
  <c r="M62" i="8" a="1"/>
  <c r="P606" i="8" a="1"/>
  <c r="T408" i="8" a="1"/>
  <c r="I408" i="8" a="1"/>
  <c r="Q509" i="8" a="1"/>
  <c r="E62" i="8" a="1"/>
  <c r="M509" i="8" a="1"/>
  <c r="X706" i="8" a="1"/>
  <c r="H705" i="8" a="1"/>
  <c r="J509" i="8" a="1"/>
  <c r="G606" i="8" a="1"/>
  <c r="Y706" i="8" a="1"/>
  <c r="W62" i="8" a="1"/>
  <c r="K606" i="8" a="1"/>
  <c r="G256" i="8" a="1"/>
  <c r="E509" i="8" a="1"/>
  <c r="Q62" i="8" a="1"/>
  <c r="E256" i="8" a="1"/>
  <c r="W256" i="8" a="1"/>
  <c r="E408" i="8" a="1"/>
  <c r="X256" i="8" a="1"/>
  <c r="Q706" i="8" a="1"/>
  <c r="I509" i="8" a="1"/>
  <c r="O705" i="8" a="1"/>
  <c r="Y62" i="8" a="1"/>
  <c r="E606" i="8" a="1"/>
  <c r="G408" i="8" a="1"/>
  <c r="D606" i="8" a="1"/>
  <c r="U62" i="8" a="1"/>
  <c r="L62" i="8" a="1"/>
  <c r="W509" i="8" a="1"/>
  <c r="H62" i="8" a="1"/>
  <c r="U706" i="8" a="1"/>
  <c r="O606" i="8" a="1"/>
  <c r="R408" i="8" a="1"/>
  <c r="L256" i="8" a="1"/>
  <c r="S605" i="8" l="1"/>
  <c r="D606" i="8"/>
  <c r="H606" i="8"/>
  <c r="L606" i="8"/>
  <c r="P606" i="8"/>
  <c r="U606" i="8"/>
  <c r="Y606" i="8"/>
  <c r="E606" i="8"/>
  <c r="I606" i="8"/>
  <c r="M606" i="8"/>
  <c r="Q606" i="8"/>
  <c r="F606" i="8"/>
  <c r="J606" i="8"/>
  <c r="N606" i="8"/>
  <c r="R606" i="8"/>
  <c r="W606" i="8"/>
  <c r="T606" i="8"/>
  <c r="K606" i="8"/>
  <c r="V606" i="8"/>
  <c r="C606" i="8"/>
  <c r="X606" i="8"/>
  <c r="O606" i="8"/>
  <c r="G606" i="8"/>
  <c r="S61" i="8"/>
  <c r="F62" i="8"/>
  <c r="J62" i="8"/>
  <c r="N62" i="8"/>
  <c r="R62" i="8"/>
  <c r="W62" i="8"/>
  <c r="C62" i="8"/>
  <c r="G62" i="8"/>
  <c r="K62" i="8"/>
  <c r="O62" i="8"/>
  <c r="T62" i="8"/>
  <c r="X62" i="8"/>
  <c r="D62" i="8"/>
  <c r="H62" i="8"/>
  <c r="L62" i="8"/>
  <c r="P62" i="8"/>
  <c r="E62" i="8"/>
  <c r="I62" i="8"/>
  <c r="M62" i="8"/>
  <c r="Q62" i="8"/>
  <c r="V62" i="8"/>
  <c r="U62" i="8"/>
  <c r="Y62" i="8"/>
  <c r="D408" i="8"/>
  <c r="E408" i="8"/>
  <c r="G408" i="8"/>
  <c r="K408" i="8"/>
  <c r="O408" i="8"/>
  <c r="T408" i="8"/>
  <c r="X408" i="8"/>
  <c r="H408" i="8"/>
  <c r="L408" i="8"/>
  <c r="P408" i="8"/>
  <c r="C408" i="8"/>
  <c r="U408" i="8"/>
  <c r="Y408" i="8"/>
  <c r="I408" i="8"/>
  <c r="M408" i="8"/>
  <c r="Q408" i="8"/>
  <c r="V408" i="8"/>
  <c r="J408" i="8"/>
  <c r="N408" i="8"/>
  <c r="R408" i="8"/>
  <c r="W408" i="8"/>
  <c r="F408" i="8"/>
  <c r="S407" i="8"/>
  <c r="D509" i="8"/>
  <c r="H509" i="8"/>
  <c r="L509" i="8"/>
  <c r="P509" i="8"/>
  <c r="E509" i="8"/>
  <c r="I509" i="8"/>
  <c r="M509" i="8"/>
  <c r="Q509" i="8"/>
  <c r="F509" i="8"/>
  <c r="J509" i="8"/>
  <c r="N509" i="8"/>
  <c r="R509" i="8"/>
  <c r="G509" i="8"/>
  <c r="K509" i="8"/>
  <c r="O509" i="8"/>
  <c r="C509" i="8"/>
  <c r="D256" i="8"/>
  <c r="E256" i="8"/>
  <c r="I256" i="8"/>
  <c r="M256" i="8"/>
  <c r="Q256" i="8"/>
  <c r="L256" i="8"/>
  <c r="F256" i="8"/>
  <c r="J256" i="8"/>
  <c r="N256" i="8"/>
  <c r="R256" i="8"/>
  <c r="H256" i="8"/>
  <c r="C256" i="8"/>
  <c r="G256" i="8"/>
  <c r="K256" i="8"/>
  <c r="O256" i="8"/>
  <c r="P256" i="8"/>
  <c r="S254" i="8"/>
  <c r="S508" i="8"/>
  <c r="V255" i="8"/>
  <c r="T255" i="8"/>
  <c r="U705" i="8"/>
  <c r="Y255" i="8"/>
  <c r="F705" i="8"/>
  <c r="M705" i="8"/>
  <c r="O705" i="8"/>
  <c r="D705" i="8"/>
  <c r="H705" i="8"/>
  <c r="C705" i="8"/>
  <c r="U255" i="8"/>
  <c r="L705" i="8"/>
  <c r="Y705" i="8"/>
  <c r="B63" i="8"/>
  <c r="S705" i="8"/>
  <c r="J706" i="8"/>
  <c r="V706" i="8"/>
  <c r="K706" i="8"/>
  <c r="H706" i="8"/>
  <c r="L706" i="8"/>
  <c r="Q706" i="8"/>
  <c r="I706" i="8"/>
  <c r="P706" i="8"/>
  <c r="T706" i="8"/>
  <c r="C706" i="8"/>
  <c r="G706" i="8"/>
  <c r="X706" i="8"/>
  <c r="W706" i="8"/>
  <c r="O706" i="8"/>
  <c r="F706" i="8"/>
  <c r="U706" i="8"/>
  <c r="N706" i="8"/>
  <c r="D706" i="8"/>
  <c r="Y706" i="8"/>
  <c r="R706" i="8"/>
  <c r="M706" i="8"/>
  <c r="E706" i="8"/>
  <c r="B607" i="8"/>
  <c r="B707" i="8"/>
  <c r="T256" i="8"/>
  <c r="Y256" i="8"/>
  <c r="X256" i="8"/>
  <c r="W256" i="8"/>
  <c r="U256" i="8"/>
  <c r="B257" i="8"/>
  <c r="W509" i="8"/>
  <c r="B510" i="8"/>
  <c r="B409" i="8"/>
  <c r="Y409" i="8" a="1"/>
  <c r="O707" i="8" a="1"/>
  <c r="V510" i="8" a="1"/>
  <c r="P510" i="8" a="1"/>
  <c r="M607" i="8" a="1"/>
  <c r="V409" i="8" a="1"/>
  <c r="O409" i="8" a="1"/>
  <c r="M409" i="8" a="1"/>
  <c r="J510" i="8" a="1"/>
  <c r="E257" i="8" a="1"/>
  <c r="Q510" i="8" a="1"/>
  <c r="D707" i="8" a="1"/>
  <c r="X510" i="8" a="1"/>
  <c r="H409" i="8" a="1"/>
  <c r="X707" i="8" a="1"/>
  <c r="X409" i="8" a="1"/>
  <c r="Y510" i="8" a="1"/>
  <c r="Y257" i="8" a="1"/>
  <c r="J607" i="8" a="1"/>
  <c r="J257" i="8" a="1"/>
  <c r="C63" i="8" a="1"/>
  <c r="I607" i="8" a="1"/>
  <c r="N607" i="8" a="1"/>
  <c r="R510" i="8" a="1"/>
  <c r="Y707" i="8" a="1"/>
  <c r="O510" i="8" a="1"/>
  <c r="W157" i="8" a="1"/>
  <c r="L63" i="8" a="1"/>
  <c r="T409" i="8" a="1"/>
  <c r="O257" i="8" a="1"/>
  <c r="V157" i="8" a="1"/>
  <c r="N510" i="8" a="1"/>
  <c r="N257" i="8" a="1"/>
  <c r="G607" i="8" a="1"/>
  <c r="I63" i="8" a="1"/>
  <c r="R63" i="8" a="1"/>
  <c r="E63" i="8" a="1"/>
  <c r="P409" i="8" a="1"/>
  <c r="U707" i="8" a="1"/>
  <c r="W607" i="8" a="1"/>
  <c r="Q607" i="8" a="1"/>
  <c r="K63" i="8" a="1"/>
  <c r="M510" i="8" a="1"/>
  <c r="G707" i="8" a="1"/>
  <c r="M257" i="8" a="1"/>
  <c r="U409" i="8" a="1"/>
  <c r="C607" i="8" a="1"/>
  <c r="O63" i="8" a="1"/>
  <c r="T510" i="8" a="1"/>
  <c r="T63" i="8" a="1"/>
  <c r="R409" i="8" a="1"/>
  <c r="I257" i="8" a="1"/>
  <c r="F510" i="8" a="1"/>
  <c r="L409" i="8" a="1"/>
  <c r="V707" i="8" a="1"/>
  <c r="H257" i="8" a="1"/>
  <c r="P257" i="8" a="1"/>
  <c r="H63" i="8" a="1"/>
  <c r="X607" i="8" a="1"/>
  <c r="C707" i="8" a="1"/>
  <c r="K257" i="8" a="1"/>
  <c r="X157" i="8" a="1"/>
  <c r="D409" i="8" a="1"/>
  <c r="Y607" i="8" a="1"/>
  <c r="T157" i="8" a="1"/>
  <c r="V607" i="8" a="1"/>
  <c r="N409" i="8" a="1"/>
  <c r="X257" i="8" a="1"/>
  <c r="X509" i="8" a="1"/>
  <c r="F63" i="8" a="1"/>
  <c r="L510" i="8" a="1"/>
  <c r="U157" i="8" a="1"/>
  <c r="P607" i="8" a="1"/>
  <c r="Q257" i="8" a="1"/>
  <c r="E510" i="8" a="1"/>
  <c r="G257" i="8" a="1"/>
  <c r="Y509" i="8" a="1"/>
  <c r="H707" i="8" a="1"/>
  <c r="W63" i="8" a="1"/>
  <c r="U607" i="8" a="1"/>
  <c r="V256" i="8" a="1"/>
  <c r="N63" i="8" a="1"/>
  <c r="K510" i="8" a="1"/>
  <c r="D63" i="8" a="1"/>
  <c r="L257" i="8" a="1"/>
  <c r="W409" i="8" a="1"/>
  <c r="D607" i="8" a="1"/>
  <c r="U509" i="8" a="1"/>
  <c r="J409" i="8" a="1"/>
  <c r="Q707" i="8" a="1"/>
  <c r="H607" i="8" a="1"/>
  <c r="N707" i="8" a="1"/>
  <c r="F707" i="8" a="1"/>
  <c r="T509" i="8" a="1"/>
  <c r="R257" i="8" a="1"/>
  <c r="T607" i="8" a="1"/>
  <c r="I409" i="8" a="1"/>
  <c r="D510" i="8" a="1"/>
  <c r="C510" i="8" a="1"/>
  <c r="K707" i="8" a="1"/>
  <c r="W707" i="8" a="1"/>
  <c r="I707" i="8" a="1"/>
  <c r="Q63" i="8" a="1"/>
  <c r="V509" i="8" a="1"/>
  <c r="G409" i="8" a="1"/>
  <c r="Y63" i="8" a="1"/>
  <c r="E707" i="8" a="1"/>
  <c r="U510" i="8" a="1"/>
  <c r="K409" i="8" a="1"/>
  <c r="P63" i="8" a="1"/>
  <c r="F409" i="8" a="1"/>
  <c r="Y157" i="8" a="1"/>
  <c r="R607" i="8" a="1"/>
  <c r="G510" i="8" a="1"/>
  <c r="V63" i="8" a="1"/>
  <c r="I510" i="8" a="1"/>
  <c r="L707" i="8" a="1"/>
  <c r="E607" i="8" a="1"/>
  <c r="M63" i="8" a="1"/>
  <c r="J63" i="8" a="1"/>
  <c r="E409" i="8" a="1"/>
  <c r="U63" i="8" a="1"/>
  <c r="C409" i="8" a="1"/>
  <c r="H510" i="8" a="1"/>
  <c r="L607" i="8" a="1"/>
  <c r="Q409" i="8" a="1"/>
  <c r="F607" i="8" a="1"/>
  <c r="K607" i="8" a="1"/>
  <c r="R707" i="8" a="1"/>
  <c r="G63" i="8" a="1"/>
  <c r="T707" i="8" a="1"/>
  <c r="X63" i="8" a="1"/>
  <c r="J707" i="8" a="1"/>
  <c r="D257" i="8" a="1"/>
  <c r="C257" i="8" a="1"/>
  <c r="F257" i="8" a="1"/>
  <c r="M707" i="8" a="1"/>
  <c r="O607" i="8" a="1"/>
  <c r="V607" i="8" l="1"/>
  <c r="F607" i="8"/>
  <c r="J607" i="8"/>
  <c r="N607" i="8"/>
  <c r="R607" i="8"/>
  <c r="W607" i="8"/>
  <c r="T607" i="8"/>
  <c r="X607" i="8"/>
  <c r="D607" i="8"/>
  <c r="H607" i="8"/>
  <c r="L607" i="8"/>
  <c r="P607" i="8"/>
  <c r="G607" i="8"/>
  <c r="Q607" i="8"/>
  <c r="I607" i="8"/>
  <c r="U607" i="8"/>
  <c r="K607" i="8"/>
  <c r="C607" i="8"/>
  <c r="M607" i="8"/>
  <c r="Y607" i="8"/>
  <c r="O607" i="8"/>
  <c r="E607" i="8"/>
  <c r="S606" i="8"/>
  <c r="U409" i="8"/>
  <c r="Y409" i="8"/>
  <c r="E409" i="8"/>
  <c r="I409" i="8"/>
  <c r="M409" i="8"/>
  <c r="Q409" i="8"/>
  <c r="V409" i="8"/>
  <c r="F409" i="8"/>
  <c r="J409" i="8"/>
  <c r="N409" i="8"/>
  <c r="R409" i="8"/>
  <c r="W409" i="8"/>
  <c r="C409" i="8"/>
  <c r="G409" i="8"/>
  <c r="K409" i="8"/>
  <c r="O409" i="8"/>
  <c r="T409" i="8"/>
  <c r="X409" i="8"/>
  <c r="D409" i="8"/>
  <c r="H409" i="8"/>
  <c r="L409" i="8"/>
  <c r="P409" i="8"/>
  <c r="T63" i="8"/>
  <c r="X63" i="8"/>
  <c r="D63" i="8"/>
  <c r="H63" i="8"/>
  <c r="L63" i="8"/>
  <c r="P63" i="8"/>
  <c r="U63" i="8"/>
  <c r="Y63" i="8"/>
  <c r="E63" i="8"/>
  <c r="I63" i="8"/>
  <c r="M63" i="8"/>
  <c r="Q63" i="8"/>
  <c r="V63" i="8"/>
  <c r="W63" i="8"/>
  <c r="C63" i="8"/>
  <c r="G63" i="8"/>
  <c r="K63" i="8"/>
  <c r="O63" i="8"/>
  <c r="J63" i="8"/>
  <c r="N63" i="8"/>
  <c r="R63" i="8"/>
  <c r="F63" i="8"/>
  <c r="S62" i="8"/>
  <c r="S408" i="8"/>
  <c r="C510" i="8"/>
  <c r="G510" i="8"/>
  <c r="K510" i="8"/>
  <c r="O510" i="8"/>
  <c r="D510" i="8"/>
  <c r="H510" i="8"/>
  <c r="L510" i="8"/>
  <c r="P510" i="8"/>
  <c r="F510" i="8"/>
  <c r="J510" i="8"/>
  <c r="N510" i="8"/>
  <c r="R510" i="8"/>
  <c r="I510" i="8"/>
  <c r="E510" i="8"/>
  <c r="M510" i="8"/>
  <c r="Q510" i="8"/>
  <c r="D257" i="8"/>
  <c r="H257" i="8"/>
  <c r="L257" i="8"/>
  <c r="P257" i="8"/>
  <c r="E257" i="8"/>
  <c r="I257" i="8"/>
  <c r="M257" i="8"/>
  <c r="Q257" i="8"/>
  <c r="F257" i="8"/>
  <c r="J257" i="8"/>
  <c r="N257" i="8"/>
  <c r="R257" i="8"/>
  <c r="C257" i="8"/>
  <c r="G257" i="8"/>
  <c r="K257" i="8"/>
  <c r="O257" i="8"/>
  <c r="S255" i="8"/>
  <c r="X509" i="8"/>
  <c r="T509" i="8"/>
  <c r="V509" i="8"/>
  <c r="Y509" i="8"/>
  <c r="V256" i="8"/>
  <c r="S256" i="8" s="1"/>
  <c r="U509" i="8"/>
  <c r="B64" i="8"/>
  <c r="S706" i="8"/>
  <c r="Q707" i="8"/>
  <c r="C707" i="8"/>
  <c r="L707" i="8"/>
  <c r="K707" i="8"/>
  <c r="V707" i="8"/>
  <c r="G707" i="8"/>
  <c r="U707" i="8"/>
  <c r="I707" i="8"/>
  <c r="D707" i="8"/>
  <c r="M707" i="8"/>
  <c r="W707" i="8"/>
  <c r="H707" i="8"/>
  <c r="F707" i="8"/>
  <c r="O707" i="8"/>
  <c r="Y707" i="8"/>
  <c r="N707" i="8"/>
  <c r="J707" i="8"/>
  <c r="T707" i="8"/>
  <c r="E707" i="8"/>
  <c r="X707" i="8"/>
  <c r="R707" i="8"/>
  <c r="B608" i="8"/>
  <c r="B708" i="8"/>
  <c r="Y257" i="8"/>
  <c r="X257" i="8"/>
  <c r="B258" i="8"/>
  <c r="U510" i="8"/>
  <c r="Y510" i="8"/>
  <c r="T510" i="8"/>
  <c r="V510" i="8"/>
  <c r="X510" i="8"/>
  <c r="B511" i="8"/>
  <c r="B410" i="8"/>
  <c r="U157" i="8"/>
  <c r="X157" i="8"/>
  <c r="T157" i="8"/>
  <c r="W157" i="8"/>
  <c r="V157" i="8"/>
  <c r="Y157" i="8"/>
  <c r="J608" i="8" a="1"/>
  <c r="J64" i="8" a="1"/>
  <c r="D410" i="8" a="1"/>
  <c r="Q258" i="8" a="1"/>
  <c r="G410" i="8" a="1"/>
  <c r="V410" i="8" a="1"/>
  <c r="W708" i="8" a="1"/>
  <c r="L608" i="8" a="1"/>
  <c r="P511" i="8" a="1"/>
  <c r="G608" i="8" a="1"/>
  <c r="D64" i="8" a="1"/>
  <c r="U158" i="8" a="1"/>
  <c r="Q708" i="8" a="1"/>
  <c r="E410" i="8" a="1"/>
  <c r="D511" i="8" a="1"/>
  <c r="K64" i="8" a="1"/>
  <c r="I608" i="8" a="1"/>
  <c r="O258" i="8" a="1"/>
  <c r="X64" i="8" a="1"/>
  <c r="H258" i="8" a="1"/>
  <c r="T64" i="8" a="1"/>
  <c r="N511" i="8" a="1"/>
  <c r="G258" i="8" a="1"/>
  <c r="H64" i="8" a="1"/>
  <c r="P64" i="8" a="1"/>
  <c r="H410" i="8" a="1"/>
  <c r="V258" i="8" a="1"/>
  <c r="X258" i="8" a="1"/>
  <c r="V64" i="8" a="1"/>
  <c r="Y158" i="8" a="1"/>
  <c r="W64" i="8" a="1"/>
  <c r="F511" i="8" a="1"/>
  <c r="I258" i="8" a="1"/>
  <c r="L258" i="8" a="1"/>
  <c r="T158" i="8" a="1"/>
  <c r="K410" i="8" a="1"/>
  <c r="C64" i="8" a="1"/>
  <c r="J410" i="8" a="1"/>
  <c r="E511" i="8" a="1"/>
  <c r="U410" i="8" a="1"/>
  <c r="P410" i="8" a="1"/>
  <c r="V257" i="8" a="1"/>
  <c r="J258" i="8" a="1"/>
  <c r="R410" i="8" a="1"/>
  <c r="M258" i="8" a="1"/>
  <c r="K258" i="8" a="1"/>
  <c r="E708" i="8" a="1"/>
  <c r="C511" i="8" a="1"/>
  <c r="R511" i="8" a="1"/>
  <c r="E258" i="8" a="1"/>
  <c r="O608" i="8" a="1"/>
  <c r="Q608" i="8" a="1"/>
  <c r="W510" i="8" a="1"/>
  <c r="V511" i="8" a="1"/>
  <c r="R258" i="8" a="1"/>
  <c r="D258" i="8" a="1"/>
  <c r="P708" i="8" a="1"/>
  <c r="U708" i="8" a="1"/>
  <c r="W258" i="8" a="1"/>
  <c r="W410" i="8" a="1"/>
  <c r="J708" i="8" a="1"/>
  <c r="T708" i="8" a="1"/>
  <c r="I708" i="8" a="1"/>
  <c r="U608" i="8" a="1"/>
  <c r="E608" i="8" a="1"/>
  <c r="V608" i="8" a="1"/>
  <c r="L511" i="8" a="1"/>
  <c r="G511" i="8" a="1"/>
  <c r="U258" i="8" a="1"/>
  <c r="F64" i="8" a="1"/>
  <c r="Y511" i="8" a="1"/>
  <c r="F410" i="8" a="1"/>
  <c r="W257" i="8" a="1"/>
  <c r="F708" i="8" a="1"/>
  <c r="G64" i="8" a="1"/>
  <c r="H511" i="8" a="1"/>
  <c r="P258" i="8" a="1"/>
  <c r="F608" i="8" a="1"/>
  <c r="T258" i="8" a="1"/>
  <c r="O511" i="8" a="1"/>
  <c r="P707" i="8" a="1"/>
  <c r="R64" i="8" a="1"/>
  <c r="X158" i="8" a="1"/>
  <c r="I511" i="8" a="1"/>
  <c r="O410" i="8" a="1"/>
  <c r="W511" i="8" a="1"/>
  <c r="K608" i="8" a="1"/>
  <c r="M708" i="8" a="1"/>
  <c r="V158" i="8" a="1"/>
  <c r="N708" i="8" a="1"/>
  <c r="R608" i="8" a="1"/>
  <c r="I410" i="8" a="1"/>
  <c r="N258" i="8" a="1"/>
  <c r="W158" i="8" a="1"/>
  <c r="L410" i="8" a="1"/>
  <c r="L64" i="8" a="1"/>
  <c r="U64" i="8" a="1"/>
  <c r="T257" i="8" a="1"/>
  <c r="T410" i="8" a="1"/>
  <c r="T608" i="8" a="1"/>
  <c r="M511" i="8" a="1"/>
  <c r="R708" i="8" a="1"/>
  <c r="D608" i="8" a="1"/>
  <c r="E64" i="8" a="1"/>
  <c r="N608" i="8" a="1"/>
  <c r="O64" i="8" a="1"/>
  <c r="Y608" i="8" a="1"/>
  <c r="I64" i="8" a="1"/>
  <c r="H608" i="8" a="1"/>
  <c r="J511" i="8" a="1"/>
  <c r="C258" i="8" a="1"/>
  <c r="F258" i="8" a="1"/>
  <c r="Q511" i="8" a="1"/>
  <c r="U257" i="8" a="1"/>
  <c r="M410" i="8" a="1"/>
  <c r="G708" i="8" a="1"/>
  <c r="M608" i="8" a="1"/>
  <c r="C608" i="8" a="1"/>
  <c r="N410" i="8" a="1"/>
  <c r="W608" i="8" a="1"/>
  <c r="X608" i="8" a="1"/>
  <c r="X708" i="8" a="1"/>
  <c r="P608" i="8" a="1"/>
  <c r="O708" i="8" a="1"/>
  <c r="L708" i="8" a="1"/>
  <c r="X410" i="8" a="1"/>
  <c r="Y64" i="8" a="1"/>
  <c r="Q64" i="8" a="1"/>
  <c r="K511" i="8" a="1"/>
  <c r="C410" i="8" a="1"/>
  <c r="M64" i="8" a="1"/>
  <c r="Q410" i="8" a="1"/>
  <c r="U511" i="8" a="1"/>
  <c r="N64" i="8" a="1"/>
  <c r="Y410" i="8" a="1"/>
  <c r="S607" i="8" l="1"/>
  <c r="C608" i="8"/>
  <c r="G608" i="8"/>
  <c r="K608" i="8"/>
  <c r="O608" i="8"/>
  <c r="T608" i="8"/>
  <c r="X608" i="8"/>
  <c r="D608" i="8"/>
  <c r="H608" i="8"/>
  <c r="L608" i="8"/>
  <c r="P608" i="8"/>
  <c r="E608" i="8"/>
  <c r="I608" i="8"/>
  <c r="M608" i="8"/>
  <c r="Q608" i="8"/>
  <c r="V608" i="8"/>
  <c r="F608" i="8"/>
  <c r="R608" i="8"/>
  <c r="J608" i="8"/>
  <c r="U608" i="8"/>
  <c r="W608" i="8"/>
  <c r="N608" i="8"/>
  <c r="Y608" i="8"/>
  <c r="E64" i="8"/>
  <c r="I64" i="8"/>
  <c r="M64" i="8"/>
  <c r="Q64" i="8"/>
  <c r="V64" i="8"/>
  <c r="F64" i="8"/>
  <c r="J64" i="8"/>
  <c r="N64" i="8"/>
  <c r="R64" i="8"/>
  <c r="W64" i="8"/>
  <c r="C64" i="8"/>
  <c r="G64" i="8"/>
  <c r="K64" i="8"/>
  <c r="O64" i="8"/>
  <c r="D64" i="8"/>
  <c r="H64" i="8"/>
  <c r="L64" i="8"/>
  <c r="P64" i="8"/>
  <c r="U64" i="8"/>
  <c r="Y64" i="8"/>
  <c r="T64" i="8"/>
  <c r="X64" i="8"/>
  <c r="F410" i="8"/>
  <c r="J410" i="8"/>
  <c r="N410" i="8"/>
  <c r="R410" i="8"/>
  <c r="W410" i="8"/>
  <c r="C410" i="8"/>
  <c r="G410" i="8"/>
  <c r="K410" i="8"/>
  <c r="O410" i="8"/>
  <c r="T410" i="8"/>
  <c r="X410" i="8"/>
  <c r="D410" i="8"/>
  <c r="H410" i="8"/>
  <c r="L410" i="8"/>
  <c r="P410" i="8"/>
  <c r="U410" i="8"/>
  <c r="Y410" i="8"/>
  <c r="E410" i="8"/>
  <c r="I410" i="8"/>
  <c r="M410" i="8"/>
  <c r="Q410" i="8"/>
  <c r="V410" i="8"/>
  <c r="S409" i="8"/>
  <c r="S63" i="8"/>
  <c r="D258" i="8"/>
  <c r="H258" i="8"/>
  <c r="L258" i="8"/>
  <c r="P258" i="8"/>
  <c r="C258" i="8"/>
  <c r="E258" i="8"/>
  <c r="I258" i="8"/>
  <c r="M258" i="8"/>
  <c r="Q258" i="8"/>
  <c r="K258" i="8"/>
  <c r="O258" i="8"/>
  <c r="F258" i="8"/>
  <c r="J258" i="8"/>
  <c r="N258" i="8"/>
  <c r="R258" i="8"/>
  <c r="G258" i="8"/>
  <c r="C511" i="8"/>
  <c r="G511" i="8"/>
  <c r="K511" i="8"/>
  <c r="O511" i="8"/>
  <c r="D511" i="8"/>
  <c r="H511" i="8"/>
  <c r="L511" i="8"/>
  <c r="P511" i="8"/>
  <c r="E511" i="8"/>
  <c r="I511" i="8"/>
  <c r="M511" i="8"/>
  <c r="Q511" i="8"/>
  <c r="F511" i="8"/>
  <c r="J511" i="8"/>
  <c r="N511" i="8"/>
  <c r="R511" i="8"/>
  <c r="S510" i="8"/>
  <c r="S509" i="8"/>
  <c r="W257" i="8"/>
  <c r="V257" i="8"/>
  <c r="T257" i="8"/>
  <c r="U257" i="8"/>
  <c r="W510" i="8"/>
  <c r="P707" i="8"/>
  <c r="B65" i="8"/>
  <c r="S157" i="8"/>
  <c r="W708" i="8"/>
  <c r="Q708" i="8"/>
  <c r="P708" i="8"/>
  <c r="E708" i="8"/>
  <c r="L708" i="8"/>
  <c r="G708" i="8"/>
  <c r="J708" i="8"/>
  <c r="X708" i="8"/>
  <c r="U708" i="8"/>
  <c r="F708" i="8"/>
  <c r="O708" i="8"/>
  <c r="T708" i="8"/>
  <c r="N708" i="8"/>
  <c r="I708" i="8"/>
  <c r="R708" i="8"/>
  <c r="M708" i="8"/>
  <c r="B609" i="8"/>
  <c r="S707" i="8"/>
  <c r="B709" i="8"/>
  <c r="U258" i="8"/>
  <c r="X258" i="8"/>
  <c r="V258" i="8"/>
  <c r="W258" i="8"/>
  <c r="T258" i="8"/>
  <c r="B259" i="8"/>
  <c r="Y511" i="8"/>
  <c r="W511" i="8"/>
  <c r="V511" i="8"/>
  <c r="U511" i="8"/>
  <c r="B512" i="8"/>
  <c r="B411" i="8"/>
  <c r="T158" i="8"/>
  <c r="V158" i="8"/>
  <c r="Y158" i="8"/>
  <c r="X158" i="8"/>
  <c r="U158" i="8"/>
  <c r="W158" i="8"/>
  <c r="U65" i="8" a="1"/>
  <c r="M609" i="8" a="1"/>
  <c r="H65" i="8" a="1"/>
  <c r="N65" i="8" a="1"/>
  <c r="Y258" i="8" a="1"/>
  <c r="V708" i="8" a="1"/>
  <c r="W159" i="8" a="1"/>
  <c r="U411" i="8" a="1"/>
  <c r="O709" i="8" a="1"/>
  <c r="M65" i="8" a="1"/>
  <c r="O65" i="8" a="1"/>
  <c r="U159" i="8" a="1"/>
  <c r="Y609" i="8" a="1"/>
  <c r="D65" i="8" a="1"/>
  <c r="P609" i="8" a="1"/>
  <c r="D411" i="8" a="1"/>
  <c r="K609" i="8" a="1"/>
  <c r="F65" i="8" a="1"/>
  <c r="F411" i="8" a="1"/>
  <c r="I259" i="8" a="1"/>
  <c r="D512" i="8" a="1"/>
  <c r="E512" i="8" a="1"/>
  <c r="U512" i="8" a="1"/>
  <c r="Q65" i="8" a="1"/>
  <c r="E609" i="8" a="1"/>
  <c r="I411" i="8" a="1"/>
  <c r="X511" i="8" a="1"/>
  <c r="Y159" i="8" a="1"/>
  <c r="W65" i="8" a="1"/>
  <c r="T65" i="8" a="1"/>
  <c r="Y65" i="8" a="1"/>
  <c r="P65" i="8" a="1"/>
  <c r="G411" i="8" a="1"/>
  <c r="Q411" i="8" a="1"/>
  <c r="Y259" i="8" a="1"/>
  <c r="I709" i="8" a="1"/>
  <c r="J609" i="8" a="1"/>
  <c r="D259" i="8" a="1"/>
  <c r="R709" i="8" a="1"/>
  <c r="X259" i="8" a="1"/>
  <c r="Q709" i="8" a="1"/>
  <c r="M259" i="8" a="1"/>
  <c r="G609" i="8" a="1"/>
  <c r="W411" i="8" a="1"/>
  <c r="T609" i="8" a="1"/>
  <c r="O609" i="8" a="1"/>
  <c r="X609" i="8" a="1"/>
  <c r="J512" i="8" a="1"/>
  <c r="N411" i="8" a="1"/>
  <c r="E709" i="8" a="1"/>
  <c r="X709" i="8" a="1"/>
  <c r="X159" i="8" a="1"/>
  <c r="V609" i="8" a="1"/>
  <c r="L65" i="8" a="1"/>
  <c r="X411" i="8" a="1"/>
  <c r="E259" i="8" a="1"/>
  <c r="Y708" i="8" a="1"/>
  <c r="J411" i="8" a="1"/>
  <c r="I65" i="8" a="1"/>
  <c r="O259" i="8" a="1"/>
  <c r="L512" i="8" a="1"/>
  <c r="V259" i="8" a="1"/>
  <c r="J709" i="8" a="1"/>
  <c r="R65" i="8" a="1"/>
  <c r="K65" i="8" a="1"/>
  <c r="G259" i="8" a="1"/>
  <c r="N609" i="8" a="1"/>
  <c r="D709" i="8" a="1"/>
  <c r="E411" i="8" a="1"/>
  <c r="U709" i="8" a="1"/>
  <c r="Q259" i="8" a="1"/>
  <c r="L609" i="8" a="1"/>
  <c r="J259" i="8" a="1"/>
  <c r="W709" i="8" a="1"/>
  <c r="U609" i="8" a="1"/>
  <c r="N259" i="8" a="1"/>
  <c r="H512" i="8" a="1"/>
  <c r="N709" i="8" a="1"/>
  <c r="I512" i="8" a="1"/>
  <c r="T411" i="8" a="1"/>
  <c r="R259" i="8" a="1"/>
  <c r="H411" i="8" a="1"/>
  <c r="R512" i="8" a="1"/>
  <c r="O512" i="8" a="1"/>
  <c r="V411" i="8" a="1"/>
  <c r="Y709" i="8" a="1"/>
  <c r="D708" i="8" a="1"/>
  <c r="I609" i="8" a="1"/>
  <c r="C708" i="8" a="1"/>
  <c r="C512" i="8" a="1"/>
  <c r="G65" i="8" a="1"/>
  <c r="F259" i="8" a="1"/>
  <c r="W512" i="8" a="1"/>
  <c r="P709" i="8" a="1"/>
  <c r="G512" i="8" a="1"/>
  <c r="C259" i="8" a="1"/>
  <c r="M411" i="8" a="1"/>
  <c r="F512" i="8" a="1"/>
  <c r="R411" i="8" a="1"/>
  <c r="P411" i="8" a="1"/>
  <c r="L709" i="8" a="1"/>
  <c r="J65" i="8" a="1"/>
  <c r="L411" i="8" a="1"/>
  <c r="M709" i="8" a="1"/>
  <c r="R609" i="8" a="1"/>
  <c r="P512" i="8" a="1"/>
  <c r="C709" i="8" a="1"/>
  <c r="C609" i="8" a="1"/>
  <c r="W259" i="8" a="1"/>
  <c r="H709" i="8" a="1"/>
  <c r="G709" i="8" a="1"/>
  <c r="H708" i="8" a="1"/>
  <c r="V159" i="8" a="1"/>
  <c r="N512" i="8" a="1"/>
  <c r="K708" i="8" a="1"/>
  <c r="K411" i="8" a="1"/>
  <c r="Q609" i="8" a="1"/>
  <c r="L259" i="8" a="1"/>
  <c r="V65" i="8" a="1"/>
  <c r="Q512" i="8" a="1"/>
  <c r="D609" i="8" a="1"/>
  <c r="M512" i="8" a="1"/>
  <c r="P259" i="8" a="1"/>
  <c r="Y411" i="8" a="1"/>
  <c r="O411" i="8" a="1"/>
  <c r="E65" i="8" a="1"/>
  <c r="T159" i="8" a="1"/>
  <c r="T511" i="8" a="1"/>
  <c r="K512" i="8" a="1"/>
  <c r="K709" i="8" a="1"/>
  <c r="T259" i="8" a="1"/>
  <c r="C65" i="8" a="1"/>
  <c r="F709" i="8" a="1"/>
  <c r="F609" i="8" a="1"/>
  <c r="C411" i="8" a="1"/>
  <c r="H609" i="8" a="1"/>
  <c r="X65" i="8" a="1"/>
  <c r="K259" i="8" a="1"/>
  <c r="V709" i="8" a="1"/>
  <c r="W609" i="8" a="1"/>
  <c r="H259" i="8" a="1"/>
  <c r="U609" i="8" l="1"/>
  <c r="Y609" i="8"/>
  <c r="E609" i="8"/>
  <c r="I609" i="8"/>
  <c r="M609" i="8"/>
  <c r="Q609" i="8"/>
  <c r="V609" i="8"/>
  <c r="W609" i="8"/>
  <c r="C609" i="8"/>
  <c r="G609" i="8"/>
  <c r="K609" i="8"/>
  <c r="O609" i="8"/>
  <c r="D609" i="8"/>
  <c r="F609" i="8"/>
  <c r="P609" i="8"/>
  <c r="R609" i="8"/>
  <c r="H609" i="8"/>
  <c r="T609" i="8"/>
  <c r="J609" i="8"/>
  <c r="L609" i="8"/>
  <c r="N609" i="8"/>
  <c r="X609" i="8"/>
  <c r="S608" i="8"/>
  <c r="T411" i="8"/>
  <c r="X411" i="8"/>
  <c r="D411" i="8"/>
  <c r="H411" i="8"/>
  <c r="L411" i="8"/>
  <c r="P411" i="8"/>
  <c r="U411" i="8"/>
  <c r="Y411" i="8"/>
  <c r="E411" i="8"/>
  <c r="I411" i="8"/>
  <c r="M411" i="8"/>
  <c r="Q411" i="8"/>
  <c r="V411" i="8"/>
  <c r="F411" i="8"/>
  <c r="J411" i="8"/>
  <c r="N411" i="8"/>
  <c r="R411" i="8"/>
  <c r="W411" i="8"/>
  <c r="G411" i="8"/>
  <c r="K411" i="8"/>
  <c r="O411" i="8"/>
  <c r="C411" i="8"/>
  <c r="W65" i="8"/>
  <c r="C65" i="8"/>
  <c r="G65" i="8"/>
  <c r="K65" i="8"/>
  <c r="O65" i="8"/>
  <c r="T65" i="8"/>
  <c r="X65" i="8"/>
  <c r="D65" i="8"/>
  <c r="H65" i="8"/>
  <c r="L65" i="8"/>
  <c r="P65" i="8"/>
  <c r="U65" i="8"/>
  <c r="Y65" i="8"/>
  <c r="V65" i="8"/>
  <c r="F65" i="8"/>
  <c r="J65" i="8"/>
  <c r="N65" i="8"/>
  <c r="R65" i="8"/>
  <c r="E65" i="8"/>
  <c r="I65" i="8"/>
  <c r="M65" i="8"/>
  <c r="Q65" i="8"/>
  <c r="S64" i="8"/>
  <c r="S410" i="8"/>
  <c r="S258" i="8"/>
  <c r="F512" i="8"/>
  <c r="J512" i="8"/>
  <c r="N512" i="8"/>
  <c r="R512" i="8"/>
  <c r="C512" i="8"/>
  <c r="G512" i="8"/>
  <c r="K512" i="8"/>
  <c r="O512" i="8"/>
  <c r="E512" i="8"/>
  <c r="I512" i="8"/>
  <c r="M512" i="8"/>
  <c r="Q512" i="8"/>
  <c r="D512" i="8"/>
  <c r="H512" i="8"/>
  <c r="L512" i="8"/>
  <c r="P512" i="8"/>
  <c r="C259" i="8"/>
  <c r="G259" i="8"/>
  <c r="K259" i="8"/>
  <c r="O259" i="8"/>
  <c r="D259" i="8"/>
  <c r="H259" i="8"/>
  <c r="L259" i="8"/>
  <c r="P259" i="8"/>
  <c r="E259" i="8"/>
  <c r="I259" i="8"/>
  <c r="M259" i="8"/>
  <c r="Q259" i="8"/>
  <c r="F259" i="8"/>
  <c r="J259" i="8"/>
  <c r="N259" i="8"/>
  <c r="R259" i="8"/>
  <c r="S257" i="8"/>
  <c r="Y258" i="8"/>
  <c r="C708" i="8"/>
  <c r="T511" i="8"/>
  <c r="X511" i="8"/>
  <c r="Y708" i="8"/>
  <c r="D708" i="8"/>
  <c r="K708" i="8"/>
  <c r="H708" i="8"/>
  <c r="V708" i="8"/>
  <c r="S708" i="8" s="1"/>
  <c r="B66" i="8"/>
  <c r="S158" i="8"/>
  <c r="K709" i="8"/>
  <c r="U709" i="8"/>
  <c r="F709" i="8"/>
  <c r="O709" i="8"/>
  <c r="Y709" i="8"/>
  <c r="J709" i="8"/>
  <c r="E709" i="8"/>
  <c r="N709" i="8"/>
  <c r="X709" i="8"/>
  <c r="I709" i="8"/>
  <c r="R709" i="8"/>
  <c r="M709" i="8"/>
  <c r="D709" i="8"/>
  <c r="H709" i="8"/>
  <c r="Q709" i="8"/>
  <c r="C709" i="8"/>
  <c r="L709" i="8"/>
  <c r="V709" i="8"/>
  <c r="G709" i="8"/>
  <c r="P709" i="8"/>
  <c r="W709" i="8"/>
  <c r="B610" i="8"/>
  <c r="B710" i="8"/>
  <c r="T259" i="8"/>
  <c r="Y259" i="8"/>
  <c r="V259" i="8"/>
  <c r="W259" i="8"/>
  <c r="X259" i="8"/>
  <c r="B260" i="8"/>
  <c r="W512" i="8"/>
  <c r="U512" i="8"/>
  <c r="B513" i="8"/>
  <c r="B412" i="8"/>
  <c r="X159" i="8"/>
  <c r="T159" i="8"/>
  <c r="W159" i="8"/>
  <c r="U159" i="8"/>
  <c r="Y159" i="8"/>
  <c r="V159" i="8"/>
  <c r="E66" i="8" a="1"/>
  <c r="T710" i="8" a="1"/>
  <c r="M260" i="8" a="1"/>
  <c r="U710" i="8" a="1"/>
  <c r="P260" i="8" a="1"/>
  <c r="W710" i="8" a="1"/>
  <c r="I513" i="8" a="1"/>
  <c r="N610" i="8" a="1"/>
  <c r="L610" i="8" a="1"/>
  <c r="Y160" i="8" a="1"/>
  <c r="X66" i="8" a="1"/>
  <c r="Q710" i="8" a="1"/>
  <c r="I66" i="8" a="1"/>
  <c r="V512" i="8" a="1"/>
  <c r="F610" i="8" a="1"/>
  <c r="T66" i="8" a="1"/>
  <c r="N513" i="8" a="1"/>
  <c r="C66" i="8" a="1"/>
  <c r="P610" i="8" a="1"/>
  <c r="O412" i="8" a="1"/>
  <c r="I610" i="8" a="1"/>
  <c r="K610" i="8" a="1"/>
  <c r="V513" i="8" a="1"/>
  <c r="T412" i="8" a="1"/>
  <c r="M513" i="8" a="1"/>
  <c r="V260" i="8" a="1"/>
  <c r="X160" i="8" a="1"/>
  <c r="V610" i="8" a="1"/>
  <c r="J66" i="8" a="1"/>
  <c r="M412" i="8" a="1"/>
  <c r="D610" i="8" a="1"/>
  <c r="J513" i="8" a="1"/>
  <c r="J710" i="8" a="1"/>
  <c r="Q260" i="8" a="1"/>
  <c r="L260" i="8" a="1"/>
  <c r="X610" i="8" a="1"/>
  <c r="F513" i="8" a="1"/>
  <c r="Q66" i="8" a="1"/>
  <c r="W412" i="8" a="1"/>
  <c r="N412" i="8" a="1"/>
  <c r="D513" i="8" a="1"/>
  <c r="Q513" i="8" a="1"/>
  <c r="R66" i="8" a="1"/>
  <c r="E513" i="8" a="1"/>
  <c r="I412" i="8" a="1"/>
  <c r="R260" i="8" a="1"/>
  <c r="R513" i="8" a="1"/>
  <c r="W260" i="8" a="1"/>
  <c r="X512" i="8" a="1"/>
  <c r="W66" i="8" a="1"/>
  <c r="Q412" i="8" a="1"/>
  <c r="T709" i="8" a="1"/>
  <c r="Y710" i="8" a="1"/>
  <c r="D710" i="8" a="1"/>
  <c r="U412" i="8" a="1"/>
  <c r="K66" i="8" a="1"/>
  <c r="D66" i="8" a="1"/>
  <c r="D412" i="8" a="1"/>
  <c r="J610" i="8" a="1"/>
  <c r="T512" i="8" a="1"/>
  <c r="I260" i="8" a="1"/>
  <c r="K710" i="8" a="1"/>
  <c r="G710" i="8" a="1"/>
  <c r="K260" i="8" a="1"/>
  <c r="O260" i="8" a="1"/>
  <c r="O610" i="8" a="1"/>
  <c r="J412" i="8" a="1"/>
  <c r="P66" i="8" a="1"/>
  <c r="H260" i="8" a="1"/>
  <c r="G260" i="8" a="1"/>
  <c r="O513" i="8" a="1"/>
  <c r="H513" i="8" a="1"/>
  <c r="L66" i="8" a="1"/>
  <c r="T160" i="8" a="1"/>
  <c r="F260" i="8" a="1"/>
  <c r="L412" i="8" a="1"/>
  <c r="W160" i="8" a="1"/>
  <c r="C412" i="8" a="1"/>
  <c r="F412" i="8" a="1"/>
  <c r="G66" i="8" a="1"/>
  <c r="U259" i="8" a="1"/>
  <c r="Y610" i="8" a="1"/>
  <c r="M610" i="8" a="1"/>
  <c r="G513" i="8" a="1"/>
  <c r="K412" i="8" a="1"/>
  <c r="C710" i="8" a="1"/>
  <c r="C610" i="8" a="1"/>
  <c r="M66" i="8" a="1"/>
  <c r="O66" i="8" a="1"/>
  <c r="V66" i="8" a="1"/>
  <c r="R610" i="8" a="1"/>
  <c r="J260" i="8" a="1"/>
  <c r="Y412" i="8" a="1"/>
  <c r="O710" i="8" a="1"/>
  <c r="R710" i="8" a="1"/>
  <c r="X412" i="8" a="1"/>
  <c r="D260" i="8" a="1"/>
  <c r="R412" i="8" a="1"/>
  <c r="E260" i="8" a="1"/>
  <c r="Y66" i="8" a="1"/>
  <c r="Q610" i="8" a="1"/>
  <c r="U66" i="8" a="1"/>
  <c r="U513" i="8" a="1"/>
  <c r="N710" i="8" a="1"/>
  <c r="K513" i="8" a="1"/>
  <c r="F710" i="8" a="1"/>
  <c r="H610" i="8" a="1"/>
  <c r="G610" i="8" a="1"/>
  <c r="E412" i="8" a="1"/>
  <c r="X710" i="8" a="1"/>
  <c r="U610" i="8" a="1"/>
  <c r="L513" i="8" a="1"/>
  <c r="V412" i="8" a="1"/>
  <c r="C513" i="8" a="1"/>
  <c r="U160" i="8" a="1"/>
  <c r="E610" i="8" a="1"/>
  <c r="F66" i="8" a="1"/>
  <c r="U260" i="8" a="1"/>
  <c r="T610" i="8" a="1"/>
  <c r="Y512" i="8" a="1"/>
  <c r="N260" i="8" a="1"/>
  <c r="C260" i="8" a="1"/>
  <c r="N66" i="8" a="1"/>
  <c r="G412" i="8" a="1"/>
  <c r="V160" i="8" a="1"/>
  <c r="P513" i="8" a="1"/>
  <c r="W610" i="8" a="1"/>
  <c r="P412" i="8" a="1"/>
  <c r="E710" i="8" a="1"/>
  <c r="H412" i="8" a="1"/>
  <c r="M710" i="8" a="1"/>
  <c r="H66" i="8" a="1"/>
  <c r="S609" i="8" l="1"/>
  <c r="C610" i="8"/>
  <c r="D610" i="8"/>
  <c r="H610" i="8"/>
  <c r="L610" i="8"/>
  <c r="P610" i="8"/>
  <c r="U610" i="8"/>
  <c r="Y610" i="8"/>
  <c r="I610" i="8"/>
  <c r="M610" i="8"/>
  <c r="Q610" i="8"/>
  <c r="E610" i="8"/>
  <c r="V610" i="8"/>
  <c r="J610" i="8"/>
  <c r="N610" i="8"/>
  <c r="R610" i="8"/>
  <c r="F610" i="8"/>
  <c r="W610" i="8"/>
  <c r="G610" i="8"/>
  <c r="K610" i="8"/>
  <c r="O610" i="8"/>
  <c r="T610" i="8"/>
  <c r="X610" i="8"/>
  <c r="E412" i="8"/>
  <c r="I412" i="8"/>
  <c r="M412" i="8"/>
  <c r="Q412" i="8"/>
  <c r="V412" i="8"/>
  <c r="F412" i="8"/>
  <c r="J412" i="8"/>
  <c r="N412" i="8"/>
  <c r="R412" i="8"/>
  <c r="W412" i="8"/>
  <c r="C412" i="8"/>
  <c r="G412" i="8"/>
  <c r="K412" i="8"/>
  <c r="O412" i="8"/>
  <c r="T412" i="8"/>
  <c r="X412" i="8"/>
  <c r="D412" i="8"/>
  <c r="H412" i="8"/>
  <c r="L412" i="8"/>
  <c r="P412" i="8"/>
  <c r="U412" i="8"/>
  <c r="Y412" i="8"/>
  <c r="D66" i="8"/>
  <c r="H66" i="8"/>
  <c r="L66" i="8"/>
  <c r="P66" i="8"/>
  <c r="U66" i="8"/>
  <c r="Y66" i="8"/>
  <c r="E66" i="8"/>
  <c r="I66" i="8"/>
  <c r="M66" i="8"/>
  <c r="Q66" i="8"/>
  <c r="V66" i="8"/>
  <c r="F66" i="8"/>
  <c r="J66" i="8"/>
  <c r="N66" i="8"/>
  <c r="R66" i="8"/>
  <c r="C66" i="8"/>
  <c r="G66" i="8"/>
  <c r="K66" i="8"/>
  <c r="O66" i="8"/>
  <c r="T66" i="8"/>
  <c r="X66" i="8"/>
  <c r="W66" i="8"/>
  <c r="S65" i="8"/>
  <c r="S411" i="8"/>
  <c r="F513" i="8"/>
  <c r="J513" i="8"/>
  <c r="N513" i="8"/>
  <c r="R513" i="8"/>
  <c r="C513" i="8"/>
  <c r="G513" i="8"/>
  <c r="K513" i="8"/>
  <c r="O513" i="8"/>
  <c r="D513" i="8"/>
  <c r="H513" i="8"/>
  <c r="L513" i="8"/>
  <c r="P513" i="8"/>
  <c r="E513" i="8"/>
  <c r="Q513" i="8"/>
  <c r="I513" i="8"/>
  <c r="M513" i="8"/>
  <c r="C260" i="8"/>
  <c r="G260" i="8"/>
  <c r="K260" i="8"/>
  <c r="O260" i="8"/>
  <c r="R260" i="8"/>
  <c r="F260" i="8"/>
  <c r="D260" i="8"/>
  <c r="H260" i="8"/>
  <c r="L260" i="8"/>
  <c r="P260" i="8"/>
  <c r="N260" i="8"/>
  <c r="E260" i="8"/>
  <c r="I260" i="8"/>
  <c r="M260" i="8"/>
  <c r="Q260" i="8"/>
  <c r="J260" i="8"/>
  <c r="S259" i="8"/>
  <c r="S511" i="8"/>
  <c r="X512" i="8"/>
  <c r="T512" i="8"/>
  <c r="U259" i="8"/>
  <c r="T709" i="8"/>
  <c r="S709" i="8" s="1"/>
  <c r="Y512" i="8"/>
  <c r="V512" i="8"/>
  <c r="B67" i="8"/>
  <c r="S159" i="8"/>
  <c r="J710" i="8"/>
  <c r="F710" i="8"/>
  <c r="E710" i="8"/>
  <c r="N710" i="8"/>
  <c r="X710" i="8"/>
  <c r="Q710" i="8"/>
  <c r="C710" i="8"/>
  <c r="R710" i="8"/>
  <c r="G710" i="8"/>
  <c r="K710" i="8"/>
  <c r="U710" i="8"/>
  <c r="D710" i="8"/>
  <c r="M710" i="8"/>
  <c r="W710" i="8"/>
  <c r="O710" i="8"/>
  <c r="Y710" i="8"/>
  <c r="T710" i="8"/>
  <c r="B711" i="8"/>
  <c r="B611" i="8"/>
  <c r="U260" i="8"/>
  <c r="V260" i="8"/>
  <c r="W260" i="8"/>
  <c r="B261" i="8"/>
  <c r="U513" i="8"/>
  <c r="V513" i="8"/>
  <c r="B514" i="8"/>
  <c r="B413" i="8"/>
  <c r="X160" i="8"/>
  <c r="W160" i="8"/>
  <c r="V160" i="8"/>
  <c r="Y160" i="8"/>
  <c r="U160" i="8"/>
  <c r="T160" i="8"/>
  <c r="R67" i="8" a="1"/>
  <c r="O611" i="8" a="1"/>
  <c r="I710" i="8" a="1"/>
  <c r="O261" i="8" a="1"/>
  <c r="T611" i="8" a="1"/>
  <c r="F67" i="8" a="1"/>
  <c r="K413" i="8" a="1"/>
  <c r="R611" i="8" a="1"/>
  <c r="P611" i="8" a="1"/>
  <c r="R711" i="8" a="1"/>
  <c r="X67" i="8" a="1"/>
  <c r="V710" i="8" a="1"/>
  <c r="Q711" i="8" a="1"/>
  <c r="X260" i="8" a="1"/>
  <c r="J413" i="8" a="1"/>
  <c r="C611" i="8" a="1"/>
  <c r="H711" i="8" a="1"/>
  <c r="L261" i="8" a="1"/>
  <c r="I514" i="8" a="1"/>
  <c r="F261" i="8" a="1"/>
  <c r="T161" i="8" a="1"/>
  <c r="I711" i="8" a="1"/>
  <c r="H611" i="8" a="1"/>
  <c r="E413" i="8" a="1"/>
  <c r="N67" i="8" a="1"/>
  <c r="Y513" i="8" a="1"/>
  <c r="W711" i="8" a="1"/>
  <c r="N261" i="8" a="1"/>
  <c r="W67" i="8" a="1"/>
  <c r="Y514" i="8" a="1"/>
  <c r="M611" i="8" a="1"/>
  <c r="Q514" i="8" a="1"/>
  <c r="U67" i="8" a="1"/>
  <c r="G67" i="8" a="1"/>
  <c r="P261" i="8" a="1"/>
  <c r="M67" i="8" a="1"/>
  <c r="W514" i="8" a="1"/>
  <c r="D711" i="8" a="1"/>
  <c r="H67" i="8" a="1"/>
  <c r="V161" i="8" a="1"/>
  <c r="W413" i="8" a="1"/>
  <c r="N711" i="8" a="1"/>
  <c r="P711" i="8" a="1"/>
  <c r="G514" i="8" a="1"/>
  <c r="P710" i="8" a="1"/>
  <c r="H261" i="8" a="1"/>
  <c r="C413" i="8" a="1"/>
  <c r="V711" i="8" a="1"/>
  <c r="T513" i="8" a="1"/>
  <c r="G711" i="8" a="1"/>
  <c r="O413" i="8" a="1"/>
  <c r="K611" i="8" a="1"/>
  <c r="D514" i="8" a="1"/>
  <c r="I67" i="8" a="1"/>
  <c r="G413" i="8" a="1"/>
  <c r="G611" i="8" a="1"/>
  <c r="Y67" i="8" a="1"/>
  <c r="K67" i="8" a="1"/>
  <c r="J67" i="8" a="1"/>
  <c r="L514" i="8" a="1"/>
  <c r="Y260" i="8" a="1"/>
  <c r="M514" i="8" a="1"/>
  <c r="W161" i="8" a="1"/>
  <c r="C261" i="8" a="1"/>
  <c r="V67" i="8" a="1"/>
  <c r="T67" i="8" a="1"/>
  <c r="R413" i="8" a="1"/>
  <c r="L67" i="8" a="1"/>
  <c r="E611" i="8" a="1"/>
  <c r="T514" i="8" a="1"/>
  <c r="D67" i="8" a="1"/>
  <c r="X513" i="8" a="1"/>
  <c r="V413" i="8" a="1"/>
  <c r="E67" i="8" a="1"/>
  <c r="Y611" i="8" a="1"/>
  <c r="Y161" i="8" a="1"/>
  <c r="L710" i="8" a="1"/>
  <c r="Y711" i="8" a="1"/>
  <c r="T261" i="8" a="1"/>
  <c r="P514" i="8" a="1"/>
  <c r="U261" i="8" a="1"/>
  <c r="C711" i="8" a="1"/>
  <c r="M261" i="8" a="1"/>
  <c r="D261" i="8" a="1"/>
  <c r="Q261" i="8" a="1"/>
  <c r="N514" i="8" a="1"/>
  <c r="D413" i="8" a="1"/>
  <c r="E514" i="8" a="1"/>
  <c r="K711" i="8" a="1"/>
  <c r="X611" i="8" a="1"/>
  <c r="F611" i="8" a="1"/>
  <c r="W611" i="8" a="1"/>
  <c r="C67" i="8" a="1"/>
  <c r="O67" i="8" a="1"/>
  <c r="T260" i="8" a="1"/>
  <c r="X161" i="8" a="1"/>
  <c r="X261" i="8" a="1"/>
  <c r="D611" i="8" a="1"/>
  <c r="H413" i="8" a="1"/>
  <c r="J514" i="8" a="1"/>
  <c r="U611" i="8" a="1"/>
  <c r="Q413" i="8" a="1"/>
  <c r="W261" i="8" a="1"/>
  <c r="L711" i="8" a="1"/>
  <c r="L413" i="8" a="1"/>
  <c r="N413" i="8" a="1"/>
  <c r="F514" i="8" a="1"/>
  <c r="P67" i="8" a="1"/>
  <c r="U161" i="8" a="1"/>
  <c r="J261" i="8" a="1"/>
  <c r="V261" i="8" a="1"/>
  <c r="Q611" i="8" a="1"/>
  <c r="P413" i="8" a="1"/>
  <c r="K261" i="8" a="1"/>
  <c r="R261" i="8" a="1"/>
  <c r="O711" i="8" a="1"/>
  <c r="V514" i="8" a="1"/>
  <c r="I261" i="8" a="1"/>
  <c r="L611" i="8" a="1"/>
  <c r="F711" i="8" a="1"/>
  <c r="X711" i="8" a="1"/>
  <c r="Y261" i="8" a="1"/>
  <c r="I413" i="8" a="1"/>
  <c r="X413" i="8" a="1"/>
  <c r="U711" i="8" a="1"/>
  <c r="G261" i="8" a="1"/>
  <c r="R514" i="8" a="1"/>
  <c r="H710" i="8" a="1"/>
  <c r="Y413" i="8" a="1"/>
  <c r="T413" i="8" a="1"/>
  <c r="J711" i="8" a="1"/>
  <c r="M413" i="8" a="1"/>
  <c r="X514" i="8" a="1"/>
  <c r="W513" i="8" a="1"/>
  <c r="U413" i="8" a="1"/>
  <c r="I611" i="8" a="1"/>
  <c r="N611" i="8" a="1"/>
  <c r="H514" i="8" a="1"/>
  <c r="F413" i="8" a="1"/>
  <c r="K514" i="8" a="1"/>
  <c r="U514" i="8" a="1"/>
  <c r="E261" i="8" a="1"/>
  <c r="Q67" i="8" a="1"/>
  <c r="T711" i="8" a="1"/>
  <c r="O514" i="8" a="1"/>
  <c r="C514" i="8" a="1"/>
  <c r="V611" i="8" a="1"/>
  <c r="J611" i="8" a="1"/>
  <c r="M711" i="8" a="1"/>
  <c r="V611" i="8" l="1"/>
  <c r="F611" i="8"/>
  <c r="J611" i="8"/>
  <c r="N611" i="8"/>
  <c r="R611" i="8"/>
  <c r="W611" i="8"/>
  <c r="C611" i="8"/>
  <c r="G611" i="8"/>
  <c r="K611" i="8"/>
  <c r="O611" i="8"/>
  <c r="T611" i="8"/>
  <c r="X611" i="8"/>
  <c r="D611" i="8"/>
  <c r="H611" i="8"/>
  <c r="L611" i="8"/>
  <c r="P611" i="8"/>
  <c r="U611" i="8"/>
  <c r="Y611" i="8"/>
  <c r="I611" i="8"/>
  <c r="E611" i="8"/>
  <c r="M611" i="8"/>
  <c r="Q611" i="8"/>
  <c r="S610" i="8"/>
  <c r="W413" i="8"/>
  <c r="C413" i="8"/>
  <c r="G413" i="8"/>
  <c r="K413" i="8"/>
  <c r="O413" i="8"/>
  <c r="T413" i="8"/>
  <c r="X413" i="8"/>
  <c r="D413" i="8"/>
  <c r="H413" i="8"/>
  <c r="L413" i="8"/>
  <c r="P413" i="8"/>
  <c r="U413" i="8"/>
  <c r="Y413" i="8"/>
  <c r="E413" i="8"/>
  <c r="I413" i="8"/>
  <c r="M413" i="8"/>
  <c r="Q413" i="8"/>
  <c r="V413" i="8"/>
  <c r="F413" i="8"/>
  <c r="J413" i="8"/>
  <c r="N413" i="8"/>
  <c r="R413" i="8"/>
  <c r="V67" i="8"/>
  <c r="F67" i="8"/>
  <c r="J67" i="8"/>
  <c r="N67" i="8"/>
  <c r="R67" i="8"/>
  <c r="W67" i="8"/>
  <c r="C67" i="8"/>
  <c r="G67" i="8"/>
  <c r="K67" i="8"/>
  <c r="O67" i="8"/>
  <c r="T67" i="8"/>
  <c r="X67" i="8"/>
  <c r="U67" i="8"/>
  <c r="Y67" i="8"/>
  <c r="E67" i="8"/>
  <c r="I67" i="8"/>
  <c r="M67" i="8"/>
  <c r="Q67" i="8"/>
  <c r="P67" i="8"/>
  <c r="D67" i="8"/>
  <c r="H67" i="8"/>
  <c r="L67" i="8"/>
  <c r="S66" i="8"/>
  <c r="S412" i="8"/>
  <c r="E514" i="8"/>
  <c r="I514" i="8"/>
  <c r="M514" i="8"/>
  <c r="Q514" i="8"/>
  <c r="D514" i="8"/>
  <c r="H514" i="8"/>
  <c r="L514" i="8"/>
  <c r="P514" i="8"/>
  <c r="J514" i="8"/>
  <c r="G514" i="8"/>
  <c r="K514" i="8"/>
  <c r="C514" i="8"/>
  <c r="N514" i="8"/>
  <c r="O514" i="8"/>
  <c r="F514" i="8"/>
  <c r="R514" i="8"/>
  <c r="F261" i="8"/>
  <c r="J261" i="8"/>
  <c r="N261" i="8"/>
  <c r="R261" i="8"/>
  <c r="C261" i="8"/>
  <c r="G261" i="8"/>
  <c r="K261" i="8"/>
  <c r="O261" i="8"/>
  <c r="D261" i="8"/>
  <c r="H261" i="8"/>
  <c r="L261" i="8"/>
  <c r="P261" i="8"/>
  <c r="E261" i="8"/>
  <c r="I261" i="8"/>
  <c r="M261" i="8"/>
  <c r="Q261" i="8"/>
  <c r="S512" i="8"/>
  <c r="V710" i="8"/>
  <c r="S710" i="8" s="1"/>
  <c r="Y260" i="8"/>
  <c r="L710" i="8"/>
  <c r="P710" i="8"/>
  <c r="I710" i="8"/>
  <c r="X260" i="8"/>
  <c r="T260" i="8"/>
  <c r="T513" i="8"/>
  <c r="H710" i="8"/>
  <c r="X513" i="8"/>
  <c r="Y513" i="8"/>
  <c r="W513" i="8"/>
  <c r="B68" i="8"/>
  <c r="S160" i="8"/>
  <c r="V711" i="8"/>
  <c r="G711" i="8"/>
  <c r="P711" i="8"/>
  <c r="K711" i="8"/>
  <c r="U711" i="8"/>
  <c r="F711" i="8"/>
  <c r="O711" i="8"/>
  <c r="Y711" i="8"/>
  <c r="J711" i="8"/>
  <c r="T711" i="8"/>
  <c r="N711" i="8"/>
  <c r="X711" i="8"/>
  <c r="M711" i="8"/>
  <c r="H711" i="8"/>
  <c r="I711" i="8"/>
  <c r="R711" i="8"/>
  <c r="D711" i="8"/>
  <c r="W711" i="8"/>
  <c r="Q711" i="8"/>
  <c r="C711" i="8"/>
  <c r="L711" i="8"/>
  <c r="B612" i="8"/>
  <c r="B712" i="8"/>
  <c r="T261" i="8"/>
  <c r="Y261" i="8"/>
  <c r="W261" i="8"/>
  <c r="V261" i="8"/>
  <c r="X261" i="8"/>
  <c r="U261" i="8"/>
  <c r="B262" i="8"/>
  <c r="X514" i="8"/>
  <c r="W514" i="8"/>
  <c r="Y514" i="8"/>
  <c r="U514" i="8"/>
  <c r="T514" i="8"/>
  <c r="V514" i="8"/>
  <c r="B515" i="8"/>
  <c r="B414" i="8"/>
  <c r="V161" i="8"/>
  <c r="U161" i="8"/>
  <c r="X161" i="8"/>
  <c r="T161" i="8"/>
  <c r="W161" i="8"/>
  <c r="Y161" i="8"/>
  <c r="C515" i="8" a="1"/>
  <c r="E712" i="8" a="1"/>
  <c r="N68" i="8" a="1"/>
  <c r="L414" i="8" a="1"/>
  <c r="E612" i="8" a="1"/>
  <c r="M712" i="8" a="1"/>
  <c r="F68" i="8" a="1"/>
  <c r="J612" i="8" a="1"/>
  <c r="Y414" i="8" a="1"/>
  <c r="U612" i="8" a="1"/>
  <c r="W612" i="8" a="1"/>
  <c r="C414" i="8" a="1"/>
  <c r="G414" i="8" a="1"/>
  <c r="W68" i="8" a="1"/>
  <c r="K68" i="8" a="1"/>
  <c r="X612" i="8" a="1"/>
  <c r="P414" i="8" a="1"/>
  <c r="F414" i="8" a="1"/>
  <c r="F515" i="8" a="1"/>
  <c r="N414" i="8" a="1"/>
  <c r="I68" i="8" a="1"/>
  <c r="R414" i="8" a="1"/>
  <c r="R612" i="8" a="1"/>
  <c r="I414" i="8" a="1"/>
  <c r="Q414" i="8" a="1"/>
  <c r="E515" i="8" a="1"/>
  <c r="M68" i="8" a="1"/>
  <c r="T162" i="8" a="1"/>
  <c r="L712" i="8" a="1"/>
  <c r="J414" i="8" a="1"/>
  <c r="P712" i="8" a="1"/>
  <c r="E711" i="8" a="1"/>
  <c r="D262" i="8" a="1"/>
  <c r="M612" i="8" a="1"/>
  <c r="C612" i="8" a="1"/>
  <c r="C262" i="8" a="1"/>
  <c r="K515" i="8" a="1"/>
  <c r="Q712" i="8" a="1"/>
  <c r="I612" i="8" a="1"/>
  <c r="O612" i="8" a="1"/>
  <c r="X68" i="8" a="1"/>
  <c r="D68" i="8" a="1"/>
  <c r="D414" i="8" a="1"/>
  <c r="H414" i="8" a="1"/>
  <c r="H515" i="8" a="1"/>
  <c r="X712" i="8" a="1"/>
  <c r="G68" i="8" a="1"/>
  <c r="U68" i="8" a="1"/>
  <c r="E68" i="8" a="1"/>
  <c r="M515" i="8" a="1"/>
  <c r="J262" i="8" a="1"/>
  <c r="G712" i="8" a="1"/>
  <c r="T68" i="8" a="1"/>
  <c r="V515" i="8" a="1"/>
  <c r="P612" i="8" a="1"/>
  <c r="U262" i="8" a="1"/>
  <c r="J515" i="8" a="1"/>
  <c r="H612" i="8" a="1"/>
  <c r="O712" i="8" a="1"/>
  <c r="I712" i="8" a="1"/>
  <c r="L515" i="8" a="1"/>
  <c r="H262" i="8" a="1"/>
  <c r="G515" i="8" a="1"/>
  <c r="V68" i="8" a="1"/>
  <c r="F612" i="8" a="1"/>
  <c r="U414" i="8" a="1"/>
  <c r="D612" i="8" a="1"/>
  <c r="U712" i="8" a="1"/>
  <c r="O262" i="8" a="1"/>
  <c r="R68" i="8" a="1"/>
  <c r="K262" i="8" a="1"/>
  <c r="G612" i="8" a="1"/>
  <c r="I262" i="8" a="1"/>
  <c r="J712" i="8" a="1"/>
  <c r="H68" i="8" a="1"/>
  <c r="Q612" i="8" a="1"/>
  <c r="N515" i="8" a="1"/>
  <c r="N712" i="8" a="1"/>
  <c r="F262" i="8" a="1"/>
  <c r="O515" i="8" a="1"/>
  <c r="Y68" i="8" a="1"/>
  <c r="D515" i="8" a="1"/>
  <c r="R712" i="8" a="1"/>
  <c r="M414" i="8" a="1"/>
  <c r="W414" i="8" a="1"/>
  <c r="V612" i="8" a="1"/>
  <c r="N262" i="8" a="1"/>
  <c r="U162" i="8" a="1"/>
  <c r="T612" i="8" a="1"/>
  <c r="M262" i="8" a="1"/>
  <c r="D712" i="8" a="1"/>
  <c r="P262" i="8" a="1"/>
  <c r="P515" i="8" a="1"/>
  <c r="I515" i="8" a="1"/>
  <c r="X515" i="8" a="1"/>
  <c r="K712" i="8" a="1"/>
  <c r="E262" i="8" a="1"/>
  <c r="X414" i="8" a="1"/>
  <c r="Y162" i="8" a="1"/>
  <c r="X162" i="8" a="1"/>
  <c r="Q262" i="8" a="1"/>
  <c r="H712" i="8" a="1"/>
  <c r="Y712" i="8" a="1"/>
  <c r="V162" i="8" a="1"/>
  <c r="N612" i="8" a="1"/>
  <c r="L262" i="8" a="1"/>
  <c r="L612" i="8" a="1"/>
  <c r="P68" i="8" a="1"/>
  <c r="Q515" i="8" a="1"/>
  <c r="E414" i="8" a="1"/>
  <c r="Y515" i="8" a="1"/>
  <c r="G262" i="8" a="1"/>
  <c r="V414" i="8" a="1"/>
  <c r="J68" i="8" a="1"/>
  <c r="C68" i="8" a="1"/>
  <c r="V712" i="8" a="1"/>
  <c r="R262" i="8" a="1"/>
  <c r="K414" i="8" a="1"/>
  <c r="Y612" i="8" a="1"/>
  <c r="R515" i="8" a="1"/>
  <c r="K612" i="8" a="1"/>
  <c r="O414" i="8" a="1"/>
  <c r="L68" i="8" a="1"/>
  <c r="Q68" i="8" a="1"/>
  <c r="T414" i="8" a="1"/>
  <c r="W162" i="8" a="1"/>
  <c r="O68" i="8" a="1"/>
  <c r="C612" i="8" l="1"/>
  <c r="G612" i="8"/>
  <c r="K612" i="8"/>
  <c r="O612" i="8"/>
  <c r="T612" i="8"/>
  <c r="X612" i="8"/>
  <c r="D612" i="8"/>
  <c r="H612" i="8"/>
  <c r="L612" i="8"/>
  <c r="P612" i="8"/>
  <c r="U612" i="8"/>
  <c r="Y612" i="8"/>
  <c r="E612" i="8"/>
  <c r="I612" i="8"/>
  <c r="M612" i="8"/>
  <c r="Q612" i="8"/>
  <c r="V612" i="8"/>
  <c r="F612" i="8"/>
  <c r="J612" i="8"/>
  <c r="N612" i="8"/>
  <c r="R612" i="8"/>
  <c r="W612" i="8"/>
  <c r="S611" i="8"/>
  <c r="S67" i="8"/>
  <c r="C68" i="8"/>
  <c r="G68" i="8"/>
  <c r="D68" i="8"/>
  <c r="H68" i="8"/>
  <c r="L68" i="8"/>
  <c r="E68" i="8"/>
  <c r="I68" i="8"/>
  <c r="M68" i="8"/>
  <c r="F68" i="8"/>
  <c r="J68" i="8"/>
  <c r="N68" i="8"/>
  <c r="R68" i="8"/>
  <c r="W68" i="8"/>
  <c r="O68" i="8"/>
  <c r="T68" i="8"/>
  <c r="X68" i="8"/>
  <c r="P68" i="8"/>
  <c r="K68" i="8"/>
  <c r="U68" i="8"/>
  <c r="Y68" i="8"/>
  <c r="Q68" i="8"/>
  <c r="V68" i="8"/>
  <c r="D414" i="8"/>
  <c r="H414" i="8"/>
  <c r="L414" i="8"/>
  <c r="P414" i="8"/>
  <c r="U414" i="8"/>
  <c r="Y414" i="8"/>
  <c r="E414" i="8"/>
  <c r="I414" i="8"/>
  <c r="M414" i="8"/>
  <c r="Q414" i="8"/>
  <c r="V414" i="8"/>
  <c r="F414" i="8"/>
  <c r="J414" i="8"/>
  <c r="N414" i="8"/>
  <c r="R414" i="8"/>
  <c r="W414" i="8"/>
  <c r="C414" i="8"/>
  <c r="G414" i="8"/>
  <c r="K414" i="8"/>
  <c r="O414" i="8"/>
  <c r="T414" i="8"/>
  <c r="X414" i="8"/>
  <c r="S413" i="8"/>
  <c r="S513" i="8"/>
  <c r="S260" i="8"/>
  <c r="S261" i="8"/>
  <c r="F262" i="8"/>
  <c r="J262" i="8"/>
  <c r="N262" i="8"/>
  <c r="R262" i="8"/>
  <c r="E262" i="8"/>
  <c r="M262" i="8"/>
  <c r="C262" i="8"/>
  <c r="G262" i="8"/>
  <c r="K262" i="8"/>
  <c r="O262" i="8"/>
  <c r="I262" i="8"/>
  <c r="D262" i="8"/>
  <c r="H262" i="8"/>
  <c r="L262" i="8"/>
  <c r="P262" i="8"/>
  <c r="Q262" i="8"/>
  <c r="E515" i="8"/>
  <c r="I515" i="8"/>
  <c r="M515" i="8"/>
  <c r="Q515" i="8"/>
  <c r="F515" i="8"/>
  <c r="J515" i="8"/>
  <c r="N515" i="8"/>
  <c r="R515" i="8"/>
  <c r="C515" i="8"/>
  <c r="G515" i="8"/>
  <c r="K515" i="8"/>
  <c r="O515" i="8"/>
  <c r="D515" i="8"/>
  <c r="L515" i="8"/>
  <c r="P515" i="8"/>
  <c r="H515" i="8"/>
  <c r="S514" i="8"/>
  <c r="E711" i="8"/>
  <c r="B69" i="8"/>
  <c r="S161" i="8"/>
  <c r="J712" i="8"/>
  <c r="E712" i="8"/>
  <c r="N712" i="8"/>
  <c r="X712" i="8"/>
  <c r="I712" i="8"/>
  <c r="Q712" i="8"/>
  <c r="L712" i="8"/>
  <c r="V712" i="8"/>
  <c r="G712" i="8"/>
  <c r="P712" i="8"/>
  <c r="K712" i="8"/>
  <c r="U712" i="8"/>
  <c r="R712" i="8"/>
  <c r="M712" i="8"/>
  <c r="H712" i="8"/>
  <c r="O712" i="8"/>
  <c r="Y712" i="8"/>
  <c r="D712" i="8"/>
  <c r="S711" i="8"/>
  <c r="B613" i="8"/>
  <c r="B713" i="8"/>
  <c r="U262" i="8"/>
  <c r="B263" i="8"/>
  <c r="V515" i="8"/>
  <c r="Y515" i="8"/>
  <c r="X515" i="8"/>
  <c r="B516" i="8"/>
  <c r="B415" i="8"/>
  <c r="Y162" i="8"/>
  <c r="V162" i="8"/>
  <c r="X162" i="8"/>
  <c r="U162" i="8"/>
  <c r="W162" i="8"/>
  <c r="T162" i="8"/>
  <c r="M263" i="8" a="1"/>
  <c r="M516" i="8" a="1"/>
  <c r="X613" i="8" a="1"/>
  <c r="Q415" i="8" a="1"/>
  <c r="D713" i="8" a="1"/>
  <c r="G713" i="8" a="1"/>
  <c r="V613" i="8" a="1"/>
  <c r="X713" i="8" a="1"/>
  <c r="C263" i="8" a="1"/>
  <c r="C712" i="8" a="1"/>
  <c r="G69" i="8" a="1"/>
  <c r="N713" i="8" a="1"/>
  <c r="X69" i="8" a="1"/>
  <c r="V415" i="8" a="1"/>
  <c r="T262" i="8" a="1"/>
  <c r="T712" i="8" a="1"/>
  <c r="D516" i="8" a="1"/>
  <c r="L516" i="8" a="1"/>
  <c r="F613" i="8" a="1"/>
  <c r="K69" i="8" a="1"/>
  <c r="G516" i="8" a="1"/>
  <c r="U69" i="8" a="1"/>
  <c r="X262" i="8" a="1"/>
  <c r="I415" i="8" a="1"/>
  <c r="Q69" i="8" a="1"/>
  <c r="G415" i="8" a="1"/>
  <c r="D69" i="8" a="1"/>
  <c r="P415" i="8" a="1"/>
  <c r="H69" i="8" a="1"/>
  <c r="N263" i="8" a="1"/>
  <c r="O516" i="8" a="1"/>
  <c r="W262" i="8" a="1"/>
  <c r="F263" i="8" a="1"/>
  <c r="W69" i="8" a="1"/>
  <c r="T263" i="8" a="1"/>
  <c r="K263" i="8" a="1"/>
  <c r="V69" i="8" a="1"/>
  <c r="Q516" i="8" a="1"/>
  <c r="O613" i="8" a="1"/>
  <c r="I263" i="8" a="1"/>
  <c r="E613" i="8" a="1"/>
  <c r="U515" i="8" a="1"/>
  <c r="E516" i="8" a="1"/>
  <c r="R415" i="8" a="1"/>
  <c r="C516" i="8" a="1"/>
  <c r="F516" i="8" a="1"/>
  <c r="H713" i="8" a="1"/>
  <c r="Y415" i="8" a="1"/>
  <c r="U163" i="8" a="1"/>
  <c r="P69" i="8" a="1"/>
  <c r="R613" i="8" a="1"/>
  <c r="W713" i="8" a="1"/>
  <c r="K713" i="8" a="1"/>
  <c r="J516" i="8" a="1"/>
  <c r="W712" i="8" a="1"/>
  <c r="Y263" i="8" a="1"/>
  <c r="L263" i="8" a="1"/>
  <c r="T516" i="8" a="1"/>
  <c r="R516" i="8" a="1"/>
  <c r="W613" i="8" a="1"/>
  <c r="K415" i="8" a="1"/>
  <c r="D263" i="8" a="1"/>
  <c r="F712" i="8" a="1"/>
  <c r="H263" i="8" a="1"/>
  <c r="W415" i="8" a="1"/>
  <c r="C69" i="8" a="1"/>
  <c r="K613" i="8" a="1"/>
  <c r="T163" i="8" a="1"/>
  <c r="I516" i="8" a="1"/>
  <c r="X516" i="8" a="1"/>
  <c r="V262" i="8" a="1"/>
  <c r="G613" i="8" a="1"/>
  <c r="F415" i="8" a="1"/>
  <c r="X163" i="8" a="1"/>
  <c r="R263" i="8" a="1"/>
  <c r="Q263" i="8" a="1"/>
  <c r="Y262" i="8" a="1"/>
  <c r="L69" i="8" a="1"/>
  <c r="P263" i="8" a="1"/>
  <c r="J69" i="8" a="1"/>
  <c r="W515" i="8" a="1"/>
  <c r="K516" i="8" a="1"/>
  <c r="W263" i="8" a="1"/>
  <c r="Q713" i="8" a="1"/>
  <c r="D613" i="8" a="1"/>
  <c r="M415" i="8" a="1"/>
  <c r="R69" i="8" a="1"/>
  <c r="Y69" i="8" a="1"/>
  <c r="C613" i="8" a="1"/>
  <c r="P516" i="8" a="1"/>
  <c r="N69" i="8" a="1"/>
  <c r="I69" i="8" a="1"/>
  <c r="H516" i="8" a="1"/>
  <c r="X415" i="8" a="1"/>
  <c r="N613" i="8" a="1"/>
  <c r="V713" i="8" a="1"/>
  <c r="E263" i="8" a="1"/>
  <c r="U263" i="8" a="1"/>
  <c r="J415" i="8" a="1"/>
  <c r="E69" i="8" a="1"/>
  <c r="U516" i="8" a="1"/>
  <c r="V516" i="8" a="1"/>
  <c r="L613" i="8" a="1"/>
  <c r="V163" i="8" a="1"/>
  <c r="Y516" i="8" a="1"/>
  <c r="T515" i="8" a="1"/>
  <c r="Y163" i="8" a="1"/>
  <c r="N415" i="8" a="1"/>
  <c r="E713" i="8" a="1"/>
  <c r="E415" i="8" a="1"/>
  <c r="N516" i="8" a="1"/>
  <c r="M613" i="8" a="1"/>
  <c r="Y613" i="8" a="1"/>
  <c r="J713" i="8" a="1"/>
  <c r="U415" i="8" a="1"/>
  <c r="G263" i="8" a="1"/>
  <c r="I613" i="8" a="1"/>
  <c r="D415" i="8" a="1"/>
  <c r="O415" i="8" a="1"/>
  <c r="F69" i="8" a="1"/>
  <c r="W516" i="8" a="1"/>
  <c r="W163" i="8" a="1"/>
  <c r="H415" i="8" a="1"/>
  <c r="H613" i="8" a="1"/>
  <c r="T69" i="8" a="1"/>
  <c r="P613" i="8" a="1"/>
  <c r="T613" i="8" a="1"/>
  <c r="T415" i="8" a="1"/>
  <c r="L415" i="8" a="1"/>
  <c r="J613" i="8" a="1"/>
  <c r="J263" i="8" a="1"/>
  <c r="C415" i="8" a="1"/>
  <c r="M69" i="8" a="1"/>
  <c r="U613" i="8" a="1"/>
  <c r="O69" i="8" a="1"/>
  <c r="O263" i="8" a="1"/>
  <c r="Q613" i="8" a="1"/>
  <c r="S612" i="8" l="1"/>
  <c r="U613" i="8"/>
  <c r="Y613" i="8"/>
  <c r="E613" i="8"/>
  <c r="I613" i="8"/>
  <c r="M613" i="8"/>
  <c r="Q613" i="8"/>
  <c r="V613" i="8"/>
  <c r="F613" i="8"/>
  <c r="J613" i="8"/>
  <c r="N613" i="8"/>
  <c r="R613" i="8"/>
  <c r="W613" i="8"/>
  <c r="C613" i="8"/>
  <c r="G613" i="8"/>
  <c r="K613" i="8"/>
  <c r="O613" i="8"/>
  <c r="T613" i="8"/>
  <c r="X613" i="8"/>
  <c r="D613" i="8"/>
  <c r="H613" i="8"/>
  <c r="L613" i="8"/>
  <c r="P613" i="8"/>
  <c r="T69" i="8"/>
  <c r="X69" i="8"/>
  <c r="D69" i="8"/>
  <c r="H69" i="8"/>
  <c r="L69" i="8"/>
  <c r="P69" i="8"/>
  <c r="U69" i="8"/>
  <c r="Y69" i="8"/>
  <c r="E69" i="8"/>
  <c r="I69" i="8"/>
  <c r="M69" i="8"/>
  <c r="Q69" i="8"/>
  <c r="V69" i="8"/>
  <c r="F69" i="8"/>
  <c r="J69" i="8"/>
  <c r="N69" i="8"/>
  <c r="R69" i="8"/>
  <c r="W69" i="8"/>
  <c r="G69" i="8"/>
  <c r="K69" i="8"/>
  <c r="O69" i="8"/>
  <c r="C69" i="8"/>
  <c r="F415" i="8"/>
  <c r="J415" i="8"/>
  <c r="N415" i="8"/>
  <c r="R415" i="8"/>
  <c r="W415" i="8"/>
  <c r="C415" i="8"/>
  <c r="G415" i="8"/>
  <c r="K415" i="8"/>
  <c r="O415" i="8"/>
  <c r="T415" i="8"/>
  <c r="X415" i="8"/>
  <c r="D415" i="8"/>
  <c r="H415" i="8"/>
  <c r="L415" i="8"/>
  <c r="P415" i="8"/>
  <c r="U415" i="8"/>
  <c r="Y415" i="8"/>
  <c r="E415" i="8"/>
  <c r="V415" i="8"/>
  <c r="I415" i="8"/>
  <c r="M415" i="8"/>
  <c r="Q415" i="8"/>
  <c r="S414" i="8"/>
  <c r="S68" i="8"/>
  <c r="D516" i="8"/>
  <c r="H516" i="8"/>
  <c r="L516" i="8"/>
  <c r="P516" i="8"/>
  <c r="C516" i="8"/>
  <c r="G516" i="8"/>
  <c r="K516" i="8"/>
  <c r="O516" i="8"/>
  <c r="R516" i="8"/>
  <c r="I516" i="8"/>
  <c r="J516" i="8"/>
  <c r="M516" i="8"/>
  <c r="Q516" i="8"/>
  <c r="N516" i="8"/>
  <c r="F516" i="8"/>
  <c r="E516" i="8"/>
  <c r="E263" i="8"/>
  <c r="I263" i="8"/>
  <c r="M263" i="8"/>
  <c r="Q263" i="8"/>
  <c r="F263" i="8"/>
  <c r="J263" i="8"/>
  <c r="N263" i="8"/>
  <c r="R263" i="8"/>
  <c r="C263" i="8"/>
  <c r="G263" i="8"/>
  <c r="K263" i="8"/>
  <c r="O263" i="8"/>
  <c r="D263" i="8"/>
  <c r="H263" i="8"/>
  <c r="L263" i="8"/>
  <c r="P263" i="8"/>
  <c r="F712" i="8"/>
  <c r="V262" i="8"/>
  <c r="T712" i="8"/>
  <c r="S712" i="8" s="1"/>
  <c r="U515" i="8"/>
  <c r="C712" i="8"/>
  <c r="X262" i="8"/>
  <c r="W262" i="8"/>
  <c r="W515" i="8"/>
  <c r="W712" i="8"/>
  <c r="T262" i="8"/>
  <c r="T515" i="8"/>
  <c r="S515" i="8" s="1"/>
  <c r="Y262" i="8"/>
  <c r="B70" i="8"/>
  <c r="S162" i="8"/>
  <c r="X713" i="8"/>
  <c r="D713" i="8"/>
  <c r="W713" i="8"/>
  <c r="H713" i="8"/>
  <c r="Q713" i="8"/>
  <c r="V713" i="8"/>
  <c r="G713" i="8"/>
  <c r="K713" i="8"/>
  <c r="J713" i="8"/>
  <c r="E713" i="8"/>
  <c r="N713" i="8"/>
  <c r="B714" i="8"/>
  <c r="B614" i="8"/>
  <c r="T263" i="8"/>
  <c r="U263" i="8"/>
  <c r="Y263" i="8"/>
  <c r="W263" i="8"/>
  <c r="B264" i="8"/>
  <c r="X516" i="8"/>
  <c r="U516" i="8"/>
  <c r="Y516" i="8"/>
  <c r="T516" i="8"/>
  <c r="W516" i="8"/>
  <c r="V516" i="8"/>
  <c r="B517" i="8"/>
  <c r="B416" i="8"/>
  <c r="V163" i="8"/>
  <c r="Y163" i="8"/>
  <c r="X163" i="8"/>
  <c r="U163" i="8"/>
  <c r="T163" i="8"/>
  <c r="W163" i="8"/>
  <c r="K714" i="8" a="1"/>
  <c r="D264" i="8" a="1"/>
  <c r="K614" i="8" a="1"/>
  <c r="U164" i="8" a="1"/>
  <c r="W264" i="8" a="1"/>
  <c r="E614" i="8" a="1"/>
  <c r="M713" i="8" a="1"/>
  <c r="D517" i="8" a="1"/>
  <c r="Q517" i="8" a="1"/>
  <c r="W164" i="8" a="1"/>
  <c r="D416" i="8" a="1"/>
  <c r="G714" i="8" a="1"/>
  <c r="F70" i="8" a="1"/>
  <c r="G70" i="8" a="1"/>
  <c r="K264" i="8" a="1"/>
  <c r="M517" i="8" a="1"/>
  <c r="R264" i="8" a="1"/>
  <c r="X263" i="8" a="1"/>
  <c r="T70" i="8" a="1"/>
  <c r="O517" i="8" a="1"/>
  <c r="I517" i="8" a="1"/>
  <c r="G517" i="8" a="1"/>
  <c r="U614" i="8" a="1"/>
  <c r="N714" i="8" a="1"/>
  <c r="C614" i="8" a="1"/>
  <c r="P264" i="8" a="1"/>
  <c r="V614" i="8" a="1"/>
  <c r="T164" i="8" a="1"/>
  <c r="V70" i="8" a="1"/>
  <c r="M70" i="8" a="1"/>
  <c r="Y264" i="8" a="1"/>
  <c r="J416" i="8" a="1"/>
  <c r="P714" i="8" a="1"/>
  <c r="P614" i="8" a="1"/>
  <c r="K70" i="8" a="1"/>
  <c r="O713" i="8" a="1"/>
  <c r="D614" i="8" a="1"/>
  <c r="M614" i="8" a="1"/>
  <c r="J714" i="8" a="1"/>
  <c r="E264" i="8" a="1"/>
  <c r="W714" i="8" a="1"/>
  <c r="J614" i="8" a="1"/>
  <c r="L714" i="8" a="1"/>
  <c r="O70" i="8" a="1"/>
  <c r="Y614" i="8" a="1"/>
  <c r="R416" i="8" a="1"/>
  <c r="Q416" i="8" a="1"/>
  <c r="O264" i="8" a="1"/>
  <c r="C713" i="8" a="1"/>
  <c r="Q614" i="8" a="1"/>
  <c r="E517" i="8" a="1"/>
  <c r="H714" i="8" a="1"/>
  <c r="U713" i="8" a="1"/>
  <c r="U264" i="8" a="1"/>
  <c r="U714" i="8" a="1"/>
  <c r="W614" i="8" a="1"/>
  <c r="I70" i="8" a="1"/>
  <c r="C70" i="8" a="1"/>
  <c r="R614" i="8" a="1"/>
  <c r="P713" i="8" a="1"/>
  <c r="C517" i="8" a="1"/>
  <c r="Y164" i="8" a="1"/>
  <c r="M264" i="8" a="1"/>
  <c r="I713" i="8" a="1"/>
  <c r="R714" i="8" a="1"/>
  <c r="N416" i="8" a="1"/>
  <c r="X264" i="8" a="1"/>
  <c r="C416" i="8" a="1"/>
  <c r="E416" i="8" a="1"/>
  <c r="W416" i="8" a="1"/>
  <c r="L713" i="8" a="1"/>
  <c r="Y70" i="8" a="1"/>
  <c r="C264" i="8" a="1"/>
  <c r="R517" i="8" a="1"/>
  <c r="D714" i="8" a="1"/>
  <c r="P517" i="8" a="1"/>
  <c r="X714" i="8" a="1"/>
  <c r="T416" i="8" a="1"/>
  <c r="J517" i="8" a="1"/>
  <c r="J70" i="8" a="1"/>
  <c r="R713" i="8" a="1"/>
  <c r="O714" i="8" a="1"/>
  <c r="I416" i="8" a="1"/>
  <c r="R70" i="8" a="1"/>
  <c r="V264" i="8" a="1"/>
  <c r="H614" i="8" a="1"/>
  <c r="I614" i="8" a="1"/>
  <c r="K517" i="8" a="1"/>
  <c r="F713" i="8" a="1"/>
  <c r="L416" i="8" a="1"/>
  <c r="V416" i="8" a="1"/>
  <c r="V263" i="8" a="1"/>
  <c r="Y713" i="8" a="1"/>
  <c r="M714" i="8" a="1"/>
  <c r="D70" i="8" a="1"/>
  <c r="T714" i="8" a="1"/>
  <c r="Y416" i="8" a="1"/>
  <c r="W70" i="8" a="1"/>
  <c r="Q70" i="8" a="1"/>
  <c r="E714" i="8" a="1"/>
  <c r="W517" i="8" a="1"/>
  <c r="Y714" i="8" a="1"/>
  <c r="F416" i="8" a="1"/>
  <c r="L264" i="8" a="1"/>
  <c r="H70" i="8" a="1"/>
  <c r="H416" i="8" a="1"/>
  <c r="P70" i="8" a="1"/>
  <c r="I264" i="8" a="1"/>
  <c r="P416" i="8" a="1"/>
  <c r="L614" i="8" a="1"/>
  <c r="F517" i="8" a="1"/>
  <c r="K416" i="8" a="1"/>
  <c r="Q714" i="8" a="1"/>
  <c r="N264" i="8" a="1"/>
  <c r="G264" i="8" a="1"/>
  <c r="E70" i="8" a="1"/>
  <c r="M416" i="8" a="1"/>
  <c r="T614" i="8" a="1"/>
  <c r="L517" i="8" a="1"/>
  <c r="N614" i="8" a="1"/>
  <c r="H264" i="8" a="1"/>
  <c r="X614" i="8" a="1"/>
  <c r="G416" i="8" a="1"/>
  <c r="X70" i="8" a="1"/>
  <c r="L70" i="8" a="1"/>
  <c r="N70" i="8" a="1"/>
  <c r="T264" i="8" a="1"/>
  <c r="V714" i="8" a="1"/>
  <c r="T713" i="8" a="1"/>
  <c r="C714" i="8" a="1"/>
  <c r="G614" i="8" a="1"/>
  <c r="O416" i="8" a="1"/>
  <c r="I714" i="8" a="1"/>
  <c r="U416" i="8" a="1"/>
  <c r="F714" i="8" a="1"/>
  <c r="O614" i="8" a="1"/>
  <c r="X164" i="8" a="1"/>
  <c r="Q264" i="8" a="1"/>
  <c r="J264" i="8" a="1"/>
  <c r="U70" i="8" a="1"/>
  <c r="N517" i="8" a="1"/>
  <c r="V164" i="8" a="1"/>
  <c r="X416" i="8" a="1"/>
  <c r="H517" i="8" a="1"/>
  <c r="F264" i="8" a="1"/>
  <c r="F614" i="8" a="1"/>
  <c r="F614" i="8" l="1"/>
  <c r="J614" i="8"/>
  <c r="N614" i="8"/>
  <c r="R614" i="8"/>
  <c r="W614" i="8"/>
  <c r="C614" i="8"/>
  <c r="G614" i="8"/>
  <c r="K614" i="8"/>
  <c r="O614" i="8"/>
  <c r="T614" i="8"/>
  <c r="X614" i="8"/>
  <c r="D614" i="8"/>
  <c r="H614" i="8"/>
  <c r="L614" i="8"/>
  <c r="P614" i="8"/>
  <c r="U614" i="8"/>
  <c r="Y614" i="8"/>
  <c r="E614" i="8"/>
  <c r="I614" i="8"/>
  <c r="M614" i="8"/>
  <c r="Q614" i="8"/>
  <c r="V614" i="8"/>
  <c r="S613" i="8"/>
  <c r="S69" i="8"/>
  <c r="E70" i="8"/>
  <c r="I70" i="8"/>
  <c r="M70" i="8"/>
  <c r="Q70" i="8"/>
  <c r="V70" i="8"/>
  <c r="F70" i="8"/>
  <c r="J70" i="8"/>
  <c r="N70" i="8"/>
  <c r="R70" i="8"/>
  <c r="W70" i="8"/>
  <c r="C70" i="8"/>
  <c r="G70" i="8"/>
  <c r="K70" i="8"/>
  <c r="O70" i="8"/>
  <c r="T70" i="8"/>
  <c r="X70" i="8"/>
  <c r="D70" i="8"/>
  <c r="H70" i="8"/>
  <c r="L70" i="8"/>
  <c r="P70" i="8"/>
  <c r="U70" i="8"/>
  <c r="Y70" i="8"/>
  <c r="T416" i="8"/>
  <c r="X416" i="8"/>
  <c r="D416" i="8"/>
  <c r="U416" i="8"/>
  <c r="Y416" i="8"/>
  <c r="E416" i="8"/>
  <c r="I416" i="8"/>
  <c r="M416" i="8"/>
  <c r="Q416" i="8"/>
  <c r="V416" i="8"/>
  <c r="F416" i="8"/>
  <c r="J416" i="8"/>
  <c r="N416" i="8"/>
  <c r="R416" i="8"/>
  <c r="K416" i="8"/>
  <c r="W416" i="8"/>
  <c r="L416" i="8"/>
  <c r="C416" i="8"/>
  <c r="O416" i="8"/>
  <c r="P416" i="8"/>
  <c r="G416" i="8"/>
  <c r="H416" i="8"/>
  <c r="S415" i="8"/>
  <c r="E264" i="8"/>
  <c r="I264" i="8"/>
  <c r="M264" i="8"/>
  <c r="Q264" i="8"/>
  <c r="L264" i="8"/>
  <c r="P264" i="8"/>
  <c r="F264" i="8"/>
  <c r="J264" i="8"/>
  <c r="N264" i="8"/>
  <c r="R264" i="8"/>
  <c r="H264" i="8"/>
  <c r="D264" i="8"/>
  <c r="C264" i="8"/>
  <c r="G264" i="8"/>
  <c r="K264" i="8"/>
  <c r="O264" i="8"/>
  <c r="D517" i="8"/>
  <c r="H517" i="8"/>
  <c r="L517" i="8"/>
  <c r="P517" i="8"/>
  <c r="E517" i="8"/>
  <c r="I517" i="8"/>
  <c r="M517" i="8"/>
  <c r="Q517" i="8"/>
  <c r="F517" i="8"/>
  <c r="J517" i="8"/>
  <c r="N517" i="8"/>
  <c r="R517" i="8"/>
  <c r="C517" i="8"/>
  <c r="K517" i="8"/>
  <c r="O517" i="8"/>
  <c r="G517" i="8"/>
  <c r="S262" i="8"/>
  <c r="S516" i="8"/>
  <c r="I713" i="8"/>
  <c r="C713" i="8"/>
  <c r="P713" i="8"/>
  <c r="T713" i="8"/>
  <c r="S713" i="8" s="1"/>
  <c r="Y713" i="8"/>
  <c r="O713" i="8"/>
  <c r="L713" i="8"/>
  <c r="R713" i="8"/>
  <c r="U713" i="8"/>
  <c r="X263" i="8"/>
  <c r="M713" i="8"/>
  <c r="F713" i="8"/>
  <c r="V263" i="8"/>
  <c r="B71" i="8"/>
  <c r="S163" i="8"/>
  <c r="U714" i="8"/>
  <c r="F714" i="8"/>
  <c r="O714" i="8"/>
  <c r="Y714" i="8"/>
  <c r="J714" i="8"/>
  <c r="T714" i="8"/>
  <c r="E714" i="8"/>
  <c r="N714" i="8"/>
  <c r="X714" i="8"/>
  <c r="D714" i="8"/>
  <c r="M714" i="8"/>
  <c r="W714" i="8"/>
  <c r="L714" i="8"/>
  <c r="V714" i="8"/>
  <c r="G714" i="8"/>
  <c r="I714" i="8"/>
  <c r="R714" i="8"/>
  <c r="P714" i="8"/>
  <c r="H714" i="8"/>
  <c r="Q714" i="8"/>
  <c r="C714" i="8"/>
  <c r="K714" i="8"/>
  <c r="B715" i="8"/>
  <c r="B615" i="8"/>
  <c r="V264" i="8"/>
  <c r="X264" i="8"/>
  <c r="U264" i="8"/>
  <c r="T264" i="8"/>
  <c r="Y264" i="8"/>
  <c r="W264" i="8"/>
  <c r="B265" i="8"/>
  <c r="W517" i="8"/>
  <c r="B518" i="8"/>
  <c r="B417" i="8"/>
  <c r="Y164" i="8"/>
  <c r="T164" i="8"/>
  <c r="W164" i="8"/>
  <c r="U164" i="8"/>
  <c r="V164" i="8"/>
  <c r="X164" i="8"/>
  <c r="X417" i="8" a="1"/>
  <c r="Y265" i="8" a="1"/>
  <c r="Y165" i="8" a="1"/>
  <c r="E417" i="8" a="1"/>
  <c r="D615" i="8" a="1"/>
  <c r="L518" i="8" a="1"/>
  <c r="Y71" i="8" a="1"/>
  <c r="E615" i="8" a="1"/>
  <c r="W71" i="8" a="1"/>
  <c r="E71" i="8" a="1"/>
  <c r="X615" i="8" a="1"/>
  <c r="M615" i="8" a="1"/>
  <c r="V165" i="8" a="1"/>
  <c r="U518" i="8" a="1"/>
  <c r="W165" i="8" a="1"/>
  <c r="T615" i="8" a="1"/>
  <c r="I518" i="8" a="1"/>
  <c r="I615" i="8" a="1"/>
  <c r="L615" i="8" a="1"/>
  <c r="Q265" i="8" a="1"/>
  <c r="Y615" i="8" a="1"/>
  <c r="R417" i="8" a="1"/>
  <c r="C417" i="8" a="1"/>
  <c r="U715" i="8" a="1"/>
  <c r="K71" i="8" a="1"/>
  <c r="M71" i="8" a="1"/>
  <c r="P71" i="8" a="1"/>
  <c r="X517" i="8" a="1"/>
  <c r="J71" i="8" a="1"/>
  <c r="V417" i="8" a="1"/>
  <c r="T265" i="8" a="1"/>
  <c r="O518" i="8" a="1"/>
  <c r="T517" i="8" a="1"/>
  <c r="W518" i="8" a="1"/>
  <c r="Q615" i="8" a="1"/>
  <c r="Y417" i="8" a="1"/>
  <c r="M265" i="8" a="1"/>
  <c r="V517" i="8" a="1"/>
  <c r="U71" i="8" a="1"/>
  <c r="H518" i="8" a="1"/>
  <c r="G615" i="8" a="1"/>
  <c r="T165" i="8" a="1"/>
  <c r="O71" i="8" a="1"/>
  <c r="D518" i="8" a="1"/>
  <c r="U615" i="8" a="1"/>
  <c r="K615" i="8" a="1"/>
  <c r="C265" i="8" a="1"/>
  <c r="M417" i="8" a="1"/>
  <c r="J265" i="8" a="1"/>
  <c r="T71" i="8" a="1"/>
  <c r="U165" i="8" a="1"/>
  <c r="W417" i="8" a="1"/>
  <c r="P518" i="8" a="1"/>
  <c r="C71" i="8" a="1"/>
  <c r="H615" i="8" a="1"/>
  <c r="T518" i="8" a="1"/>
  <c r="X71" i="8" a="1"/>
  <c r="Y715" i="8" a="1"/>
  <c r="F71" i="8" a="1"/>
  <c r="F265" i="8" a="1"/>
  <c r="F615" i="8" a="1"/>
  <c r="O615" i="8" a="1"/>
  <c r="L71" i="8" a="1"/>
  <c r="D71" i="8" a="1"/>
  <c r="D715" i="8" a="1"/>
  <c r="V615" i="8" a="1"/>
  <c r="V71" i="8" a="1"/>
  <c r="E518" i="8" a="1"/>
  <c r="U417" i="8" a="1"/>
  <c r="Y518" i="8" a="1"/>
  <c r="D417" i="8" a="1"/>
  <c r="J417" i="8" a="1"/>
  <c r="Q71" i="8" a="1"/>
  <c r="X518" i="8" a="1"/>
  <c r="E265" i="8" a="1"/>
  <c r="O417" i="8" a="1"/>
  <c r="K265" i="8" a="1"/>
  <c r="C518" i="8" a="1"/>
  <c r="H265" i="8" a="1"/>
  <c r="V518" i="8" a="1"/>
  <c r="R518" i="8" a="1"/>
  <c r="M518" i="8" a="1"/>
  <c r="N417" i="8" a="1"/>
  <c r="C615" i="8" a="1"/>
  <c r="G71" i="8" a="1"/>
  <c r="P417" i="8" a="1"/>
  <c r="F518" i="8" a="1"/>
  <c r="K715" i="8" a="1"/>
  <c r="R265" i="8" a="1"/>
  <c r="N71" i="8" a="1"/>
  <c r="J518" i="8" a="1"/>
  <c r="P265" i="8" a="1"/>
  <c r="X165" i="8" a="1"/>
  <c r="Q417" i="8" a="1"/>
  <c r="U517" i="8" a="1"/>
  <c r="T417" i="8" a="1"/>
  <c r="Y517" i="8" a="1"/>
  <c r="P615" i="8" a="1"/>
  <c r="H71" i="8" a="1"/>
  <c r="X265" i="8" a="1"/>
  <c r="K518" i="8" a="1"/>
  <c r="L417" i="8" a="1"/>
  <c r="Q518" i="8" a="1"/>
  <c r="J615" i="8" a="1"/>
  <c r="I71" i="8" a="1"/>
  <c r="L265" i="8" a="1"/>
  <c r="N615" i="8" a="1"/>
  <c r="G518" i="8" a="1"/>
  <c r="N518" i="8" a="1"/>
  <c r="R615" i="8" a="1"/>
  <c r="N265" i="8" a="1"/>
  <c r="R71" i="8" a="1"/>
  <c r="I417" i="8" a="1"/>
  <c r="G417" i="8" a="1"/>
  <c r="I265" i="8" a="1"/>
  <c r="H417" i="8" a="1"/>
  <c r="D265" i="8" a="1"/>
  <c r="F417" i="8" a="1"/>
  <c r="K417" i="8" a="1"/>
  <c r="W615" i="8" a="1"/>
  <c r="S614" i="8" l="1"/>
  <c r="T615" i="8"/>
  <c r="X615" i="8"/>
  <c r="D615" i="8"/>
  <c r="H615" i="8"/>
  <c r="L615" i="8"/>
  <c r="P615" i="8"/>
  <c r="U615" i="8"/>
  <c r="Y615" i="8"/>
  <c r="E615" i="8"/>
  <c r="I615" i="8"/>
  <c r="M615" i="8"/>
  <c r="Q615" i="8"/>
  <c r="V615" i="8"/>
  <c r="F615" i="8"/>
  <c r="J615" i="8"/>
  <c r="N615" i="8"/>
  <c r="R615" i="8"/>
  <c r="W615" i="8"/>
  <c r="O615" i="8"/>
  <c r="K615" i="8"/>
  <c r="C615" i="8"/>
  <c r="G615" i="8"/>
  <c r="S416" i="8"/>
  <c r="S70" i="8"/>
  <c r="W71" i="8"/>
  <c r="C71" i="8"/>
  <c r="G71" i="8"/>
  <c r="K71" i="8"/>
  <c r="O71" i="8"/>
  <c r="T71" i="8"/>
  <c r="X71" i="8"/>
  <c r="D71" i="8"/>
  <c r="H71" i="8"/>
  <c r="L71" i="8"/>
  <c r="P71" i="8"/>
  <c r="U71" i="8"/>
  <c r="Y71" i="8"/>
  <c r="E71" i="8"/>
  <c r="I71" i="8"/>
  <c r="M71" i="8"/>
  <c r="Q71" i="8"/>
  <c r="V71" i="8"/>
  <c r="F71" i="8"/>
  <c r="J71" i="8"/>
  <c r="N71" i="8"/>
  <c r="R71" i="8"/>
  <c r="E417" i="8"/>
  <c r="I417" i="8"/>
  <c r="M417" i="8"/>
  <c r="Q417" i="8"/>
  <c r="F417" i="8"/>
  <c r="J417" i="8"/>
  <c r="N417" i="8"/>
  <c r="R417" i="8"/>
  <c r="W417" i="8"/>
  <c r="C417" i="8"/>
  <c r="G417" i="8"/>
  <c r="K417" i="8"/>
  <c r="O417" i="8"/>
  <c r="T417" i="8"/>
  <c r="X417" i="8"/>
  <c r="U417" i="8"/>
  <c r="L417" i="8"/>
  <c r="V417" i="8"/>
  <c r="D417" i="8"/>
  <c r="Y417" i="8"/>
  <c r="P417" i="8"/>
  <c r="H417" i="8"/>
  <c r="S263" i="8"/>
  <c r="C518" i="8"/>
  <c r="G518" i="8"/>
  <c r="K518" i="8"/>
  <c r="O518" i="8"/>
  <c r="F518" i="8"/>
  <c r="J518" i="8"/>
  <c r="N518" i="8"/>
  <c r="R518" i="8"/>
  <c r="Q518" i="8"/>
  <c r="E518" i="8"/>
  <c r="H518" i="8"/>
  <c r="I518" i="8"/>
  <c r="L518" i="8"/>
  <c r="M518" i="8"/>
  <c r="D518" i="8"/>
  <c r="P518" i="8"/>
  <c r="S264" i="8"/>
  <c r="T517" i="8"/>
  <c r="U517" i="8"/>
  <c r="V517" i="8"/>
  <c r="Y517" i="8"/>
  <c r="X517" i="8"/>
  <c r="P265" i="8"/>
  <c r="E265" i="8"/>
  <c r="F265" i="8"/>
  <c r="J265" i="8"/>
  <c r="N265" i="8"/>
  <c r="I265" i="8"/>
  <c r="Q265" i="8"/>
  <c r="R265" i="8"/>
  <c r="C265" i="8"/>
  <c r="K265" i="8"/>
  <c r="M265" i="8"/>
  <c r="H265" i="8"/>
  <c r="D265" i="8"/>
  <c r="L265" i="8"/>
  <c r="B72" i="8"/>
  <c r="S164" i="8"/>
  <c r="K715" i="8"/>
  <c r="U715" i="8"/>
  <c r="Y715" i="8"/>
  <c r="D715" i="8"/>
  <c r="B616" i="8"/>
  <c r="S714" i="8"/>
  <c r="B716" i="8"/>
  <c r="T265" i="8"/>
  <c r="Y265" i="8"/>
  <c r="X265" i="8"/>
  <c r="B266" i="8"/>
  <c r="V518" i="8"/>
  <c r="X518" i="8"/>
  <c r="T518" i="8"/>
  <c r="W518" i="8"/>
  <c r="U518" i="8"/>
  <c r="Y518" i="8"/>
  <c r="B519" i="8"/>
  <c r="B418" i="8"/>
  <c r="X165" i="8"/>
  <c r="T165" i="8"/>
  <c r="W165" i="8"/>
  <c r="V165" i="8"/>
  <c r="Y165" i="8"/>
  <c r="U165" i="8"/>
  <c r="W715" i="8" a="1"/>
  <c r="Y72" i="8" a="1"/>
  <c r="N418" i="8" a="1"/>
  <c r="R519" i="8" a="1"/>
  <c r="V716" i="8" a="1"/>
  <c r="V715" i="8" a="1"/>
  <c r="J418" i="8" a="1"/>
  <c r="I418" i="8" a="1"/>
  <c r="O266" i="8" a="1"/>
  <c r="K519" i="8" a="1"/>
  <c r="D616" i="8" a="1"/>
  <c r="W519" i="8" a="1"/>
  <c r="F715" i="8" a="1"/>
  <c r="I266" i="8" a="1"/>
  <c r="Y616" i="8" a="1"/>
  <c r="K418" i="8" a="1"/>
  <c r="X166" i="8" a="1"/>
  <c r="Q519" i="8" a="1"/>
  <c r="U72" i="8" a="1"/>
  <c r="O716" i="8" a="1"/>
  <c r="Q266" i="8" a="1"/>
  <c r="X519" i="8" a="1"/>
  <c r="N716" i="8" a="1"/>
  <c r="U616" i="8" a="1"/>
  <c r="H716" i="8" a="1"/>
  <c r="I519" i="8" a="1"/>
  <c r="C715" i="8" a="1"/>
  <c r="Q72" i="8" a="1"/>
  <c r="F519" i="8" a="1"/>
  <c r="R418" i="8" a="1"/>
  <c r="T418" i="8" a="1"/>
  <c r="C418" i="8" a="1"/>
  <c r="W166" i="8" a="1"/>
  <c r="K616" i="8" a="1"/>
  <c r="K716" i="8" a="1"/>
  <c r="G72" i="8" a="1"/>
  <c r="N519" i="8" a="1"/>
  <c r="O616" i="8" a="1"/>
  <c r="Y716" i="8" a="1"/>
  <c r="G266" i="8" a="1"/>
  <c r="J716" i="8" a="1"/>
  <c r="L418" i="8" a="1"/>
  <c r="M72" i="8" a="1"/>
  <c r="O715" i="8" a="1"/>
  <c r="J519" i="8" a="1"/>
  <c r="M266" i="8" a="1"/>
  <c r="E519" i="8" a="1"/>
  <c r="D266" i="8" a="1"/>
  <c r="R716" i="8" a="1"/>
  <c r="H616" i="8" a="1"/>
  <c r="I72" i="8" a="1"/>
  <c r="X72" i="8" a="1"/>
  <c r="P519" i="8" a="1"/>
  <c r="U716" i="8" a="1"/>
  <c r="N715" i="8" a="1"/>
  <c r="M616" i="8" a="1"/>
  <c r="Q418" i="8" a="1"/>
  <c r="T715" i="8" a="1"/>
  <c r="P72" i="8" a="1"/>
  <c r="E266" i="8" a="1"/>
  <c r="H266" i="8" a="1"/>
  <c r="T616" i="8" a="1"/>
  <c r="U265" i="8" a="1"/>
  <c r="P616" i="8" a="1"/>
  <c r="U266" i="8" a="1"/>
  <c r="T266" i="8" a="1"/>
  <c r="Y266" i="8" a="1"/>
  <c r="L616" i="8" a="1"/>
  <c r="R266" i="8" a="1"/>
  <c r="O418" i="8" a="1"/>
  <c r="R72" i="8" a="1"/>
  <c r="V166" i="8" a="1"/>
  <c r="H72" i="8" a="1"/>
  <c r="J616" i="8" a="1"/>
  <c r="U519" i="8" a="1"/>
  <c r="R715" i="8" a="1"/>
  <c r="H715" i="8" a="1"/>
  <c r="X715" i="8" a="1"/>
  <c r="C616" i="8" a="1"/>
  <c r="J72" i="8" a="1"/>
  <c r="G616" i="8" a="1"/>
  <c r="G418" i="8" a="1"/>
  <c r="V418" i="8" a="1"/>
  <c r="F418" i="8" a="1"/>
  <c r="N72" i="8" a="1"/>
  <c r="W616" i="8" a="1"/>
  <c r="V72" i="8" a="1"/>
  <c r="F616" i="8" a="1"/>
  <c r="Y519" i="8" a="1"/>
  <c r="J715" i="8" a="1"/>
  <c r="D418" i="8" a="1"/>
  <c r="T519" i="8" a="1"/>
  <c r="E715" i="8" a="1"/>
  <c r="H418" i="8" a="1"/>
  <c r="T166" i="8" a="1"/>
  <c r="X266" i="8" a="1"/>
  <c r="N616" i="8" a="1"/>
  <c r="G265" i="8" a="1"/>
  <c r="Y166" i="8" a="1"/>
  <c r="D519" i="8" a="1"/>
  <c r="K72" i="8" a="1"/>
  <c r="L72" i="8" a="1"/>
  <c r="P716" i="8" a="1"/>
  <c r="J266" i="8" a="1"/>
  <c r="E716" i="8" a="1"/>
  <c r="C519" i="8" a="1"/>
  <c r="E616" i="8" a="1"/>
  <c r="V265" i="8" a="1"/>
  <c r="L715" i="8" a="1"/>
  <c r="U418" i="8" a="1"/>
  <c r="C72" i="8" a="1"/>
  <c r="P266" i="8" a="1"/>
  <c r="V266" i="8" a="1"/>
  <c r="X616" i="8" a="1"/>
  <c r="Q715" i="8" a="1"/>
  <c r="R616" i="8" a="1"/>
  <c r="M715" i="8" a="1"/>
  <c r="Y418" i="8" a="1"/>
  <c r="V616" i="8" a="1"/>
  <c r="D72" i="8" a="1"/>
  <c r="V519" i="8" a="1"/>
  <c r="D716" i="8" a="1"/>
  <c r="K266" i="8" a="1"/>
  <c r="L266" i="8" a="1"/>
  <c r="I716" i="8" a="1"/>
  <c r="G715" i="8" a="1"/>
  <c r="M418" i="8" a="1"/>
  <c r="Q616" i="8" a="1"/>
  <c r="F716" i="8" a="1"/>
  <c r="O72" i="8" a="1"/>
  <c r="F266" i="8" a="1"/>
  <c r="C716" i="8" a="1"/>
  <c r="I715" i="8" a="1"/>
  <c r="L519" i="8" a="1"/>
  <c r="W418" i="8" a="1"/>
  <c r="F72" i="8" a="1"/>
  <c r="U166" i="8" a="1"/>
  <c r="O265" i="8" a="1"/>
  <c r="T72" i="8" a="1"/>
  <c r="W265" i="8" a="1"/>
  <c r="I616" i="8" a="1"/>
  <c r="X418" i="8" a="1"/>
  <c r="C266" i="8" a="1"/>
  <c r="M519" i="8" a="1"/>
  <c r="P715" i="8" a="1"/>
  <c r="H519" i="8" a="1"/>
  <c r="O519" i="8" a="1"/>
  <c r="E418" i="8" a="1"/>
  <c r="G519" i="8" a="1"/>
  <c r="W72" i="8" a="1"/>
  <c r="P418" i="8" a="1"/>
  <c r="E72" i="8" a="1"/>
  <c r="L716" i="8" a="1"/>
  <c r="E616" i="8" l="1"/>
  <c r="I616" i="8"/>
  <c r="M616" i="8"/>
  <c r="Q616" i="8"/>
  <c r="V616" i="8"/>
  <c r="F616" i="8"/>
  <c r="J616" i="8"/>
  <c r="N616" i="8"/>
  <c r="R616" i="8"/>
  <c r="W616" i="8"/>
  <c r="C616" i="8"/>
  <c r="G616" i="8"/>
  <c r="K616" i="8"/>
  <c r="O616" i="8"/>
  <c r="T616" i="8"/>
  <c r="X616" i="8"/>
  <c r="D616" i="8"/>
  <c r="H616" i="8"/>
  <c r="L616" i="8"/>
  <c r="P616" i="8"/>
  <c r="Y616" i="8"/>
  <c r="U616" i="8"/>
  <c r="S615" i="8"/>
  <c r="D72" i="8"/>
  <c r="H72" i="8"/>
  <c r="L72" i="8"/>
  <c r="P72" i="8"/>
  <c r="U72" i="8"/>
  <c r="Y72" i="8"/>
  <c r="E72" i="8"/>
  <c r="I72" i="8"/>
  <c r="M72" i="8"/>
  <c r="Q72" i="8"/>
  <c r="V72" i="8"/>
  <c r="F72" i="8"/>
  <c r="J72" i="8"/>
  <c r="N72" i="8"/>
  <c r="R72" i="8"/>
  <c r="W72" i="8"/>
  <c r="C72" i="8"/>
  <c r="G72" i="8"/>
  <c r="K72" i="8"/>
  <c r="O72" i="8"/>
  <c r="T72" i="8"/>
  <c r="X72" i="8"/>
  <c r="W418" i="8"/>
  <c r="T418" i="8"/>
  <c r="X418" i="8"/>
  <c r="D418" i="8"/>
  <c r="H418" i="8"/>
  <c r="L418" i="8"/>
  <c r="P418" i="8"/>
  <c r="U418" i="8"/>
  <c r="Y418" i="8"/>
  <c r="E418" i="8"/>
  <c r="I418" i="8"/>
  <c r="M418" i="8"/>
  <c r="Q418" i="8"/>
  <c r="J418" i="8"/>
  <c r="V418" i="8"/>
  <c r="K418" i="8"/>
  <c r="C418" i="8"/>
  <c r="N418" i="8"/>
  <c r="O418" i="8"/>
  <c r="F418" i="8"/>
  <c r="G418" i="8"/>
  <c r="R418" i="8"/>
  <c r="S417" i="8"/>
  <c r="S71" i="8"/>
  <c r="S518" i="8"/>
  <c r="C519" i="8"/>
  <c r="G519" i="8"/>
  <c r="K519" i="8"/>
  <c r="O519" i="8"/>
  <c r="D519" i="8"/>
  <c r="H519" i="8"/>
  <c r="L519" i="8"/>
  <c r="P519" i="8"/>
  <c r="E519" i="8"/>
  <c r="I519" i="8"/>
  <c r="M519" i="8"/>
  <c r="Q519" i="8"/>
  <c r="N519" i="8"/>
  <c r="F519" i="8"/>
  <c r="R519" i="8"/>
  <c r="J519" i="8"/>
  <c r="S517" i="8"/>
  <c r="R715" i="8"/>
  <c r="G265" i="8"/>
  <c r="Q715" i="8"/>
  <c r="V265" i="8"/>
  <c r="S265" i="8" s="1"/>
  <c r="I715" i="8"/>
  <c r="W715" i="8"/>
  <c r="F715" i="8"/>
  <c r="T715" i="8"/>
  <c r="M715" i="8"/>
  <c r="O715" i="8"/>
  <c r="G715" i="8"/>
  <c r="H715" i="8"/>
  <c r="P715" i="8"/>
  <c r="O265" i="8"/>
  <c r="U265" i="8"/>
  <c r="C715" i="8"/>
  <c r="L715" i="8"/>
  <c r="N715" i="8"/>
  <c r="E715" i="8"/>
  <c r="V715" i="8"/>
  <c r="J715" i="8"/>
  <c r="W265" i="8"/>
  <c r="X715" i="8"/>
  <c r="J266" i="8"/>
  <c r="K266" i="8"/>
  <c r="L266" i="8"/>
  <c r="G266" i="8"/>
  <c r="M266" i="8"/>
  <c r="Q266" i="8"/>
  <c r="P266" i="8"/>
  <c r="H266" i="8"/>
  <c r="C266" i="8"/>
  <c r="D266" i="8"/>
  <c r="F266" i="8"/>
  <c r="I266" i="8"/>
  <c r="E266" i="8"/>
  <c r="R266" i="8"/>
  <c r="O266" i="8"/>
  <c r="B73" i="8"/>
  <c r="S165" i="8"/>
  <c r="N716" i="8"/>
  <c r="I716" i="8"/>
  <c r="R716" i="8"/>
  <c r="C716" i="8"/>
  <c r="L716" i="8"/>
  <c r="V716" i="8"/>
  <c r="P716" i="8"/>
  <c r="K716" i="8"/>
  <c r="U716" i="8"/>
  <c r="J716" i="8"/>
  <c r="E716" i="8"/>
  <c r="D716" i="8"/>
  <c r="F716" i="8"/>
  <c r="O716" i="8"/>
  <c r="Y716" i="8"/>
  <c r="H716" i="8"/>
  <c r="B717" i="8"/>
  <c r="B617" i="8"/>
  <c r="T266" i="8"/>
  <c r="Y266" i="8"/>
  <c r="U266" i="8"/>
  <c r="X266" i="8"/>
  <c r="V266" i="8"/>
  <c r="B267" i="8"/>
  <c r="W519" i="8"/>
  <c r="Y519" i="8"/>
  <c r="V519" i="8"/>
  <c r="U519" i="8"/>
  <c r="X519" i="8"/>
  <c r="T519" i="8"/>
  <c r="B520" i="8"/>
  <c r="B419" i="8"/>
  <c r="X166" i="8"/>
  <c r="T166" i="8"/>
  <c r="V166" i="8"/>
  <c r="W166" i="8"/>
  <c r="Y166" i="8"/>
  <c r="U166" i="8"/>
  <c r="N267" i="8" a="1"/>
  <c r="C520" i="8" a="1"/>
  <c r="U520" i="8" a="1"/>
  <c r="P73" i="8" a="1"/>
  <c r="D73" i="8" a="1"/>
  <c r="D267" i="8" a="1"/>
  <c r="O520" i="8" a="1"/>
  <c r="X167" i="8" a="1"/>
  <c r="W73" i="8" a="1"/>
  <c r="Q716" i="8" a="1"/>
  <c r="W267" i="8" a="1"/>
  <c r="H717" i="8" a="1"/>
  <c r="J73" i="8" a="1"/>
  <c r="O267" i="8" a="1"/>
  <c r="U617" i="8" a="1"/>
  <c r="Q520" i="8" a="1"/>
  <c r="L419" i="8" a="1"/>
  <c r="N419" i="8" a="1"/>
  <c r="M520" i="8" a="1"/>
  <c r="P617" i="8" a="1"/>
  <c r="V73" i="8" a="1"/>
  <c r="G419" i="8" a="1"/>
  <c r="X617" i="8" a="1"/>
  <c r="P419" i="8" a="1"/>
  <c r="V419" i="8" a="1"/>
  <c r="M617" i="8" a="1"/>
  <c r="K419" i="8" a="1"/>
  <c r="L73" i="8" a="1"/>
  <c r="Y419" i="8" a="1"/>
  <c r="C419" i="8" a="1"/>
  <c r="P520" i="8" a="1"/>
  <c r="J617" i="8" a="1"/>
  <c r="W266" i="8" a="1"/>
  <c r="Y167" i="8" a="1"/>
  <c r="Q267" i="8" a="1"/>
  <c r="F73" i="8" a="1"/>
  <c r="T73" i="8" a="1"/>
  <c r="Q617" i="8" a="1"/>
  <c r="I520" i="8" a="1"/>
  <c r="M717" i="8" a="1"/>
  <c r="E267" i="8" a="1"/>
  <c r="I419" i="8" a="1"/>
  <c r="O73" i="8" a="1"/>
  <c r="Y267" i="8" a="1"/>
  <c r="N73" i="8" a="1"/>
  <c r="W167" i="8" a="1"/>
  <c r="F267" i="8" a="1"/>
  <c r="C717" i="8" a="1"/>
  <c r="C617" i="8" a="1"/>
  <c r="G617" i="8" a="1"/>
  <c r="Y520" i="8" a="1"/>
  <c r="J419" i="8" a="1"/>
  <c r="X73" i="8" a="1"/>
  <c r="K73" i="8" a="1"/>
  <c r="N717" i="8" a="1"/>
  <c r="G717" i="8" a="1"/>
  <c r="N266" i="8" a="1"/>
  <c r="E617" i="8" a="1"/>
  <c r="I73" i="8" a="1"/>
  <c r="P717" i="8" a="1"/>
  <c r="L617" i="8" a="1"/>
  <c r="V717" i="8" a="1"/>
  <c r="W617" i="8" a="1"/>
  <c r="X716" i="8" a="1"/>
  <c r="O419" i="8" a="1"/>
  <c r="G267" i="8" a="1"/>
  <c r="G73" i="8" a="1"/>
  <c r="L520" i="8" a="1"/>
  <c r="H73" i="8" a="1"/>
  <c r="X520" i="8" a="1"/>
  <c r="U167" i="8" a="1"/>
  <c r="G520" i="8" a="1"/>
  <c r="T419" i="8" a="1"/>
  <c r="N520" i="8" a="1"/>
  <c r="T617" i="8" a="1"/>
  <c r="V167" i="8" a="1"/>
  <c r="Q419" i="8" a="1"/>
  <c r="O617" i="8" a="1"/>
  <c r="D617" i="8" a="1"/>
  <c r="M716" i="8" a="1"/>
  <c r="V617" i="8" a="1"/>
  <c r="F520" i="8" a="1"/>
  <c r="M419" i="8" a="1"/>
  <c r="X717" i="8" a="1"/>
  <c r="D419" i="8" a="1"/>
  <c r="W716" i="8" a="1"/>
  <c r="K267" i="8" a="1"/>
  <c r="D520" i="8" a="1"/>
  <c r="Y73" i="8" a="1"/>
  <c r="H617" i="8" a="1"/>
  <c r="X419" i="8" a="1"/>
  <c r="D717" i="8" a="1"/>
  <c r="Y617" i="8" a="1"/>
  <c r="O717" i="8" a="1"/>
  <c r="F419" i="8" a="1"/>
  <c r="H419" i="8" a="1"/>
  <c r="T167" i="8" a="1"/>
  <c r="T716" i="8" a="1"/>
  <c r="R520" i="8" a="1"/>
  <c r="J520" i="8" a="1"/>
  <c r="U419" i="8" a="1"/>
  <c r="Y717" i="8" a="1"/>
  <c r="N617" i="8" a="1"/>
  <c r="C267" i="8" a="1"/>
  <c r="L267" i="8" a="1"/>
  <c r="G716" i="8" a="1"/>
  <c r="M73" i="8" a="1"/>
  <c r="U267" i="8" a="1"/>
  <c r="T267" i="8" a="1"/>
  <c r="E520" i="8" a="1"/>
  <c r="F617" i="8" a="1"/>
  <c r="H520" i="8" a="1"/>
  <c r="R267" i="8" a="1"/>
  <c r="T520" i="8" a="1"/>
  <c r="L717" i="8" a="1"/>
  <c r="U73" i="8" a="1"/>
  <c r="R419" i="8" a="1"/>
  <c r="E73" i="8" a="1"/>
  <c r="R73" i="8" a="1"/>
  <c r="W520" i="8" a="1"/>
  <c r="Q73" i="8" a="1"/>
  <c r="W419" i="8" a="1"/>
  <c r="E717" i="8" a="1"/>
  <c r="I617" i="8" a="1"/>
  <c r="E419" i="8" a="1"/>
  <c r="J717" i="8" a="1"/>
  <c r="K617" i="8" a="1"/>
  <c r="C73" i="8" a="1"/>
  <c r="K520" i="8" a="1"/>
  <c r="R617" i="8" a="1"/>
  <c r="S616" i="8" l="1"/>
  <c r="W617" i="8"/>
  <c r="C617" i="8"/>
  <c r="G617" i="8"/>
  <c r="K617" i="8"/>
  <c r="O617" i="8"/>
  <c r="T617" i="8"/>
  <c r="X617" i="8"/>
  <c r="D617" i="8"/>
  <c r="H617" i="8"/>
  <c r="L617" i="8"/>
  <c r="P617" i="8"/>
  <c r="U617" i="8"/>
  <c r="Y617" i="8"/>
  <c r="E617" i="8"/>
  <c r="I617" i="8"/>
  <c r="M617" i="8"/>
  <c r="Q617" i="8"/>
  <c r="V617" i="8"/>
  <c r="F617" i="8"/>
  <c r="J617" i="8"/>
  <c r="N617" i="8"/>
  <c r="R617" i="8"/>
  <c r="S72" i="8"/>
  <c r="V73" i="8"/>
  <c r="F73" i="8"/>
  <c r="J73" i="8"/>
  <c r="N73" i="8"/>
  <c r="R73" i="8"/>
  <c r="W73" i="8"/>
  <c r="C73" i="8"/>
  <c r="G73" i="8"/>
  <c r="K73" i="8"/>
  <c r="O73" i="8"/>
  <c r="T73" i="8"/>
  <c r="X73" i="8"/>
  <c r="D73" i="8"/>
  <c r="H73" i="8"/>
  <c r="L73" i="8"/>
  <c r="P73" i="8"/>
  <c r="U73" i="8"/>
  <c r="Y73" i="8"/>
  <c r="M73" i="8"/>
  <c r="Q73" i="8"/>
  <c r="I73" i="8"/>
  <c r="E73" i="8"/>
  <c r="D419" i="8"/>
  <c r="H419" i="8"/>
  <c r="L419" i="8"/>
  <c r="P419" i="8"/>
  <c r="E419" i="8"/>
  <c r="I419" i="8"/>
  <c r="M419" i="8"/>
  <c r="Q419" i="8"/>
  <c r="V419" i="8"/>
  <c r="F419" i="8"/>
  <c r="J419" i="8"/>
  <c r="N419" i="8"/>
  <c r="R419" i="8"/>
  <c r="W419" i="8"/>
  <c r="T419" i="8"/>
  <c r="K419" i="8"/>
  <c r="U419" i="8"/>
  <c r="C419" i="8"/>
  <c r="X419" i="8"/>
  <c r="O419" i="8"/>
  <c r="Y419" i="8"/>
  <c r="G419" i="8"/>
  <c r="S418" i="8"/>
  <c r="F520" i="8"/>
  <c r="J520" i="8"/>
  <c r="N520" i="8"/>
  <c r="R520" i="8"/>
  <c r="E520" i="8"/>
  <c r="I520" i="8"/>
  <c r="M520" i="8"/>
  <c r="Q520" i="8"/>
  <c r="P520" i="8"/>
  <c r="G520" i="8"/>
  <c r="O520" i="8"/>
  <c r="H520" i="8"/>
  <c r="K520" i="8"/>
  <c r="D520" i="8"/>
  <c r="L520" i="8"/>
  <c r="C520" i="8"/>
  <c r="S519" i="8"/>
  <c r="S715" i="8"/>
  <c r="X716" i="8"/>
  <c r="M716" i="8"/>
  <c r="T716" i="8"/>
  <c r="G716" i="8"/>
  <c r="N266" i="8"/>
  <c r="Q716" i="8"/>
  <c r="W716" i="8"/>
  <c r="W266" i="8"/>
  <c r="L267" i="8"/>
  <c r="O267" i="8"/>
  <c r="C267" i="8"/>
  <c r="K267" i="8"/>
  <c r="D267" i="8"/>
  <c r="F267" i="8"/>
  <c r="R267" i="8"/>
  <c r="E267" i="8"/>
  <c r="Q267" i="8"/>
  <c r="N267" i="8"/>
  <c r="G267" i="8"/>
  <c r="B74" i="8"/>
  <c r="S266" i="8"/>
  <c r="S166" i="8"/>
  <c r="O717" i="8"/>
  <c r="Y717" i="8"/>
  <c r="J717" i="8"/>
  <c r="D717" i="8"/>
  <c r="M717" i="8"/>
  <c r="E717" i="8"/>
  <c r="N717" i="8"/>
  <c r="X717" i="8"/>
  <c r="H717" i="8"/>
  <c r="C717" i="8"/>
  <c r="L717" i="8"/>
  <c r="V717" i="8"/>
  <c r="G717" i="8"/>
  <c r="P717" i="8"/>
  <c r="B718" i="8"/>
  <c r="B618" i="8"/>
  <c r="U267" i="8"/>
  <c r="T267" i="8"/>
  <c r="W267" i="8"/>
  <c r="Y267" i="8"/>
  <c r="B268" i="8"/>
  <c r="X520" i="8"/>
  <c r="U520" i="8"/>
  <c r="W520" i="8"/>
  <c r="T520" i="8"/>
  <c r="Y520" i="8"/>
  <c r="B521" i="8"/>
  <c r="B420" i="8"/>
  <c r="X167" i="8"/>
  <c r="Y167" i="8"/>
  <c r="T167" i="8"/>
  <c r="W167" i="8"/>
  <c r="U167" i="8"/>
  <c r="V167" i="8"/>
  <c r="X168" i="8" a="1"/>
  <c r="F74" i="8" a="1"/>
  <c r="D268" i="8" a="1"/>
  <c r="Q618" i="8" a="1"/>
  <c r="X521" i="8" a="1"/>
  <c r="N74" i="8" a="1"/>
  <c r="I420" i="8" a="1"/>
  <c r="J74" i="8" a="1"/>
  <c r="C718" i="8" a="1"/>
  <c r="H74" i="8" a="1"/>
  <c r="R268" i="8" a="1"/>
  <c r="Y168" i="8" a="1"/>
  <c r="O618" i="8" a="1"/>
  <c r="H618" i="8" a="1"/>
  <c r="V267" i="8" a="1"/>
  <c r="G268" i="8" a="1"/>
  <c r="U521" i="8" a="1"/>
  <c r="E718" i="8" a="1"/>
  <c r="C420" i="8" a="1"/>
  <c r="M268" i="8" a="1"/>
  <c r="G74" i="8" a="1"/>
  <c r="N420" i="8" a="1"/>
  <c r="N618" i="8" a="1"/>
  <c r="J618" i="8" a="1"/>
  <c r="T717" i="8" a="1"/>
  <c r="Q718" i="8" a="1"/>
  <c r="D420" i="8" a="1"/>
  <c r="T420" i="8" a="1"/>
  <c r="K420" i="8" a="1"/>
  <c r="N268" i="8" a="1"/>
  <c r="K74" i="8" a="1"/>
  <c r="E74" i="8" a="1"/>
  <c r="P618" i="8" a="1"/>
  <c r="F268" i="8" a="1"/>
  <c r="H267" i="8" a="1"/>
  <c r="T718" i="8" a="1"/>
  <c r="D718" i="8" a="1"/>
  <c r="W268" i="8" a="1"/>
  <c r="R74" i="8" a="1"/>
  <c r="P74" i="8" a="1"/>
  <c r="Y420" i="8" a="1"/>
  <c r="D74" i="8" a="1"/>
  <c r="V420" i="8" a="1"/>
  <c r="W168" i="8" a="1"/>
  <c r="O74" i="8" a="1"/>
  <c r="W717" i="8" a="1"/>
  <c r="K268" i="8" a="1"/>
  <c r="F718" i="8" a="1"/>
  <c r="L618" i="8" a="1"/>
  <c r="G718" i="8" a="1"/>
  <c r="E521" i="8" a="1"/>
  <c r="V74" i="8" a="1"/>
  <c r="L718" i="8" a="1"/>
  <c r="U618" i="8" a="1"/>
  <c r="I521" i="8" a="1"/>
  <c r="M267" i="8" a="1"/>
  <c r="X268" i="8" a="1"/>
  <c r="V268" i="8" a="1"/>
  <c r="J521" i="8" a="1"/>
  <c r="L521" i="8" a="1"/>
  <c r="R420" i="8" a="1"/>
  <c r="K521" i="8" a="1"/>
  <c r="D618" i="8" a="1"/>
  <c r="N521" i="8" a="1"/>
  <c r="T74" i="8" a="1"/>
  <c r="U168" i="8" a="1"/>
  <c r="R718" i="8" a="1"/>
  <c r="T618" i="8" a="1"/>
  <c r="I618" i="8" a="1"/>
  <c r="U74" i="8" a="1"/>
  <c r="V618" i="8" a="1"/>
  <c r="R521" i="8" a="1"/>
  <c r="C618" i="8" a="1"/>
  <c r="H521" i="8" a="1"/>
  <c r="F717" i="8" a="1"/>
  <c r="X718" i="8" a="1"/>
  <c r="M420" i="8" a="1"/>
  <c r="K717" i="8" a="1"/>
  <c r="Q74" i="8" a="1"/>
  <c r="I267" i="8" a="1"/>
  <c r="Q521" i="8" a="1"/>
  <c r="E420" i="8" a="1"/>
  <c r="W420" i="8" a="1"/>
  <c r="P521" i="8" a="1"/>
  <c r="V520" i="8" a="1"/>
  <c r="Y268" i="8" a="1"/>
  <c r="P718" i="8" a="1"/>
  <c r="P267" i="8" a="1"/>
  <c r="H268" i="8" a="1"/>
  <c r="T521" i="8" a="1"/>
  <c r="L268" i="8" a="1"/>
  <c r="N718" i="8" a="1"/>
  <c r="M74" i="8" a="1"/>
  <c r="X618" i="8" a="1"/>
  <c r="M618" i="8" a="1"/>
  <c r="W618" i="8" a="1"/>
  <c r="R618" i="8" a="1"/>
  <c r="V168" i="8" a="1"/>
  <c r="C74" i="8" a="1"/>
  <c r="E618" i="8" a="1"/>
  <c r="R717" i="8" a="1"/>
  <c r="J718" i="8" a="1"/>
  <c r="G420" i="8" a="1"/>
  <c r="I717" i="8" a="1"/>
  <c r="I718" i="8" a="1"/>
  <c r="F521" i="8" a="1"/>
  <c r="I268" i="8" a="1"/>
  <c r="J420" i="8" a="1"/>
  <c r="G618" i="8" a="1"/>
  <c r="K718" i="8" a="1"/>
  <c r="Y618" i="8" a="1"/>
  <c r="O420" i="8" a="1"/>
  <c r="X267" i="8" a="1"/>
  <c r="V718" i="8" a="1"/>
  <c r="X420" i="8" a="1"/>
  <c r="L420" i="8" a="1"/>
  <c r="X74" i="8" a="1"/>
  <c r="V521" i="8" a="1"/>
  <c r="Y74" i="8" a="1"/>
  <c r="J267" i="8" a="1"/>
  <c r="W74" i="8" a="1"/>
  <c r="U268" i="8" a="1"/>
  <c r="Y718" i="8" a="1"/>
  <c r="T268" i="8" a="1"/>
  <c r="Q717" i="8" a="1"/>
  <c r="Q268" i="8" a="1"/>
  <c r="C268" i="8" a="1"/>
  <c r="H718" i="8" a="1"/>
  <c r="U717" i="8" a="1"/>
  <c r="O268" i="8" a="1"/>
  <c r="O521" i="8" a="1"/>
  <c r="P268" i="8" a="1"/>
  <c r="W718" i="8" a="1"/>
  <c r="T168" i="8" a="1"/>
  <c r="M521" i="8" a="1"/>
  <c r="H420" i="8" a="1"/>
  <c r="W521" i="8" a="1"/>
  <c r="D521" i="8" a="1"/>
  <c r="Y521" i="8" a="1"/>
  <c r="F618" i="8" a="1"/>
  <c r="M718" i="8" a="1"/>
  <c r="K618" i="8" a="1"/>
  <c r="G521" i="8" a="1"/>
  <c r="U420" i="8" a="1"/>
  <c r="Q420" i="8" a="1"/>
  <c r="J268" i="8" a="1"/>
  <c r="C521" i="8" a="1"/>
  <c r="E268" i="8" a="1"/>
  <c r="F420" i="8" a="1"/>
  <c r="I74" i="8" a="1"/>
  <c r="L74" i="8" a="1"/>
  <c r="P420" i="8" a="1"/>
  <c r="O718" i="8" a="1"/>
  <c r="S617" i="8" l="1"/>
  <c r="D618" i="8"/>
  <c r="H618" i="8"/>
  <c r="L618" i="8"/>
  <c r="P618" i="8"/>
  <c r="E618" i="8"/>
  <c r="I618" i="8"/>
  <c r="M618" i="8"/>
  <c r="Q618" i="8"/>
  <c r="F618" i="8"/>
  <c r="J618" i="8"/>
  <c r="N618" i="8"/>
  <c r="R618" i="8"/>
  <c r="W618" i="8"/>
  <c r="C618" i="8"/>
  <c r="G618" i="8"/>
  <c r="K618" i="8"/>
  <c r="O618" i="8"/>
  <c r="Y618" i="8"/>
  <c r="T618" i="8"/>
  <c r="U618" i="8"/>
  <c r="V618" i="8"/>
  <c r="X618" i="8"/>
  <c r="S73" i="8"/>
  <c r="V420" i="8"/>
  <c r="W420" i="8"/>
  <c r="C420" i="8"/>
  <c r="G420" i="8"/>
  <c r="K420" i="8"/>
  <c r="O420" i="8"/>
  <c r="T420" i="8"/>
  <c r="X420" i="8"/>
  <c r="D420" i="8"/>
  <c r="H420" i="8"/>
  <c r="L420" i="8"/>
  <c r="P420" i="8"/>
  <c r="F420" i="8"/>
  <c r="Q420" i="8"/>
  <c r="R420" i="8"/>
  <c r="I420" i="8"/>
  <c r="U420" i="8"/>
  <c r="J420" i="8"/>
  <c r="M420" i="8"/>
  <c r="Y420" i="8"/>
  <c r="N420" i="8"/>
  <c r="E420" i="8"/>
  <c r="C74" i="8"/>
  <c r="G74" i="8"/>
  <c r="K74" i="8"/>
  <c r="O74" i="8"/>
  <c r="T74" i="8"/>
  <c r="X74" i="8"/>
  <c r="D74" i="8"/>
  <c r="H74" i="8"/>
  <c r="L74" i="8"/>
  <c r="P74" i="8"/>
  <c r="U74" i="8"/>
  <c r="Y74" i="8"/>
  <c r="E74" i="8"/>
  <c r="I74" i="8"/>
  <c r="M74" i="8"/>
  <c r="Q74" i="8"/>
  <c r="V74" i="8"/>
  <c r="F74" i="8"/>
  <c r="J74" i="8"/>
  <c r="N74" i="8"/>
  <c r="R74" i="8"/>
  <c r="W74" i="8"/>
  <c r="S419" i="8"/>
  <c r="F521" i="8"/>
  <c r="J521" i="8"/>
  <c r="N521" i="8"/>
  <c r="R521" i="8"/>
  <c r="C521" i="8"/>
  <c r="G521" i="8"/>
  <c r="K521" i="8"/>
  <c r="O521" i="8"/>
  <c r="D521" i="8"/>
  <c r="H521" i="8"/>
  <c r="L521" i="8"/>
  <c r="P521" i="8"/>
  <c r="I521" i="8"/>
  <c r="M521" i="8"/>
  <c r="E521" i="8"/>
  <c r="Q521" i="8"/>
  <c r="S716" i="8"/>
  <c r="U717" i="8"/>
  <c r="M267" i="8"/>
  <c r="F717" i="8"/>
  <c r="P267" i="8"/>
  <c r="H267" i="8"/>
  <c r="V520" i="8"/>
  <c r="S520" i="8" s="1"/>
  <c r="W717" i="8"/>
  <c r="X267" i="8"/>
  <c r="T717" i="8"/>
  <c r="S717" i="8" s="1"/>
  <c r="V267" i="8"/>
  <c r="I717" i="8"/>
  <c r="K717" i="8"/>
  <c r="R717" i="8"/>
  <c r="J267" i="8"/>
  <c r="I267" i="8"/>
  <c r="Q717" i="8"/>
  <c r="J268" i="8"/>
  <c r="E268" i="8"/>
  <c r="P268" i="8"/>
  <c r="L268" i="8"/>
  <c r="D268" i="8"/>
  <c r="I268" i="8"/>
  <c r="Q268" i="8"/>
  <c r="K268" i="8"/>
  <c r="H268" i="8"/>
  <c r="G268" i="8"/>
  <c r="F268" i="8"/>
  <c r="M268" i="8"/>
  <c r="C268" i="8"/>
  <c r="O268" i="8"/>
  <c r="N268" i="8"/>
  <c r="R268" i="8"/>
  <c r="B75" i="8"/>
  <c r="S167" i="8"/>
  <c r="L718" i="8"/>
  <c r="V718" i="8"/>
  <c r="G718" i="8"/>
  <c r="P718" i="8"/>
  <c r="K718" i="8"/>
  <c r="F718" i="8"/>
  <c r="X718" i="8"/>
  <c r="Y718" i="8"/>
  <c r="J718" i="8"/>
  <c r="O718" i="8"/>
  <c r="E718" i="8"/>
  <c r="N718" i="8"/>
  <c r="T718" i="8"/>
  <c r="I718" i="8"/>
  <c r="R718" i="8"/>
  <c r="D718" i="8"/>
  <c r="M718" i="8"/>
  <c r="W718" i="8"/>
  <c r="H718" i="8"/>
  <c r="Q718" i="8"/>
  <c r="C718" i="8"/>
  <c r="B719" i="8"/>
  <c r="B619" i="8"/>
  <c r="X268" i="8"/>
  <c r="W268" i="8"/>
  <c r="Y268" i="8"/>
  <c r="V268" i="8"/>
  <c r="U268" i="8"/>
  <c r="T268" i="8"/>
  <c r="B269" i="8"/>
  <c r="V521" i="8"/>
  <c r="T521" i="8"/>
  <c r="U521" i="8"/>
  <c r="W521" i="8"/>
  <c r="X521" i="8"/>
  <c r="Y521" i="8"/>
  <c r="B522" i="8"/>
  <c r="B421" i="8"/>
  <c r="W168" i="8"/>
  <c r="V168" i="8"/>
  <c r="Y168" i="8"/>
  <c r="U168" i="8"/>
  <c r="X168" i="8"/>
  <c r="T168" i="8"/>
  <c r="K619" i="8" a="1"/>
  <c r="N619" i="8" a="1"/>
  <c r="P421" i="8" a="1"/>
  <c r="O619" i="8" a="1"/>
  <c r="K522" i="8" a="1"/>
  <c r="E75" i="8" a="1"/>
  <c r="U269" i="8" a="1"/>
  <c r="F619" i="8" a="1"/>
  <c r="F269" i="8" a="1"/>
  <c r="W421" i="8" a="1"/>
  <c r="T421" i="8" a="1"/>
  <c r="E522" i="8" a="1"/>
  <c r="C719" i="8" a="1"/>
  <c r="U619" i="8" a="1"/>
  <c r="X719" i="8" a="1"/>
  <c r="N421" i="8" a="1"/>
  <c r="I619" i="8" a="1"/>
  <c r="Y619" i="8" a="1"/>
  <c r="R75" i="8" a="1"/>
  <c r="F719" i="8" a="1"/>
  <c r="C269" i="8" a="1"/>
  <c r="I522" i="8" a="1"/>
  <c r="Q421" i="8" a="1"/>
  <c r="H719" i="8" a="1"/>
  <c r="H421" i="8" a="1"/>
  <c r="F421" i="8" a="1"/>
  <c r="F75" i="8" a="1"/>
  <c r="M421" i="8" a="1"/>
  <c r="G619" i="8" a="1"/>
  <c r="T619" i="8" a="1"/>
  <c r="N75" i="8" a="1"/>
  <c r="W269" i="8" a="1"/>
  <c r="U169" i="8" a="1"/>
  <c r="Q522" i="8" a="1"/>
  <c r="G421" i="8" a="1"/>
  <c r="Y719" i="8" a="1"/>
  <c r="K75" i="8" a="1"/>
  <c r="K719" i="8" a="1"/>
  <c r="X75" i="8" a="1"/>
  <c r="V421" i="8" a="1"/>
  <c r="Q269" i="8" a="1"/>
  <c r="H522" i="8" a="1"/>
  <c r="I719" i="8" a="1"/>
  <c r="I75" i="8" a="1"/>
  <c r="X269" i="8" a="1"/>
  <c r="Q75" i="8" a="1"/>
  <c r="R269" i="8" a="1"/>
  <c r="Y75" i="8" a="1"/>
  <c r="J75" i="8" a="1"/>
  <c r="Q719" i="8" a="1"/>
  <c r="L421" i="8" a="1"/>
  <c r="P619" i="8" a="1"/>
  <c r="G269" i="8" a="1"/>
  <c r="R719" i="8" a="1"/>
  <c r="K269" i="8" a="1"/>
  <c r="J522" i="8" a="1"/>
  <c r="E719" i="8" a="1"/>
  <c r="N522" i="8" a="1"/>
  <c r="R522" i="8" a="1"/>
  <c r="O75" i="8" a="1"/>
  <c r="M619" i="8" a="1"/>
  <c r="W169" i="8" a="1"/>
  <c r="I269" i="8" a="1"/>
  <c r="W75" i="8" a="1"/>
  <c r="P522" i="8" a="1"/>
  <c r="O421" i="8" a="1"/>
  <c r="T75" i="8" a="1"/>
  <c r="D421" i="8" a="1"/>
  <c r="D75" i="8" a="1"/>
  <c r="U421" i="8" a="1"/>
  <c r="O522" i="8" a="1"/>
  <c r="J719" i="8" a="1"/>
  <c r="T169" i="8" a="1"/>
  <c r="C75" i="8" a="1"/>
  <c r="G75" i="8" a="1"/>
  <c r="G719" i="8" a="1"/>
  <c r="T269" i="8" a="1"/>
  <c r="J421" i="8" a="1"/>
  <c r="N269" i="8" a="1"/>
  <c r="V75" i="8" a="1"/>
  <c r="K421" i="8" a="1"/>
  <c r="J619" i="8" a="1"/>
  <c r="M269" i="8" a="1"/>
  <c r="U75" i="8" a="1"/>
  <c r="O269" i="8" a="1"/>
  <c r="W719" i="8" a="1"/>
  <c r="G522" i="8" a="1"/>
  <c r="Y421" i="8" a="1"/>
  <c r="H269" i="8" a="1"/>
  <c r="D522" i="8" a="1"/>
  <c r="Y169" i="8" a="1"/>
  <c r="D269" i="8" a="1"/>
  <c r="V169" i="8" a="1"/>
  <c r="C619" i="8" a="1"/>
  <c r="C421" i="8" a="1"/>
  <c r="R619" i="8" a="1"/>
  <c r="C522" i="8" a="1"/>
  <c r="L75" i="8" a="1"/>
  <c r="E269" i="8" a="1"/>
  <c r="V719" i="8" a="1"/>
  <c r="P269" i="8" a="1"/>
  <c r="M75" i="8" a="1"/>
  <c r="O719" i="8" a="1"/>
  <c r="F522" i="8" a="1"/>
  <c r="H75" i="8" a="1"/>
  <c r="D619" i="8" a="1"/>
  <c r="L619" i="8" a="1"/>
  <c r="L522" i="8" a="1"/>
  <c r="L719" i="8" a="1"/>
  <c r="L269" i="8" a="1"/>
  <c r="X619" i="8" a="1"/>
  <c r="P719" i="8" a="1"/>
  <c r="R421" i="8" a="1"/>
  <c r="E619" i="8" a="1"/>
  <c r="M522" i="8" a="1"/>
  <c r="Y269" i="8" a="1"/>
  <c r="D719" i="8" a="1"/>
  <c r="T719" i="8" a="1"/>
  <c r="X169" i="8" a="1"/>
  <c r="H619" i="8" a="1"/>
  <c r="W619" i="8" a="1"/>
  <c r="V619" i="8" a="1"/>
  <c r="P75" i="8" a="1"/>
  <c r="Q619" i="8" a="1"/>
  <c r="U718" i="8" a="1"/>
  <c r="X421" i="8" a="1"/>
  <c r="E421" i="8" a="1"/>
  <c r="I421" i="8" a="1"/>
  <c r="J269" i="8" a="1"/>
  <c r="N719" i="8" a="1"/>
  <c r="U719" i="8" a="1"/>
  <c r="M719" i="8" a="1"/>
  <c r="V269" i="8" a="1"/>
  <c r="V619" i="8" l="1"/>
  <c r="W619" i="8"/>
  <c r="T619" i="8"/>
  <c r="X619" i="8"/>
  <c r="D619" i="8"/>
  <c r="H619" i="8"/>
  <c r="L619" i="8"/>
  <c r="P619" i="8"/>
  <c r="U619" i="8"/>
  <c r="Y619" i="8"/>
  <c r="C619" i="8"/>
  <c r="N619" i="8"/>
  <c r="E619" i="8"/>
  <c r="O619" i="8"/>
  <c r="F619" i="8"/>
  <c r="Q619" i="8"/>
  <c r="M619" i="8"/>
  <c r="G619" i="8"/>
  <c r="R619" i="8"/>
  <c r="I619" i="8"/>
  <c r="J619" i="8"/>
  <c r="K619" i="8"/>
  <c r="S618" i="8"/>
  <c r="S420" i="8"/>
  <c r="U421" i="8"/>
  <c r="E421" i="8"/>
  <c r="I421" i="8"/>
  <c r="M421" i="8"/>
  <c r="Q421" i="8"/>
  <c r="V421" i="8"/>
  <c r="P421" i="8"/>
  <c r="D421" i="8"/>
  <c r="K421" i="8"/>
  <c r="R421" i="8"/>
  <c r="X421" i="8"/>
  <c r="F421" i="8"/>
  <c r="L421" i="8"/>
  <c r="Y421" i="8"/>
  <c r="G421" i="8"/>
  <c r="N421" i="8"/>
  <c r="T421" i="8"/>
  <c r="H421" i="8"/>
  <c r="O421" i="8"/>
  <c r="C421" i="8"/>
  <c r="J421" i="8"/>
  <c r="W421" i="8"/>
  <c r="U75" i="8"/>
  <c r="Y75" i="8"/>
  <c r="E75" i="8"/>
  <c r="I75" i="8"/>
  <c r="M75" i="8"/>
  <c r="Q75" i="8"/>
  <c r="V75" i="8"/>
  <c r="F75" i="8"/>
  <c r="J75" i="8"/>
  <c r="N75" i="8"/>
  <c r="R75" i="8"/>
  <c r="W75" i="8"/>
  <c r="C75" i="8"/>
  <c r="G75" i="8"/>
  <c r="K75" i="8"/>
  <c r="O75" i="8"/>
  <c r="T75" i="8"/>
  <c r="X75" i="8"/>
  <c r="D75" i="8"/>
  <c r="H75" i="8"/>
  <c r="L75" i="8"/>
  <c r="P75" i="8"/>
  <c r="S74" i="8"/>
  <c r="E522" i="8"/>
  <c r="I522" i="8"/>
  <c r="M522" i="8"/>
  <c r="Q522" i="8"/>
  <c r="D522" i="8"/>
  <c r="H522" i="8"/>
  <c r="L522" i="8"/>
  <c r="P522" i="8"/>
  <c r="O522" i="8"/>
  <c r="F522" i="8"/>
  <c r="G522" i="8"/>
  <c r="R522" i="8"/>
  <c r="J522" i="8"/>
  <c r="K522" i="8"/>
  <c r="C522" i="8"/>
  <c r="N522" i="8"/>
  <c r="S521" i="8"/>
  <c r="S267" i="8"/>
  <c r="U718" i="8"/>
  <c r="K269" i="8"/>
  <c r="J269" i="8"/>
  <c r="G269" i="8"/>
  <c r="R269" i="8"/>
  <c r="E269" i="8"/>
  <c r="F269" i="8"/>
  <c r="L269" i="8"/>
  <c r="I269" i="8"/>
  <c r="H269" i="8"/>
  <c r="O269" i="8"/>
  <c r="M269" i="8"/>
  <c r="N269" i="8"/>
  <c r="D269" i="8"/>
  <c r="C269" i="8"/>
  <c r="Q269" i="8"/>
  <c r="P269" i="8"/>
  <c r="B76" i="8"/>
  <c r="S268" i="8"/>
  <c r="S168" i="8"/>
  <c r="S718" i="8"/>
  <c r="I719" i="8"/>
  <c r="R719" i="8"/>
  <c r="H719" i="8"/>
  <c r="Q719" i="8"/>
  <c r="C719" i="8"/>
  <c r="V719" i="8"/>
  <c r="D719" i="8"/>
  <c r="Y719" i="8"/>
  <c r="T719" i="8"/>
  <c r="E719" i="8"/>
  <c r="X719" i="8"/>
  <c r="M719" i="8"/>
  <c r="W719" i="8"/>
  <c r="L719" i="8"/>
  <c r="P719" i="8"/>
  <c r="G719" i="8"/>
  <c r="J719" i="8"/>
  <c r="K719" i="8"/>
  <c r="U719" i="8"/>
  <c r="F719" i="8"/>
  <c r="O719" i="8"/>
  <c r="N719" i="8"/>
  <c r="B620" i="8"/>
  <c r="B720" i="8"/>
  <c r="U269" i="8"/>
  <c r="V269" i="8"/>
  <c r="T269" i="8"/>
  <c r="Y269" i="8"/>
  <c r="X269" i="8"/>
  <c r="W269" i="8"/>
  <c r="B270" i="8"/>
  <c r="B523" i="8"/>
  <c r="B422" i="8"/>
  <c r="U169" i="8"/>
  <c r="V169" i="8"/>
  <c r="X169" i="8"/>
  <c r="T169" i="8"/>
  <c r="W169" i="8"/>
  <c r="Y169" i="8"/>
  <c r="V422" i="8" a="1"/>
  <c r="V76" i="8" a="1"/>
  <c r="H422" i="8" a="1"/>
  <c r="T76" i="8" a="1"/>
  <c r="P620" i="8" a="1"/>
  <c r="J422" i="8" a="1"/>
  <c r="I270" i="8" a="1"/>
  <c r="X270" i="8" a="1"/>
  <c r="L270" i="8" a="1"/>
  <c r="D620" i="8" a="1"/>
  <c r="O76" i="8" a="1"/>
  <c r="K422" i="8" a="1"/>
  <c r="O270" i="8" a="1"/>
  <c r="D76" i="8" a="1"/>
  <c r="T522" i="8" a="1"/>
  <c r="X522" i="8" a="1"/>
  <c r="G523" i="8" a="1"/>
  <c r="W76" i="8" a="1"/>
  <c r="J620" i="8" a="1"/>
  <c r="Y620" i="8" a="1"/>
  <c r="T170" i="8" a="1"/>
  <c r="N523" i="8" a="1"/>
  <c r="F422" i="8" a="1"/>
  <c r="C523" i="8" a="1"/>
  <c r="X422" i="8" a="1"/>
  <c r="U620" i="8" a="1"/>
  <c r="X76" i="8" a="1"/>
  <c r="C270" i="8" a="1"/>
  <c r="J270" i="8" a="1"/>
  <c r="J76" i="8" a="1"/>
  <c r="V170" i="8" a="1"/>
  <c r="P270" i="8" a="1"/>
  <c r="Y720" i="8" a="1"/>
  <c r="L620" i="8" a="1"/>
  <c r="O620" i="8" a="1"/>
  <c r="J523" i="8" a="1"/>
  <c r="U522" i="8" a="1"/>
  <c r="L76" i="8" a="1"/>
  <c r="L523" i="8" a="1"/>
  <c r="E620" i="8" a="1"/>
  <c r="E720" i="8" a="1"/>
  <c r="G422" i="8" a="1"/>
  <c r="H523" i="8" a="1"/>
  <c r="I76" i="8" a="1"/>
  <c r="W620" i="8" a="1"/>
  <c r="V270" i="8" a="1"/>
  <c r="F270" i="8" a="1"/>
  <c r="E76" i="8" a="1"/>
  <c r="K270" i="8" a="1"/>
  <c r="U270" i="8" a="1"/>
  <c r="M620" i="8" a="1"/>
  <c r="K620" i="8" a="1"/>
  <c r="W422" i="8" a="1"/>
  <c r="T620" i="8" a="1"/>
  <c r="C620" i="8" a="1"/>
  <c r="O422" i="8" a="1"/>
  <c r="O720" i="8" a="1"/>
  <c r="M422" i="8" a="1"/>
  <c r="G620" i="8" a="1"/>
  <c r="D523" i="8" a="1"/>
  <c r="L422" i="8" a="1"/>
  <c r="U76" i="8" a="1"/>
  <c r="H76" i="8" a="1"/>
  <c r="F523" i="8" a="1"/>
  <c r="I523" i="8" a="1"/>
  <c r="M270" i="8" a="1"/>
  <c r="X720" i="8" a="1"/>
  <c r="G76" i="8" a="1"/>
  <c r="W523" i="8" a="1"/>
  <c r="Q76" i="8" a="1"/>
  <c r="P523" i="8" a="1"/>
  <c r="C422" i="8" a="1"/>
  <c r="Y422" i="8" a="1"/>
  <c r="I422" i="8" a="1"/>
  <c r="U170" i="8" a="1"/>
  <c r="W170" i="8" a="1"/>
  <c r="R720" i="8" a="1"/>
  <c r="M76" i="8" a="1"/>
  <c r="H720" i="8" a="1"/>
  <c r="Y76" i="8" a="1"/>
  <c r="N720" i="8" a="1"/>
  <c r="R422" i="8" a="1"/>
  <c r="N422" i="8" a="1"/>
  <c r="R76" i="8" a="1"/>
  <c r="T270" i="8" a="1"/>
  <c r="N620" i="8" a="1"/>
  <c r="V522" i="8" a="1"/>
  <c r="G720" i="8" a="1"/>
  <c r="P76" i="8" a="1"/>
  <c r="F76" i="8" a="1"/>
  <c r="Q720" i="8" a="1"/>
  <c r="T422" i="8" a="1"/>
  <c r="Y170" i="8" a="1"/>
  <c r="Q523" i="8" a="1"/>
  <c r="E422" i="8" a="1"/>
  <c r="P422" i="8" a="1"/>
  <c r="Y522" i="8" a="1"/>
  <c r="N270" i="8" a="1"/>
  <c r="Q422" i="8" a="1"/>
  <c r="V620" i="8" a="1"/>
  <c r="K523" i="8" a="1"/>
  <c r="X620" i="8" a="1"/>
  <c r="R523" i="8" a="1"/>
  <c r="C76" i="8" a="1"/>
  <c r="I620" i="8" a="1"/>
  <c r="H620" i="8" a="1"/>
  <c r="K76" i="8" a="1"/>
  <c r="F620" i="8" a="1"/>
  <c r="R620" i="8" a="1"/>
  <c r="U422" i="8" a="1"/>
  <c r="X170" i="8" a="1"/>
  <c r="X523" i="8" a="1"/>
  <c r="W522" i="8" a="1"/>
  <c r="M523" i="8" a="1"/>
  <c r="D270" i="8" a="1"/>
  <c r="Y523" i="8" a="1"/>
  <c r="O523" i="8" a="1"/>
  <c r="D422" i="8" a="1"/>
  <c r="N76" i="8" a="1"/>
  <c r="F720" i="8" a="1"/>
  <c r="Q620" i="8" a="1"/>
  <c r="Y270" i="8" a="1"/>
  <c r="E270" i="8" a="1"/>
  <c r="E523" i="8" a="1"/>
  <c r="C620" i="8" l="1"/>
  <c r="G620" i="8"/>
  <c r="K620" i="8"/>
  <c r="O620" i="8"/>
  <c r="D620" i="8"/>
  <c r="H620" i="8"/>
  <c r="L620" i="8"/>
  <c r="P620" i="8"/>
  <c r="E620" i="8"/>
  <c r="I620" i="8"/>
  <c r="M620" i="8"/>
  <c r="Q620" i="8"/>
  <c r="V620" i="8"/>
  <c r="F620" i="8"/>
  <c r="J620" i="8"/>
  <c r="N620" i="8"/>
  <c r="R620" i="8"/>
  <c r="X620" i="8"/>
  <c r="Y620" i="8"/>
  <c r="W620" i="8"/>
  <c r="T620" i="8"/>
  <c r="U620" i="8"/>
  <c r="S619" i="8"/>
  <c r="S75" i="8"/>
  <c r="C422" i="8"/>
  <c r="V422" i="8"/>
  <c r="F422" i="8"/>
  <c r="J422" i="8"/>
  <c r="N422" i="8"/>
  <c r="R422" i="8"/>
  <c r="W422" i="8"/>
  <c r="G422" i="8"/>
  <c r="K422" i="8"/>
  <c r="O422" i="8"/>
  <c r="T422" i="8"/>
  <c r="X422" i="8"/>
  <c r="D422" i="8"/>
  <c r="H422" i="8"/>
  <c r="L422" i="8"/>
  <c r="P422" i="8"/>
  <c r="U422" i="8"/>
  <c r="Y422" i="8"/>
  <c r="I422" i="8"/>
  <c r="M422" i="8"/>
  <c r="Q422" i="8"/>
  <c r="E422" i="8"/>
  <c r="F76" i="8"/>
  <c r="J76" i="8"/>
  <c r="N76" i="8"/>
  <c r="R76" i="8"/>
  <c r="W76" i="8"/>
  <c r="C76" i="8"/>
  <c r="G76" i="8"/>
  <c r="K76" i="8"/>
  <c r="O76" i="8"/>
  <c r="T76" i="8"/>
  <c r="X76" i="8"/>
  <c r="D76" i="8"/>
  <c r="H76" i="8"/>
  <c r="L76" i="8"/>
  <c r="P76" i="8"/>
  <c r="U76" i="8"/>
  <c r="Y76" i="8"/>
  <c r="E76" i="8"/>
  <c r="I76" i="8"/>
  <c r="M76" i="8"/>
  <c r="Q76" i="8"/>
  <c r="V76" i="8"/>
  <c r="S421" i="8"/>
  <c r="E523" i="8"/>
  <c r="I523" i="8"/>
  <c r="M523" i="8"/>
  <c r="Q523" i="8"/>
  <c r="F523" i="8"/>
  <c r="J523" i="8"/>
  <c r="N523" i="8"/>
  <c r="R523" i="8"/>
  <c r="C523" i="8"/>
  <c r="G523" i="8"/>
  <c r="K523" i="8"/>
  <c r="O523" i="8"/>
  <c r="L523" i="8"/>
  <c r="D523" i="8"/>
  <c r="H523" i="8"/>
  <c r="P523" i="8"/>
  <c r="V522" i="8"/>
  <c r="U522" i="8"/>
  <c r="W522" i="8"/>
  <c r="Y522" i="8"/>
  <c r="X522" i="8"/>
  <c r="T522" i="8"/>
  <c r="O270" i="8"/>
  <c r="J270" i="8"/>
  <c r="C270" i="8"/>
  <c r="E270" i="8"/>
  <c r="F270" i="8"/>
  <c r="P270" i="8"/>
  <c r="I270" i="8"/>
  <c r="L270" i="8"/>
  <c r="M270" i="8"/>
  <c r="K270" i="8"/>
  <c r="N270" i="8"/>
  <c r="D270" i="8"/>
  <c r="B77" i="8"/>
  <c r="S269" i="8"/>
  <c r="S169" i="8"/>
  <c r="S719" i="8"/>
  <c r="Q720" i="8"/>
  <c r="N720" i="8"/>
  <c r="X720" i="8"/>
  <c r="E720" i="8"/>
  <c r="H720" i="8"/>
  <c r="G720" i="8"/>
  <c r="F720" i="8"/>
  <c r="O720" i="8"/>
  <c r="Y720" i="8"/>
  <c r="R720" i="8"/>
  <c r="B721" i="8"/>
  <c r="B621" i="8"/>
  <c r="T270" i="8"/>
  <c r="V270" i="8"/>
  <c r="Y270" i="8"/>
  <c r="X270" i="8"/>
  <c r="U270" i="8"/>
  <c r="B271" i="8"/>
  <c r="W523" i="8"/>
  <c r="X523" i="8"/>
  <c r="Y523" i="8"/>
  <c r="B524" i="8"/>
  <c r="B423" i="8"/>
  <c r="V170" i="8"/>
  <c r="Y170" i="8"/>
  <c r="T170" i="8"/>
  <c r="W170" i="8"/>
  <c r="X170" i="8"/>
  <c r="U170" i="8"/>
  <c r="C423" i="8" a="1"/>
  <c r="E621" i="8" a="1"/>
  <c r="N524" i="8" a="1"/>
  <c r="K271" i="8" a="1"/>
  <c r="M524" i="8" a="1"/>
  <c r="L524" i="8" a="1"/>
  <c r="W77" i="8" a="1"/>
  <c r="W423" i="8" a="1"/>
  <c r="H423" i="8" a="1"/>
  <c r="G77" i="8" a="1"/>
  <c r="M423" i="8" a="1"/>
  <c r="U271" i="8" a="1"/>
  <c r="P77" i="8" a="1"/>
  <c r="D77" i="8" a="1"/>
  <c r="Y271" i="8" a="1"/>
  <c r="O423" i="8" a="1"/>
  <c r="J271" i="8" a="1"/>
  <c r="G621" i="8" a="1"/>
  <c r="J423" i="8" a="1"/>
  <c r="C621" i="8" a="1"/>
  <c r="L271" i="8" a="1"/>
  <c r="R77" i="8" a="1"/>
  <c r="W270" i="8" a="1"/>
  <c r="Y423" i="8" a="1"/>
  <c r="K720" i="8" a="1"/>
  <c r="T77" i="8" a="1"/>
  <c r="C720" i="8" a="1"/>
  <c r="L77" i="8" a="1"/>
  <c r="U720" i="8" a="1"/>
  <c r="M720" i="8" a="1"/>
  <c r="Q621" i="8" a="1"/>
  <c r="X171" i="8" a="1"/>
  <c r="K77" i="8" a="1"/>
  <c r="T271" i="8" a="1"/>
  <c r="V271" i="8" a="1"/>
  <c r="F524" i="8" a="1"/>
  <c r="H621" i="8" a="1"/>
  <c r="R621" i="8" a="1"/>
  <c r="V720" i="8" a="1"/>
  <c r="H524" i="8" a="1"/>
  <c r="J77" i="8" a="1"/>
  <c r="Q270" i="8" a="1"/>
  <c r="Q271" i="8" a="1"/>
  <c r="M271" i="8" a="1"/>
  <c r="Y621" i="8" a="1"/>
  <c r="F77" i="8" a="1"/>
  <c r="D621" i="8" a="1"/>
  <c r="I524" i="8" a="1"/>
  <c r="U523" i="8" a="1"/>
  <c r="U77" i="8" a="1"/>
  <c r="Q77" i="8" a="1"/>
  <c r="G423" i="8" a="1"/>
  <c r="M621" i="8" a="1"/>
  <c r="L720" i="8" a="1"/>
  <c r="O621" i="8" a="1"/>
  <c r="J621" i="8" a="1"/>
  <c r="H77" i="8" a="1"/>
  <c r="D423" i="8" a="1"/>
  <c r="G270" i="8" a="1"/>
  <c r="Q721" i="8" a="1"/>
  <c r="C271" i="8" a="1"/>
  <c r="I423" i="8" a="1"/>
  <c r="Y721" i="8" a="1"/>
  <c r="P720" i="8" a="1"/>
  <c r="E271" i="8" a="1"/>
  <c r="T423" i="8" a="1"/>
  <c r="V523" i="8" a="1"/>
  <c r="P271" i="8" a="1"/>
  <c r="L721" i="8" a="1"/>
  <c r="W721" i="8" a="1"/>
  <c r="R271" i="8" a="1"/>
  <c r="T171" i="8" a="1"/>
  <c r="K621" i="8" a="1"/>
  <c r="L423" i="8" a="1"/>
  <c r="W171" i="8" a="1"/>
  <c r="I621" i="8" a="1"/>
  <c r="F621" i="8" a="1"/>
  <c r="G524" i="8" a="1"/>
  <c r="C77" i="8" a="1"/>
  <c r="R270" i="8" a="1"/>
  <c r="M77" i="8" a="1"/>
  <c r="O271" i="8" a="1"/>
  <c r="D524" i="8" a="1"/>
  <c r="U171" i="8" a="1"/>
  <c r="E524" i="8" a="1"/>
  <c r="F423" i="8" a="1"/>
  <c r="G271" i="8" a="1"/>
  <c r="M721" i="8" a="1"/>
  <c r="J524" i="8" a="1"/>
  <c r="R423" i="8" a="1"/>
  <c r="I720" i="8" a="1"/>
  <c r="U423" i="8" a="1"/>
  <c r="I271" i="8" a="1"/>
  <c r="C524" i="8" a="1"/>
  <c r="X621" i="8" a="1"/>
  <c r="O524" i="8" a="1"/>
  <c r="W621" i="8" a="1"/>
  <c r="J721" i="8" a="1"/>
  <c r="K524" i="8" a="1"/>
  <c r="V171" i="8" a="1"/>
  <c r="T523" i="8" a="1"/>
  <c r="K721" i="8" a="1"/>
  <c r="N77" i="8" a="1"/>
  <c r="V77" i="8" a="1"/>
  <c r="E423" i="8" a="1"/>
  <c r="Y171" i="8" a="1"/>
  <c r="H270" i="8" a="1"/>
  <c r="O77" i="8" a="1"/>
  <c r="N621" i="8" a="1"/>
  <c r="F271" i="8" a="1"/>
  <c r="D720" i="8" a="1"/>
  <c r="V423" i="8" a="1"/>
  <c r="T720" i="8" a="1"/>
  <c r="T621" i="8" a="1"/>
  <c r="W720" i="8" a="1"/>
  <c r="X271" i="8" a="1"/>
  <c r="J720" i="8" a="1"/>
  <c r="R524" i="8" a="1"/>
  <c r="Q524" i="8" a="1"/>
  <c r="I77" i="8" a="1"/>
  <c r="D271" i="8" a="1"/>
  <c r="Q423" i="8" a="1"/>
  <c r="P721" i="8" a="1"/>
  <c r="Y77" i="8" a="1"/>
  <c r="U621" i="8" a="1"/>
  <c r="N271" i="8" a="1"/>
  <c r="F721" i="8" a="1"/>
  <c r="E77" i="8" a="1"/>
  <c r="P621" i="8" a="1"/>
  <c r="C721" i="8" a="1"/>
  <c r="K423" i="8" a="1"/>
  <c r="X77" i="8" a="1"/>
  <c r="N423" i="8" a="1"/>
  <c r="H271" i="8" a="1"/>
  <c r="X423" i="8" a="1"/>
  <c r="T721" i="8" a="1"/>
  <c r="P524" i="8" a="1"/>
  <c r="L621" i="8" a="1"/>
  <c r="P423" i="8" a="1"/>
  <c r="V621" i="8" a="1"/>
  <c r="V721" i="8" a="1"/>
  <c r="W271" i="8" a="1"/>
  <c r="S620" i="8" l="1"/>
  <c r="U621" i="8"/>
  <c r="Y621" i="8"/>
  <c r="V621" i="8"/>
  <c r="W621" i="8"/>
  <c r="C621" i="8"/>
  <c r="G621" i="8"/>
  <c r="K621" i="8"/>
  <c r="O621" i="8"/>
  <c r="T621" i="8"/>
  <c r="X621" i="8"/>
  <c r="L621" i="8"/>
  <c r="M621" i="8"/>
  <c r="J621" i="8"/>
  <c r="D621" i="8"/>
  <c r="N621" i="8"/>
  <c r="E621" i="8"/>
  <c r="P621" i="8"/>
  <c r="F621" i="8"/>
  <c r="Q621" i="8"/>
  <c r="H621" i="8"/>
  <c r="R621" i="8"/>
  <c r="I621" i="8"/>
  <c r="C423" i="8"/>
  <c r="G423" i="8"/>
  <c r="K423" i="8"/>
  <c r="O423" i="8"/>
  <c r="T423" i="8"/>
  <c r="X423" i="8"/>
  <c r="D423" i="8"/>
  <c r="H423" i="8"/>
  <c r="L423" i="8"/>
  <c r="P423" i="8"/>
  <c r="U423" i="8"/>
  <c r="Y423" i="8"/>
  <c r="E423" i="8"/>
  <c r="I423" i="8"/>
  <c r="M423" i="8"/>
  <c r="Q423" i="8"/>
  <c r="V423" i="8"/>
  <c r="F423" i="8"/>
  <c r="J423" i="8"/>
  <c r="N423" i="8"/>
  <c r="R423" i="8"/>
  <c r="W423" i="8"/>
  <c r="T77" i="8"/>
  <c r="X77" i="8"/>
  <c r="D77" i="8"/>
  <c r="H77" i="8"/>
  <c r="L77" i="8"/>
  <c r="P77" i="8"/>
  <c r="U77" i="8"/>
  <c r="Y77" i="8"/>
  <c r="E77" i="8"/>
  <c r="I77" i="8"/>
  <c r="M77" i="8"/>
  <c r="Q77" i="8"/>
  <c r="V77" i="8"/>
  <c r="F77" i="8"/>
  <c r="J77" i="8"/>
  <c r="N77" i="8"/>
  <c r="R77" i="8"/>
  <c r="W77" i="8"/>
  <c r="O77" i="8"/>
  <c r="C77" i="8"/>
  <c r="G77" i="8"/>
  <c r="K77" i="8"/>
  <c r="S76" i="8"/>
  <c r="S422" i="8"/>
  <c r="D524" i="8"/>
  <c r="H524" i="8"/>
  <c r="L524" i="8"/>
  <c r="P524" i="8"/>
  <c r="J524" i="8"/>
  <c r="R524" i="8"/>
  <c r="Q524" i="8"/>
  <c r="C524" i="8"/>
  <c r="K524" i="8"/>
  <c r="I524" i="8"/>
  <c r="E524" i="8"/>
  <c r="M524" i="8"/>
  <c r="F524" i="8"/>
  <c r="N524" i="8"/>
  <c r="G524" i="8"/>
  <c r="O524" i="8"/>
  <c r="S522" i="8"/>
  <c r="V720" i="8"/>
  <c r="H270" i="8"/>
  <c r="C720" i="8"/>
  <c r="T720" i="8"/>
  <c r="Q270" i="8"/>
  <c r="W270" i="8"/>
  <c r="P720" i="8"/>
  <c r="J720" i="8"/>
  <c r="L720" i="8"/>
  <c r="M720" i="8"/>
  <c r="G270" i="8"/>
  <c r="I720" i="8"/>
  <c r="U720" i="8"/>
  <c r="V523" i="8"/>
  <c r="K720" i="8"/>
  <c r="R270" i="8"/>
  <c r="W720" i="8"/>
  <c r="D720" i="8"/>
  <c r="T523" i="8"/>
  <c r="U523" i="8"/>
  <c r="H271" i="8"/>
  <c r="N271" i="8"/>
  <c r="O271" i="8"/>
  <c r="D271" i="8"/>
  <c r="M271" i="8"/>
  <c r="R271" i="8"/>
  <c r="G271" i="8"/>
  <c r="C271" i="8"/>
  <c r="J271" i="8"/>
  <c r="I271" i="8"/>
  <c r="Q271" i="8"/>
  <c r="F271" i="8"/>
  <c r="E271" i="8"/>
  <c r="L271" i="8"/>
  <c r="K271" i="8"/>
  <c r="P271" i="8"/>
  <c r="B78" i="8"/>
  <c r="S270" i="8"/>
  <c r="S170" i="8"/>
  <c r="P721" i="8"/>
  <c r="K721" i="8"/>
  <c r="F721" i="8"/>
  <c r="Y721" i="8"/>
  <c r="J721" i="8"/>
  <c r="T721" i="8"/>
  <c r="M721" i="8"/>
  <c r="W721" i="8"/>
  <c r="Q721" i="8"/>
  <c r="C721" i="8"/>
  <c r="L721" i="8"/>
  <c r="V721" i="8"/>
  <c r="B622" i="8"/>
  <c r="B722" i="8"/>
  <c r="V271" i="8"/>
  <c r="U271" i="8"/>
  <c r="T271" i="8"/>
  <c r="X271" i="8"/>
  <c r="W271" i="8"/>
  <c r="Y271" i="8"/>
  <c r="B272" i="8"/>
  <c r="B525" i="8"/>
  <c r="B424" i="8"/>
  <c r="T171" i="8"/>
  <c r="Y171" i="8"/>
  <c r="U171" i="8"/>
  <c r="X171" i="8"/>
  <c r="W171" i="8"/>
  <c r="V171" i="8"/>
  <c r="O272" i="8" a="1"/>
  <c r="N622" i="8" a="1"/>
  <c r="H272" i="8" a="1"/>
  <c r="O78" i="8" a="1"/>
  <c r="Y622" i="8" a="1"/>
  <c r="E424" i="8" a="1"/>
  <c r="V524" i="8" a="1"/>
  <c r="X78" i="8" a="1"/>
  <c r="J622" i="8" a="1"/>
  <c r="Q424" i="8" a="1"/>
  <c r="P78" i="8" a="1"/>
  <c r="Q78" i="8" a="1"/>
  <c r="K722" i="8" a="1"/>
  <c r="D622" i="8" a="1"/>
  <c r="T272" i="8" a="1"/>
  <c r="N424" i="8" a="1"/>
  <c r="M622" i="8" a="1"/>
  <c r="R721" i="8" a="1"/>
  <c r="X721" i="8" a="1"/>
  <c r="F78" i="8" a="1"/>
  <c r="R622" i="8" a="1"/>
  <c r="M525" i="8" a="1"/>
  <c r="P424" i="8" a="1"/>
  <c r="O722" i="8" a="1"/>
  <c r="P525" i="8" a="1"/>
  <c r="Q622" i="8" a="1"/>
  <c r="W172" i="8" a="1"/>
  <c r="U722" i="8" a="1"/>
  <c r="G722" i="8" a="1"/>
  <c r="L78" i="8" a="1"/>
  <c r="C272" i="8" a="1"/>
  <c r="W272" i="8" a="1"/>
  <c r="I525" i="8" a="1"/>
  <c r="D424" i="8" a="1"/>
  <c r="D272" i="8" a="1"/>
  <c r="C78" i="8" a="1"/>
  <c r="N525" i="8" a="1"/>
  <c r="H78" i="8" a="1"/>
  <c r="K622" i="8" a="1"/>
  <c r="J78" i="8" a="1"/>
  <c r="U78" i="8" a="1"/>
  <c r="D78" i="8" a="1"/>
  <c r="U172" i="8" a="1"/>
  <c r="R272" i="8" a="1"/>
  <c r="Q272" i="8" a="1"/>
  <c r="F272" i="8" a="1"/>
  <c r="O424" i="8" a="1"/>
  <c r="T524" i="8" a="1"/>
  <c r="C622" i="8" a="1"/>
  <c r="X622" i="8" a="1"/>
  <c r="F424" i="8" a="1"/>
  <c r="L525" i="8" a="1"/>
  <c r="U721" i="8" a="1"/>
  <c r="L272" i="8" a="1"/>
  <c r="W722" i="8" a="1"/>
  <c r="G424" i="8" a="1"/>
  <c r="D525" i="8" a="1"/>
  <c r="U424" i="8" a="1"/>
  <c r="T172" i="8" a="1"/>
  <c r="F525" i="8" a="1"/>
  <c r="H721" i="8" a="1"/>
  <c r="E78" i="8" a="1"/>
  <c r="P722" i="8" a="1"/>
  <c r="K525" i="8" a="1"/>
  <c r="M272" i="8" a="1"/>
  <c r="N78" i="8" a="1"/>
  <c r="M78" i="8" a="1"/>
  <c r="E722" i="8" a="1"/>
  <c r="R525" i="8" a="1"/>
  <c r="T622" i="8" a="1"/>
  <c r="I721" i="8" a="1"/>
  <c r="C525" i="8" a="1"/>
  <c r="E721" i="8" a="1"/>
  <c r="T424" i="8" a="1"/>
  <c r="R424" i="8" a="1"/>
  <c r="V272" i="8" a="1"/>
  <c r="Y272" i="8" a="1"/>
  <c r="H722" i="8" a="1"/>
  <c r="I424" i="8" a="1"/>
  <c r="D721" i="8" a="1"/>
  <c r="U524" i="8" a="1"/>
  <c r="O622" i="8" a="1"/>
  <c r="J525" i="8" a="1"/>
  <c r="W78" i="8" a="1"/>
  <c r="X722" i="8" a="1"/>
  <c r="H622" i="8" a="1"/>
  <c r="W622" i="8" a="1"/>
  <c r="W424" i="8" a="1"/>
  <c r="I272" i="8" a="1"/>
  <c r="V172" i="8" a="1"/>
  <c r="O525" i="8" a="1"/>
  <c r="R78" i="8" a="1"/>
  <c r="K78" i="8" a="1"/>
  <c r="V622" i="8" a="1"/>
  <c r="U622" i="8" a="1"/>
  <c r="V525" i="8" a="1"/>
  <c r="Y424" i="8" a="1"/>
  <c r="V424" i="8" a="1"/>
  <c r="O721" i="8" a="1"/>
  <c r="G272" i="8" a="1"/>
  <c r="Q525" i="8" a="1"/>
  <c r="E525" i="8" a="1"/>
  <c r="H525" i="8" a="1"/>
  <c r="C424" i="8" a="1"/>
  <c r="H424" i="8" a="1"/>
  <c r="Y78" i="8" a="1"/>
  <c r="G525" i="8" a="1"/>
  <c r="K272" i="8" a="1"/>
  <c r="E622" i="8" a="1"/>
  <c r="J272" i="8" a="1"/>
  <c r="Y172" i="8" a="1"/>
  <c r="Y524" i="8" a="1"/>
  <c r="M424" i="8" a="1"/>
  <c r="I78" i="8" a="1"/>
  <c r="X272" i="8" a="1"/>
  <c r="G78" i="8" a="1"/>
  <c r="U272" i="8" a="1"/>
  <c r="X524" i="8" a="1"/>
  <c r="W524" i="8" a="1"/>
  <c r="K424" i="8" a="1"/>
  <c r="J424" i="8" a="1"/>
  <c r="L424" i="8" a="1"/>
  <c r="F722" i="8" a="1"/>
  <c r="U525" i="8" a="1"/>
  <c r="X172" i="8" a="1"/>
  <c r="I622" i="8" a="1"/>
  <c r="G721" i="8" a="1"/>
  <c r="F622" i="8" a="1"/>
  <c r="N272" i="8" a="1"/>
  <c r="P272" i="8" a="1"/>
  <c r="X424" i="8" a="1"/>
  <c r="P622" i="8" a="1"/>
  <c r="V78" i="8" a="1"/>
  <c r="E272" i="8" a="1"/>
  <c r="N721" i="8" a="1"/>
  <c r="L622" i="8" a="1"/>
  <c r="T78" i="8" a="1"/>
  <c r="G622" i="8" a="1"/>
  <c r="S621" i="8" l="1"/>
  <c r="F622" i="8"/>
  <c r="J622" i="8"/>
  <c r="N622" i="8"/>
  <c r="R622" i="8"/>
  <c r="C622" i="8"/>
  <c r="G622" i="8"/>
  <c r="K622" i="8"/>
  <c r="O622" i="8"/>
  <c r="D622" i="8"/>
  <c r="H622" i="8"/>
  <c r="L622" i="8"/>
  <c r="P622" i="8"/>
  <c r="U622" i="8"/>
  <c r="Y622" i="8"/>
  <c r="E622" i="8"/>
  <c r="I622" i="8"/>
  <c r="M622" i="8"/>
  <c r="Q622" i="8"/>
  <c r="V622" i="8"/>
  <c r="W622" i="8"/>
  <c r="X622" i="8"/>
  <c r="T622" i="8"/>
  <c r="S77" i="8"/>
  <c r="S423" i="8"/>
  <c r="U424" i="8"/>
  <c r="Y424" i="8"/>
  <c r="E424" i="8"/>
  <c r="I424" i="8"/>
  <c r="M424" i="8"/>
  <c r="Q424" i="8"/>
  <c r="V424" i="8"/>
  <c r="F424" i="8"/>
  <c r="J424" i="8"/>
  <c r="N424" i="8"/>
  <c r="R424" i="8"/>
  <c r="W424" i="8"/>
  <c r="C424" i="8"/>
  <c r="G424" i="8"/>
  <c r="K424" i="8"/>
  <c r="O424" i="8"/>
  <c r="T424" i="8"/>
  <c r="X424" i="8"/>
  <c r="P424" i="8"/>
  <c r="D424" i="8"/>
  <c r="H424" i="8"/>
  <c r="L424" i="8"/>
  <c r="E78" i="8"/>
  <c r="I78" i="8"/>
  <c r="M78" i="8"/>
  <c r="Q78" i="8"/>
  <c r="V78" i="8"/>
  <c r="F78" i="8"/>
  <c r="J78" i="8"/>
  <c r="N78" i="8"/>
  <c r="R78" i="8"/>
  <c r="W78" i="8"/>
  <c r="C78" i="8"/>
  <c r="G78" i="8"/>
  <c r="K78" i="8"/>
  <c r="O78" i="8"/>
  <c r="T78" i="8"/>
  <c r="X78" i="8"/>
  <c r="D78" i="8"/>
  <c r="H78" i="8"/>
  <c r="L78" i="8"/>
  <c r="P78" i="8"/>
  <c r="Y78" i="8"/>
  <c r="U78" i="8"/>
  <c r="S523" i="8"/>
  <c r="D525" i="8"/>
  <c r="H525" i="8"/>
  <c r="L525" i="8"/>
  <c r="P525" i="8"/>
  <c r="E525" i="8"/>
  <c r="I525" i="8"/>
  <c r="M525" i="8"/>
  <c r="F525" i="8"/>
  <c r="J525" i="8"/>
  <c r="Q525" i="8"/>
  <c r="C525" i="8"/>
  <c r="K525" i="8"/>
  <c r="R525" i="8"/>
  <c r="N525" i="8"/>
  <c r="O525" i="8"/>
  <c r="G525" i="8"/>
  <c r="S720" i="8"/>
  <c r="H721" i="8"/>
  <c r="G721" i="8"/>
  <c r="E721" i="8"/>
  <c r="U721" i="8"/>
  <c r="N721" i="8"/>
  <c r="T524" i="8"/>
  <c r="R721" i="8"/>
  <c r="Y524" i="8"/>
  <c r="O721" i="8"/>
  <c r="X524" i="8"/>
  <c r="X721" i="8"/>
  <c r="S721" i="8" s="1"/>
  <c r="V524" i="8"/>
  <c r="I721" i="8"/>
  <c r="U524" i="8"/>
  <c r="D721" i="8"/>
  <c r="W524" i="8"/>
  <c r="D272" i="8"/>
  <c r="Q272" i="8"/>
  <c r="L272" i="8"/>
  <c r="P272" i="8"/>
  <c r="G272" i="8"/>
  <c r="J272" i="8"/>
  <c r="C272" i="8"/>
  <c r="K272" i="8"/>
  <c r="F272" i="8"/>
  <c r="M272" i="8"/>
  <c r="E272" i="8"/>
  <c r="H272" i="8"/>
  <c r="I272" i="8"/>
  <c r="R272" i="8"/>
  <c r="O272" i="8"/>
  <c r="N272" i="8"/>
  <c r="B79" i="8"/>
  <c r="S271" i="8"/>
  <c r="S171" i="8"/>
  <c r="X722" i="8"/>
  <c r="O722" i="8"/>
  <c r="W722" i="8"/>
  <c r="H722" i="8"/>
  <c r="K722" i="8"/>
  <c r="P722" i="8"/>
  <c r="U722" i="8"/>
  <c r="F722" i="8"/>
  <c r="G722" i="8"/>
  <c r="E722" i="8"/>
  <c r="B723" i="8"/>
  <c r="B623" i="8"/>
  <c r="V272" i="8"/>
  <c r="Y272" i="8"/>
  <c r="X272" i="8"/>
  <c r="U272" i="8"/>
  <c r="W272" i="8"/>
  <c r="T272" i="8"/>
  <c r="B273" i="8"/>
  <c r="V525" i="8"/>
  <c r="U525" i="8"/>
  <c r="B526" i="8"/>
  <c r="B425" i="8"/>
  <c r="V172" i="8"/>
  <c r="Y172" i="8"/>
  <c r="T172" i="8"/>
  <c r="X172" i="8"/>
  <c r="W172" i="8"/>
  <c r="U172" i="8"/>
  <c r="Y526" i="8" a="1"/>
  <c r="U425" i="8" a="1"/>
  <c r="V722" i="8" a="1"/>
  <c r="R79" i="8" a="1"/>
  <c r="Y525" i="8" a="1"/>
  <c r="D722" i="8" a="1"/>
  <c r="I79" i="8" a="1"/>
  <c r="V173" i="8" a="1"/>
  <c r="Q425" i="8" a="1"/>
  <c r="N723" i="8" a="1"/>
  <c r="P273" i="8" a="1"/>
  <c r="H273" i="8" a="1"/>
  <c r="L425" i="8" a="1"/>
  <c r="R425" i="8" a="1"/>
  <c r="U79" i="8" a="1"/>
  <c r="H79" i="8" a="1"/>
  <c r="D79" i="8" a="1"/>
  <c r="V425" i="8" a="1"/>
  <c r="K623" i="8" a="1"/>
  <c r="Y173" i="8" a="1"/>
  <c r="X525" i="8" a="1"/>
  <c r="C722" i="8" a="1"/>
  <c r="T723" i="8" a="1"/>
  <c r="H623" i="8" a="1"/>
  <c r="Y722" i="8" a="1"/>
  <c r="I723" i="8" a="1"/>
  <c r="X723" i="8" a="1"/>
  <c r="J526" i="8" a="1"/>
  <c r="X526" i="8" a="1"/>
  <c r="E79" i="8" a="1"/>
  <c r="O526" i="8" a="1"/>
  <c r="P425" i="8" a="1"/>
  <c r="N273" i="8" a="1"/>
  <c r="L526" i="8" a="1"/>
  <c r="E623" i="8" a="1"/>
  <c r="W273" i="8" a="1"/>
  <c r="L722" i="8" a="1"/>
  <c r="P79" i="8" a="1"/>
  <c r="W723" i="8" a="1"/>
  <c r="N623" i="8" a="1"/>
  <c r="T173" i="8" a="1"/>
  <c r="T525" i="8" a="1"/>
  <c r="L623" i="8" a="1"/>
  <c r="C425" i="8" a="1"/>
  <c r="T722" i="8" a="1"/>
  <c r="K526" i="8" a="1"/>
  <c r="C623" i="8" a="1"/>
  <c r="G79" i="8" a="1"/>
  <c r="H425" i="8" a="1"/>
  <c r="F79" i="8" a="1"/>
  <c r="F623" i="8" a="1"/>
  <c r="D526" i="8" a="1"/>
  <c r="I273" i="8" a="1"/>
  <c r="T79" i="8" a="1"/>
  <c r="G273" i="8" a="1"/>
  <c r="R722" i="8" a="1"/>
  <c r="W173" i="8" a="1"/>
  <c r="M526" i="8" a="1"/>
  <c r="I722" i="8" a="1"/>
  <c r="O623" i="8" a="1"/>
  <c r="M722" i="8" a="1"/>
  <c r="O79" i="8" a="1"/>
  <c r="W526" i="8" a="1"/>
  <c r="F526" i="8" a="1"/>
  <c r="X173" i="8" a="1"/>
  <c r="J425" i="8" a="1"/>
  <c r="Y273" i="8" a="1"/>
  <c r="N722" i="8" a="1"/>
  <c r="H723" i="8" a="1"/>
  <c r="M425" i="8" a="1"/>
  <c r="O273" i="8" a="1"/>
  <c r="X425" i="8" a="1"/>
  <c r="V623" i="8" a="1"/>
  <c r="H526" i="8" a="1"/>
  <c r="R623" i="8" a="1"/>
  <c r="U173" i="8" a="1"/>
  <c r="P526" i="8" a="1"/>
  <c r="N425" i="8" a="1"/>
  <c r="D273" i="8" a="1"/>
  <c r="M79" i="8" a="1"/>
  <c r="C526" i="8" a="1"/>
  <c r="V79" i="8" a="1"/>
  <c r="Q79" i="8" a="1"/>
  <c r="Q273" i="8" a="1"/>
  <c r="U623" i="8" a="1"/>
  <c r="G623" i="8" a="1"/>
  <c r="F273" i="8" a="1"/>
  <c r="K273" i="8" a="1"/>
  <c r="G425" i="8" a="1"/>
  <c r="Y425" i="8" a="1"/>
  <c r="X623" i="8" a="1"/>
  <c r="W525" i="8" a="1"/>
  <c r="Y79" i="8" a="1"/>
  <c r="I526" i="8" a="1"/>
  <c r="N79" i="8" a="1"/>
  <c r="O723" i="8" a="1"/>
  <c r="J623" i="8" a="1"/>
  <c r="J722" i="8" a="1"/>
  <c r="V273" i="8" a="1"/>
  <c r="K723" i="8" a="1"/>
  <c r="R273" i="8" a="1"/>
  <c r="J79" i="8" a="1"/>
  <c r="R526" i="8" a="1"/>
  <c r="Q722" i="8" a="1"/>
  <c r="C723" i="8" a="1"/>
  <c r="C273" i="8" a="1"/>
  <c r="N526" i="8" a="1"/>
  <c r="E425" i="8" a="1"/>
  <c r="M623" i="8" a="1"/>
  <c r="P623" i="8" a="1"/>
  <c r="Y623" i="8" a="1"/>
  <c r="U273" i="8" a="1"/>
  <c r="G526" i="8" a="1"/>
  <c r="O425" i="8" a="1"/>
  <c r="I425" i="8" a="1"/>
  <c r="I623" i="8" a="1"/>
  <c r="W425" i="8" a="1"/>
  <c r="D623" i="8" a="1"/>
  <c r="L79" i="8" a="1"/>
  <c r="D425" i="8" a="1"/>
  <c r="P723" i="8" a="1"/>
  <c r="F425" i="8" a="1"/>
  <c r="C79" i="8" a="1"/>
  <c r="W79" i="8" a="1"/>
  <c r="G723" i="8" a="1"/>
  <c r="Q623" i="8" a="1"/>
  <c r="E526" i="8" a="1"/>
  <c r="T623" i="8" a="1"/>
  <c r="X79" i="8" a="1"/>
  <c r="U526" i="8" a="1"/>
  <c r="J273" i="8" a="1"/>
  <c r="W623" i="8" a="1"/>
  <c r="V526" i="8" a="1"/>
  <c r="T425" i="8" a="1"/>
  <c r="R723" i="8" a="1"/>
  <c r="K425" i="8" a="1"/>
  <c r="K79" i="8" a="1"/>
  <c r="T526" i="8" a="1"/>
  <c r="Q526" i="8" a="1"/>
  <c r="F623" i="8" l="1"/>
  <c r="J623" i="8"/>
  <c r="I623" i="8"/>
  <c r="T623" i="8"/>
  <c r="X623" i="8"/>
  <c r="O623" i="8"/>
  <c r="K623" i="8"/>
  <c r="P623" i="8"/>
  <c r="L623" i="8"/>
  <c r="U623" i="8"/>
  <c r="Y623" i="8"/>
  <c r="H623" i="8"/>
  <c r="C623" i="8"/>
  <c r="M623" i="8"/>
  <c r="Q623" i="8"/>
  <c r="D623" i="8"/>
  <c r="V623" i="8"/>
  <c r="E623" i="8"/>
  <c r="N623" i="8"/>
  <c r="R623" i="8"/>
  <c r="G623" i="8"/>
  <c r="W623" i="8"/>
  <c r="S622" i="8"/>
  <c r="S78" i="8"/>
  <c r="F425" i="8"/>
  <c r="J425" i="8"/>
  <c r="N425" i="8"/>
  <c r="R425" i="8"/>
  <c r="W425" i="8"/>
  <c r="C425" i="8"/>
  <c r="G425" i="8"/>
  <c r="K425" i="8"/>
  <c r="O425" i="8"/>
  <c r="T425" i="8"/>
  <c r="X425" i="8"/>
  <c r="D425" i="8"/>
  <c r="H425" i="8"/>
  <c r="L425" i="8"/>
  <c r="P425" i="8"/>
  <c r="U425" i="8"/>
  <c r="Y425" i="8"/>
  <c r="E425" i="8"/>
  <c r="I425" i="8"/>
  <c r="M425" i="8"/>
  <c r="Q425" i="8"/>
  <c r="V425" i="8"/>
  <c r="W79" i="8"/>
  <c r="C79" i="8"/>
  <c r="G79" i="8"/>
  <c r="K79" i="8"/>
  <c r="O79" i="8"/>
  <c r="T79" i="8"/>
  <c r="X79" i="8"/>
  <c r="D79" i="8"/>
  <c r="H79" i="8"/>
  <c r="L79" i="8"/>
  <c r="P79" i="8"/>
  <c r="U79" i="8"/>
  <c r="Y79" i="8"/>
  <c r="E79" i="8"/>
  <c r="I79" i="8"/>
  <c r="M79" i="8"/>
  <c r="Q79" i="8"/>
  <c r="V79" i="8"/>
  <c r="F79" i="8"/>
  <c r="J79" i="8"/>
  <c r="N79" i="8"/>
  <c r="R79" i="8"/>
  <c r="S424" i="8"/>
  <c r="C526" i="8"/>
  <c r="E526" i="8"/>
  <c r="I526" i="8"/>
  <c r="M526" i="8"/>
  <c r="Q526" i="8"/>
  <c r="P526" i="8"/>
  <c r="D526" i="8"/>
  <c r="F526" i="8"/>
  <c r="J526" i="8"/>
  <c r="N526" i="8"/>
  <c r="R526" i="8"/>
  <c r="L526" i="8"/>
  <c r="H526" i="8"/>
  <c r="G526" i="8"/>
  <c r="K526" i="8"/>
  <c r="O526" i="8"/>
  <c r="S524" i="8"/>
  <c r="Y722" i="8"/>
  <c r="T525" i="8"/>
  <c r="X525" i="8"/>
  <c r="L722" i="8"/>
  <c r="D722" i="8"/>
  <c r="R722" i="8"/>
  <c r="I722" i="8"/>
  <c r="V722" i="8"/>
  <c r="Q722" i="8"/>
  <c r="Y525" i="8"/>
  <c r="W525" i="8"/>
  <c r="T722" i="8"/>
  <c r="M722" i="8"/>
  <c r="C722" i="8"/>
  <c r="J722" i="8"/>
  <c r="N722" i="8"/>
  <c r="F273" i="8"/>
  <c r="R273" i="8"/>
  <c r="K273" i="8"/>
  <c r="Q273" i="8"/>
  <c r="H273" i="8"/>
  <c r="C273" i="8"/>
  <c r="D273" i="8"/>
  <c r="J273" i="8"/>
  <c r="G273" i="8"/>
  <c r="O273" i="8"/>
  <c r="N273" i="8"/>
  <c r="P273" i="8"/>
  <c r="I273" i="8"/>
  <c r="B80" i="8"/>
  <c r="S272" i="8"/>
  <c r="S172" i="8"/>
  <c r="N723" i="8"/>
  <c r="X723" i="8"/>
  <c r="I723" i="8"/>
  <c r="R723" i="8"/>
  <c r="W723" i="8"/>
  <c r="P723" i="8"/>
  <c r="C723" i="8"/>
  <c r="G723" i="8"/>
  <c r="H723" i="8"/>
  <c r="K723" i="8"/>
  <c r="O723" i="8"/>
  <c r="T723" i="8"/>
  <c r="B724" i="8"/>
  <c r="B624" i="8"/>
  <c r="W273" i="8"/>
  <c r="U273" i="8"/>
  <c r="V273" i="8"/>
  <c r="Y273" i="8"/>
  <c r="B274" i="8"/>
  <c r="W526" i="8"/>
  <c r="T526" i="8"/>
  <c r="V526" i="8"/>
  <c r="X526" i="8"/>
  <c r="U526" i="8"/>
  <c r="Y526" i="8"/>
  <c r="B527" i="8"/>
  <c r="B426" i="8"/>
  <c r="V173" i="8"/>
  <c r="X173" i="8"/>
  <c r="U173" i="8"/>
  <c r="W173" i="8"/>
  <c r="Y173" i="8"/>
  <c r="T173" i="8"/>
  <c r="R80" i="8" a="1"/>
  <c r="X426" i="8" a="1"/>
  <c r="H527" i="8" a="1"/>
  <c r="Q426" i="8" a="1"/>
  <c r="T426" i="8" a="1"/>
  <c r="M527" i="8" a="1"/>
  <c r="E426" i="8" a="1"/>
  <c r="K80" i="8" a="1"/>
  <c r="H624" i="8" a="1"/>
  <c r="D80" i="8" a="1"/>
  <c r="L624" i="8" a="1"/>
  <c r="E527" i="8" a="1"/>
  <c r="E724" i="8" a="1"/>
  <c r="R426" i="8" a="1"/>
  <c r="W174" i="8" a="1"/>
  <c r="O426" i="8" a="1"/>
  <c r="Y426" i="8" a="1"/>
  <c r="U80" i="8" a="1"/>
  <c r="J724" i="8" a="1"/>
  <c r="L723" i="8" a="1"/>
  <c r="G624" i="8" a="1"/>
  <c r="P624" i="8" a="1"/>
  <c r="T80" i="8" a="1"/>
  <c r="H724" i="8" a="1"/>
  <c r="I724" i="8" a="1"/>
  <c r="L724" i="8" a="1"/>
  <c r="X624" i="8" a="1"/>
  <c r="V724" i="8" a="1"/>
  <c r="F426" i="8" a="1"/>
  <c r="T724" i="8" a="1"/>
  <c r="E80" i="8" a="1"/>
  <c r="R624" i="8" a="1"/>
  <c r="D426" i="8" a="1"/>
  <c r="M273" i="8" a="1"/>
  <c r="U174" i="8" a="1"/>
  <c r="D723" i="8" a="1"/>
  <c r="C80" i="8" a="1"/>
  <c r="U723" i="8" a="1"/>
  <c r="O80" i="8" a="1"/>
  <c r="T273" i="8" a="1"/>
  <c r="I624" i="8" a="1"/>
  <c r="C527" i="8" a="1"/>
  <c r="L426" i="8" a="1"/>
  <c r="K426" i="8" a="1"/>
  <c r="Q723" i="8" a="1"/>
  <c r="G724" i="8" a="1"/>
  <c r="V80" i="8" a="1"/>
  <c r="N426" i="8" a="1"/>
  <c r="N624" i="8" a="1"/>
  <c r="E273" i="8" a="1"/>
  <c r="F527" i="8" a="1"/>
  <c r="J80" i="8" a="1"/>
  <c r="J426" i="8" a="1"/>
  <c r="G527" i="8" a="1"/>
  <c r="W80" i="8" a="1"/>
  <c r="R724" i="8" a="1"/>
  <c r="Y527" i="8" a="1"/>
  <c r="Y274" i="8" a="1"/>
  <c r="W724" i="8" a="1"/>
  <c r="Y723" i="8" a="1"/>
  <c r="Y80" i="8" a="1"/>
  <c r="V723" i="8" a="1"/>
  <c r="Y724" i="8" a="1"/>
  <c r="D624" i="8" a="1"/>
  <c r="Y624" i="8" a="1"/>
  <c r="U724" i="8" a="1"/>
  <c r="M724" i="8" a="1"/>
  <c r="H80" i="8" a="1"/>
  <c r="R527" i="8" a="1"/>
  <c r="M624" i="8" a="1"/>
  <c r="I527" i="8" a="1"/>
  <c r="D724" i="8" a="1"/>
  <c r="K624" i="8" a="1"/>
  <c r="Y174" i="8" a="1"/>
  <c r="O624" i="8" a="1"/>
  <c r="L273" i="8" a="1"/>
  <c r="V426" i="8" a="1"/>
  <c r="N274" i="8" a="1"/>
  <c r="X174" i="8" a="1"/>
  <c r="C426" i="8" a="1"/>
  <c r="X80" i="8" a="1"/>
  <c r="I426" i="8" a="1"/>
  <c r="H426" i="8" a="1"/>
  <c r="K527" i="8" a="1"/>
  <c r="P80" i="8" a="1"/>
  <c r="P724" i="8" a="1"/>
  <c r="E624" i="8" a="1"/>
  <c r="J723" i="8" a="1"/>
  <c r="W426" i="8" a="1"/>
  <c r="M723" i="8" a="1"/>
  <c r="N724" i="8" a="1"/>
  <c r="Q724" i="8" a="1"/>
  <c r="J624" i="8" a="1"/>
  <c r="N527" i="8" a="1"/>
  <c r="X273" i="8" a="1"/>
  <c r="W624" i="8" a="1"/>
  <c r="F624" i="8" a="1"/>
  <c r="E723" i="8" a="1"/>
  <c r="P527" i="8" a="1"/>
  <c r="F724" i="8" a="1"/>
  <c r="V624" i="8" a="1"/>
  <c r="C724" i="8" a="1"/>
  <c r="X527" i="8" a="1"/>
  <c r="L80" i="8" a="1"/>
  <c r="D527" i="8" a="1"/>
  <c r="U624" i="8" a="1"/>
  <c r="G426" i="8" a="1"/>
  <c r="F723" i="8" a="1"/>
  <c r="P426" i="8" a="1"/>
  <c r="M426" i="8" a="1"/>
  <c r="M80" i="8" a="1"/>
  <c r="X724" i="8" a="1"/>
  <c r="K724" i="8" a="1"/>
  <c r="G80" i="8" a="1"/>
  <c r="F80" i="8" a="1"/>
  <c r="V527" i="8" a="1"/>
  <c r="Q80" i="8" a="1"/>
  <c r="O724" i="8" a="1"/>
  <c r="V174" i="8" a="1"/>
  <c r="I80" i="8" a="1"/>
  <c r="Q527" i="8" a="1"/>
  <c r="U527" i="8" a="1"/>
  <c r="J527" i="8" a="1"/>
  <c r="T527" i="8" a="1"/>
  <c r="C624" i="8" a="1"/>
  <c r="Q624" i="8" a="1"/>
  <c r="T174" i="8" a="1"/>
  <c r="L527" i="8" a="1"/>
  <c r="T624" i="8" a="1"/>
  <c r="O527" i="8" a="1"/>
  <c r="U426" i="8" a="1"/>
  <c r="N80" i="8" a="1"/>
  <c r="E624" i="8" l="1"/>
  <c r="I624" i="8"/>
  <c r="M624" i="8"/>
  <c r="Q624" i="8"/>
  <c r="Y624" i="8"/>
  <c r="V624" i="8"/>
  <c r="F624" i="8"/>
  <c r="J624" i="8"/>
  <c r="N624" i="8"/>
  <c r="R624" i="8"/>
  <c r="W624" i="8"/>
  <c r="U624" i="8"/>
  <c r="C624" i="8"/>
  <c r="G624" i="8"/>
  <c r="K624" i="8"/>
  <c r="O624" i="8"/>
  <c r="T624" i="8"/>
  <c r="X624" i="8"/>
  <c r="D624" i="8"/>
  <c r="H624" i="8"/>
  <c r="L624" i="8"/>
  <c r="P624" i="8"/>
  <c r="S623" i="8"/>
  <c r="S425" i="8"/>
  <c r="S79" i="8"/>
  <c r="D80" i="8"/>
  <c r="H80" i="8"/>
  <c r="L80" i="8"/>
  <c r="P80" i="8"/>
  <c r="U80" i="8"/>
  <c r="Y80" i="8"/>
  <c r="E80" i="8"/>
  <c r="I80" i="8"/>
  <c r="M80" i="8"/>
  <c r="Q80" i="8"/>
  <c r="V80" i="8"/>
  <c r="F80" i="8"/>
  <c r="J80" i="8"/>
  <c r="N80" i="8"/>
  <c r="R80" i="8"/>
  <c r="W80" i="8"/>
  <c r="C80" i="8"/>
  <c r="G80" i="8"/>
  <c r="K80" i="8"/>
  <c r="O80" i="8"/>
  <c r="T80" i="8"/>
  <c r="X80" i="8"/>
  <c r="T426" i="8"/>
  <c r="X426" i="8"/>
  <c r="D426" i="8"/>
  <c r="H426" i="8"/>
  <c r="L426" i="8"/>
  <c r="P426" i="8"/>
  <c r="E426" i="8"/>
  <c r="I426" i="8"/>
  <c r="M426" i="8"/>
  <c r="Q426" i="8"/>
  <c r="V426" i="8"/>
  <c r="F426" i="8"/>
  <c r="J426" i="8"/>
  <c r="N426" i="8"/>
  <c r="R426" i="8"/>
  <c r="W426" i="8"/>
  <c r="G426" i="8"/>
  <c r="Y426" i="8"/>
  <c r="K426" i="8"/>
  <c r="O426" i="8"/>
  <c r="C426" i="8"/>
  <c r="U426" i="8"/>
  <c r="D527" i="8"/>
  <c r="H527" i="8"/>
  <c r="L527" i="8"/>
  <c r="P527" i="8"/>
  <c r="E527" i="8"/>
  <c r="I527" i="8"/>
  <c r="M527" i="8"/>
  <c r="Q527" i="8"/>
  <c r="F527" i="8"/>
  <c r="J527" i="8"/>
  <c r="N527" i="8"/>
  <c r="R527" i="8"/>
  <c r="C527" i="8"/>
  <c r="G527" i="8"/>
  <c r="K527" i="8"/>
  <c r="O527" i="8"/>
  <c r="S526" i="8"/>
  <c r="S525" i="8"/>
  <c r="S722" i="8"/>
  <c r="D723" i="8"/>
  <c r="U723" i="8"/>
  <c r="E723" i="8"/>
  <c r="M723" i="8"/>
  <c r="E273" i="8"/>
  <c r="L723" i="8"/>
  <c r="J723" i="8"/>
  <c r="T273" i="8"/>
  <c r="V723" i="8"/>
  <c r="S723" i="8" s="1"/>
  <c r="F723" i="8"/>
  <c r="M273" i="8"/>
  <c r="L273" i="8"/>
  <c r="Y723" i="8"/>
  <c r="X273" i="8"/>
  <c r="Q723" i="8"/>
  <c r="N274" i="8"/>
  <c r="B81" i="8"/>
  <c r="S173" i="8"/>
  <c r="F724" i="8"/>
  <c r="O724" i="8"/>
  <c r="Y724" i="8"/>
  <c r="J724" i="8"/>
  <c r="T724" i="8"/>
  <c r="E724" i="8"/>
  <c r="N724" i="8"/>
  <c r="X724" i="8"/>
  <c r="I724" i="8"/>
  <c r="U724" i="8"/>
  <c r="R724" i="8"/>
  <c r="D724" i="8"/>
  <c r="M724" i="8"/>
  <c r="W724" i="8"/>
  <c r="H724" i="8"/>
  <c r="Q724" i="8"/>
  <c r="C724" i="8"/>
  <c r="L724" i="8"/>
  <c r="K724" i="8"/>
  <c r="V724" i="8"/>
  <c r="G724" i="8"/>
  <c r="P724" i="8"/>
  <c r="B625" i="8"/>
  <c r="B725" i="8"/>
  <c r="Y274" i="8"/>
  <c r="B275" i="8"/>
  <c r="X527" i="8"/>
  <c r="V527" i="8"/>
  <c r="U527" i="8"/>
  <c r="Y527" i="8"/>
  <c r="T527" i="8"/>
  <c r="B528" i="8"/>
  <c r="B427" i="8"/>
  <c r="X174" i="8"/>
  <c r="V174" i="8"/>
  <c r="Y174" i="8"/>
  <c r="U174" i="8"/>
  <c r="W174" i="8"/>
  <c r="T174" i="8"/>
  <c r="V625" i="8" a="1"/>
  <c r="D274" i="8" a="1"/>
  <c r="Q625" i="8" a="1"/>
  <c r="G528" i="8" a="1"/>
  <c r="Y427" i="8" a="1"/>
  <c r="T81" i="8" a="1"/>
  <c r="V175" i="8" a="1"/>
  <c r="U725" i="8" a="1"/>
  <c r="L725" i="8" a="1"/>
  <c r="E528" i="8" a="1"/>
  <c r="P81" i="8" a="1"/>
  <c r="D725" i="8" a="1"/>
  <c r="W725" i="8" a="1"/>
  <c r="C427" i="8" a="1"/>
  <c r="Y625" i="8" a="1"/>
  <c r="O725" i="8" a="1"/>
  <c r="H427" i="8" a="1"/>
  <c r="I427" i="8" a="1"/>
  <c r="W625" i="8" a="1"/>
  <c r="C81" i="8" a="1"/>
  <c r="I81" i="8" a="1"/>
  <c r="H274" i="8" a="1"/>
  <c r="I625" i="8" a="1"/>
  <c r="P625" i="8" a="1"/>
  <c r="O625" i="8" a="1"/>
  <c r="H275" i="8" a="1"/>
  <c r="I528" i="8" a="1"/>
  <c r="X725" i="8" a="1"/>
  <c r="G725" i="8" a="1"/>
  <c r="X625" i="8" a="1"/>
  <c r="X427" i="8" a="1"/>
  <c r="V427" i="8" a="1"/>
  <c r="E725" i="8" a="1"/>
  <c r="U625" i="8" a="1"/>
  <c r="T427" i="8" a="1"/>
  <c r="Q725" i="8" a="1"/>
  <c r="F725" i="8" a="1"/>
  <c r="W274" i="8" a="1"/>
  <c r="R81" i="8" a="1"/>
  <c r="L528" i="8" a="1"/>
  <c r="T725" i="8" a="1"/>
  <c r="M625" i="8" a="1"/>
  <c r="W527" i="8" a="1"/>
  <c r="M81" i="8" a="1"/>
  <c r="N275" i="8" a="1"/>
  <c r="I274" i="8" a="1"/>
  <c r="W427" i="8" a="1"/>
  <c r="M275" i="8" a="1"/>
  <c r="K528" i="8" a="1"/>
  <c r="R625" i="8" a="1"/>
  <c r="Q528" i="8" a="1"/>
  <c r="J274" i="8" a="1"/>
  <c r="Q81" i="8" a="1"/>
  <c r="E274" i="8" a="1"/>
  <c r="V725" i="8" a="1"/>
  <c r="F274" i="8" a="1"/>
  <c r="G81" i="8" a="1"/>
  <c r="D625" i="8" a="1"/>
  <c r="C725" i="8" a="1"/>
  <c r="W81" i="8" a="1"/>
  <c r="K427" i="8" a="1"/>
  <c r="K81" i="8" a="1"/>
  <c r="X81" i="8" a="1"/>
  <c r="G427" i="8" a="1"/>
  <c r="W175" i="8" a="1"/>
  <c r="I725" i="8" a="1"/>
  <c r="U175" i="8" a="1"/>
  <c r="T625" i="8" a="1"/>
  <c r="L81" i="8" a="1"/>
  <c r="O274" i="8" a="1"/>
  <c r="M274" i="8" a="1"/>
  <c r="F427" i="8" a="1"/>
  <c r="R528" i="8" a="1"/>
  <c r="P427" i="8" a="1"/>
  <c r="E81" i="8" a="1"/>
  <c r="J625" i="8" a="1"/>
  <c r="O528" i="8" a="1"/>
  <c r="F81" i="8" a="1"/>
  <c r="D427" i="8" a="1"/>
  <c r="V81" i="8" a="1"/>
  <c r="K625" i="8" a="1"/>
  <c r="P528" i="8" a="1"/>
  <c r="H81" i="8" a="1"/>
  <c r="Q427" i="8" a="1"/>
  <c r="F528" i="8" a="1"/>
  <c r="T275" i="8" a="1"/>
  <c r="H725" i="8" a="1"/>
  <c r="N725" i="8" a="1"/>
  <c r="D81" i="8" a="1"/>
  <c r="G274" i="8" a="1"/>
  <c r="O427" i="8" a="1"/>
  <c r="K274" i="8" a="1"/>
  <c r="Y175" i="8" a="1"/>
  <c r="R725" i="8" a="1"/>
  <c r="L275" i="8" a="1"/>
  <c r="V274" i="8" a="1"/>
  <c r="Y81" i="8" a="1"/>
  <c r="V275" i="8" a="1"/>
  <c r="H528" i="8" a="1"/>
  <c r="R427" i="8" a="1"/>
  <c r="U81" i="8" a="1"/>
  <c r="Y725" i="8" a="1"/>
  <c r="N528" i="8" a="1"/>
  <c r="H625" i="8" a="1"/>
  <c r="N81" i="8" a="1"/>
  <c r="P274" i="8" a="1"/>
  <c r="E427" i="8" a="1"/>
  <c r="U427" i="8" a="1"/>
  <c r="M528" i="8" a="1"/>
  <c r="T175" i="8" a="1"/>
  <c r="L427" i="8" a="1"/>
  <c r="C528" i="8" a="1"/>
  <c r="J725" i="8" a="1"/>
  <c r="P725" i="8" a="1"/>
  <c r="M427" i="8" a="1"/>
  <c r="N427" i="8" a="1"/>
  <c r="L274" i="8" a="1"/>
  <c r="J81" i="8" a="1"/>
  <c r="N625" i="8" a="1"/>
  <c r="J427" i="8" a="1"/>
  <c r="D528" i="8" a="1"/>
  <c r="M725" i="8" a="1"/>
  <c r="Q274" i="8" a="1"/>
  <c r="J528" i="8" a="1"/>
  <c r="G625" i="8" a="1"/>
  <c r="F625" i="8" a="1"/>
  <c r="X274" i="8" a="1"/>
  <c r="R274" i="8" a="1"/>
  <c r="O81" i="8" a="1"/>
  <c r="X175" i="8" a="1"/>
  <c r="L625" i="8" a="1"/>
  <c r="U274" i="8" a="1"/>
  <c r="C625" i="8" a="1"/>
  <c r="K725" i="8" a="1"/>
  <c r="T274" i="8" a="1"/>
  <c r="E625" i="8" a="1"/>
  <c r="C274" i="8" a="1"/>
  <c r="W625" i="8" l="1"/>
  <c r="C625" i="8"/>
  <c r="G625" i="8"/>
  <c r="K625" i="8"/>
  <c r="O625" i="8"/>
  <c r="J625" i="8"/>
  <c r="T625" i="8"/>
  <c r="X625" i="8"/>
  <c r="F625" i="8"/>
  <c r="D625" i="8"/>
  <c r="H625" i="8"/>
  <c r="L625" i="8"/>
  <c r="P625" i="8"/>
  <c r="R625" i="8"/>
  <c r="U625" i="8"/>
  <c r="Y625" i="8"/>
  <c r="E625" i="8"/>
  <c r="I625" i="8"/>
  <c r="M625" i="8"/>
  <c r="Q625" i="8"/>
  <c r="V625" i="8"/>
  <c r="N625" i="8"/>
  <c r="S624" i="8"/>
  <c r="S80" i="8"/>
  <c r="S426" i="8"/>
  <c r="E427" i="8"/>
  <c r="I427" i="8"/>
  <c r="M427" i="8"/>
  <c r="V427" i="8"/>
  <c r="W427" i="8"/>
  <c r="C427" i="8"/>
  <c r="G427" i="8"/>
  <c r="K427" i="8"/>
  <c r="O427" i="8"/>
  <c r="T427" i="8"/>
  <c r="X427" i="8"/>
  <c r="D427" i="8"/>
  <c r="H427" i="8"/>
  <c r="L427" i="8"/>
  <c r="P427" i="8"/>
  <c r="Q427" i="8"/>
  <c r="R427" i="8"/>
  <c r="F427" i="8"/>
  <c r="U427" i="8"/>
  <c r="Y427" i="8"/>
  <c r="J427" i="8"/>
  <c r="N427" i="8"/>
  <c r="V81" i="8"/>
  <c r="F81" i="8"/>
  <c r="J81" i="8"/>
  <c r="N81" i="8"/>
  <c r="R81" i="8"/>
  <c r="W81" i="8"/>
  <c r="C81" i="8"/>
  <c r="G81" i="8"/>
  <c r="K81" i="8"/>
  <c r="O81" i="8"/>
  <c r="T81" i="8"/>
  <c r="X81" i="8"/>
  <c r="D81" i="8"/>
  <c r="H81" i="8"/>
  <c r="L81" i="8"/>
  <c r="P81" i="8"/>
  <c r="U81" i="8"/>
  <c r="Y81" i="8"/>
  <c r="E81" i="8"/>
  <c r="I81" i="8"/>
  <c r="M81" i="8"/>
  <c r="Q81" i="8"/>
  <c r="O528" i="8"/>
  <c r="D528" i="8"/>
  <c r="H528" i="8"/>
  <c r="L528" i="8"/>
  <c r="P528" i="8"/>
  <c r="E528" i="8"/>
  <c r="I528" i="8"/>
  <c r="M528" i="8"/>
  <c r="Q528" i="8"/>
  <c r="G528" i="8"/>
  <c r="F528" i="8"/>
  <c r="J528" i="8"/>
  <c r="N528" i="8"/>
  <c r="R528" i="8"/>
  <c r="K528" i="8"/>
  <c r="C528" i="8"/>
  <c r="S527" i="8"/>
  <c r="S273" i="8"/>
  <c r="L274" i="8"/>
  <c r="X274" i="8"/>
  <c r="R274" i="8"/>
  <c r="E274" i="8"/>
  <c r="O274" i="8"/>
  <c r="H274" i="8"/>
  <c r="D274" i="8"/>
  <c r="U274" i="8"/>
  <c r="T274" i="8"/>
  <c r="M274" i="8"/>
  <c r="G274" i="8"/>
  <c r="P274" i="8"/>
  <c r="W274" i="8"/>
  <c r="Q274" i="8"/>
  <c r="J274" i="8"/>
  <c r="V274" i="8"/>
  <c r="K274" i="8"/>
  <c r="F274" i="8"/>
  <c r="I274" i="8"/>
  <c r="W527" i="8"/>
  <c r="C274" i="8"/>
  <c r="M275" i="8"/>
  <c r="H275" i="8"/>
  <c r="N275" i="8"/>
  <c r="L275" i="8"/>
  <c r="B82" i="8"/>
  <c r="S174" i="8"/>
  <c r="S724" i="8"/>
  <c r="G725" i="8"/>
  <c r="P725" i="8"/>
  <c r="K725" i="8"/>
  <c r="U725" i="8"/>
  <c r="F725" i="8"/>
  <c r="O725" i="8"/>
  <c r="Y725" i="8"/>
  <c r="J725" i="8"/>
  <c r="T725" i="8"/>
  <c r="E725" i="8"/>
  <c r="N725" i="8"/>
  <c r="X725" i="8"/>
  <c r="I725" i="8"/>
  <c r="R725" i="8"/>
  <c r="D725" i="8"/>
  <c r="C725" i="8"/>
  <c r="L725" i="8"/>
  <c r="V725" i="8"/>
  <c r="M725" i="8"/>
  <c r="W725" i="8"/>
  <c r="H725" i="8"/>
  <c r="Q725" i="8"/>
  <c r="B626" i="8"/>
  <c r="B726" i="8"/>
  <c r="V275" i="8"/>
  <c r="T275" i="8"/>
  <c r="B276" i="8"/>
  <c r="B529" i="8"/>
  <c r="B428" i="8"/>
  <c r="V175" i="8"/>
  <c r="X175" i="8"/>
  <c r="T175" i="8"/>
  <c r="Y175" i="8"/>
  <c r="W175" i="8"/>
  <c r="U175" i="8"/>
  <c r="N726" i="8" a="1"/>
  <c r="H529" i="8" a="1"/>
  <c r="G428" i="8" a="1"/>
  <c r="D275" i="8" a="1"/>
  <c r="C726" i="8" a="1"/>
  <c r="U176" i="8" a="1"/>
  <c r="X726" i="8" a="1"/>
  <c r="U529" i="8" a="1"/>
  <c r="Y82" i="8" a="1"/>
  <c r="L726" i="8" a="1"/>
  <c r="T276" i="8" a="1"/>
  <c r="W276" i="8" a="1"/>
  <c r="W428" i="8" a="1"/>
  <c r="V176" i="8" a="1"/>
  <c r="E428" i="8" a="1"/>
  <c r="N428" i="8" a="1"/>
  <c r="W626" i="8" a="1"/>
  <c r="X528" i="8" a="1"/>
  <c r="E275" i="8" a="1"/>
  <c r="E626" i="8" a="1"/>
  <c r="R276" i="8" a="1"/>
  <c r="K726" i="8" a="1"/>
  <c r="D626" i="8" a="1"/>
  <c r="K626" i="8" a="1"/>
  <c r="P275" i="8" a="1"/>
  <c r="K529" i="8" a="1"/>
  <c r="O275" i="8" a="1"/>
  <c r="Q529" i="8" a="1"/>
  <c r="Y428" i="8" a="1"/>
  <c r="D428" i="8" a="1"/>
  <c r="D529" i="8" a="1"/>
  <c r="H82" i="8" a="1"/>
  <c r="L82" i="8" a="1"/>
  <c r="T428" i="8" a="1"/>
  <c r="R529" i="8" a="1"/>
  <c r="J626" i="8" a="1"/>
  <c r="E82" i="8" a="1"/>
  <c r="O529" i="8" a="1"/>
  <c r="T626" i="8" a="1"/>
  <c r="Q626" i="8" a="1"/>
  <c r="X626" i="8" a="1"/>
  <c r="G726" i="8" a="1"/>
  <c r="E529" i="8" a="1"/>
  <c r="P428" i="8" a="1"/>
  <c r="I626" i="8" a="1"/>
  <c r="Y176" i="8" a="1"/>
  <c r="I428" i="8" a="1"/>
  <c r="G276" i="8" a="1"/>
  <c r="W176" i="8" a="1"/>
  <c r="R275" i="8" a="1"/>
  <c r="H428" i="8" a="1"/>
  <c r="D726" i="8" a="1"/>
  <c r="U275" i="8" a="1"/>
  <c r="V626" i="8" a="1"/>
  <c r="V82" i="8" a="1"/>
  <c r="J726" i="8" a="1"/>
  <c r="E276" i="8" a="1"/>
  <c r="W528" i="8" a="1"/>
  <c r="M529" i="8" a="1"/>
  <c r="I726" i="8" a="1"/>
  <c r="M626" i="8" a="1"/>
  <c r="Y276" i="8" a="1"/>
  <c r="P626" i="8" a="1"/>
  <c r="O726" i="8" a="1"/>
  <c r="T529" i="8" a="1"/>
  <c r="T176" i="8" a="1"/>
  <c r="I529" i="8" a="1"/>
  <c r="M726" i="8" a="1"/>
  <c r="U428" i="8" a="1"/>
  <c r="X82" i="8" a="1"/>
  <c r="C275" i="8" a="1"/>
  <c r="Y528" i="8" a="1"/>
  <c r="T726" i="8" a="1"/>
  <c r="P726" i="8" a="1"/>
  <c r="O276" i="8" a="1"/>
  <c r="R626" i="8" a="1"/>
  <c r="Y726" i="8" a="1"/>
  <c r="X428" i="8" a="1"/>
  <c r="F276" i="8" a="1"/>
  <c r="I82" i="8" a="1"/>
  <c r="R726" i="8" a="1"/>
  <c r="Y626" i="8" a="1"/>
  <c r="C626" i="8" a="1"/>
  <c r="Y529" i="8" a="1"/>
  <c r="Q82" i="8" a="1"/>
  <c r="K82" i="8" a="1"/>
  <c r="M276" i="8" a="1"/>
  <c r="C428" i="8" a="1"/>
  <c r="L529" i="8" a="1"/>
  <c r="D276" i="8" a="1"/>
  <c r="M82" i="8" a="1"/>
  <c r="Q275" i="8" a="1"/>
  <c r="C529" i="8" a="1"/>
  <c r="V726" i="8" a="1"/>
  <c r="H726" i="8" a="1"/>
  <c r="L428" i="8" a="1"/>
  <c r="H626" i="8" a="1"/>
  <c r="K428" i="8" a="1"/>
  <c r="E726" i="8" a="1"/>
  <c r="P82" i="8" a="1"/>
  <c r="R428" i="8" a="1"/>
  <c r="T82" i="8" a="1"/>
  <c r="U528" i="8" a="1"/>
  <c r="F529" i="8" a="1"/>
  <c r="J82" i="8" a="1"/>
  <c r="X176" i="8" a="1"/>
  <c r="G529" i="8" a="1"/>
  <c r="O82" i="8" a="1"/>
  <c r="G275" i="8" a="1"/>
  <c r="U82" i="8" a="1"/>
  <c r="H276" i="8" a="1"/>
  <c r="W726" i="8" a="1"/>
  <c r="X276" i="8" a="1"/>
  <c r="Q276" i="8" a="1"/>
  <c r="U626" i="8" a="1"/>
  <c r="N276" i="8" a="1"/>
  <c r="W529" i="8" a="1"/>
  <c r="W82" i="8" a="1"/>
  <c r="U276" i="8" a="1"/>
  <c r="W275" i="8" a="1"/>
  <c r="P529" i="8" a="1"/>
  <c r="J428" i="8" a="1"/>
  <c r="V529" i="8" a="1"/>
  <c r="O428" i="8" a="1"/>
  <c r="V528" i="8" a="1"/>
  <c r="Y275" i="8" a="1"/>
  <c r="K275" i="8" a="1"/>
  <c r="N529" i="8" a="1"/>
  <c r="T528" i="8" a="1"/>
  <c r="I275" i="8" a="1"/>
  <c r="F626" i="8" a="1"/>
  <c r="G82" i="8" a="1"/>
  <c r="V428" i="8" a="1"/>
  <c r="M428" i="8" a="1"/>
  <c r="D82" i="8" a="1"/>
  <c r="Q428" i="8" a="1"/>
  <c r="L626" i="8" a="1"/>
  <c r="J275" i="8" a="1"/>
  <c r="F82" i="8" a="1"/>
  <c r="C82" i="8" a="1"/>
  <c r="X275" i="8" a="1"/>
  <c r="N82" i="8" a="1"/>
  <c r="L276" i="8" a="1"/>
  <c r="F428" i="8" a="1"/>
  <c r="J529" i="8" a="1"/>
  <c r="N626" i="8" a="1"/>
  <c r="F275" i="8" a="1"/>
  <c r="R82" i="8" a="1"/>
  <c r="S625" i="8" l="1"/>
  <c r="C82" i="8"/>
  <c r="G82" i="8"/>
  <c r="K82" i="8"/>
  <c r="O82" i="8"/>
  <c r="T82" i="8"/>
  <c r="X82" i="8"/>
  <c r="D82" i="8"/>
  <c r="H82" i="8"/>
  <c r="L82" i="8"/>
  <c r="P82" i="8"/>
  <c r="U82" i="8"/>
  <c r="Y82" i="8"/>
  <c r="E82" i="8"/>
  <c r="I82" i="8"/>
  <c r="M82" i="8"/>
  <c r="Q82" i="8"/>
  <c r="V82" i="8"/>
  <c r="F82" i="8"/>
  <c r="J82" i="8"/>
  <c r="N82" i="8"/>
  <c r="R82" i="8"/>
  <c r="W82" i="8"/>
  <c r="C428" i="8"/>
  <c r="G428" i="8"/>
  <c r="D428" i="8"/>
  <c r="H428" i="8"/>
  <c r="L428" i="8"/>
  <c r="P428" i="8"/>
  <c r="U428" i="8"/>
  <c r="Y428" i="8"/>
  <c r="E428" i="8"/>
  <c r="I428" i="8"/>
  <c r="M428" i="8"/>
  <c r="Q428" i="8"/>
  <c r="V428" i="8"/>
  <c r="N428" i="8"/>
  <c r="F428" i="8"/>
  <c r="W428" i="8"/>
  <c r="O428" i="8"/>
  <c r="X428" i="8"/>
  <c r="J428" i="8"/>
  <c r="R428" i="8"/>
  <c r="K428" i="8"/>
  <c r="T428" i="8"/>
  <c r="S81" i="8"/>
  <c r="S427" i="8"/>
  <c r="C529" i="8"/>
  <c r="G529" i="8"/>
  <c r="K529" i="8"/>
  <c r="O529" i="8"/>
  <c r="D529" i="8"/>
  <c r="H529" i="8"/>
  <c r="L529" i="8"/>
  <c r="P529" i="8"/>
  <c r="E529" i="8"/>
  <c r="I529" i="8"/>
  <c r="M529" i="8"/>
  <c r="Q529" i="8"/>
  <c r="F529" i="8"/>
  <c r="J529" i="8"/>
  <c r="N529" i="8"/>
  <c r="R529" i="8"/>
  <c r="S274" i="8"/>
  <c r="U275" i="8"/>
  <c r="C275" i="8"/>
  <c r="V528" i="8"/>
  <c r="T528" i="8"/>
  <c r="O275" i="8"/>
  <c r="K275" i="8"/>
  <c r="D275" i="8"/>
  <c r="P275" i="8"/>
  <c r="J275" i="8"/>
  <c r="X528" i="8"/>
  <c r="Y275" i="8"/>
  <c r="W528" i="8"/>
  <c r="I275" i="8"/>
  <c r="Y528" i="8"/>
  <c r="Q275" i="8"/>
  <c r="E275" i="8"/>
  <c r="G275" i="8"/>
  <c r="R275" i="8"/>
  <c r="X275" i="8"/>
  <c r="S275" i="8" s="1"/>
  <c r="U528" i="8"/>
  <c r="W275" i="8"/>
  <c r="F275" i="8"/>
  <c r="Q276" i="8"/>
  <c r="M276" i="8"/>
  <c r="D276" i="8"/>
  <c r="E276" i="8"/>
  <c r="H276" i="8"/>
  <c r="O276" i="8"/>
  <c r="L276" i="8"/>
  <c r="G276" i="8"/>
  <c r="N276" i="8"/>
  <c r="F276" i="8"/>
  <c r="R276" i="8"/>
  <c r="B83" i="8"/>
  <c r="S175" i="8"/>
  <c r="D726" i="8"/>
  <c r="M726" i="8"/>
  <c r="W726" i="8"/>
  <c r="H726" i="8"/>
  <c r="G726" i="8"/>
  <c r="L726" i="8"/>
  <c r="V726" i="8"/>
  <c r="K726" i="8"/>
  <c r="P726" i="8"/>
  <c r="O726" i="8"/>
  <c r="C726" i="8"/>
  <c r="Y726" i="8"/>
  <c r="J726" i="8"/>
  <c r="X726" i="8"/>
  <c r="R726" i="8"/>
  <c r="T726" i="8"/>
  <c r="E726" i="8"/>
  <c r="N726" i="8"/>
  <c r="I726" i="8"/>
  <c r="J626" i="8"/>
  <c r="E626" i="8"/>
  <c r="Y626" i="8"/>
  <c r="N626" i="8"/>
  <c r="T626" i="8"/>
  <c r="X626" i="8"/>
  <c r="I626" i="8"/>
  <c r="R626" i="8"/>
  <c r="W626" i="8"/>
  <c r="H626" i="8"/>
  <c r="Q626" i="8"/>
  <c r="P626" i="8"/>
  <c r="V626" i="8"/>
  <c r="D626" i="8"/>
  <c r="M626" i="8"/>
  <c r="C626" i="8"/>
  <c r="L626" i="8"/>
  <c r="F626" i="8"/>
  <c r="K626" i="8"/>
  <c r="U626" i="8"/>
  <c r="S725" i="8"/>
  <c r="B727" i="8"/>
  <c r="B627" i="8"/>
  <c r="T276" i="8"/>
  <c r="W276" i="8"/>
  <c r="Y276" i="8"/>
  <c r="X276" i="8"/>
  <c r="U276" i="8"/>
  <c r="B277" i="8"/>
  <c r="U529" i="8"/>
  <c r="Y529" i="8"/>
  <c r="V529" i="8"/>
  <c r="T529" i="8"/>
  <c r="W529" i="8"/>
  <c r="B530" i="8"/>
  <c r="B429" i="8"/>
  <c r="T176" i="8"/>
  <c r="W176" i="8"/>
  <c r="V176" i="8"/>
  <c r="U176" i="8"/>
  <c r="X176" i="8"/>
  <c r="Y176" i="8"/>
  <c r="D83" i="8" a="1"/>
  <c r="U277" i="8" a="1"/>
  <c r="M530" i="8" a="1"/>
  <c r="P276" i="8" a="1"/>
  <c r="W429" i="8" a="1"/>
  <c r="V83" i="8" a="1"/>
  <c r="O277" i="8" a="1"/>
  <c r="R727" i="8" a="1"/>
  <c r="P83" i="8" a="1"/>
  <c r="W83" i="8" a="1"/>
  <c r="M429" i="8" a="1"/>
  <c r="E277" i="8" a="1"/>
  <c r="W177" i="8" a="1"/>
  <c r="M83" i="8" a="1"/>
  <c r="R429" i="8" a="1"/>
  <c r="X727" i="8" a="1"/>
  <c r="L83" i="8" a="1"/>
  <c r="R627" i="8" a="1"/>
  <c r="F627" i="8" a="1"/>
  <c r="R83" i="8" a="1"/>
  <c r="G83" i="8" a="1"/>
  <c r="J429" i="8" a="1"/>
  <c r="W530" i="8" a="1"/>
  <c r="V276" i="8" a="1"/>
  <c r="M727" i="8" a="1"/>
  <c r="E727" i="8" a="1"/>
  <c r="G727" i="8" a="1"/>
  <c r="O626" i="8" a="1"/>
  <c r="J83" i="8" a="1"/>
  <c r="Y177" i="8" a="1"/>
  <c r="T627" i="8" a="1"/>
  <c r="I83" i="8" a="1"/>
  <c r="X530" i="8" a="1"/>
  <c r="Y727" i="8" a="1"/>
  <c r="C627" i="8" a="1"/>
  <c r="U83" i="8" a="1"/>
  <c r="T727" i="8" a="1"/>
  <c r="J727" i="8" a="1"/>
  <c r="N530" i="8" a="1"/>
  <c r="Y277" i="8" a="1"/>
  <c r="J276" i="8" a="1"/>
  <c r="I429" i="8" a="1"/>
  <c r="H727" i="8" a="1"/>
  <c r="P530" i="8" a="1"/>
  <c r="V727" i="8" a="1"/>
  <c r="X429" i="8" a="1"/>
  <c r="W727" i="8" a="1"/>
  <c r="I277" i="8" a="1"/>
  <c r="L530" i="8" a="1"/>
  <c r="Q83" i="8" a="1"/>
  <c r="O83" i="8" a="1"/>
  <c r="U627" i="8" a="1"/>
  <c r="G626" i="8" a="1"/>
  <c r="Y429" i="8" a="1"/>
  <c r="T83" i="8" a="1"/>
  <c r="J627" i="8" a="1"/>
  <c r="Q429" i="8" a="1"/>
  <c r="G530" i="8" a="1"/>
  <c r="O627" i="8" a="1"/>
  <c r="F83" i="8" a="1"/>
  <c r="Q726" i="8" a="1"/>
  <c r="X83" i="8" a="1"/>
  <c r="K727" i="8" a="1"/>
  <c r="N727" i="8" a="1"/>
  <c r="L727" i="8" a="1"/>
  <c r="G277" i="8" a="1"/>
  <c r="X529" i="8" a="1"/>
  <c r="F726" i="8" a="1"/>
  <c r="P727" i="8" a="1"/>
  <c r="Q727" i="8" a="1"/>
  <c r="H530" i="8" a="1"/>
  <c r="K277" i="8" a="1"/>
  <c r="I530" i="8" a="1"/>
  <c r="C429" i="8" a="1"/>
  <c r="I276" i="8" a="1"/>
  <c r="U726" i="8" a="1"/>
  <c r="C727" i="8" a="1"/>
  <c r="K429" i="8" a="1"/>
  <c r="V429" i="8" a="1"/>
  <c r="V530" i="8" a="1"/>
  <c r="J530" i="8" a="1"/>
  <c r="U429" i="8" a="1"/>
  <c r="Y530" i="8" a="1"/>
  <c r="N83" i="8" a="1"/>
  <c r="R530" i="8" a="1"/>
  <c r="W627" i="8" a="1"/>
  <c r="T177" i="8" a="1"/>
  <c r="N627" i="8" a="1"/>
  <c r="I727" i="8" a="1"/>
  <c r="L429" i="8" a="1"/>
  <c r="T530" i="8" a="1"/>
  <c r="V177" i="8" a="1"/>
  <c r="G429" i="8" a="1"/>
  <c r="H83" i="8" a="1"/>
  <c r="Y627" i="8" a="1"/>
  <c r="O429" i="8" a="1"/>
  <c r="E530" i="8" a="1"/>
  <c r="C83" i="8" a="1"/>
  <c r="D530" i="8" a="1"/>
  <c r="D727" i="8" a="1"/>
  <c r="Y83" i="8" a="1"/>
  <c r="P429" i="8" a="1"/>
  <c r="U727" i="8" a="1"/>
  <c r="K83" i="8" a="1"/>
  <c r="K530" i="8" a="1"/>
  <c r="P627" i="8" a="1"/>
  <c r="C530" i="8" a="1"/>
  <c r="N429" i="8" a="1"/>
  <c r="K276" i="8" a="1"/>
  <c r="E429" i="8" a="1"/>
  <c r="E627" i="8" a="1"/>
  <c r="C276" i="8" a="1"/>
  <c r="X177" i="8" a="1"/>
  <c r="Q530" i="8" a="1"/>
  <c r="O727" i="8" a="1"/>
  <c r="H627" i="8" a="1"/>
  <c r="G627" i="8" a="1"/>
  <c r="L627" i="8" a="1"/>
  <c r="I627" i="8" a="1"/>
  <c r="H429" i="8" a="1"/>
  <c r="F727" i="8" a="1"/>
  <c r="W277" i="8" a="1"/>
  <c r="M627" i="8" a="1"/>
  <c r="E83" i="8" a="1"/>
  <c r="D429" i="8" a="1"/>
  <c r="O530" i="8" a="1"/>
  <c r="T429" i="8" a="1"/>
  <c r="U177" i="8" a="1"/>
  <c r="F429" i="8" a="1"/>
  <c r="F530" i="8" a="1"/>
  <c r="S82" i="8" l="1"/>
  <c r="S428" i="8"/>
  <c r="V429" i="8"/>
  <c r="F429" i="8"/>
  <c r="J429" i="8"/>
  <c r="N429" i="8"/>
  <c r="R429" i="8"/>
  <c r="W429" i="8"/>
  <c r="C429" i="8"/>
  <c r="G429" i="8"/>
  <c r="K429" i="8"/>
  <c r="O429" i="8"/>
  <c r="H429" i="8"/>
  <c r="P429" i="8"/>
  <c r="X429" i="8"/>
  <c r="L429" i="8"/>
  <c r="I429" i="8"/>
  <c r="Q429" i="8"/>
  <c r="Y429" i="8"/>
  <c r="T429" i="8"/>
  <c r="U429" i="8"/>
  <c r="E429" i="8"/>
  <c r="M429" i="8"/>
  <c r="D429" i="8"/>
  <c r="U83" i="8"/>
  <c r="Y83" i="8"/>
  <c r="E83" i="8"/>
  <c r="I83" i="8"/>
  <c r="M83" i="8"/>
  <c r="Q83" i="8"/>
  <c r="V83" i="8"/>
  <c r="F83" i="8"/>
  <c r="J83" i="8"/>
  <c r="N83" i="8"/>
  <c r="R83" i="8"/>
  <c r="W83" i="8"/>
  <c r="C83" i="8"/>
  <c r="G83" i="8"/>
  <c r="K83" i="8"/>
  <c r="O83" i="8"/>
  <c r="T83" i="8"/>
  <c r="X83" i="8"/>
  <c r="L83" i="8"/>
  <c r="P83" i="8"/>
  <c r="H83" i="8"/>
  <c r="D83" i="8"/>
  <c r="C530" i="8"/>
  <c r="G530" i="8"/>
  <c r="K530" i="8"/>
  <c r="O530" i="8"/>
  <c r="D530" i="8"/>
  <c r="H530" i="8"/>
  <c r="L530" i="8"/>
  <c r="P530" i="8"/>
  <c r="J530" i="8"/>
  <c r="N530" i="8"/>
  <c r="E530" i="8"/>
  <c r="I530" i="8"/>
  <c r="M530" i="8"/>
  <c r="Q530" i="8"/>
  <c r="F530" i="8"/>
  <c r="R530" i="8"/>
  <c r="S528" i="8"/>
  <c r="I276" i="8"/>
  <c r="V276" i="8"/>
  <c r="S276" i="8" s="1"/>
  <c r="P276" i="8"/>
  <c r="J276" i="8"/>
  <c r="C276" i="8"/>
  <c r="U726" i="8"/>
  <c r="K276" i="8"/>
  <c r="F726" i="8"/>
  <c r="O626" i="8"/>
  <c r="G626" i="8"/>
  <c r="X529" i="8"/>
  <c r="S529" i="8" s="1"/>
  <c r="Q726" i="8"/>
  <c r="B84" i="8"/>
  <c r="S176" i="8"/>
  <c r="J627" i="8"/>
  <c r="E627" i="8"/>
  <c r="P627" i="8"/>
  <c r="N627" i="8"/>
  <c r="I627" i="8"/>
  <c r="R627" i="8"/>
  <c r="T627" i="8"/>
  <c r="M627" i="8"/>
  <c r="O627" i="8"/>
  <c r="G627" i="8"/>
  <c r="W627" i="8"/>
  <c r="U627" i="8"/>
  <c r="H627" i="8"/>
  <c r="C627" i="8"/>
  <c r="L627" i="8"/>
  <c r="F627" i="8"/>
  <c r="Y627" i="8"/>
  <c r="E727" i="8"/>
  <c r="N727" i="8"/>
  <c r="X727" i="8"/>
  <c r="I727" i="8"/>
  <c r="R727" i="8"/>
  <c r="P727" i="8"/>
  <c r="M727" i="8"/>
  <c r="W727" i="8"/>
  <c r="D727" i="8"/>
  <c r="H727" i="8"/>
  <c r="Q727" i="8"/>
  <c r="C727" i="8"/>
  <c r="V727" i="8"/>
  <c r="G727" i="8"/>
  <c r="L727" i="8"/>
  <c r="Y727" i="8"/>
  <c r="T727" i="8"/>
  <c r="K727" i="8"/>
  <c r="J727" i="8"/>
  <c r="U727" i="8"/>
  <c r="F727" i="8"/>
  <c r="O727" i="8"/>
  <c r="S626" i="8"/>
  <c r="S726" i="8"/>
  <c r="B628" i="8"/>
  <c r="B728" i="8"/>
  <c r="E277" i="8"/>
  <c r="G277" i="8"/>
  <c r="O277" i="8"/>
  <c r="I277" i="8"/>
  <c r="U277" i="8"/>
  <c r="Y277" i="8"/>
  <c r="W277" i="8"/>
  <c r="K277" i="8"/>
  <c r="B278" i="8"/>
  <c r="W530" i="8"/>
  <c r="X530" i="8"/>
  <c r="V530" i="8"/>
  <c r="Y530" i="8"/>
  <c r="T530" i="8"/>
  <c r="B531" i="8"/>
  <c r="B430" i="8"/>
  <c r="X177" i="8"/>
  <c r="Y177" i="8"/>
  <c r="W177" i="8"/>
  <c r="U177" i="8"/>
  <c r="T177" i="8"/>
  <c r="V177" i="8"/>
  <c r="D84" i="8" a="1"/>
  <c r="U531" i="8" a="1"/>
  <c r="E728" i="8" a="1"/>
  <c r="U530" i="8" a="1"/>
  <c r="F277" i="8" a="1"/>
  <c r="O531" i="8" a="1"/>
  <c r="N628" i="8" a="1"/>
  <c r="I84" i="8" a="1"/>
  <c r="N278" i="8" a="1"/>
  <c r="D628" i="8" a="1"/>
  <c r="T628" i="8" a="1"/>
  <c r="F278" i="8" a="1"/>
  <c r="R84" i="8" a="1"/>
  <c r="G430" i="8" a="1"/>
  <c r="M84" i="8" a="1"/>
  <c r="L628" i="8" a="1"/>
  <c r="M531" i="8" a="1"/>
  <c r="C531" i="8" a="1"/>
  <c r="P628" i="8" a="1"/>
  <c r="L531" i="8" a="1"/>
  <c r="J628" i="8" a="1"/>
  <c r="V531" i="8" a="1"/>
  <c r="U728" i="8" a="1"/>
  <c r="D278" i="8" a="1"/>
  <c r="L278" i="8" a="1"/>
  <c r="X84" i="8" a="1"/>
  <c r="W628" i="8" a="1"/>
  <c r="J277" i="8" a="1"/>
  <c r="P430" i="8" a="1"/>
  <c r="N728" i="8" a="1"/>
  <c r="J531" i="8" a="1"/>
  <c r="C728" i="8" a="1"/>
  <c r="X278" i="8" a="1"/>
  <c r="Y728" i="8" a="1"/>
  <c r="Y430" i="8" a="1"/>
  <c r="E278" i="8" a="1"/>
  <c r="V84" i="8" a="1"/>
  <c r="I278" i="8" a="1"/>
  <c r="R430" i="8" a="1"/>
  <c r="W430" i="8" a="1"/>
  <c r="W178" i="8" a="1"/>
  <c r="C628" i="8" a="1"/>
  <c r="V277" i="8" a="1"/>
  <c r="X627" i="8" a="1"/>
  <c r="Q430" i="8" a="1"/>
  <c r="F531" i="8" a="1"/>
  <c r="T430" i="8" a="1"/>
  <c r="P277" i="8" a="1"/>
  <c r="P84" i="8" a="1"/>
  <c r="F84" i="8" a="1"/>
  <c r="L728" i="8" a="1"/>
  <c r="J84" i="8" a="1"/>
  <c r="X628" i="8" a="1"/>
  <c r="O430" i="8" a="1"/>
  <c r="V178" i="8" a="1"/>
  <c r="W84" i="8" a="1"/>
  <c r="P278" i="8" a="1"/>
  <c r="N531" i="8" a="1"/>
  <c r="F728" i="8" a="1"/>
  <c r="U430" i="8" a="1"/>
  <c r="Q627" i="8" a="1"/>
  <c r="V627" i="8" a="1"/>
  <c r="K84" i="8" a="1"/>
  <c r="O84" i="8" a="1"/>
  <c r="H278" i="8" a="1"/>
  <c r="K430" i="8" a="1"/>
  <c r="I531" i="8" a="1"/>
  <c r="X178" i="8" a="1"/>
  <c r="K627" i="8" a="1"/>
  <c r="T178" i="8" a="1"/>
  <c r="O278" i="8" a="1"/>
  <c r="M278" i="8" a="1"/>
  <c r="U84" i="8" a="1"/>
  <c r="R278" i="8" a="1"/>
  <c r="Y84" i="8" a="1"/>
  <c r="K278" i="8" a="1"/>
  <c r="Q728" i="8" a="1"/>
  <c r="R628" i="8" a="1"/>
  <c r="Q277" i="8" a="1"/>
  <c r="Y531" i="8" a="1"/>
  <c r="C277" i="8" a="1"/>
  <c r="J430" i="8" a="1"/>
  <c r="C278" i="8" a="1"/>
  <c r="Y178" i="8" a="1"/>
  <c r="P531" i="8" a="1"/>
  <c r="I628" i="8" a="1"/>
  <c r="H277" i="8" a="1"/>
  <c r="D531" i="8" a="1"/>
  <c r="E430" i="8" a="1"/>
  <c r="L277" i="8" a="1"/>
  <c r="U278" i="8" a="1"/>
  <c r="V278" i="8" a="1"/>
  <c r="Y628" i="8" a="1"/>
  <c r="E628" i="8" a="1"/>
  <c r="M430" i="8" a="1"/>
  <c r="H531" i="8" a="1"/>
  <c r="N277" i="8" a="1"/>
  <c r="M277" i="8" a="1"/>
  <c r="R277" i="8" a="1"/>
  <c r="E84" i="8" a="1"/>
  <c r="V728" i="8" a="1"/>
  <c r="Q628" i="8" a="1"/>
  <c r="Q278" i="8" a="1"/>
  <c r="T84" i="8" a="1"/>
  <c r="K531" i="8" a="1"/>
  <c r="R728" i="8" a="1"/>
  <c r="G531" i="8" a="1"/>
  <c r="T728" i="8" a="1"/>
  <c r="F430" i="8" a="1"/>
  <c r="E531" i="8" a="1"/>
  <c r="D627" i="8" a="1"/>
  <c r="H430" i="8" a="1"/>
  <c r="G728" i="8" a="1"/>
  <c r="D728" i="8" a="1"/>
  <c r="R531" i="8" a="1"/>
  <c r="Y278" i="8" a="1"/>
  <c r="W728" i="8" a="1"/>
  <c r="M728" i="8" a="1"/>
  <c r="Q531" i="8" a="1"/>
  <c r="X430" i="8" a="1"/>
  <c r="W531" i="8" a="1"/>
  <c r="C84" i="8" a="1"/>
  <c r="T278" i="8" a="1"/>
  <c r="C430" i="8" a="1"/>
  <c r="T277" i="8" a="1"/>
  <c r="G278" i="8" a="1"/>
  <c r="O628" i="8" a="1"/>
  <c r="X531" i="8" a="1"/>
  <c r="H84" i="8" a="1"/>
  <c r="F628" i="8" a="1"/>
  <c r="O728" i="8" a="1"/>
  <c r="V430" i="8" a="1"/>
  <c r="K728" i="8" a="1"/>
  <c r="U628" i="8" a="1"/>
  <c r="L84" i="8" a="1"/>
  <c r="N84" i="8" a="1"/>
  <c r="W278" i="8" a="1"/>
  <c r="G84" i="8" a="1"/>
  <c r="D277" i="8" a="1"/>
  <c r="L430" i="8" a="1"/>
  <c r="X277" i="8" a="1"/>
  <c r="Q84" i="8" a="1"/>
  <c r="J278" i="8" a="1"/>
  <c r="P728" i="8" a="1"/>
  <c r="V628" i="8" a="1"/>
  <c r="T531" i="8" a="1"/>
  <c r="D430" i="8" a="1"/>
  <c r="X728" i="8" a="1"/>
  <c r="M628" i="8" a="1"/>
  <c r="N430" i="8" a="1"/>
  <c r="H728" i="8" a="1"/>
  <c r="I728" i="8" a="1"/>
  <c r="H628" i="8" a="1"/>
  <c r="K628" i="8" a="1"/>
  <c r="G628" i="8" a="1"/>
  <c r="U178" i="8" a="1"/>
  <c r="J728" i="8" a="1"/>
  <c r="I430" i="8" a="1"/>
  <c r="C84" i="8" l="1"/>
  <c r="D84" i="8"/>
  <c r="E84" i="8"/>
  <c r="G84" i="8"/>
  <c r="T84" i="8"/>
  <c r="X84" i="8"/>
  <c r="H84" i="8"/>
  <c r="L84" i="8"/>
  <c r="P84" i="8"/>
  <c r="O84" i="8"/>
  <c r="U84" i="8"/>
  <c r="Y84" i="8"/>
  <c r="F84" i="8"/>
  <c r="I84" i="8"/>
  <c r="M84" i="8"/>
  <c r="Q84" i="8"/>
  <c r="V84" i="8"/>
  <c r="J84" i="8"/>
  <c r="N84" i="8"/>
  <c r="R84" i="8"/>
  <c r="K84" i="8"/>
  <c r="W84" i="8"/>
  <c r="C430" i="8"/>
  <c r="G430" i="8"/>
  <c r="K430" i="8"/>
  <c r="O430" i="8"/>
  <c r="D430" i="8"/>
  <c r="H430" i="8"/>
  <c r="L430" i="8"/>
  <c r="P430" i="8"/>
  <c r="U430" i="8"/>
  <c r="Y430" i="8"/>
  <c r="F430" i="8"/>
  <c r="M430" i="8"/>
  <c r="J430" i="8"/>
  <c r="T430" i="8"/>
  <c r="N430" i="8"/>
  <c r="I430" i="8"/>
  <c r="V430" i="8"/>
  <c r="W430" i="8"/>
  <c r="E430" i="8"/>
  <c r="X430" i="8"/>
  <c r="Q430" i="8"/>
  <c r="R430" i="8"/>
  <c r="S429" i="8"/>
  <c r="S83" i="8"/>
  <c r="F531" i="8"/>
  <c r="J531" i="8"/>
  <c r="N531" i="8"/>
  <c r="R531" i="8"/>
  <c r="C531" i="8"/>
  <c r="G531" i="8"/>
  <c r="K531" i="8"/>
  <c r="O531" i="8"/>
  <c r="D531" i="8"/>
  <c r="H531" i="8"/>
  <c r="L531" i="8"/>
  <c r="P531" i="8"/>
  <c r="E531" i="8"/>
  <c r="I531" i="8"/>
  <c r="M531" i="8"/>
  <c r="Q531" i="8"/>
  <c r="S530" i="8"/>
  <c r="D277" i="8"/>
  <c r="T277" i="8"/>
  <c r="X627" i="8"/>
  <c r="K627" i="8"/>
  <c r="Q277" i="8"/>
  <c r="M277" i="8"/>
  <c r="Q627" i="8"/>
  <c r="X277" i="8"/>
  <c r="P277" i="8"/>
  <c r="H277" i="8"/>
  <c r="L277" i="8"/>
  <c r="C277" i="8"/>
  <c r="V627" i="8"/>
  <c r="D627" i="8"/>
  <c r="N277" i="8"/>
  <c r="R277" i="8"/>
  <c r="U530" i="8"/>
  <c r="F277" i="8"/>
  <c r="J277" i="8"/>
  <c r="V277" i="8"/>
  <c r="B85" i="8"/>
  <c r="S177" i="8"/>
  <c r="J728" i="8"/>
  <c r="T728" i="8"/>
  <c r="E728" i="8"/>
  <c r="N728" i="8"/>
  <c r="X728" i="8"/>
  <c r="I728" i="8"/>
  <c r="R728" i="8"/>
  <c r="D728" i="8"/>
  <c r="M728" i="8"/>
  <c r="G728" i="8"/>
  <c r="K728" i="8"/>
  <c r="U728" i="8"/>
  <c r="O728" i="8"/>
  <c r="Y728" i="8"/>
  <c r="W728" i="8"/>
  <c r="H728" i="8"/>
  <c r="Q728" i="8"/>
  <c r="L728" i="8"/>
  <c r="V728" i="8"/>
  <c r="C728" i="8"/>
  <c r="P728" i="8"/>
  <c r="F728" i="8"/>
  <c r="Y628" i="8"/>
  <c r="R628" i="8"/>
  <c r="L628" i="8"/>
  <c r="E628" i="8"/>
  <c r="W628" i="8"/>
  <c r="X628" i="8"/>
  <c r="I628" i="8"/>
  <c r="C628" i="8"/>
  <c r="H628" i="8"/>
  <c r="M628" i="8"/>
  <c r="G628" i="8"/>
  <c r="D628" i="8"/>
  <c r="Q628" i="8"/>
  <c r="K628" i="8"/>
  <c r="V628" i="8"/>
  <c r="N628" i="8"/>
  <c r="F628" i="8"/>
  <c r="O628" i="8"/>
  <c r="P628" i="8"/>
  <c r="J628" i="8"/>
  <c r="U628" i="8"/>
  <c r="T628" i="8"/>
  <c r="S727" i="8"/>
  <c r="B729" i="8"/>
  <c r="B629" i="8"/>
  <c r="E278" i="8"/>
  <c r="R278" i="8"/>
  <c r="M278" i="8"/>
  <c r="I278" i="8"/>
  <c r="H278" i="8"/>
  <c r="L278" i="8"/>
  <c r="U278" i="8"/>
  <c r="O278" i="8"/>
  <c r="V278" i="8"/>
  <c r="N278" i="8"/>
  <c r="Y278" i="8"/>
  <c r="T278" i="8"/>
  <c r="X278" i="8"/>
  <c r="C278" i="8"/>
  <c r="G278" i="8"/>
  <c r="P278" i="8"/>
  <c r="Q278" i="8"/>
  <c r="J278" i="8"/>
  <c r="K278" i="8"/>
  <c r="D278" i="8"/>
  <c r="F278" i="8"/>
  <c r="W278" i="8"/>
  <c r="B279" i="8"/>
  <c r="W531" i="8"/>
  <c r="Y531" i="8"/>
  <c r="U531" i="8"/>
  <c r="T531" i="8"/>
  <c r="X531" i="8"/>
  <c r="V531" i="8"/>
  <c r="B532" i="8"/>
  <c r="B431" i="8"/>
  <c r="T178" i="8"/>
  <c r="W178" i="8"/>
  <c r="Y178" i="8"/>
  <c r="U178" i="8"/>
  <c r="X178" i="8"/>
  <c r="V178" i="8"/>
  <c r="H431" i="8" a="1"/>
  <c r="K532" i="8" a="1"/>
  <c r="O532" i="8" a="1"/>
  <c r="D85" i="8" a="1"/>
  <c r="Y85" i="8" a="1"/>
  <c r="J729" i="8" a="1"/>
  <c r="F85" i="8" a="1"/>
  <c r="M85" i="8" a="1"/>
  <c r="U279" i="8" a="1"/>
  <c r="J629" i="8" a="1"/>
  <c r="E85" i="8" a="1"/>
  <c r="P532" i="8" a="1"/>
  <c r="L629" i="8" a="1"/>
  <c r="X532" i="8" a="1"/>
  <c r="J85" i="8" a="1"/>
  <c r="F729" i="8" a="1"/>
  <c r="D431" i="8" a="1"/>
  <c r="D532" i="8" a="1"/>
  <c r="W729" i="8" a="1"/>
  <c r="D629" i="8" a="1"/>
  <c r="M279" i="8" a="1"/>
  <c r="P85" i="8" a="1"/>
  <c r="T729" i="8" a="1"/>
  <c r="N279" i="8" a="1"/>
  <c r="U729" i="8" a="1"/>
  <c r="G532" i="8" a="1"/>
  <c r="X431" i="8" a="1"/>
  <c r="T279" i="8" a="1"/>
  <c r="J532" i="8" a="1"/>
  <c r="X279" i="8" a="1"/>
  <c r="R279" i="8" a="1"/>
  <c r="W279" i="8" a="1"/>
  <c r="T532" i="8" a="1"/>
  <c r="I279" i="8" a="1"/>
  <c r="W431" i="8" a="1"/>
  <c r="X179" i="8" a="1"/>
  <c r="O729" i="8" a="1"/>
  <c r="Y431" i="8" a="1"/>
  <c r="P279" i="8" a="1"/>
  <c r="L532" i="8" a="1"/>
  <c r="G279" i="8" a="1"/>
  <c r="F532" i="8" a="1"/>
  <c r="X85" i="8" a="1"/>
  <c r="O431" i="8" a="1"/>
  <c r="Y179" i="8" a="1"/>
  <c r="C729" i="8" a="1"/>
  <c r="I532" i="8" a="1"/>
  <c r="N729" i="8" a="1"/>
  <c r="K431" i="8" a="1"/>
  <c r="E532" i="8" a="1"/>
  <c r="N532" i="8" a="1"/>
  <c r="Y279" i="8" a="1"/>
  <c r="V431" i="8" a="1"/>
  <c r="F279" i="8" a="1"/>
  <c r="H729" i="8" a="1"/>
  <c r="V532" i="8" a="1"/>
  <c r="Y729" i="8" a="1"/>
  <c r="W629" i="8" a="1"/>
  <c r="X729" i="8" a="1"/>
  <c r="G85" i="8" a="1"/>
  <c r="W179" i="8" a="1"/>
  <c r="Y629" i="8" a="1"/>
  <c r="K279" i="8" a="1"/>
  <c r="N431" i="8" a="1"/>
  <c r="O279" i="8" a="1"/>
  <c r="L279" i="8" a="1"/>
  <c r="X629" i="8" a="1"/>
  <c r="N629" i="8" a="1"/>
  <c r="G629" i="8" a="1"/>
  <c r="D279" i="8" a="1"/>
  <c r="H279" i="8" a="1"/>
  <c r="F431" i="8" a="1"/>
  <c r="Q532" i="8" a="1"/>
  <c r="H85" i="8" a="1"/>
  <c r="H532" i="8" a="1"/>
  <c r="W532" i="8" a="1"/>
  <c r="K729" i="8" a="1"/>
  <c r="R729" i="8" a="1"/>
  <c r="G431" i="8" a="1"/>
  <c r="E431" i="8" a="1"/>
  <c r="Q729" i="8" a="1"/>
  <c r="U629" i="8" a="1"/>
  <c r="R532" i="8" a="1"/>
  <c r="O629" i="8" a="1"/>
  <c r="Q629" i="8" a="1"/>
  <c r="M532" i="8" a="1"/>
  <c r="T85" i="8" a="1"/>
  <c r="P729" i="8" a="1"/>
  <c r="V629" i="8" a="1"/>
  <c r="V85" i="8" a="1"/>
  <c r="T629" i="8" a="1"/>
  <c r="J431" i="8" a="1"/>
  <c r="C431" i="8" a="1"/>
  <c r="M431" i="8" a="1"/>
  <c r="M729" i="8" a="1"/>
  <c r="V279" i="8" a="1"/>
  <c r="C532" i="8" a="1"/>
  <c r="V729" i="8" a="1"/>
  <c r="Q431" i="8" a="1"/>
  <c r="C85" i="8" a="1"/>
  <c r="E729" i="8" a="1"/>
  <c r="P431" i="8" a="1"/>
  <c r="R431" i="8" a="1"/>
  <c r="T431" i="8" a="1"/>
  <c r="I629" i="8" a="1"/>
  <c r="L85" i="8" a="1"/>
  <c r="C279" i="8" a="1"/>
  <c r="L431" i="8" a="1"/>
  <c r="J279" i="8" a="1"/>
  <c r="K85" i="8" a="1"/>
  <c r="Q279" i="8" a="1"/>
  <c r="O85" i="8" a="1"/>
  <c r="P629" i="8" a="1"/>
  <c r="W85" i="8" a="1"/>
  <c r="G729" i="8" a="1"/>
  <c r="U85" i="8" a="1"/>
  <c r="V179" i="8" a="1"/>
  <c r="C629" i="8" a="1"/>
  <c r="H629" i="8" a="1"/>
  <c r="L729" i="8" a="1"/>
  <c r="M629" i="8" a="1"/>
  <c r="I729" i="8" a="1"/>
  <c r="N85" i="8" a="1"/>
  <c r="U431" i="8" a="1"/>
  <c r="R85" i="8" a="1"/>
  <c r="U532" i="8" a="1"/>
  <c r="I85" i="8" a="1"/>
  <c r="U179" i="8" a="1"/>
  <c r="Q85" i="8" a="1"/>
  <c r="I431" i="8" a="1"/>
  <c r="T179" i="8" a="1"/>
  <c r="D729" i="8" a="1"/>
  <c r="S430" i="8" l="1"/>
  <c r="S84" i="8"/>
  <c r="U431" i="8"/>
  <c r="Y431" i="8"/>
  <c r="V431" i="8"/>
  <c r="F431" i="8"/>
  <c r="J431" i="8"/>
  <c r="N431" i="8"/>
  <c r="R431" i="8"/>
  <c r="C431" i="8"/>
  <c r="I431" i="8"/>
  <c r="W431" i="8"/>
  <c r="M431" i="8"/>
  <c r="P431" i="8"/>
  <c r="D431" i="8"/>
  <c r="K431" i="8"/>
  <c r="Q431" i="8"/>
  <c r="X431" i="8"/>
  <c r="E431" i="8"/>
  <c r="T431" i="8"/>
  <c r="L431" i="8"/>
  <c r="H431" i="8"/>
  <c r="O431" i="8"/>
  <c r="G431" i="8"/>
  <c r="E85" i="8"/>
  <c r="I85" i="8"/>
  <c r="M85" i="8"/>
  <c r="Q85" i="8"/>
  <c r="V85" i="8"/>
  <c r="F85" i="8"/>
  <c r="J85" i="8"/>
  <c r="N85" i="8"/>
  <c r="R85" i="8"/>
  <c r="W85" i="8"/>
  <c r="U85" i="8"/>
  <c r="C85" i="8"/>
  <c r="G85" i="8"/>
  <c r="K85" i="8"/>
  <c r="O85" i="8"/>
  <c r="Y85" i="8"/>
  <c r="T85" i="8"/>
  <c r="X85" i="8"/>
  <c r="D85" i="8"/>
  <c r="H85" i="8"/>
  <c r="L85" i="8"/>
  <c r="P85" i="8"/>
  <c r="E532" i="8"/>
  <c r="F532" i="8"/>
  <c r="J532" i="8"/>
  <c r="N532" i="8"/>
  <c r="R532" i="8"/>
  <c r="C532" i="8"/>
  <c r="G532" i="8"/>
  <c r="K532" i="8"/>
  <c r="O532" i="8"/>
  <c r="I532" i="8"/>
  <c r="D532" i="8"/>
  <c r="H532" i="8"/>
  <c r="L532" i="8"/>
  <c r="P532" i="8"/>
  <c r="Q532" i="8"/>
  <c r="M532" i="8"/>
  <c r="S531" i="8"/>
  <c r="S627" i="8"/>
  <c r="S277" i="8"/>
  <c r="B86" i="8"/>
  <c r="S178" i="8"/>
  <c r="T629" i="8"/>
  <c r="J629" i="8"/>
  <c r="X629" i="8"/>
  <c r="N629" i="8"/>
  <c r="D629" i="8"/>
  <c r="Y629" i="8"/>
  <c r="H629" i="8"/>
  <c r="Q629" i="8"/>
  <c r="C629" i="8"/>
  <c r="L629" i="8"/>
  <c r="G629" i="8"/>
  <c r="P629" i="8"/>
  <c r="I629" i="8"/>
  <c r="M629" i="8"/>
  <c r="V629" i="8"/>
  <c r="O629" i="8"/>
  <c r="U629" i="8"/>
  <c r="W629" i="8"/>
  <c r="K729" i="8"/>
  <c r="U729" i="8"/>
  <c r="J729" i="8"/>
  <c r="F729" i="8"/>
  <c r="O729" i="8"/>
  <c r="Y729" i="8"/>
  <c r="N729" i="8"/>
  <c r="D729" i="8"/>
  <c r="G729" i="8"/>
  <c r="T729" i="8"/>
  <c r="E729" i="8"/>
  <c r="R729" i="8"/>
  <c r="I729" i="8"/>
  <c r="X729" i="8"/>
  <c r="M729" i="8"/>
  <c r="W729" i="8"/>
  <c r="H729" i="8"/>
  <c r="Q729" i="8"/>
  <c r="C729" i="8"/>
  <c r="L729" i="8"/>
  <c r="V729" i="8"/>
  <c r="P729" i="8"/>
  <c r="S628" i="8"/>
  <c r="S728" i="8"/>
  <c r="B630" i="8"/>
  <c r="B730" i="8"/>
  <c r="S278" i="8"/>
  <c r="G279" i="8"/>
  <c r="F279" i="8"/>
  <c r="N279" i="8"/>
  <c r="M279" i="8"/>
  <c r="X279" i="8"/>
  <c r="H279" i="8"/>
  <c r="U279" i="8"/>
  <c r="O279" i="8"/>
  <c r="T279" i="8"/>
  <c r="D279" i="8"/>
  <c r="Q279" i="8"/>
  <c r="P279" i="8"/>
  <c r="V279" i="8"/>
  <c r="Y279" i="8"/>
  <c r="J279" i="8"/>
  <c r="W279" i="8"/>
  <c r="K279" i="8"/>
  <c r="I279" i="8"/>
  <c r="C279" i="8"/>
  <c r="L279" i="8"/>
  <c r="R279" i="8"/>
  <c r="B280" i="8"/>
  <c r="V532" i="8"/>
  <c r="W532" i="8"/>
  <c r="T532" i="8"/>
  <c r="X532" i="8"/>
  <c r="U532" i="8"/>
  <c r="B533" i="8"/>
  <c r="B432" i="8"/>
  <c r="V179" i="8"/>
  <c r="X179" i="8"/>
  <c r="T179" i="8"/>
  <c r="Y179" i="8"/>
  <c r="W179" i="8"/>
  <c r="U179" i="8"/>
  <c r="T86" i="8" a="1"/>
  <c r="C533" i="8" a="1"/>
  <c r="R630" i="8" a="1"/>
  <c r="O630" i="8" a="1"/>
  <c r="V533" i="8" a="1"/>
  <c r="T630" i="8" a="1"/>
  <c r="D280" i="8" a="1"/>
  <c r="F629" i="8" a="1"/>
  <c r="K730" i="8" a="1"/>
  <c r="R533" i="8" a="1"/>
  <c r="M86" i="8" a="1"/>
  <c r="V432" i="8" a="1"/>
  <c r="O730" i="8" a="1"/>
  <c r="O432" i="8" a="1"/>
  <c r="U280" i="8" a="1"/>
  <c r="N630" i="8" a="1"/>
  <c r="T180" i="8" a="1"/>
  <c r="G630" i="8" a="1"/>
  <c r="L533" i="8" a="1"/>
  <c r="H730" i="8" a="1"/>
  <c r="P730" i="8" a="1"/>
  <c r="T730" i="8" a="1"/>
  <c r="L280" i="8" a="1"/>
  <c r="F432" i="8" a="1"/>
  <c r="J432" i="8" a="1"/>
  <c r="T280" i="8" a="1"/>
  <c r="E730" i="8" a="1"/>
  <c r="N280" i="8" a="1"/>
  <c r="C280" i="8" a="1"/>
  <c r="W533" i="8" a="1"/>
  <c r="N86" i="8" a="1"/>
  <c r="E280" i="8" a="1"/>
  <c r="U86" i="8" a="1"/>
  <c r="R730" i="8" a="1"/>
  <c r="K280" i="8" a="1"/>
  <c r="E279" i="8" a="1"/>
  <c r="M730" i="8" a="1"/>
  <c r="V180" i="8" a="1"/>
  <c r="E630" i="8" a="1"/>
  <c r="R629" i="8" a="1"/>
  <c r="E432" i="8" a="1"/>
  <c r="W630" i="8" a="1"/>
  <c r="P533" i="8" a="1"/>
  <c r="Y86" i="8" a="1"/>
  <c r="I432" i="8" a="1"/>
  <c r="R432" i="8" a="1"/>
  <c r="T533" i="8" a="1"/>
  <c r="C630" i="8" a="1"/>
  <c r="I730" i="8" a="1"/>
  <c r="J86" i="8" a="1"/>
  <c r="Y533" i="8" a="1"/>
  <c r="W432" i="8" a="1"/>
  <c r="N730" i="8" a="1"/>
  <c r="H533" i="8" a="1"/>
  <c r="H630" i="8" a="1"/>
  <c r="G730" i="8" a="1"/>
  <c r="W730" i="8" a="1"/>
  <c r="J533" i="8" a="1"/>
  <c r="O533" i="8" a="1"/>
  <c r="K630" i="8" a="1"/>
  <c r="I86" i="8" a="1"/>
  <c r="C86" i="8" a="1"/>
  <c r="G533" i="8" a="1"/>
  <c r="X180" i="8" a="1"/>
  <c r="J630" i="8" a="1"/>
  <c r="U730" i="8" a="1"/>
  <c r="E86" i="8" a="1"/>
  <c r="G432" i="8" a="1"/>
  <c r="F86" i="8" a="1"/>
  <c r="F630" i="8" a="1"/>
  <c r="Q432" i="8" a="1"/>
  <c r="K432" i="8" a="1"/>
  <c r="D533" i="8" a="1"/>
  <c r="E533" i="8" a="1"/>
  <c r="R280" i="8" a="1"/>
  <c r="E629" i="8" a="1"/>
  <c r="P630" i="8" a="1"/>
  <c r="D730" i="8" a="1"/>
  <c r="I533" i="8" a="1"/>
  <c r="Q730" i="8" a="1"/>
  <c r="Q86" i="8" a="1"/>
  <c r="V630" i="8" a="1"/>
  <c r="D432" i="8" a="1"/>
  <c r="P432" i="8" a="1"/>
  <c r="L730" i="8" a="1"/>
  <c r="Y432" i="8" a="1"/>
  <c r="O280" i="8" a="1"/>
  <c r="Y180" i="8" a="1"/>
  <c r="X630" i="8" a="1"/>
  <c r="X730" i="8" a="1"/>
  <c r="X533" i="8" a="1"/>
  <c r="M630" i="8" a="1"/>
  <c r="Q630" i="8" a="1"/>
  <c r="D86" i="8" a="1"/>
  <c r="K86" i="8" a="1"/>
  <c r="O86" i="8" a="1"/>
  <c r="X86" i="8" a="1"/>
  <c r="L630" i="8" a="1"/>
  <c r="M432" i="8" a="1"/>
  <c r="I280" i="8" a="1"/>
  <c r="K629" i="8" a="1"/>
  <c r="C432" i="8" a="1"/>
  <c r="X432" i="8" a="1"/>
  <c r="P86" i="8" a="1"/>
  <c r="H280" i="8" a="1"/>
  <c r="I630" i="8" a="1"/>
  <c r="H432" i="8" a="1"/>
  <c r="R86" i="8" a="1"/>
  <c r="X280" i="8" a="1"/>
  <c r="K533" i="8" a="1"/>
  <c r="Y532" i="8" a="1"/>
  <c r="G86" i="8" a="1"/>
  <c r="L432" i="8" a="1"/>
  <c r="F730" i="8" a="1"/>
  <c r="F280" i="8" a="1"/>
  <c r="H86" i="8" a="1"/>
  <c r="U630" i="8" a="1"/>
  <c r="C730" i="8" a="1"/>
  <c r="N432" i="8" a="1"/>
  <c r="U432" i="8" a="1"/>
  <c r="Y630" i="8" a="1"/>
  <c r="V86" i="8" a="1"/>
  <c r="P280" i="8" a="1"/>
  <c r="V730" i="8" a="1"/>
  <c r="W180" i="8" a="1"/>
  <c r="J730" i="8" a="1"/>
  <c r="N533" i="8" a="1"/>
  <c r="L86" i="8" a="1"/>
  <c r="Y730" i="8" a="1"/>
  <c r="G280" i="8" a="1"/>
  <c r="W86" i="8" a="1"/>
  <c r="Q533" i="8" a="1"/>
  <c r="M533" i="8" a="1"/>
  <c r="F533" i="8" a="1"/>
  <c r="V280" i="8" a="1"/>
  <c r="U180" i="8" a="1"/>
  <c r="D630" i="8" a="1"/>
  <c r="T432" i="8" a="1"/>
  <c r="W86" i="8" l="1"/>
  <c r="C86" i="8"/>
  <c r="G86" i="8"/>
  <c r="K86" i="8"/>
  <c r="O86" i="8"/>
  <c r="J86" i="8"/>
  <c r="T86" i="8"/>
  <c r="X86" i="8"/>
  <c r="N86" i="8"/>
  <c r="D86" i="8"/>
  <c r="H86" i="8"/>
  <c r="L86" i="8"/>
  <c r="P86" i="8"/>
  <c r="R86" i="8"/>
  <c r="U86" i="8"/>
  <c r="Y86" i="8"/>
  <c r="E86" i="8"/>
  <c r="I86" i="8"/>
  <c r="M86" i="8"/>
  <c r="Q86" i="8"/>
  <c r="F86" i="8"/>
  <c r="V86" i="8"/>
  <c r="F432" i="8"/>
  <c r="J432" i="8"/>
  <c r="N432" i="8"/>
  <c r="R432" i="8"/>
  <c r="C432" i="8"/>
  <c r="G432" i="8"/>
  <c r="K432" i="8"/>
  <c r="O432" i="8"/>
  <c r="T432" i="8"/>
  <c r="X432" i="8"/>
  <c r="M432" i="8"/>
  <c r="H432" i="8"/>
  <c r="U432" i="8"/>
  <c r="W432" i="8"/>
  <c r="I432" i="8"/>
  <c r="P432" i="8"/>
  <c r="V432" i="8"/>
  <c r="Q432" i="8"/>
  <c r="D432" i="8"/>
  <c r="E432" i="8"/>
  <c r="L432" i="8"/>
  <c r="Y432" i="8"/>
  <c r="S431" i="8"/>
  <c r="S85" i="8"/>
  <c r="E533" i="8"/>
  <c r="I533" i="8"/>
  <c r="M533" i="8"/>
  <c r="Q533" i="8"/>
  <c r="F533" i="8"/>
  <c r="J533" i="8"/>
  <c r="N533" i="8"/>
  <c r="R533" i="8"/>
  <c r="C533" i="8"/>
  <c r="G533" i="8"/>
  <c r="K533" i="8"/>
  <c r="O533" i="8"/>
  <c r="D533" i="8"/>
  <c r="H533" i="8"/>
  <c r="L533" i="8"/>
  <c r="P533" i="8"/>
  <c r="S532" i="8"/>
  <c r="F629" i="8"/>
  <c r="R629" i="8"/>
  <c r="Y532" i="8"/>
  <c r="E279" i="8"/>
  <c r="E629" i="8"/>
  <c r="K629" i="8"/>
  <c r="B87" i="8"/>
  <c r="S179" i="8"/>
  <c r="S629" i="8"/>
  <c r="S729" i="8"/>
  <c r="D730" i="8"/>
  <c r="M730" i="8"/>
  <c r="W730" i="8"/>
  <c r="H730" i="8"/>
  <c r="Q730" i="8"/>
  <c r="K730" i="8"/>
  <c r="L730" i="8"/>
  <c r="V730" i="8"/>
  <c r="P730" i="8"/>
  <c r="C730" i="8"/>
  <c r="G730" i="8"/>
  <c r="U730" i="8"/>
  <c r="F730" i="8"/>
  <c r="Y730" i="8"/>
  <c r="J730" i="8"/>
  <c r="T730" i="8"/>
  <c r="E730" i="8"/>
  <c r="N730" i="8"/>
  <c r="X730" i="8"/>
  <c r="I730" i="8"/>
  <c r="R730" i="8"/>
  <c r="O730" i="8"/>
  <c r="K630" i="8"/>
  <c r="O630" i="8"/>
  <c r="I630" i="8"/>
  <c r="X630" i="8"/>
  <c r="D630" i="8"/>
  <c r="M630" i="8"/>
  <c r="N630" i="8"/>
  <c r="H630" i="8"/>
  <c r="Q630" i="8"/>
  <c r="L630" i="8"/>
  <c r="F630" i="8"/>
  <c r="E630" i="8"/>
  <c r="W630" i="8"/>
  <c r="P630" i="8"/>
  <c r="R630" i="8"/>
  <c r="C630" i="8"/>
  <c r="U630" i="8"/>
  <c r="T630" i="8"/>
  <c r="G630" i="8"/>
  <c r="Y630" i="8"/>
  <c r="J630" i="8"/>
  <c r="V630" i="8"/>
  <c r="B731" i="8"/>
  <c r="B631" i="8"/>
  <c r="S279" i="8"/>
  <c r="E280" i="8"/>
  <c r="X280" i="8"/>
  <c r="U280" i="8"/>
  <c r="L280" i="8"/>
  <c r="N280" i="8"/>
  <c r="O280" i="8"/>
  <c r="I280" i="8"/>
  <c r="K280" i="8"/>
  <c r="D280" i="8"/>
  <c r="R280" i="8"/>
  <c r="T280" i="8"/>
  <c r="V280" i="8"/>
  <c r="F280" i="8"/>
  <c r="G280" i="8"/>
  <c r="H280" i="8"/>
  <c r="C280" i="8"/>
  <c r="P280" i="8"/>
  <c r="B281" i="8"/>
  <c r="T533" i="8"/>
  <c r="X533" i="8"/>
  <c r="Y533" i="8"/>
  <c r="V533" i="8"/>
  <c r="W533" i="8"/>
  <c r="B534" i="8"/>
  <c r="B433" i="8"/>
  <c r="U180" i="8"/>
  <c r="X180" i="8"/>
  <c r="T180" i="8"/>
  <c r="Y180" i="8"/>
  <c r="V180" i="8"/>
  <c r="W180" i="8"/>
  <c r="G87" i="8" a="1"/>
  <c r="L281" i="8" a="1"/>
  <c r="D87" i="8" a="1"/>
  <c r="J534" i="8" a="1"/>
  <c r="D731" i="8" a="1"/>
  <c r="L87" i="8" a="1"/>
  <c r="M433" i="8" a="1"/>
  <c r="P433" i="8" a="1"/>
  <c r="E731" i="8" a="1"/>
  <c r="V433" i="8" a="1"/>
  <c r="V731" i="8" a="1"/>
  <c r="R534" i="8" a="1"/>
  <c r="R281" i="8" a="1"/>
  <c r="T433" i="8" a="1"/>
  <c r="T87" i="8" a="1"/>
  <c r="P534" i="8" a="1"/>
  <c r="U731" i="8" a="1"/>
  <c r="X433" i="8" a="1"/>
  <c r="H433" i="8" a="1"/>
  <c r="E433" i="8" a="1"/>
  <c r="J631" i="8" a="1"/>
  <c r="C534" i="8" a="1"/>
  <c r="V181" i="8" a="1"/>
  <c r="H87" i="8" a="1"/>
  <c r="I731" i="8" a="1"/>
  <c r="K433" i="8" a="1"/>
  <c r="O281" i="8" a="1"/>
  <c r="R731" i="8" a="1"/>
  <c r="H731" i="8" a="1"/>
  <c r="O731" i="8" a="1"/>
  <c r="Y631" i="8" a="1"/>
  <c r="F731" i="8" a="1"/>
  <c r="X631" i="8" a="1"/>
  <c r="V631" i="8" a="1"/>
  <c r="F87" i="8" a="1"/>
  <c r="K631" i="8" a="1"/>
  <c r="R631" i="8" a="1"/>
  <c r="T181" i="8" a="1"/>
  <c r="C731" i="8" a="1"/>
  <c r="Y280" i="8" a="1"/>
  <c r="P631" i="8" a="1"/>
  <c r="P87" i="8" a="1"/>
  <c r="H631" i="8" a="1"/>
  <c r="U181" i="8" a="1"/>
  <c r="F433" i="8" a="1"/>
  <c r="V87" i="8" a="1"/>
  <c r="W280" i="8" a="1"/>
  <c r="F631" i="8" a="1"/>
  <c r="Q433" i="8" a="1"/>
  <c r="U631" i="8" a="1"/>
  <c r="N433" i="8" a="1"/>
  <c r="C87" i="8" a="1"/>
  <c r="O87" i="8" a="1"/>
  <c r="C631" i="8" a="1"/>
  <c r="N731" i="8" a="1"/>
  <c r="K731" i="8" a="1"/>
  <c r="Q87" i="8" a="1"/>
  <c r="Y181" i="8" a="1"/>
  <c r="W181" i="8" a="1"/>
  <c r="X87" i="8" a="1"/>
  <c r="T731" i="8" a="1"/>
  <c r="Q631" i="8" a="1"/>
  <c r="O631" i="8" a="1"/>
  <c r="V534" i="8" a="1"/>
  <c r="G433" i="8" a="1"/>
  <c r="I433" i="8" a="1"/>
  <c r="W534" i="8" a="1"/>
  <c r="M534" i="8" a="1"/>
  <c r="L731" i="8" a="1"/>
  <c r="Y731" i="8" a="1"/>
  <c r="Y87" i="8" a="1"/>
  <c r="W87" i="8" a="1"/>
  <c r="K87" i="8" a="1"/>
  <c r="L534" i="8" a="1"/>
  <c r="Y433" i="8" a="1"/>
  <c r="U533" i="8" a="1"/>
  <c r="E631" i="8" a="1"/>
  <c r="M631" i="8" a="1"/>
  <c r="D281" i="8" a="1"/>
  <c r="J731" i="8" a="1"/>
  <c r="T631" i="8" a="1"/>
  <c r="D631" i="8" a="1"/>
  <c r="Q280" i="8" a="1"/>
  <c r="J87" i="8" a="1"/>
  <c r="D433" i="8" a="1"/>
  <c r="C433" i="8" a="1"/>
  <c r="R87" i="8" a="1"/>
  <c r="C281" i="8" a="1"/>
  <c r="X731" i="8" a="1"/>
  <c r="U433" i="8" a="1"/>
  <c r="M87" i="8" a="1"/>
  <c r="X534" i="8" a="1"/>
  <c r="G631" i="8" a="1"/>
  <c r="U87" i="8" a="1"/>
  <c r="I87" i="8" a="1"/>
  <c r="E87" i="8" a="1"/>
  <c r="M280" i="8" a="1"/>
  <c r="J280" i="8" a="1"/>
  <c r="J433" i="8" a="1"/>
  <c r="G534" i="8" a="1"/>
  <c r="L631" i="8" a="1"/>
  <c r="Q731" i="8" a="1"/>
  <c r="I631" i="8" a="1"/>
  <c r="W433" i="8" a="1"/>
  <c r="W731" i="8" a="1"/>
  <c r="G731" i="8" a="1"/>
  <c r="X181" i="8" a="1"/>
  <c r="L433" i="8" a="1"/>
  <c r="P731" i="8" a="1"/>
  <c r="W631" i="8" a="1"/>
  <c r="O433" i="8" a="1"/>
  <c r="N87" i="8" a="1"/>
  <c r="N631" i="8" a="1"/>
  <c r="M731" i="8" a="1"/>
  <c r="R433" i="8" a="1"/>
  <c r="S86" i="8" l="1"/>
  <c r="T433" i="8"/>
  <c r="X433" i="8"/>
  <c r="U433" i="8"/>
  <c r="Y433" i="8"/>
  <c r="E433" i="8"/>
  <c r="I433" i="8"/>
  <c r="M433" i="8"/>
  <c r="Q433" i="8"/>
  <c r="O433" i="8"/>
  <c r="C433" i="8"/>
  <c r="J433" i="8"/>
  <c r="P433" i="8"/>
  <c r="W433" i="8"/>
  <c r="D433" i="8"/>
  <c r="K433" i="8"/>
  <c r="R433" i="8"/>
  <c r="F433" i="8"/>
  <c r="L433" i="8"/>
  <c r="G433" i="8"/>
  <c r="N433" i="8"/>
  <c r="H433" i="8"/>
  <c r="V433" i="8"/>
  <c r="D87" i="8"/>
  <c r="H87" i="8"/>
  <c r="L87" i="8"/>
  <c r="P87" i="8"/>
  <c r="U87" i="8"/>
  <c r="Y87" i="8"/>
  <c r="E87" i="8"/>
  <c r="I87" i="8"/>
  <c r="M87" i="8"/>
  <c r="Q87" i="8"/>
  <c r="V87" i="8"/>
  <c r="T87" i="8"/>
  <c r="F87" i="8"/>
  <c r="J87" i="8"/>
  <c r="N87" i="8"/>
  <c r="R87" i="8"/>
  <c r="W87" i="8"/>
  <c r="X87" i="8"/>
  <c r="C87" i="8"/>
  <c r="G87" i="8"/>
  <c r="K87" i="8"/>
  <c r="O87" i="8"/>
  <c r="S432" i="8"/>
  <c r="S533" i="8"/>
  <c r="J280" i="8"/>
  <c r="M280" i="8"/>
  <c r="U533" i="8"/>
  <c r="Q280" i="8"/>
  <c r="W280" i="8"/>
  <c r="Y280" i="8"/>
  <c r="B88" i="8"/>
  <c r="S180" i="8"/>
  <c r="P631" i="8"/>
  <c r="E631" i="8"/>
  <c r="N631" i="8"/>
  <c r="W631" i="8"/>
  <c r="I631" i="8"/>
  <c r="R631" i="8"/>
  <c r="T631" i="8"/>
  <c r="M631" i="8"/>
  <c r="O631" i="8"/>
  <c r="F631" i="8"/>
  <c r="J631" i="8"/>
  <c r="X631" i="8"/>
  <c r="Q631" i="8"/>
  <c r="Y631" i="8"/>
  <c r="D631" i="8"/>
  <c r="V631" i="8"/>
  <c r="G631" i="8"/>
  <c r="H631" i="8"/>
  <c r="C631" i="8"/>
  <c r="L631" i="8"/>
  <c r="U631" i="8"/>
  <c r="K631" i="8"/>
  <c r="E731" i="8"/>
  <c r="N731" i="8"/>
  <c r="X731" i="8"/>
  <c r="I731" i="8"/>
  <c r="D731" i="8"/>
  <c r="M731" i="8"/>
  <c r="W731" i="8"/>
  <c r="H731" i="8"/>
  <c r="Q731" i="8"/>
  <c r="C731" i="8"/>
  <c r="L731" i="8"/>
  <c r="V731" i="8"/>
  <c r="G731" i="8"/>
  <c r="P731" i="8"/>
  <c r="K731" i="8"/>
  <c r="U731" i="8"/>
  <c r="F731" i="8"/>
  <c r="O731" i="8"/>
  <c r="Y731" i="8"/>
  <c r="J731" i="8"/>
  <c r="T731" i="8"/>
  <c r="R731" i="8"/>
  <c r="S630" i="8"/>
  <c r="S730" i="8"/>
  <c r="B632" i="8"/>
  <c r="B732" i="8"/>
  <c r="S280" i="8"/>
  <c r="O281" i="8"/>
  <c r="R281" i="8"/>
  <c r="D281" i="8"/>
  <c r="C281" i="8"/>
  <c r="L281" i="8"/>
  <c r="B282" i="8"/>
  <c r="R534" i="8"/>
  <c r="J534" i="8"/>
  <c r="X534" i="8"/>
  <c r="G534" i="8"/>
  <c r="P534" i="8"/>
  <c r="C534" i="8"/>
  <c r="V534" i="8"/>
  <c r="W534" i="8"/>
  <c r="L534" i="8"/>
  <c r="M534" i="8"/>
  <c r="B535" i="8"/>
  <c r="B434" i="8"/>
  <c r="V181" i="8"/>
  <c r="X181" i="8"/>
  <c r="T181" i="8"/>
  <c r="Y181" i="8"/>
  <c r="W181" i="8"/>
  <c r="U181" i="8"/>
  <c r="U434" i="8" a="1"/>
  <c r="D732" i="8" a="1"/>
  <c r="F282" i="8" a="1"/>
  <c r="I534" i="8" a="1"/>
  <c r="D282" i="8" a="1"/>
  <c r="Y281" i="8" a="1"/>
  <c r="G632" i="8" a="1"/>
  <c r="N88" i="8" a="1"/>
  <c r="H434" i="8" a="1"/>
  <c r="Q632" i="8" a="1"/>
  <c r="W434" i="8" a="1"/>
  <c r="D88" i="8" a="1"/>
  <c r="V632" i="8" a="1"/>
  <c r="I732" i="8" a="1"/>
  <c r="K534" i="8" a="1"/>
  <c r="V282" i="8" a="1"/>
  <c r="L88" i="8" a="1"/>
  <c r="W732" i="8" a="1"/>
  <c r="L535" i="8" a="1"/>
  <c r="L732" i="8" a="1"/>
  <c r="K282" i="8" a="1"/>
  <c r="N434" i="8" a="1"/>
  <c r="Q732" i="8" a="1"/>
  <c r="Q88" i="8" a="1"/>
  <c r="F534" i="8" a="1"/>
  <c r="P281" i="8" a="1"/>
  <c r="E281" i="8" a="1"/>
  <c r="K281" i="8" a="1"/>
  <c r="M632" i="8" a="1"/>
  <c r="O732" i="8" a="1"/>
  <c r="G434" i="8" a="1"/>
  <c r="I632" i="8" a="1"/>
  <c r="M282" i="8" a="1"/>
  <c r="G282" i="8" a="1"/>
  <c r="I88" i="8" a="1"/>
  <c r="O88" i="8" a="1"/>
  <c r="G88" i="8" a="1"/>
  <c r="N535" i="8" a="1"/>
  <c r="X732" i="8" a="1"/>
  <c r="G535" i="8" a="1"/>
  <c r="H88" i="8" a="1"/>
  <c r="U535" i="8" a="1"/>
  <c r="J434" i="8" a="1"/>
  <c r="M434" i="8" a="1"/>
  <c r="J632" i="8" a="1"/>
  <c r="E282" i="8" a="1"/>
  <c r="K434" i="8" a="1"/>
  <c r="R282" i="8" a="1"/>
  <c r="V281" i="8" a="1"/>
  <c r="U88" i="8" a="1"/>
  <c r="J281" i="8" a="1"/>
  <c r="F732" i="8" a="1"/>
  <c r="D534" i="8" a="1"/>
  <c r="M732" i="8" a="1"/>
  <c r="X535" i="8" a="1"/>
  <c r="Q534" i="8" a="1"/>
  <c r="N281" i="8" a="1"/>
  <c r="O535" i="8" a="1"/>
  <c r="W282" i="8" a="1"/>
  <c r="H281" i="8" a="1"/>
  <c r="E434" i="8" a="1"/>
  <c r="K535" i="8" a="1"/>
  <c r="U534" i="8" a="1"/>
  <c r="T434" i="8" a="1"/>
  <c r="K88" i="8" a="1"/>
  <c r="E88" i="8" a="1"/>
  <c r="T732" i="8" a="1"/>
  <c r="Y88" i="8" a="1"/>
  <c r="J535" i="8" a="1"/>
  <c r="Y535" i="8" a="1"/>
  <c r="R88" i="8" a="1"/>
  <c r="U281" i="8" a="1"/>
  <c r="K732" i="8" a="1"/>
  <c r="Q434" i="8" a="1"/>
  <c r="Y282" i="8" a="1"/>
  <c r="V434" i="8" a="1"/>
  <c r="U282" i="8" a="1"/>
  <c r="T534" i="8" a="1"/>
  <c r="I535" i="8" a="1"/>
  <c r="V182" i="8" a="1"/>
  <c r="P282" i="8" a="1"/>
  <c r="U182" i="8" a="1"/>
  <c r="Y182" i="8" a="1"/>
  <c r="T632" i="8" a="1"/>
  <c r="M88" i="8" a="1"/>
  <c r="C732" i="8" a="1"/>
  <c r="H282" i="8" a="1"/>
  <c r="W182" i="8" a="1"/>
  <c r="Y732" i="8" a="1"/>
  <c r="C282" i="8" a="1"/>
  <c r="I282" i="8" a="1"/>
  <c r="P535" i="8" a="1"/>
  <c r="Q282" i="8" a="1"/>
  <c r="O534" i="8" a="1"/>
  <c r="I434" i="8" a="1"/>
  <c r="H535" i="8" a="1"/>
  <c r="V88" i="8" a="1"/>
  <c r="H534" i="8" a="1"/>
  <c r="L434" i="8" a="1"/>
  <c r="N534" i="8" a="1"/>
  <c r="V732" i="8" a="1"/>
  <c r="X182" i="8" a="1"/>
  <c r="R434" i="8" a="1"/>
  <c r="T182" i="8" a="1"/>
  <c r="F434" i="8" a="1"/>
  <c r="N732" i="8" a="1"/>
  <c r="J88" i="8" a="1"/>
  <c r="P88" i="8" a="1"/>
  <c r="R732" i="8" a="1"/>
  <c r="H732" i="8" a="1"/>
  <c r="E534" i="8" a="1"/>
  <c r="C535" i="8" a="1"/>
  <c r="X282" i="8" a="1"/>
  <c r="E732" i="8" a="1"/>
  <c r="O282" i="8" a="1"/>
  <c r="J732" i="8" a="1"/>
  <c r="Y434" i="8" a="1"/>
  <c r="I281" i="8" a="1"/>
  <c r="L282" i="8" a="1"/>
  <c r="F88" i="8" a="1"/>
  <c r="T282" i="8" a="1"/>
  <c r="G281" i="8" a="1"/>
  <c r="X88" i="8" a="1"/>
  <c r="F281" i="8" a="1"/>
  <c r="X281" i="8" a="1"/>
  <c r="D434" i="8" a="1"/>
  <c r="R535" i="8" a="1"/>
  <c r="C434" i="8" a="1"/>
  <c r="M281" i="8" a="1"/>
  <c r="L632" i="8" a="1"/>
  <c r="C88" i="8" a="1"/>
  <c r="P732" i="8" a="1"/>
  <c r="T281" i="8" a="1"/>
  <c r="W88" i="8" a="1"/>
  <c r="W535" i="8" a="1"/>
  <c r="U732" i="8" a="1"/>
  <c r="Y534" i="8" a="1"/>
  <c r="O434" i="8" a="1"/>
  <c r="T535" i="8" a="1"/>
  <c r="P434" i="8" a="1"/>
  <c r="X434" i="8" a="1"/>
  <c r="T88" i="8" a="1"/>
  <c r="W281" i="8" a="1"/>
  <c r="Q535" i="8" a="1"/>
  <c r="N282" i="8" a="1"/>
  <c r="V535" i="8" a="1"/>
  <c r="G732" i="8" a="1"/>
  <c r="Q281" i="8" a="1"/>
  <c r="K632" i="8" a="1"/>
  <c r="S87" i="8" l="1"/>
  <c r="V88" i="8"/>
  <c r="F88" i="8"/>
  <c r="J88" i="8"/>
  <c r="N88" i="8"/>
  <c r="R88" i="8"/>
  <c r="E88" i="8"/>
  <c r="W88" i="8"/>
  <c r="Q88" i="8"/>
  <c r="C88" i="8"/>
  <c r="G88" i="8"/>
  <c r="K88" i="8"/>
  <c r="O88" i="8"/>
  <c r="M88" i="8"/>
  <c r="T88" i="8"/>
  <c r="X88" i="8"/>
  <c r="I88" i="8"/>
  <c r="D88" i="8"/>
  <c r="H88" i="8"/>
  <c r="L88" i="8"/>
  <c r="P88" i="8"/>
  <c r="U88" i="8"/>
  <c r="Y88" i="8"/>
  <c r="E434" i="8"/>
  <c r="I434" i="8"/>
  <c r="M434" i="8"/>
  <c r="Q434" i="8"/>
  <c r="F434" i="8"/>
  <c r="J434" i="8"/>
  <c r="N434" i="8"/>
  <c r="R434" i="8"/>
  <c r="W434" i="8"/>
  <c r="L434" i="8"/>
  <c r="Y434" i="8"/>
  <c r="P434" i="8"/>
  <c r="G434" i="8"/>
  <c r="T434" i="8"/>
  <c r="H434" i="8"/>
  <c r="O434" i="8"/>
  <c r="U434" i="8"/>
  <c r="C434" i="8"/>
  <c r="V434" i="8"/>
  <c r="D434" i="8"/>
  <c r="K434" i="8"/>
  <c r="X434" i="8"/>
  <c r="S433" i="8"/>
  <c r="Q281" i="8"/>
  <c r="J281" i="8"/>
  <c r="M281" i="8"/>
  <c r="I281" i="8"/>
  <c r="Y534" i="8"/>
  <c r="F281" i="8"/>
  <c r="K281" i="8"/>
  <c r="N281" i="8"/>
  <c r="H534" i="8"/>
  <c r="Q534" i="8"/>
  <c r="K534" i="8"/>
  <c r="F534" i="8"/>
  <c r="E534" i="8"/>
  <c r="X281" i="8"/>
  <c r="U534" i="8"/>
  <c r="G281" i="8"/>
  <c r="I534" i="8"/>
  <c r="H281" i="8"/>
  <c r="V281" i="8"/>
  <c r="O534" i="8"/>
  <c r="P281" i="8"/>
  <c r="Y281" i="8"/>
  <c r="N534" i="8"/>
  <c r="T281" i="8"/>
  <c r="T534" i="8"/>
  <c r="S534" i="8" s="1"/>
  <c r="W281" i="8"/>
  <c r="D534" i="8"/>
  <c r="E281" i="8"/>
  <c r="U281" i="8"/>
  <c r="B89" i="8"/>
  <c r="S181" i="8"/>
  <c r="S731" i="8"/>
  <c r="S631" i="8"/>
  <c r="K732" i="8"/>
  <c r="U732" i="8"/>
  <c r="F732" i="8"/>
  <c r="O732" i="8"/>
  <c r="Y732" i="8"/>
  <c r="J732" i="8"/>
  <c r="I732" i="8"/>
  <c r="N732" i="8"/>
  <c r="X732" i="8"/>
  <c r="M732" i="8"/>
  <c r="R732" i="8"/>
  <c r="D732" i="8"/>
  <c r="Q732" i="8"/>
  <c r="W732" i="8"/>
  <c r="H732" i="8"/>
  <c r="E732" i="8"/>
  <c r="C732" i="8"/>
  <c r="L732" i="8"/>
  <c r="T732" i="8"/>
  <c r="V732" i="8"/>
  <c r="G732" i="8"/>
  <c r="P732" i="8"/>
  <c r="T632" i="8"/>
  <c r="J632" i="8"/>
  <c r="L632" i="8"/>
  <c r="G632" i="8"/>
  <c r="V632" i="8"/>
  <c r="I632" i="8"/>
  <c r="M632" i="8"/>
  <c r="K632" i="8"/>
  <c r="Q632" i="8"/>
  <c r="B733" i="8"/>
  <c r="B633" i="8"/>
  <c r="E282" i="8"/>
  <c r="N282" i="8"/>
  <c r="G282" i="8"/>
  <c r="W282" i="8"/>
  <c r="L282" i="8"/>
  <c r="Q282" i="8"/>
  <c r="H282" i="8"/>
  <c r="F282" i="8"/>
  <c r="U282" i="8"/>
  <c r="V282" i="8"/>
  <c r="I282" i="8"/>
  <c r="M282" i="8"/>
  <c r="C282" i="8"/>
  <c r="P282" i="8"/>
  <c r="D282" i="8"/>
  <c r="R282" i="8"/>
  <c r="X282" i="8"/>
  <c r="K282" i="8"/>
  <c r="O282" i="8"/>
  <c r="T282" i="8"/>
  <c r="Y282" i="8"/>
  <c r="B283" i="8"/>
  <c r="U535" i="8"/>
  <c r="X535" i="8"/>
  <c r="R535" i="8"/>
  <c r="C535" i="8"/>
  <c r="G535" i="8"/>
  <c r="Y535" i="8"/>
  <c r="J535" i="8"/>
  <c r="W535" i="8"/>
  <c r="N535" i="8"/>
  <c r="I535" i="8"/>
  <c r="H535" i="8"/>
  <c r="Q535" i="8"/>
  <c r="K535" i="8"/>
  <c r="L535" i="8"/>
  <c r="V535" i="8"/>
  <c r="O535" i="8"/>
  <c r="P535" i="8"/>
  <c r="T535" i="8"/>
  <c r="B536" i="8"/>
  <c r="B435" i="8"/>
  <c r="X182" i="8"/>
  <c r="T182" i="8"/>
  <c r="V182" i="8"/>
  <c r="W182" i="8"/>
  <c r="Y182" i="8"/>
  <c r="U182" i="8"/>
  <c r="H632" i="8" a="1"/>
  <c r="F283" i="8" a="1"/>
  <c r="I283" i="8" a="1"/>
  <c r="E283" i="8" a="1"/>
  <c r="P733" i="8" a="1"/>
  <c r="U733" i="8" a="1"/>
  <c r="Q633" i="8" a="1"/>
  <c r="Q435" i="8" a="1"/>
  <c r="C633" i="8" a="1"/>
  <c r="C435" i="8" a="1"/>
  <c r="Y633" i="8" a="1"/>
  <c r="U435" i="8" a="1"/>
  <c r="Q283" i="8" a="1"/>
  <c r="D632" i="8" a="1"/>
  <c r="F435" i="8" a="1"/>
  <c r="P633" i="8" a="1"/>
  <c r="Q733" i="8" a="1"/>
  <c r="H633" i="8" a="1"/>
  <c r="I89" i="8" a="1"/>
  <c r="U632" i="8" a="1"/>
  <c r="M535" i="8" a="1"/>
  <c r="I733" i="8" a="1"/>
  <c r="R632" i="8" a="1"/>
  <c r="K733" i="8" a="1"/>
  <c r="E632" i="8" a="1"/>
  <c r="O89" i="8" a="1"/>
  <c r="U183" i="8" a="1"/>
  <c r="D283" i="8" a="1"/>
  <c r="J536" i="8" a="1"/>
  <c r="F89" i="8" a="1"/>
  <c r="W536" i="8" a="1"/>
  <c r="G283" i="8" a="1"/>
  <c r="L536" i="8" a="1"/>
  <c r="E535" i="8" a="1"/>
  <c r="T89" i="8" a="1"/>
  <c r="I435" i="8" a="1"/>
  <c r="D89" i="8" a="1"/>
  <c r="W183" i="8" a="1"/>
  <c r="N733" i="8" a="1"/>
  <c r="U536" i="8" a="1"/>
  <c r="O632" i="8" a="1"/>
  <c r="M633" i="8" a="1"/>
  <c r="D733" i="8" a="1"/>
  <c r="M89" i="8" a="1"/>
  <c r="F535" i="8" a="1"/>
  <c r="E536" i="8" a="1"/>
  <c r="W435" i="8" a="1"/>
  <c r="Y183" i="8" a="1"/>
  <c r="W733" i="8" a="1"/>
  <c r="R536" i="8" a="1"/>
  <c r="T435" i="8" a="1"/>
  <c r="R89" i="8" a="1"/>
  <c r="F733" i="8" a="1"/>
  <c r="V733" i="8" a="1"/>
  <c r="X89" i="8" a="1"/>
  <c r="L733" i="8" a="1"/>
  <c r="D435" i="8" a="1"/>
  <c r="H89" i="8" a="1"/>
  <c r="X632" i="8" a="1"/>
  <c r="P283" i="8" a="1"/>
  <c r="G435" i="8" a="1"/>
  <c r="D633" i="8" a="1"/>
  <c r="Y435" i="8" a="1"/>
  <c r="K89" i="8" a="1"/>
  <c r="M283" i="8" a="1"/>
  <c r="U283" i="8" a="1"/>
  <c r="O283" i="8" a="1"/>
  <c r="H435" i="8" a="1"/>
  <c r="V89" i="8" a="1"/>
  <c r="P89" i="8" a="1"/>
  <c r="N435" i="8" a="1"/>
  <c r="N89" i="8" a="1"/>
  <c r="J633" i="8" a="1"/>
  <c r="X633" i="8" a="1"/>
  <c r="V283" i="8" a="1"/>
  <c r="W89" i="8" a="1"/>
  <c r="L89" i="8" a="1"/>
  <c r="X733" i="8" a="1"/>
  <c r="J435" i="8" a="1"/>
  <c r="H283" i="8" a="1"/>
  <c r="W283" i="8" a="1"/>
  <c r="W632" i="8" a="1"/>
  <c r="M733" i="8" a="1"/>
  <c r="U89" i="8" a="1"/>
  <c r="R435" i="8" a="1"/>
  <c r="G633" i="8" a="1"/>
  <c r="E633" i="8" a="1"/>
  <c r="C733" i="8" a="1"/>
  <c r="Q536" i="8" a="1"/>
  <c r="M435" i="8" a="1"/>
  <c r="N632" i="8" a="1"/>
  <c r="C283" i="8" a="1"/>
  <c r="X183" i="8" a="1"/>
  <c r="K435" i="8" a="1"/>
  <c r="J283" i="8" a="1"/>
  <c r="H733" i="8" a="1"/>
  <c r="O633" i="8" a="1"/>
  <c r="L435" i="8" a="1"/>
  <c r="V633" i="8" a="1"/>
  <c r="F536" i="8" a="1"/>
  <c r="F633" i="8" a="1"/>
  <c r="K283" i="8" a="1"/>
  <c r="E435" i="8" a="1"/>
  <c r="Q89" i="8" a="1"/>
  <c r="T183" i="8" a="1"/>
  <c r="X435" i="8" a="1"/>
  <c r="I633" i="8" a="1"/>
  <c r="O536" i="8" a="1"/>
  <c r="F632" i="8" a="1"/>
  <c r="E733" i="8" a="1"/>
  <c r="D535" i="8" a="1"/>
  <c r="V435" i="8" a="1"/>
  <c r="W633" i="8" a="1"/>
  <c r="N283" i="8" a="1"/>
  <c r="P632" i="8" a="1"/>
  <c r="R733" i="8" a="1"/>
  <c r="O435" i="8" a="1"/>
  <c r="J733" i="8" a="1"/>
  <c r="L633" i="8" a="1"/>
  <c r="J282" i="8" a="1"/>
  <c r="T733" i="8" a="1"/>
  <c r="G89" i="8" a="1"/>
  <c r="C89" i="8" a="1"/>
  <c r="G733" i="8" a="1"/>
  <c r="T633" i="8" a="1"/>
  <c r="J89" i="8" a="1"/>
  <c r="Y733" i="8" a="1"/>
  <c r="N633" i="8" a="1"/>
  <c r="R633" i="8" a="1"/>
  <c r="C632" i="8" a="1"/>
  <c r="Y632" i="8" a="1"/>
  <c r="V183" i="8" a="1"/>
  <c r="R283" i="8" a="1"/>
  <c r="Y89" i="8" a="1"/>
  <c r="G536" i="8" a="1"/>
  <c r="K633" i="8" a="1"/>
  <c r="U633" i="8" a="1"/>
  <c r="P435" i="8" a="1"/>
  <c r="T536" i="8" a="1"/>
  <c r="E89" i="8" a="1"/>
  <c r="O733" i="8" a="1"/>
  <c r="X283" i="8" a="1"/>
  <c r="C89" i="8" l="1"/>
  <c r="G89" i="8"/>
  <c r="K89" i="8"/>
  <c r="O89" i="8"/>
  <c r="T89" i="8"/>
  <c r="X89" i="8"/>
  <c r="D89" i="8"/>
  <c r="H89" i="8"/>
  <c r="L89" i="8"/>
  <c r="P89" i="8"/>
  <c r="U89" i="8"/>
  <c r="Y89" i="8"/>
  <c r="E89" i="8"/>
  <c r="I89" i="8"/>
  <c r="M89" i="8"/>
  <c r="Q89" i="8"/>
  <c r="V89" i="8"/>
  <c r="W89" i="8"/>
  <c r="F89" i="8"/>
  <c r="J89" i="8"/>
  <c r="N89" i="8"/>
  <c r="R89" i="8"/>
  <c r="T435" i="8"/>
  <c r="D435" i="8"/>
  <c r="H435" i="8"/>
  <c r="L435" i="8"/>
  <c r="I435" i="8"/>
  <c r="O435" i="8"/>
  <c r="U435" i="8"/>
  <c r="Y435" i="8"/>
  <c r="C435" i="8"/>
  <c r="P435" i="8"/>
  <c r="J435" i="8"/>
  <c r="V435" i="8"/>
  <c r="F435" i="8"/>
  <c r="E435" i="8"/>
  <c r="K435" i="8"/>
  <c r="Q435" i="8"/>
  <c r="R435" i="8"/>
  <c r="W435" i="8"/>
  <c r="M435" i="8"/>
  <c r="G435" i="8"/>
  <c r="X435" i="8"/>
  <c r="N435" i="8"/>
  <c r="S434" i="8"/>
  <c r="S88" i="8"/>
  <c r="S281" i="8"/>
  <c r="D632" i="8"/>
  <c r="D535" i="8"/>
  <c r="J282" i="8"/>
  <c r="C632" i="8"/>
  <c r="Y632" i="8"/>
  <c r="F535" i="8"/>
  <c r="W632" i="8"/>
  <c r="X632" i="8"/>
  <c r="S632" i="8" s="1"/>
  <c r="E535" i="8"/>
  <c r="N632" i="8"/>
  <c r="M535" i="8"/>
  <c r="R632" i="8"/>
  <c r="P632" i="8"/>
  <c r="O632" i="8"/>
  <c r="F632" i="8"/>
  <c r="U632" i="8"/>
  <c r="E632" i="8"/>
  <c r="H632" i="8"/>
  <c r="B90" i="8"/>
  <c r="S182" i="8"/>
  <c r="S732" i="8"/>
  <c r="C733" i="8"/>
  <c r="L733" i="8"/>
  <c r="V733" i="8"/>
  <c r="G733" i="8"/>
  <c r="P733" i="8"/>
  <c r="O733" i="8"/>
  <c r="Y733" i="8"/>
  <c r="R733" i="8"/>
  <c r="T733" i="8"/>
  <c r="E733" i="8"/>
  <c r="N733" i="8"/>
  <c r="J733" i="8"/>
  <c r="D733" i="8"/>
  <c r="M733" i="8"/>
  <c r="U733" i="8"/>
  <c r="I733" i="8"/>
  <c r="W733" i="8"/>
  <c r="H733" i="8"/>
  <c r="Q733" i="8"/>
  <c r="K733" i="8"/>
  <c r="F733" i="8"/>
  <c r="X733" i="8"/>
  <c r="O633" i="8"/>
  <c r="F633" i="8"/>
  <c r="J633" i="8"/>
  <c r="H633" i="8"/>
  <c r="Y633" i="8"/>
  <c r="D633" i="8"/>
  <c r="N633" i="8"/>
  <c r="L633" i="8"/>
  <c r="T633" i="8"/>
  <c r="R633" i="8"/>
  <c r="P633" i="8"/>
  <c r="I633" i="8"/>
  <c r="C633" i="8"/>
  <c r="U633" i="8"/>
  <c r="Q633" i="8"/>
  <c r="G633" i="8"/>
  <c r="E633" i="8"/>
  <c r="V633" i="8"/>
  <c r="K633" i="8"/>
  <c r="M633" i="8"/>
  <c r="W633" i="8"/>
  <c r="X633" i="8"/>
  <c r="B734" i="8"/>
  <c r="B634" i="8"/>
  <c r="E536" i="8"/>
  <c r="S535" i="8"/>
  <c r="S282" i="8"/>
  <c r="E283" i="8"/>
  <c r="I283" i="8"/>
  <c r="P283" i="8"/>
  <c r="H283" i="8"/>
  <c r="N283" i="8"/>
  <c r="U283" i="8"/>
  <c r="W283" i="8"/>
  <c r="J283" i="8"/>
  <c r="X283" i="8"/>
  <c r="K283" i="8"/>
  <c r="G283" i="8"/>
  <c r="V283" i="8"/>
  <c r="R283" i="8"/>
  <c r="O283" i="8"/>
  <c r="Q283" i="8"/>
  <c r="C283" i="8"/>
  <c r="D283" i="8"/>
  <c r="F283" i="8"/>
  <c r="M283" i="8"/>
  <c r="B284" i="8"/>
  <c r="R536" i="8"/>
  <c r="O536" i="8"/>
  <c r="F536" i="8"/>
  <c r="T536" i="8"/>
  <c r="J536" i="8"/>
  <c r="Q536" i="8"/>
  <c r="L536" i="8"/>
  <c r="G536" i="8"/>
  <c r="U536" i="8"/>
  <c r="W536" i="8"/>
  <c r="B537" i="8"/>
  <c r="B436" i="8"/>
  <c r="V183" i="8"/>
  <c r="X183" i="8"/>
  <c r="Y183" i="8"/>
  <c r="T183" i="8"/>
  <c r="W183" i="8"/>
  <c r="U183" i="8"/>
  <c r="E90" i="8" a="1"/>
  <c r="L634" i="8" a="1"/>
  <c r="Y283" i="8" a="1"/>
  <c r="W734" i="8" a="1"/>
  <c r="P634" i="8" a="1"/>
  <c r="Y734" i="8" a="1"/>
  <c r="M734" i="8" a="1"/>
  <c r="X536" i="8" a="1"/>
  <c r="U90" i="8" a="1"/>
  <c r="L436" i="8" a="1"/>
  <c r="C536" i="8" a="1"/>
  <c r="N436" i="8" a="1"/>
  <c r="U184" i="8" a="1"/>
  <c r="N536" i="8" a="1"/>
  <c r="T734" i="8" a="1"/>
  <c r="X284" i="8" a="1"/>
  <c r="D734" i="8" a="1"/>
  <c r="Q90" i="8" a="1"/>
  <c r="M90" i="8" a="1"/>
  <c r="T634" i="8" a="1"/>
  <c r="T537" i="8" a="1"/>
  <c r="T184" i="8" a="1"/>
  <c r="L283" i="8" a="1"/>
  <c r="D536" i="8" a="1"/>
  <c r="X184" i="8" a="1"/>
  <c r="C634" i="8" a="1"/>
  <c r="O284" i="8" a="1"/>
  <c r="W634" i="8" a="1"/>
  <c r="P536" i="8" a="1"/>
  <c r="V436" i="8" a="1"/>
  <c r="O634" i="8" a="1"/>
  <c r="L734" i="8" a="1"/>
  <c r="R90" i="8" a="1"/>
  <c r="V284" i="8" a="1"/>
  <c r="M536" i="8" a="1"/>
  <c r="C90" i="8" a="1"/>
  <c r="J90" i="8" a="1"/>
  <c r="G90" i="8" a="1"/>
  <c r="E436" i="8" a="1"/>
  <c r="H734" i="8" a="1"/>
  <c r="U436" i="8" a="1"/>
  <c r="X90" i="8" a="1"/>
  <c r="I284" i="8" a="1"/>
  <c r="M436" i="8" a="1"/>
  <c r="U634" i="8" a="1"/>
  <c r="Y536" i="8" a="1"/>
  <c r="W90" i="8" a="1"/>
  <c r="H536" i="8" a="1"/>
  <c r="D90" i="8" a="1"/>
  <c r="G634" i="8" a="1"/>
  <c r="K436" i="8" a="1"/>
  <c r="E634" i="8" a="1"/>
  <c r="I436" i="8" a="1"/>
  <c r="G284" i="8" a="1"/>
  <c r="Y90" i="8" a="1"/>
  <c r="Y436" i="8" a="1"/>
  <c r="R436" i="8" a="1"/>
  <c r="I536" i="8" a="1"/>
  <c r="F436" i="8" a="1"/>
  <c r="D634" i="8" a="1"/>
  <c r="Y184" i="8" a="1"/>
  <c r="X734" i="8" a="1"/>
  <c r="F734" i="8" a="1"/>
  <c r="Q436" i="8" a="1"/>
  <c r="C734" i="8" a="1"/>
  <c r="X436" i="8" a="1"/>
  <c r="M634" i="8" a="1"/>
  <c r="V90" i="8" a="1"/>
  <c r="C436" i="8" a="1"/>
  <c r="K90" i="8" a="1"/>
  <c r="P734" i="8" a="1"/>
  <c r="H90" i="8" a="1"/>
  <c r="E284" i="8" a="1"/>
  <c r="T436" i="8" a="1"/>
  <c r="H634" i="8" a="1"/>
  <c r="O90" i="8" a="1"/>
  <c r="V536" i="8" a="1"/>
  <c r="K734" i="8" a="1"/>
  <c r="N734" i="8" a="1"/>
  <c r="W184" i="8" a="1"/>
  <c r="H436" i="8" a="1"/>
  <c r="Q634" i="8" a="1"/>
  <c r="W436" i="8" a="1"/>
  <c r="Q734" i="8" a="1"/>
  <c r="P436" i="8" a="1"/>
  <c r="R734" i="8" a="1"/>
  <c r="I634" i="8" a="1"/>
  <c r="P90" i="8" a="1"/>
  <c r="F634" i="8" a="1"/>
  <c r="T283" i="8" a="1"/>
  <c r="N90" i="8" a="1"/>
  <c r="W284" i="8" a="1"/>
  <c r="V734" i="8" a="1"/>
  <c r="P284" i="8" a="1"/>
  <c r="O436" i="8" a="1"/>
  <c r="R634" i="8" a="1"/>
  <c r="K536" i="8" a="1"/>
  <c r="N634" i="8" a="1"/>
  <c r="V184" i="8" a="1"/>
  <c r="L90" i="8" a="1"/>
  <c r="I734" i="8" a="1"/>
  <c r="L284" i="8" a="1"/>
  <c r="U734" i="8" a="1"/>
  <c r="G734" i="8" a="1"/>
  <c r="J436" i="8" a="1"/>
  <c r="F90" i="8" a="1"/>
  <c r="Q284" i="8" a="1"/>
  <c r="D436" i="8" a="1"/>
  <c r="G436" i="8" a="1"/>
  <c r="I90" i="8" a="1"/>
  <c r="T90" i="8" a="1"/>
  <c r="S89" i="8" l="1"/>
  <c r="S435" i="8"/>
  <c r="U90" i="8"/>
  <c r="Y90" i="8"/>
  <c r="P90" i="8"/>
  <c r="E90" i="8"/>
  <c r="I90" i="8"/>
  <c r="M90" i="8"/>
  <c r="Q90" i="8"/>
  <c r="D90" i="8"/>
  <c r="V90" i="8"/>
  <c r="F90" i="8"/>
  <c r="J90" i="8"/>
  <c r="N90" i="8"/>
  <c r="R90" i="8"/>
  <c r="H90" i="8"/>
  <c r="W90" i="8"/>
  <c r="L90" i="8"/>
  <c r="C90" i="8"/>
  <c r="G90" i="8"/>
  <c r="K90" i="8"/>
  <c r="O90" i="8"/>
  <c r="T90" i="8"/>
  <c r="X90" i="8"/>
  <c r="F436" i="8"/>
  <c r="J436" i="8"/>
  <c r="N436" i="8"/>
  <c r="R436" i="8"/>
  <c r="W436" i="8"/>
  <c r="C436" i="8"/>
  <c r="G436" i="8"/>
  <c r="K436" i="8"/>
  <c r="O436" i="8"/>
  <c r="U436" i="8"/>
  <c r="T436" i="8"/>
  <c r="X436" i="8"/>
  <c r="D436" i="8"/>
  <c r="H436" i="8"/>
  <c r="L436" i="8"/>
  <c r="P436" i="8"/>
  <c r="E436" i="8"/>
  <c r="I436" i="8"/>
  <c r="M436" i="8"/>
  <c r="Q436" i="8"/>
  <c r="Y436" i="8"/>
  <c r="V436" i="8"/>
  <c r="Y283" i="8"/>
  <c r="K536" i="8"/>
  <c r="P536" i="8"/>
  <c r="C536" i="8"/>
  <c r="V536" i="8"/>
  <c r="X536" i="8"/>
  <c r="M536" i="8"/>
  <c r="N536" i="8"/>
  <c r="L283" i="8"/>
  <c r="T283" i="8"/>
  <c r="S283" i="8" s="1"/>
  <c r="H536" i="8"/>
  <c r="I536" i="8"/>
  <c r="Y536" i="8"/>
  <c r="D536" i="8"/>
  <c r="B91" i="8"/>
  <c r="S183" i="8"/>
  <c r="S633" i="8"/>
  <c r="X734" i="8"/>
  <c r="I734" i="8"/>
  <c r="R734" i="8"/>
  <c r="D734" i="8"/>
  <c r="W734" i="8"/>
  <c r="L734" i="8"/>
  <c r="V734" i="8"/>
  <c r="C734" i="8"/>
  <c r="U734" i="8"/>
  <c r="F734" i="8"/>
  <c r="K734" i="8"/>
  <c r="P734" i="8"/>
  <c r="G734" i="8"/>
  <c r="Y734" i="8"/>
  <c r="T734" i="8"/>
  <c r="N734" i="8"/>
  <c r="M734" i="8"/>
  <c r="H734" i="8"/>
  <c r="Q734" i="8"/>
  <c r="F634" i="8"/>
  <c r="W634" i="8"/>
  <c r="P634" i="8"/>
  <c r="U634" i="8"/>
  <c r="I634" i="8"/>
  <c r="O634" i="8"/>
  <c r="Q634" i="8"/>
  <c r="H634" i="8"/>
  <c r="T634" i="8"/>
  <c r="N634" i="8"/>
  <c r="C634" i="8"/>
  <c r="E634" i="8"/>
  <c r="G634" i="8"/>
  <c r="M634" i="8"/>
  <c r="D634" i="8"/>
  <c r="R634" i="8"/>
  <c r="L634" i="8"/>
  <c r="S733" i="8"/>
  <c r="B735" i="8"/>
  <c r="B635" i="8"/>
  <c r="E284" i="8"/>
  <c r="L284" i="8"/>
  <c r="P284" i="8"/>
  <c r="Q284" i="8"/>
  <c r="X284" i="8"/>
  <c r="I284" i="8"/>
  <c r="W284" i="8"/>
  <c r="V284" i="8"/>
  <c r="O284" i="8"/>
  <c r="G284" i="8"/>
  <c r="B285" i="8"/>
  <c r="T537" i="8"/>
  <c r="B538" i="8"/>
  <c r="B437" i="8"/>
  <c r="V184" i="8"/>
  <c r="T184" i="8"/>
  <c r="W184" i="8"/>
  <c r="U184" i="8"/>
  <c r="Y184" i="8"/>
  <c r="X184" i="8"/>
  <c r="H284" i="8" a="1"/>
  <c r="N284" i="8" a="1"/>
  <c r="Q537" i="8" a="1"/>
  <c r="R538" i="8" a="1"/>
  <c r="E91" i="8" a="1"/>
  <c r="E437" i="8" a="1"/>
  <c r="D437" i="8" a="1"/>
  <c r="M437" i="8" a="1"/>
  <c r="Q635" i="8" a="1"/>
  <c r="F635" i="8" a="1"/>
  <c r="P538" i="8" a="1"/>
  <c r="G537" i="8" a="1"/>
  <c r="N437" i="8" a="1"/>
  <c r="J634" i="8" a="1"/>
  <c r="Y735" i="8" a="1"/>
  <c r="T437" i="8" a="1"/>
  <c r="V634" i="8" a="1"/>
  <c r="E734" i="8" a="1"/>
  <c r="K537" i="8" a="1"/>
  <c r="X635" i="8" a="1"/>
  <c r="M285" i="8" a="1"/>
  <c r="L91" i="8" a="1"/>
  <c r="C537" i="8" a="1"/>
  <c r="F537" i="8" a="1"/>
  <c r="C91" i="8" a="1"/>
  <c r="W538" i="8" a="1"/>
  <c r="O437" i="8" a="1"/>
  <c r="U185" i="8" a="1"/>
  <c r="I437" i="8" a="1"/>
  <c r="P537" i="8" a="1"/>
  <c r="R735" i="8" a="1"/>
  <c r="U635" i="8" a="1"/>
  <c r="V735" i="8" a="1"/>
  <c r="C735" i="8" a="1"/>
  <c r="H91" i="8" a="1"/>
  <c r="W185" i="8" a="1"/>
  <c r="G538" i="8" a="1"/>
  <c r="L735" i="8" a="1"/>
  <c r="V285" i="8" a="1"/>
  <c r="V91" i="8" a="1"/>
  <c r="H285" i="8" a="1"/>
  <c r="V537" i="8" a="1"/>
  <c r="V437" i="8" a="1"/>
  <c r="R284" i="8" a="1"/>
  <c r="F284" i="8" a="1"/>
  <c r="R91" i="8" a="1"/>
  <c r="C285" i="8" a="1"/>
  <c r="V635" i="8" a="1"/>
  <c r="Y285" i="8" a="1"/>
  <c r="W437" i="8" a="1"/>
  <c r="M635" i="8" a="1"/>
  <c r="F735" i="8" a="1"/>
  <c r="N285" i="8" a="1"/>
  <c r="W537" i="8" a="1"/>
  <c r="X185" i="8" a="1"/>
  <c r="J284" i="8" a="1"/>
  <c r="D285" i="8" a="1"/>
  <c r="T185" i="8" a="1"/>
  <c r="J537" i="8" a="1"/>
  <c r="I538" i="8" a="1"/>
  <c r="J91" i="8" a="1"/>
  <c r="G91" i="8" a="1"/>
  <c r="O537" i="8" a="1"/>
  <c r="R437" i="8" a="1"/>
  <c r="Q437" i="8" a="1"/>
  <c r="D735" i="8" a="1"/>
  <c r="J538" i="8" a="1"/>
  <c r="L537" i="8" a="1"/>
  <c r="L285" i="8" a="1"/>
  <c r="G735" i="8" a="1"/>
  <c r="Q538" i="8" a="1"/>
  <c r="P285" i="8" a="1"/>
  <c r="C635" i="8" a="1"/>
  <c r="U537" i="8" a="1"/>
  <c r="O91" i="8" a="1"/>
  <c r="K285" i="8" a="1"/>
  <c r="D635" i="8" a="1"/>
  <c r="W91" i="8" a="1"/>
  <c r="X91" i="8" a="1"/>
  <c r="M538" i="8" a="1"/>
  <c r="R635" i="8" a="1"/>
  <c r="D91" i="8" a="1"/>
  <c r="J437" i="8" a="1"/>
  <c r="T735" i="8" a="1"/>
  <c r="D284" i="8" a="1"/>
  <c r="U91" i="8" a="1"/>
  <c r="X537" i="8" a="1"/>
  <c r="I735" i="8" a="1"/>
  <c r="P437" i="8" a="1"/>
  <c r="Y91" i="8" a="1"/>
  <c r="D538" i="8" a="1"/>
  <c r="K538" i="8" a="1"/>
  <c r="O734" i="8" a="1"/>
  <c r="M284" i="8" a="1"/>
  <c r="G635" i="8" a="1"/>
  <c r="F437" i="8" a="1"/>
  <c r="G437" i="8" a="1"/>
  <c r="Y635" i="8" a="1"/>
  <c r="N91" i="8" a="1"/>
  <c r="L437" i="8" a="1"/>
  <c r="W735" i="8" a="1"/>
  <c r="T284" i="8" a="1"/>
  <c r="X285" i="8" a="1"/>
  <c r="Y284" i="8" a="1"/>
  <c r="N635" i="8" a="1"/>
  <c r="F285" i="8" a="1"/>
  <c r="J734" i="8" a="1"/>
  <c r="K91" i="8" a="1"/>
  <c r="P635" i="8" a="1"/>
  <c r="M735" i="8" a="1"/>
  <c r="R537" i="8" a="1"/>
  <c r="W635" i="8" a="1"/>
  <c r="C284" i="8" a="1"/>
  <c r="M91" i="8" a="1"/>
  <c r="Q91" i="8" a="1"/>
  <c r="T635" i="8" a="1"/>
  <c r="E537" i="8" a="1"/>
  <c r="X735" i="8" a="1"/>
  <c r="Y634" i="8" a="1"/>
  <c r="I635" i="8" a="1"/>
  <c r="H735" i="8" a="1"/>
  <c r="Y537" i="8" a="1"/>
  <c r="J635" i="8" a="1"/>
  <c r="L635" i="8" a="1"/>
  <c r="I91" i="8" a="1"/>
  <c r="F91" i="8" a="1"/>
  <c r="X634" i="8" a="1"/>
  <c r="I537" i="8" a="1"/>
  <c r="K735" i="8" a="1"/>
  <c r="O285" i="8" a="1"/>
  <c r="Q735" i="8" a="1"/>
  <c r="O735" i="8" a="1"/>
  <c r="H537" i="8" a="1"/>
  <c r="U437" i="8" a="1"/>
  <c r="T91" i="8" a="1"/>
  <c r="N537" i="8" a="1"/>
  <c r="H437" i="8" a="1"/>
  <c r="L538" i="8" a="1"/>
  <c r="F538" i="8" a="1"/>
  <c r="C437" i="8" a="1"/>
  <c r="N735" i="8" a="1"/>
  <c r="R285" i="8" a="1"/>
  <c r="J735" i="8" a="1"/>
  <c r="U284" i="8" a="1"/>
  <c r="P735" i="8" a="1"/>
  <c r="E735" i="8" a="1"/>
  <c r="Y437" i="8" a="1"/>
  <c r="K634" i="8" a="1"/>
  <c r="K437" i="8" a="1"/>
  <c r="P91" i="8" a="1"/>
  <c r="X437" i="8" a="1"/>
  <c r="Y185" i="8" a="1"/>
  <c r="T538" i="8" a="1"/>
  <c r="V185" i="8" a="1"/>
  <c r="U735" i="8" a="1"/>
  <c r="K284" i="8" a="1"/>
  <c r="M537" i="8" a="1"/>
  <c r="N538" i="8" a="1"/>
  <c r="D537" i="8" a="1"/>
  <c r="S90" i="8" l="1"/>
  <c r="F91" i="8"/>
  <c r="J91" i="8"/>
  <c r="N91" i="8"/>
  <c r="R91" i="8"/>
  <c r="W91" i="8"/>
  <c r="C91" i="8"/>
  <c r="G91" i="8"/>
  <c r="K91" i="8"/>
  <c r="O91" i="8"/>
  <c r="T91" i="8"/>
  <c r="X91" i="8"/>
  <c r="D91" i="8"/>
  <c r="H91" i="8"/>
  <c r="L91" i="8"/>
  <c r="P91" i="8"/>
  <c r="U91" i="8"/>
  <c r="Y91" i="8"/>
  <c r="E91" i="8"/>
  <c r="I91" i="8"/>
  <c r="M91" i="8"/>
  <c r="Q91" i="8"/>
  <c r="V91" i="8"/>
  <c r="T437" i="8"/>
  <c r="X437" i="8"/>
  <c r="N437" i="8"/>
  <c r="D437" i="8"/>
  <c r="H437" i="8"/>
  <c r="L437" i="8"/>
  <c r="P437" i="8"/>
  <c r="U437" i="8"/>
  <c r="Y437" i="8"/>
  <c r="R437" i="8"/>
  <c r="E437" i="8"/>
  <c r="I437" i="8"/>
  <c r="M437" i="8"/>
  <c r="Q437" i="8"/>
  <c r="F437" i="8"/>
  <c r="V437" i="8"/>
  <c r="J437" i="8"/>
  <c r="W437" i="8"/>
  <c r="C437" i="8"/>
  <c r="G437" i="8"/>
  <c r="K437" i="8"/>
  <c r="O437" i="8"/>
  <c r="S436" i="8"/>
  <c r="S536" i="8"/>
  <c r="Y284" i="8"/>
  <c r="H537" i="8"/>
  <c r="X537" i="8"/>
  <c r="G537" i="8"/>
  <c r="L537" i="8"/>
  <c r="F284" i="8"/>
  <c r="W537" i="8"/>
  <c r="C537" i="8"/>
  <c r="P537" i="8"/>
  <c r="E734" i="8"/>
  <c r="V537" i="8"/>
  <c r="N284" i="8"/>
  <c r="D537" i="8"/>
  <c r="R284" i="8"/>
  <c r="Y634" i="8"/>
  <c r="C284" i="8"/>
  <c r="U284" i="8"/>
  <c r="T284" i="8"/>
  <c r="S284" i="8" s="1"/>
  <c r="J734" i="8"/>
  <c r="J634" i="8"/>
  <c r="E537" i="8"/>
  <c r="M284" i="8"/>
  <c r="H284" i="8"/>
  <c r="K284" i="8"/>
  <c r="D284" i="8"/>
  <c r="F537" i="8"/>
  <c r="K537" i="8"/>
  <c r="J537" i="8"/>
  <c r="O734" i="8"/>
  <c r="K634" i="8"/>
  <c r="O537" i="8"/>
  <c r="R537" i="8"/>
  <c r="V634" i="8"/>
  <c r="I537" i="8"/>
  <c r="N537" i="8"/>
  <c r="U537" i="8"/>
  <c r="M537" i="8"/>
  <c r="Q537" i="8"/>
  <c r="X634" i="8"/>
  <c r="Y537" i="8"/>
  <c r="J284" i="8"/>
  <c r="B92" i="8"/>
  <c r="S184" i="8"/>
  <c r="S734" i="8"/>
  <c r="E735" i="8"/>
  <c r="N735" i="8"/>
  <c r="X735" i="8"/>
  <c r="I735" i="8"/>
  <c r="R735" i="8"/>
  <c r="D735" i="8"/>
  <c r="W735" i="8"/>
  <c r="Q735" i="8"/>
  <c r="C735" i="8"/>
  <c r="L735" i="8"/>
  <c r="O735" i="8"/>
  <c r="V735" i="8"/>
  <c r="G735" i="8"/>
  <c r="P735" i="8"/>
  <c r="K735" i="8"/>
  <c r="U735" i="8"/>
  <c r="F735" i="8"/>
  <c r="Y735" i="8"/>
  <c r="J735" i="8"/>
  <c r="T735" i="8"/>
  <c r="M735" i="8"/>
  <c r="H735" i="8"/>
  <c r="N635" i="8"/>
  <c r="P635" i="8"/>
  <c r="R635" i="8"/>
  <c r="W635" i="8"/>
  <c r="U635" i="8"/>
  <c r="I635" i="8"/>
  <c r="G635" i="8"/>
  <c r="T635" i="8"/>
  <c r="M635" i="8"/>
  <c r="L635" i="8"/>
  <c r="X635" i="8"/>
  <c r="Q635" i="8"/>
  <c r="Y635" i="8"/>
  <c r="D635" i="8"/>
  <c r="F635" i="8"/>
  <c r="V635" i="8"/>
  <c r="J635" i="8"/>
  <c r="C635" i="8"/>
  <c r="B736" i="8"/>
  <c r="B636" i="8"/>
  <c r="R285" i="8"/>
  <c r="V285" i="8"/>
  <c r="X285" i="8"/>
  <c r="M285" i="8"/>
  <c r="L285" i="8"/>
  <c r="P285" i="8"/>
  <c r="D285" i="8"/>
  <c r="C285" i="8"/>
  <c r="O285" i="8"/>
  <c r="F285" i="8"/>
  <c r="N285" i="8"/>
  <c r="Y285" i="8"/>
  <c r="K285" i="8"/>
  <c r="H285" i="8"/>
  <c r="B286" i="8"/>
  <c r="R538" i="8"/>
  <c r="W538" i="8"/>
  <c r="L538" i="8"/>
  <c r="N538" i="8"/>
  <c r="G538" i="8"/>
  <c r="P538" i="8"/>
  <c r="K538" i="8"/>
  <c r="D538" i="8"/>
  <c r="I538" i="8"/>
  <c r="F538" i="8"/>
  <c r="T538" i="8"/>
  <c r="M538" i="8"/>
  <c r="J538" i="8"/>
  <c r="Q538" i="8"/>
  <c r="B539" i="8"/>
  <c r="B438" i="8"/>
  <c r="W185" i="8"/>
  <c r="X185" i="8"/>
  <c r="T185" i="8"/>
  <c r="Y185" i="8"/>
  <c r="V185" i="8"/>
  <c r="U185" i="8"/>
  <c r="E285" i="8" a="1"/>
  <c r="X539" i="8" a="1"/>
  <c r="W186" i="8" a="1"/>
  <c r="D539" i="8" a="1"/>
  <c r="U736" i="8" a="1"/>
  <c r="K92" i="8" a="1"/>
  <c r="X186" i="8" a="1"/>
  <c r="E539" i="8" a="1"/>
  <c r="L636" i="8" a="1"/>
  <c r="G438" i="8" a="1"/>
  <c r="D438" i="8" a="1"/>
  <c r="J92" i="8" a="1"/>
  <c r="T92" i="8" a="1"/>
  <c r="M736" i="8" a="1"/>
  <c r="D636" i="8" a="1"/>
  <c r="V736" i="8" a="1"/>
  <c r="W92" i="8" a="1"/>
  <c r="L736" i="8" a="1"/>
  <c r="Y636" i="8" a="1"/>
  <c r="X636" i="8" a="1"/>
  <c r="Q736" i="8" a="1"/>
  <c r="G92" i="8" a="1"/>
  <c r="D286" i="8" a="1"/>
  <c r="P438" i="8" a="1"/>
  <c r="G736" i="8" a="1"/>
  <c r="G285" i="8" a="1"/>
  <c r="E635" i="8" a="1"/>
  <c r="U186" i="8" a="1"/>
  <c r="R636" i="8" a="1"/>
  <c r="I438" i="8" a="1"/>
  <c r="L92" i="8" a="1"/>
  <c r="M539" i="8" a="1"/>
  <c r="C286" i="8" a="1"/>
  <c r="K635" i="8" a="1"/>
  <c r="I286" i="8" a="1"/>
  <c r="J736" i="8" a="1"/>
  <c r="K736" i="8" a="1"/>
  <c r="M92" i="8" a="1"/>
  <c r="J438" i="8" a="1"/>
  <c r="I736" i="8" a="1"/>
  <c r="V286" i="8" a="1"/>
  <c r="Y92" i="8" a="1"/>
  <c r="I636" i="8" a="1"/>
  <c r="I92" i="8" a="1"/>
  <c r="O736" i="8" a="1"/>
  <c r="R438" i="8" a="1"/>
  <c r="C538" i="8" a="1"/>
  <c r="T438" i="8" a="1"/>
  <c r="T736" i="8" a="1"/>
  <c r="R286" i="8" a="1"/>
  <c r="C92" i="8" a="1"/>
  <c r="Q286" i="8" a="1"/>
  <c r="P736" i="8" a="1"/>
  <c r="T636" i="8" a="1"/>
  <c r="T186" i="8" a="1"/>
  <c r="W438" i="8" a="1"/>
  <c r="N92" i="8" a="1"/>
  <c r="X736" i="8" a="1"/>
  <c r="U438" i="8" a="1"/>
  <c r="K636" i="8" a="1"/>
  <c r="E92" i="8" a="1"/>
  <c r="W736" i="8" a="1"/>
  <c r="W285" i="8" a="1"/>
  <c r="Y186" i="8" a="1"/>
  <c r="D92" i="8" a="1"/>
  <c r="K286" i="8" a="1"/>
  <c r="O438" i="8" a="1"/>
  <c r="Y438" i="8" a="1"/>
  <c r="U285" i="8" a="1"/>
  <c r="N286" i="8" a="1"/>
  <c r="O286" i="8" a="1"/>
  <c r="F636" i="8" a="1"/>
  <c r="O538" i="8" a="1"/>
  <c r="V92" i="8" a="1"/>
  <c r="D736" i="8" a="1"/>
  <c r="V438" i="8" a="1"/>
  <c r="V636" i="8" a="1"/>
  <c r="U636" i="8" a="1"/>
  <c r="X92" i="8" a="1"/>
  <c r="Q438" i="8" a="1"/>
  <c r="H438" i="8" a="1"/>
  <c r="X538" i="8" a="1"/>
  <c r="P539" i="8" a="1"/>
  <c r="Q285" i="8" a="1"/>
  <c r="E538" i="8" a="1"/>
  <c r="Q636" i="8" a="1"/>
  <c r="V186" i="8" a="1"/>
  <c r="H635" i="8" a="1"/>
  <c r="Y538" i="8" a="1"/>
  <c r="E636" i="8" a="1"/>
  <c r="M636" i="8" a="1"/>
  <c r="Y736" i="8" a="1"/>
  <c r="F92" i="8" a="1"/>
  <c r="N539" i="8" a="1"/>
  <c r="K539" i="8" a="1"/>
  <c r="G286" i="8" a="1"/>
  <c r="C636" i="8" a="1"/>
  <c r="H538" i="8" a="1"/>
  <c r="Q92" i="8" a="1"/>
  <c r="C736" i="8" a="1"/>
  <c r="U538" i="8" a="1"/>
  <c r="O92" i="8" a="1"/>
  <c r="W636" i="8" a="1"/>
  <c r="Y539" i="8" a="1"/>
  <c r="G636" i="8" a="1"/>
  <c r="R736" i="8" a="1"/>
  <c r="T285" i="8" a="1"/>
  <c r="X438" i="8" a="1"/>
  <c r="K438" i="8" a="1"/>
  <c r="Q539" i="8" a="1"/>
  <c r="E438" i="8" a="1"/>
  <c r="O635" i="8" a="1"/>
  <c r="J636" i="8" a="1"/>
  <c r="P92" i="8" a="1"/>
  <c r="N636" i="8" a="1"/>
  <c r="C539" i="8" a="1"/>
  <c r="F438" i="8" a="1"/>
  <c r="H636" i="8" a="1"/>
  <c r="R539" i="8" a="1"/>
  <c r="M438" i="8" a="1"/>
  <c r="J285" i="8" a="1"/>
  <c r="J539" i="8" a="1"/>
  <c r="L438" i="8" a="1"/>
  <c r="U92" i="8" a="1"/>
  <c r="F736" i="8" a="1"/>
  <c r="R92" i="8" a="1"/>
  <c r="O636" i="8" a="1"/>
  <c r="C438" i="8" a="1"/>
  <c r="V538" i="8" a="1"/>
  <c r="P636" i="8" a="1"/>
  <c r="W286" i="8" a="1"/>
  <c r="F539" i="8" a="1"/>
  <c r="H92" i="8" a="1"/>
  <c r="N736" i="8" a="1"/>
  <c r="I285" i="8" a="1"/>
  <c r="H736" i="8" a="1"/>
  <c r="E736" i="8" a="1"/>
  <c r="N438" i="8" a="1"/>
  <c r="S437" i="8" l="1"/>
  <c r="T92" i="8"/>
  <c r="X92" i="8"/>
  <c r="D92" i="8"/>
  <c r="H92" i="8"/>
  <c r="L92" i="8"/>
  <c r="P92" i="8"/>
  <c r="C92" i="8"/>
  <c r="U92" i="8"/>
  <c r="Y92" i="8"/>
  <c r="G92" i="8"/>
  <c r="E92" i="8"/>
  <c r="I92" i="8"/>
  <c r="M92" i="8"/>
  <c r="Q92" i="8"/>
  <c r="K92" i="8"/>
  <c r="V92" i="8"/>
  <c r="F92" i="8"/>
  <c r="J92" i="8"/>
  <c r="N92" i="8"/>
  <c r="R92" i="8"/>
  <c r="O92" i="8"/>
  <c r="W92" i="8"/>
  <c r="E438" i="8"/>
  <c r="I438" i="8"/>
  <c r="M438" i="8"/>
  <c r="Q438" i="8"/>
  <c r="T438" i="8"/>
  <c r="V438" i="8"/>
  <c r="F438" i="8"/>
  <c r="J438" i="8"/>
  <c r="N438" i="8"/>
  <c r="R438" i="8"/>
  <c r="W438" i="8"/>
  <c r="C438" i="8"/>
  <c r="G438" i="8"/>
  <c r="K438" i="8"/>
  <c r="O438" i="8"/>
  <c r="D438" i="8"/>
  <c r="H438" i="8"/>
  <c r="L438" i="8"/>
  <c r="P438" i="8"/>
  <c r="X438" i="8"/>
  <c r="U438" i="8"/>
  <c r="Y438" i="8"/>
  <c r="S91" i="8"/>
  <c r="S634" i="8"/>
  <c r="S537" i="8"/>
  <c r="E285" i="8"/>
  <c r="Q285" i="8"/>
  <c r="E538" i="8"/>
  <c r="U285" i="8"/>
  <c r="W285" i="8"/>
  <c r="H635" i="8"/>
  <c r="K635" i="8"/>
  <c r="O635" i="8"/>
  <c r="G285" i="8"/>
  <c r="J285" i="8"/>
  <c r="E635" i="8"/>
  <c r="U538" i="8"/>
  <c r="V538" i="8"/>
  <c r="T285" i="8"/>
  <c r="S285" i="8" s="1"/>
  <c r="I285" i="8"/>
  <c r="Y538" i="8"/>
  <c r="H538" i="8"/>
  <c r="C538" i="8"/>
  <c r="X538" i="8"/>
  <c r="O538" i="8"/>
  <c r="B93" i="8"/>
  <c r="S185" i="8"/>
  <c r="M636" i="8"/>
  <c r="F636" i="8"/>
  <c r="H636" i="8"/>
  <c r="V636" i="8"/>
  <c r="J636" i="8"/>
  <c r="P636" i="8"/>
  <c r="U636" i="8"/>
  <c r="N636" i="8"/>
  <c r="X636" i="8"/>
  <c r="D636" i="8"/>
  <c r="O636" i="8"/>
  <c r="L636" i="8"/>
  <c r="Q636" i="8"/>
  <c r="Y636" i="8"/>
  <c r="R636" i="8"/>
  <c r="T636" i="8"/>
  <c r="E636" i="8"/>
  <c r="C636" i="8"/>
  <c r="I636" i="8"/>
  <c r="G636" i="8"/>
  <c r="W636" i="8"/>
  <c r="K636" i="8"/>
  <c r="F736" i="8"/>
  <c r="O736" i="8"/>
  <c r="Y736" i="8"/>
  <c r="J736" i="8"/>
  <c r="T736" i="8"/>
  <c r="M736" i="8"/>
  <c r="N736" i="8"/>
  <c r="W736" i="8"/>
  <c r="H736" i="8"/>
  <c r="I736" i="8"/>
  <c r="C736" i="8"/>
  <c r="L736" i="8"/>
  <c r="V736" i="8"/>
  <c r="G736" i="8"/>
  <c r="P736" i="8"/>
  <c r="Q736" i="8"/>
  <c r="D736" i="8"/>
  <c r="E736" i="8"/>
  <c r="K736" i="8"/>
  <c r="U736" i="8"/>
  <c r="X736" i="8"/>
  <c r="R736" i="8"/>
  <c r="S635" i="8"/>
  <c r="B637" i="8"/>
  <c r="S735" i="8"/>
  <c r="B737" i="8"/>
  <c r="E539" i="8"/>
  <c r="O286" i="8"/>
  <c r="V286" i="8"/>
  <c r="C286" i="8"/>
  <c r="Q286" i="8"/>
  <c r="I286" i="8"/>
  <c r="G286" i="8"/>
  <c r="R286" i="8"/>
  <c r="W286" i="8"/>
  <c r="D286" i="8"/>
  <c r="K286" i="8"/>
  <c r="N286" i="8"/>
  <c r="B287" i="8"/>
  <c r="P539" i="8"/>
  <c r="F539" i="8"/>
  <c r="X539" i="8"/>
  <c r="Y539" i="8"/>
  <c r="J539" i="8"/>
  <c r="D539" i="8"/>
  <c r="N539" i="8"/>
  <c r="R539" i="8"/>
  <c r="C539" i="8"/>
  <c r="M539" i="8"/>
  <c r="Q539" i="8"/>
  <c r="K539" i="8"/>
  <c r="B540" i="8"/>
  <c r="B439" i="8"/>
  <c r="V186" i="8"/>
  <c r="T186" i="8"/>
  <c r="Y186" i="8"/>
  <c r="U186" i="8"/>
  <c r="X186" i="8"/>
  <c r="W186" i="8"/>
  <c r="P93" i="8" a="1"/>
  <c r="M287" i="8" a="1"/>
  <c r="C737" i="8" a="1"/>
  <c r="T286" i="8" a="1"/>
  <c r="R287" i="8" a="1"/>
  <c r="X637" i="8" a="1"/>
  <c r="L286" i="8" a="1"/>
  <c r="G439" i="8" a="1"/>
  <c r="I287" i="8" a="1"/>
  <c r="H287" i="8" a="1"/>
  <c r="E93" i="8" a="1"/>
  <c r="V439" i="8" a="1"/>
  <c r="Q93" i="8" a="1"/>
  <c r="V637" i="8" a="1"/>
  <c r="T539" i="8" a="1"/>
  <c r="M637" i="8" a="1"/>
  <c r="U93" i="8" a="1"/>
  <c r="K637" i="8" a="1"/>
  <c r="Y286" i="8" a="1"/>
  <c r="W287" i="8" a="1"/>
  <c r="L287" i="8" a="1"/>
  <c r="N287" i="8" a="1"/>
  <c r="F287" i="8" a="1"/>
  <c r="H93" i="8" a="1"/>
  <c r="V93" i="8" a="1"/>
  <c r="V287" i="8" a="1"/>
  <c r="F93" i="8" a="1"/>
  <c r="J93" i="8" a="1"/>
  <c r="V737" i="8" a="1"/>
  <c r="Y637" i="8" a="1"/>
  <c r="L93" i="8" a="1"/>
  <c r="C637" i="8" a="1"/>
  <c r="Q540" i="8" a="1"/>
  <c r="X286" i="8" a="1"/>
  <c r="K287" i="8" a="1"/>
  <c r="J439" i="8" a="1"/>
  <c r="K439" i="8" a="1"/>
  <c r="E540" i="8" a="1"/>
  <c r="J287" i="8" a="1"/>
  <c r="H637" i="8" a="1"/>
  <c r="E287" i="8" a="1"/>
  <c r="Q439" i="8" a="1"/>
  <c r="M286" i="8" a="1"/>
  <c r="X187" i="8" a="1"/>
  <c r="M93" i="8" a="1"/>
  <c r="I439" i="8" a="1"/>
  <c r="C287" i="8" a="1"/>
  <c r="I737" i="8" a="1"/>
  <c r="H539" i="8" a="1"/>
  <c r="D93" i="8" a="1"/>
  <c r="F286" i="8" a="1"/>
  <c r="U286" i="8" a="1"/>
  <c r="P286" i="8" a="1"/>
  <c r="G93" i="8" a="1"/>
  <c r="P439" i="8" a="1"/>
  <c r="Y93" i="8" a="1"/>
  <c r="F637" i="8" a="1"/>
  <c r="W539" i="8" a="1"/>
  <c r="U187" i="8" a="1"/>
  <c r="T439" i="8" a="1"/>
  <c r="Y737" i="8" a="1"/>
  <c r="Y287" i="8" a="1"/>
  <c r="H439" i="8" a="1"/>
  <c r="E286" i="8" a="1"/>
  <c r="I93" i="8" a="1"/>
  <c r="G539" i="8" a="1"/>
  <c r="G637" i="8" a="1"/>
  <c r="U287" i="8" a="1"/>
  <c r="T287" i="8" a="1"/>
  <c r="T187" i="8" a="1"/>
  <c r="O439" i="8" a="1"/>
  <c r="W93" i="8" a="1"/>
  <c r="U539" i="8" a="1"/>
  <c r="L439" i="8" a="1"/>
  <c r="P637" i="8" a="1"/>
  <c r="M737" i="8" a="1"/>
  <c r="O539" i="8" a="1"/>
  <c r="C93" i="8" a="1"/>
  <c r="Y439" i="8" a="1"/>
  <c r="O637" i="8" a="1"/>
  <c r="X93" i="8" a="1"/>
  <c r="P287" i="8" a="1"/>
  <c r="H737" i="8" a="1"/>
  <c r="H286" i="8" a="1"/>
  <c r="U737" i="8" a="1"/>
  <c r="N93" i="8" a="1"/>
  <c r="D439" i="8" a="1"/>
  <c r="V539" i="8" a="1"/>
  <c r="X439" i="8" a="1"/>
  <c r="D637" i="8" a="1"/>
  <c r="U439" i="8" a="1"/>
  <c r="W187" i="8" a="1"/>
  <c r="W439" i="8" a="1"/>
  <c r="F439" i="8" a="1"/>
  <c r="U637" i="8" a="1"/>
  <c r="I539" i="8" a="1"/>
  <c r="V187" i="8" a="1"/>
  <c r="U540" i="8" a="1"/>
  <c r="N439" i="8" a="1"/>
  <c r="X287" i="8" a="1"/>
  <c r="L539" i="8" a="1"/>
  <c r="R93" i="8" a="1"/>
  <c r="K93" i="8" a="1"/>
  <c r="T93" i="8" a="1"/>
  <c r="E439" i="8" a="1"/>
  <c r="R439" i="8" a="1"/>
  <c r="G287" i="8" a="1"/>
  <c r="O93" i="8" a="1"/>
  <c r="O287" i="8" a="1"/>
  <c r="Y187" i="8" a="1"/>
  <c r="J286" i="8" a="1"/>
  <c r="Q287" i="8" a="1"/>
  <c r="M439" i="8" a="1"/>
  <c r="C439" i="8" a="1"/>
  <c r="D287" i="8" a="1"/>
  <c r="E93" i="8" l="1"/>
  <c r="I93" i="8"/>
  <c r="M93" i="8"/>
  <c r="Q93" i="8"/>
  <c r="V93" i="8"/>
  <c r="U93" i="8"/>
  <c r="F93" i="8"/>
  <c r="J93" i="8"/>
  <c r="N93" i="8"/>
  <c r="R93" i="8"/>
  <c r="W93" i="8"/>
  <c r="Y93" i="8"/>
  <c r="C93" i="8"/>
  <c r="G93" i="8"/>
  <c r="K93" i="8"/>
  <c r="O93" i="8"/>
  <c r="T93" i="8"/>
  <c r="X93" i="8"/>
  <c r="D93" i="8"/>
  <c r="H93" i="8"/>
  <c r="L93" i="8"/>
  <c r="P93" i="8"/>
  <c r="W439" i="8"/>
  <c r="C439" i="8"/>
  <c r="G439" i="8"/>
  <c r="K439" i="8"/>
  <c r="O439" i="8"/>
  <c r="Q439" i="8"/>
  <c r="T439" i="8"/>
  <c r="X439" i="8"/>
  <c r="I439" i="8"/>
  <c r="D439" i="8"/>
  <c r="H439" i="8"/>
  <c r="L439" i="8"/>
  <c r="P439" i="8"/>
  <c r="M439" i="8"/>
  <c r="U439" i="8"/>
  <c r="Y439" i="8"/>
  <c r="E439" i="8"/>
  <c r="V439" i="8"/>
  <c r="F439" i="8"/>
  <c r="J439" i="8"/>
  <c r="N439" i="8"/>
  <c r="R439" i="8"/>
  <c r="S438" i="8"/>
  <c r="S92" i="8"/>
  <c r="S538" i="8"/>
  <c r="F286" i="8"/>
  <c r="T539" i="8"/>
  <c r="U286" i="8"/>
  <c r="L539" i="8"/>
  <c r="M286" i="8"/>
  <c r="I539" i="8"/>
  <c r="G539" i="8"/>
  <c r="H539" i="8"/>
  <c r="W539" i="8"/>
  <c r="Y286" i="8"/>
  <c r="U539" i="8"/>
  <c r="P286" i="8"/>
  <c r="O539" i="8"/>
  <c r="H286" i="8"/>
  <c r="E286" i="8"/>
  <c r="T286" i="8"/>
  <c r="J286" i="8"/>
  <c r="L286" i="8"/>
  <c r="V539" i="8"/>
  <c r="X286" i="8"/>
  <c r="B94" i="8"/>
  <c r="S186" i="8"/>
  <c r="I737" i="8"/>
  <c r="M737" i="8"/>
  <c r="H737" i="8"/>
  <c r="U737" i="8"/>
  <c r="C737" i="8"/>
  <c r="V737" i="8"/>
  <c r="Y737" i="8"/>
  <c r="K637" i="8"/>
  <c r="O637" i="8"/>
  <c r="X637" i="8"/>
  <c r="U637" i="8"/>
  <c r="P637" i="8"/>
  <c r="H637" i="8"/>
  <c r="V637" i="8"/>
  <c r="M637" i="8"/>
  <c r="F637" i="8"/>
  <c r="C637" i="8"/>
  <c r="G637" i="8"/>
  <c r="Y637" i="8"/>
  <c r="D637" i="8"/>
  <c r="S736" i="8"/>
  <c r="B738" i="8"/>
  <c r="S636" i="8"/>
  <c r="B638" i="8"/>
  <c r="E540" i="8"/>
  <c r="E287" i="8"/>
  <c r="D287" i="8"/>
  <c r="Y287" i="8"/>
  <c r="X287" i="8"/>
  <c r="H287" i="8"/>
  <c r="J287" i="8"/>
  <c r="P287" i="8"/>
  <c r="G287" i="8"/>
  <c r="F287" i="8"/>
  <c r="L287" i="8"/>
  <c r="C287" i="8"/>
  <c r="V287" i="8"/>
  <c r="W287" i="8"/>
  <c r="N287" i="8"/>
  <c r="O287" i="8"/>
  <c r="I287" i="8"/>
  <c r="T287" i="8"/>
  <c r="K287" i="8"/>
  <c r="U287" i="8"/>
  <c r="Q287" i="8"/>
  <c r="R287" i="8"/>
  <c r="M287" i="8"/>
  <c r="B288" i="8"/>
  <c r="Q540" i="8"/>
  <c r="U540" i="8"/>
  <c r="B541" i="8"/>
  <c r="B440" i="8"/>
  <c r="W187" i="8"/>
  <c r="X187" i="8"/>
  <c r="V187" i="8"/>
  <c r="T187" i="8"/>
  <c r="Y187" i="8"/>
  <c r="U187" i="8"/>
  <c r="R637" i="8" a="1"/>
  <c r="G738" i="8" a="1"/>
  <c r="L94" i="8" a="1"/>
  <c r="X440" i="8" a="1"/>
  <c r="T738" i="8" a="1"/>
  <c r="X288" i="8" a="1"/>
  <c r="T637" i="8" a="1"/>
  <c r="D540" i="8" a="1"/>
  <c r="C738" i="8" a="1"/>
  <c r="P737" i="8" a="1"/>
  <c r="T638" i="8" a="1"/>
  <c r="U440" i="8" a="1"/>
  <c r="N440" i="8" a="1"/>
  <c r="V188" i="8" a="1"/>
  <c r="E738" i="8" a="1"/>
  <c r="J440" i="8" a="1"/>
  <c r="G541" i="8" a="1"/>
  <c r="I638" i="8" a="1"/>
  <c r="W737" i="8" a="1"/>
  <c r="H540" i="8" a="1"/>
  <c r="C440" i="8" a="1"/>
  <c r="C94" i="8" a="1"/>
  <c r="T188" i="8" a="1"/>
  <c r="E440" i="8" a="1"/>
  <c r="X737" i="8" a="1"/>
  <c r="T94" i="8" a="1"/>
  <c r="K737" i="8" a="1"/>
  <c r="L540" i="8" a="1"/>
  <c r="L638" i="8" a="1"/>
  <c r="E541" i="8" a="1"/>
  <c r="O540" i="8" a="1"/>
  <c r="K738" i="8" a="1"/>
  <c r="R94" i="8" a="1"/>
  <c r="J94" i="8" a="1"/>
  <c r="O738" i="8" a="1"/>
  <c r="V541" i="8" a="1"/>
  <c r="C638" i="8" a="1"/>
  <c r="I440" i="8" a="1"/>
  <c r="G540" i="8" a="1"/>
  <c r="T737" i="8" a="1"/>
  <c r="L738" i="8" a="1"/>
  <c r="R540" i="8" a="1"/>
  <c r="J638" i="8" a="1"/>
  <c r="V440" i="8" a="1"/>
  <c r="Q738" i="8" a="1"/>
  <c r="O737" i="8" a="1"/>
  <c r="L637" i="8" a="1"/>
  <c r="T541" i="8" a="1"/>
  <c r="Y738" i="8" a="1"/>
  <c r="X188" i="8" a="1"/>
  <c r="O94" i="8" a="1"/>
  <c r="X541" i="8" a="1"/>
  <c r="H440" i="8" a="1"/>
  <c r="Q440" i="8" a="1"/>
  <c r="Y188" i="8" a="1"/>
  <c r="Q94" i="8" a="1"/>
  <c r="W94" i="8" a="1"/>
  <c r="Y540" i="8" a="1"/>
  <c r="N540" i="8" a="1"/>
  <c r="M638" i="8" a="1"/>
  <c r="X94" i="8" a="1"/>
  <c r="R737" i="8" a="1"/>
  <c r="Q637" i="8" a="1"/>
  <c r="H738" i="8" a="1"/>
  <c r="X540" i="8" a="1"/>
  <c r="T440" i="8" a="1"/>
  <c r="D638" i="8" a="1"/>
  <c r="R738" i="8" a="1"/>
  <c r="W637" i="8" a="1"/>
  <c r="U638" i="8" a="1"/>
  <c r="F540" i="8" a="1"/>
  <c r="K94" i="8" a="1"/>
  <c r="H541" i="8" a="1"/>
  <c r="M738" i="8" a="1"/>
  <c r="K288" i="8" a="1"/>
  <c r="P738" i="8" a="1"/>
  <c r="D737" i="8" a="1"/>
  <c r="M288" i="8" a="1"/>
  <c r="M440" i="8" a="1"/>
  <c r="D738" i="8" a="1"/>
  <c r="W188" i="8" a="1"/>
  <c r="G638" i="8" a="1"/>
  <c r="F738" i="8" a="1"/>
  <c r="E737" i="8" a="1"/>
  <c r="W541" i="8" a="1"/>
  <c r="F440" i="8" a="1"/>
  <c r="L288" i="8" a="1"/>
  <c r="V94" i="8" a="1"/>
  <c r="G737" i="8" a="1"/>
  <c r="Q638" i="8" a="1"/>
  <c r="F94" i="8" a="1"/>
  <c r="L440" i="8" a="1"/>
  <c r="E94" i="8" a="1"/>
  <c r="V638" i="8" a="1"/>
  <c r="J288" i="8" a="1"/>
  <c r="O440" i="8" a="1"/>
  <c r="G94" i="8" a="1"/>
  <c r="W440" i="8" a="1"/>
  <c r="I540" i="8" a="1"/>
  <c r="F737" i="8" a="1"/>
  <c r="Q541" i="8" a="1"/>
  <c r="J637" i="8" a="1"/>
  <c r="W638" i="8" a="1"/>
  <c r="Y440" i="8" a="1"/>
  <c r="D440" i="8" a="1"/>
  <c r="X738" i="8" a="1"/>
  <c r="T540" i="8" a="1"/>
  <c r="I637" i="8" a="1"/>
  <c r="N738" i="8" a="1"/>
  <c r="Q737" i="8" a="1"/>
  <c r="N637" i="8" a="1"/>
  <c r="L541" i="8" a="1"/>
  <c r="U94" i="8" a="1"/>
  <c r="I94" i="8" a="1"/>
  <c r="M540" i="8" a="1"/>
  <c r="F638" i="8" a="1"/>
  <c r="P288" i="8" a="1"/>
  <c r="C540" i="8" a="1"/>
  <c r="E637" i="8" a="1"/>
  <c r="L737" i="8" a="1"/>
  <c r="K638" i="8" a="1"/>
  <c r="V540" i="8" a="1"/>
  <c r="I738" i="8" a="1"/>
  <c r="J737" i="8" a="1"/>
  <c r="W540" i="8" a="1"/>
  <c r="P540" i="8" a="1"/>
  <c r="P94" i="8" a="1"/>
  <c r="U738" i="8" a="1"/>
  <c r="K440" i="8" a="1"/>
  <c r="K540" i="8" a="1"/>
  <c r="G440" i="8" a="1"/>
  <c r="X638" i="8" a="1"/>
  <c r="M94" i="8" a="1"/>
  <c r="H94" i="8" a="1"/>
  <c r="N638" i="8" a="1"/>
  <c r="D94" i="8" a="1"/>
  <c r="V738" i="8" a="1"/>
  <c r="H638" i="8" a="1"/>
  <c r="N737" i="8" a="1"/>
  <c r="J540" i="8" a="1"/>
  <c r="N94" i="8" a="1"/>
  <c r="Y94" i="8" a="1"/>
  <c r="U188" i="8" a="1"/>
  <c r="U288" i="8" a="1"/>
  <c r="W738" i="8" a="1"/>
  <c r="R440" i="8" a="1"/>
  <c r="Y638" i="8" a="1"/>
  <c r="J738" i="8" a="1"/>
  <c r="P440" i="8" a="1"/>
  <c r="S439" i="8" l="1"/>
  <c r="D440" i="8"/>
  <c r="H440" i="8"/>
  <c r="L440" i="8"/>
  <c r="P440" i="8"/>
  <c r="U440" i="8"/>
  <c r="Y440" i="8"/>
  <c r="E440" i="8"/>
  <c r="I440" i="8"/>
  <c r="M440" i="8"/>
  <c r="Q440" i="8"/>
  <c r="V440" i="8"/>
  <c r="F440" i="8"/>
  <c r="J440" i="8"/>
  <c r="N440" i="8"/>
  <c r="R440" i="8"/>
  <c r="C440" i="8"/>
  <c r="G440" i="8"/>
  <c r="K440" i="8"/>
  <c r="O440" i="8"/>
  <c r="W440" i="8"/>
  <c r="T440" i="8"/>
  <c r="X440" i="8"/>
  <c r="W94" i="8"/>
  <c r="F94" i="8"/>
  <c r="C94" i="8"/>
  <c r="G94" i="8"/>
  <c r="K94" i="8"/>
  <c r="O94" i="8"/>
  <c r="T94" i="8"/>
  <c r="X94" i="8"/>
  <c r="J94" i="8"/>
  <c r="D94" i="8"/>
  <c r="H94" i="8"/>
  <c r="L94" i="8"/>
  <c r="P94" i="8"/>
  <c r="U94" i="8"/>
  <c r="Y94" i="8"/>
  <c r="E94" i="8"/>
  <c r="I94" i="8"/>
  <c r="M94" i="8"/>
  <c r="Q94" i="8"/>
  <c r="R94" i="8"/>
  <c r="V94" i="8"/>
  <c r="N94" i="8"/>
  <c r="S93" i="8"/>
  <c r="S286" i="8"/>
  <c r="S539" i="8"/>
  <c r="L540" i="8"/>
  <c r="K540" i="8"/>
  <c r="W737" i="8"/>
  <c r="X540" i="8"/>
  <c r="Y540" i="8"/>
  <c r="W637" i="8"/>
  <c r="J540" i="8"/>
  <c r="C540" i="8"/>
  <c r="K737" i="8"/>
  <c r="O540" i="8"/>
  <c r="P540" i="8"/>
  <c r="V540" i="8"/>
  <c r="J737" i="8"/>
  <c r="Q637" i="8"/>
  <c r="I540" i="8"/>
  <c r="G540" i="8"/>
  <c r="O737" i="8"/>
  <c r="N540" i="8"/>
  <c r="I637" i="8"/>
  <c r="N637" i="8"/>
  <c r="E637" i="8"/>
  <c r="H540" i="8"/>
  <c r="M540" i="8"/>
  <c r="F540" i="8"/>
  <c r="Q737" i="8"/>
  <c r="F737" i="8"/>
  <c r="J637" i="8"/>
  <c r="L637" i="8"/>
  <c r="T540" i="8"/>
  <c r="R637" i="8"/>
  <c r="D540" i="8"/>
  <c r="D737" i="8"/>
  <c r="R540" i="8"/>
  <c r="L737" i="8"/>
  <c r="G737" i="8"/>
  <c r="T737" i="8"/>
  <c r="X737" i="8"/>
  <c r="P737" i="8"/>
  <c r="T637" i="8"/>
  <c r="S637" i="8" s="1"/>
  <c r="W540" i="8"/>
  <c r="R737" i="8"/>
  <c r="N737" i="8"/>
  <c r="E737" i="8"/>
  <c r="B95" i="8"/>
  <c r="S187" i="8"/>
  <c r="V638" i="8"/>
  <c r="F638" i="8"/>
  <c r="N638" i="8"/>
  <c r="K638" i="8"/>
  <c r="W638" i="8"/>
  <c r="X638" i="8"/>
  <c r="Y638" i="8"/>
  <c r="T638" i="8"/>
  <c r="H638" i="8"/>
  <c r="D638" i="8"/>
  <c r="Q638" i="8"/>
  <c r="G638" i="8"/>
  <c r="M638" i="8"/>
  <c r="J638" i="8"/>
  <c r="I638" i="8"/>
  <c r="U638" i="8"/>
  <c r="C638" i="8"/>
  <c r="L638" i="8"/>
  <c r="D738" i="8"/>
  <c r="M738" i="8"/>
  <c r="W738" i="8"/>
  <c r="H738" i="8"/>
  <c r="Q738" i="8"/>
  <c r="C738" i="8"/>
  <c r="P738" i="8"/>
  <c r="K738" i="8"/>
  <c r="U738" i="8"/>
  <c r="F738" i="8"/>
  <c r="O738" i="8"/>
  <c r="Y738" i="8"/>
  <c r="J738" i="8"/>
  <c r="T738" i="8"/>
  <c r="E738" i="8"/>
  <c r="N738" i="8"/>
  <c r="X738" i="8"/>
  <c r="I738" i="8"/>
  <c r="R738" i="8"/>
  <c r="L738" i="8"/>
  <c r="V738" i="8"/>
  <c r="G738" i="8"/>
  <c r="B639" i="8"/>
  <c r="B739" i="8"/>
  <c r="E541" i="8"/>
  <c r="S287" i="8"/>
  <c r="M288" i="8"/>
  <c r="P288" i="8"/>
  <c r="L288" i="8"/>
  <c r="J288" i="8"/>
  <c r="U288" i="8"/>
  <c r="K288" i="8"/>
  <c r="X288" i="8"/>
  <c r="B289" i="8"/>
  <c r="L541" i="8"/>
  <c r="V541" i="8"/>
  <c r="T541" i="8"/>
  <c r="X541" i="8"/>
  <c r="W541" i="8"/>
  <c r="G541" i="8"/>
  <c r="H541" i="8"/>
  <c r="Q541" i="8"/>
  <c r="B542" i="8"/>
  <c r="B441" i="8"/>
  <c r="Y188" i="8"/>
  <c r="U188" i="8"/>
  <c r="X188" i="8"/>
  <c r="V188" i="8"/>
  <c r="T188" i="8"/>
  <c r="W188" i="8"/>
  <c r="I441" i="8" a="1"/>
  <c r="C95" i="8" a="1"/>
  <c r="P95" i="8" a="1"/>
  <c r="R95" i="8" a="1"/>
  <c r="U189" i="8" a="1"/>
  <c r="K95" i="8" a="1"/>
  <c r="V739" i="8" a="1"/>
  <c r="L739" i="8" a="1"/>
  <c r="W289" i="8" a="1"/>
  <c r="N289" i="8" a="1"/>
  <c r="R638" i="8" a="1"/>
  <c r="W639" i="8" a="1"/>
  <c r="F441" i="8" a="1"/>
  <c r="H95" i="8" a="1"/>
  <c r="R288" i="8" a="1"/>
  <c r="D639" i="8" a="1"/>
  <c r="E288" i="8" a="1"/>
  <c r="T189" i="8" a="1"/>
  <c r="Q441" i="8" a="1"/>
  <c r="M541" i="8" a="1"/>
  <c r="M95" i="8" a="1"/>
  <c r="P542" i="8" a="1"/>
  <c r="I739" i="8" a="1"/>
  <c r="W288" i="8" a="1"/>
  <c r="M639" i="8" a="1"/>
  <c r="E639" i="8" a="1"/>
  <c r="T289" i="8" a="1"/>
  <c r="G95" i="8" a="1"/>
  <c r="G441" i="8" a="1"/>
  <c r="Y441" i="8" a="1"/>
  <c r="K739" i="8" a="1"/>
  <c r="Y289" i="8" a="1"/>
  <c r="Q288" i="8" a="1"/>
  <c r="N441" i="8" a="1"/>
  <c r="X95" i="8" a="1"/>
  <c r="N541" i="8" a="1"/>
  <c r="E542" i="8" a="1"/>
  <c r="D441" i="8" a="1"/>
  <c r="V639" i="8" a="1"/>
  <c r="M289" i="8" a="1"/>
  <c r="O95" i="8" a="1"/>
  <c r="Y639" i="8" a="1"/>
  <c r="W95" i="8" a="1"/>
  <c r="R639" i="8" a="1"/>
  <c r="Q95" i="8" a="1"/>
  <c r="Y541" i="8" a="1"/>
  <c r="F739" i="8" a="1"/>
  <c r="J639" i="8" a="1"/>
  <c r="W189" i="8" a="1"/>
  <c r="O638" i="8" a="1"/>
  <c r="C739" i="8" a="1"/>
  <c r="K541" i="8" a="1"/>
  <c r="Y288" i="8" a="1"/>
  <c r="X639" i="8" a="1"/>
  <c r="P441" i="8" a="1"/>
  <c r="C639" i="8" a="1"/>
  <c r="U541" i="8" a="1"/>
  <c r="H289" i="8" a="1"/>
  <c r="T95" i="8" a="1"/>
  <c r="Q739" i="8" a="1"/>
  <c r="O541" i="8" a="1"/>
  <c r="C441" i="8" a="1"/>
  <c r="F289" i="8" a="1"/>
  <c r="I639" i="8" a="1"/>
  <c r="E441" i="8" a="1"/>
  <c r="Y739" i="8" a="1"/>
  <c r="X441" i="8" a="1"/>
  <c r="G542" i="8" a="1"/>
  <c r="C288" i="8" a="1"/>
  <c r="H739" i="8" a="1"/>
  <c r="L289" i="8" a="1"/>
  <c r="E638" i="8" a="1"/>
  <c r="T639" i="8" a="1"/>
  <c r="U739" i="8" a="1"/>
  <c r="R541" i="8" a="1"/>
  <c r="D288" i="8" a="1"/>
  <c r="V441" i="8" a="1"/>
  <c r="X189" i="8" a="1"/>
  <c r="K639" i="8" a="1"/>
  <c r="E95" i="8" a="1"/>
  <c r="X739" i="8" a="1"/>
  <c r="L441" i="8" a="1"/>
  <c r="T739" i="8" a="1"/>
  <c r="L95" i="8" a="1"/>
  <c r="D541" i="8" a="1"/>
  <c r="J441" i="8" a="1"/>
  <c r="P639" i="8" a="1"/>
  <c r="P541" i="8" a="1"/>
  <c r="F541" i="8" a="1"/>
  <c r="O441" i="8" a="1"/>
  <c r="M441" i="8" a="1"/>
  <c r="G639" i="8" a="1"/>
  <c r="N95" i="8" a="1"/>
  <c r="O288" i="8" a="1"/>
  <c r="I288" i="8" a="1"/>
  <c r="O739" i="8" a="1"/>
  <c r="Y95" i="8" a="1"/>
  <c r="H639" i="8" a="1"/>
  <c r="K289" i="8" a="1"/>
  <c r="F639" i="8" a="1"/>
  <c r="I541" i="8" a="1"/>
  <c r="C289" i="8" a="1"/>
  <c r="I289" i="8" a="1"/>
  <c r="P289" i="8" a="1"/>
  <c r="J739" i="8" a="1"/>
  <c r="P638" i="8" a="1"/>
  <c r="U95" i="8" a="1"/>
  <c r="P739" i="8" a="1"/>
  <c r="F288" i="8" a="1"/>
  <c r="V289" i="8" a="1"/>
  <c r="D95" i="8" a="1"/>
  <c r="V189" i="8" a="1"/>
  <c r="G739" i="8" a="1"/>
  <c r="U441" i="8" a="1"/>
  <c r="H441" i="8" a="1"/>
  <c r="N739" i="8" a="1"/>
  <c r="J541" i="8" a="1"/>
  <c r="T441" i="8" a="1"/>
  <c r="J95" i="8" a="1"/>
  <c r="F95" i="8" a="1"/>
  <c r="I95" i="8" a="1"/>
  <c r="N639" i="8" a="1"/>
  <c r="E739" i="8" a="1"/>
  <c r="U639" i="8" a="1"/>
  <c r="V542" i="8" a="1"/>
  <c r="O639" i="8" a="1"/>
  <c r="W441" i="8" a="1"/>
  <c r="Y189" i="8" a="1"/>
  <c r="M739" i="8" a="1"/>
  <c r="T288" i="8" a="1"/>
  <c r="G288" i="8" a="1"/>
  <c r="R441" i="8" a="1"/>
  <c r="V95" i="8" a="1"/>
  <c r="D739" i="8" a="1"/>
  <c r="Q639" i="8" a="1"/>
  <c r="N288" i="8" a="1"/>
  <c r="V288" i="8" a="1"/>
  <c r="K441" i="8" a="1"/>
  <c r="H288" i="8" a="1"/>
  <c r="X289" i="8" a="1"/>
  <c r="C541" i="8" a="1"/>
  <c r="D95" i="8" l="1"/>
  <c r="H95" i="8"/>
  <c r="L95" i="8"/>
  <c r="P95" i="8"/>
  <c r="U95" i="8"/>
  <c r="Y95" i="8"/>
  <c r="E95" i="8"/>
  <c r="I95" i="8"/>
  <c r="M95" i="8"/>
  <c r="Q95" i="8"/>
  <c r="V95" i="8"/>
  <c r="T95" i="8"/>
  <c r="F95" i="8"/>
  <c r="J95" i="8"/>
  <c r="N95" i="8"/>
  <c r="R95" i="8"/>
  <c r="W95" i="8"/>
  <c r="C95" i="8"/>
  <c r="G95" i="8"/>
  <c r="K95" i="8"/>
  <c r="O95" i="8"/>
  <c r="X95" i="8"/>
  <c r="V441" i="8"/>
  <c r="F441" i="8"/>
  <c r="J441" i="8"/>
  <c r="N441" i="8"/>
  <c r="R441" i="8"/>
  <c r="W441" i="8"/>
  <c r="D441" i="8"/>
  <c r="C441" i="8"/>
  <c r="G441" i="8"/>
  <c r="K441" i="8"/>
  <c r="O441" i="8"/>
  <c r="T441" i="8"/>
  <c r="X441" i="8"/>
  <c r="L441" i="8"/>
  <c r="U441" i="8"/>
  <c r="Y441" i="8"/>
  <c r="E441" i="8"/>
  <c r="I441" i="8"/>
  <c r="M441" i="8"/>
  <c r="Q441" i="8"/>
  <c r="H441" i="8"/>
  <c r="P441" i="8"/>
  <c r="S94" i="8"/>
  <c r="S440" i="8"/>
  <c r="S737" i="8"/>
  <c r="S540" i="8"/>
  <c r="F288" i="8"/>
  <c r="N541" i="8"/>
  <c r="N288" i="8"/>
  <c r="F541" i="8"/>
  <c r="C541" i="8"/>
  <c r="R288" i="8"/>
  <c r="Q288" i="8"/>
  <c r="W288" i="8"/>
  <c r="M541" i="8"/>
  <c r="T288" i="8"/>
  <c r="E288" i="8"/>
  <c r="H288" i="8"/>
  <c r="E638" i="8"/>
  <c r="V288" i="8"/>
  <c r="P541" i="8"/>
  <c r="O541" i="8"/>
  <c r="P638" i="8"/>
  <c r="K541" i="8"/>
  <c r="J541" i="8"/>
  <c r="R638" i="8"/>
  <c r="D288" i="8"/>
  <c r="O288" i="8"/>
  <c r="O638" i="8"/>
  <c r="I288" i="8"/>
  <c r="I541" i="8"/>
  <c r="U541" i="8"/>
  <c r="C288" i="8"/>
  <c r="Y288" i="8"/>
  <c r="G288" i="8"/>
  <c r="D541" i="8"/>
  <c r="Y541" i="8"/>
  <c r="R541" i="8"/>
  <c r="B96" i="8"/>
  <c r="S188" i="8"/>
  <c r="S638" i="8"/>
  <c r="S738" i="8"/>
  <c r="E739" i="8"/>
  <c r="N739" i="8"/>
  <c r="X739" i="8"/>
  <c r="I739" i="8"/>
  <c r="C739" i="8"/>
  <c r="V739" i="8"/>
  <c r="G739" i="8"/>
  <c r="D739" i="8"/>
  <c r="K739" i="8"/>
  <c r="H739" i="8"/>
  <c r="M739" i="8"/>
  <c r="Q739" i="8"/>
  <c r="U739" i="8"/>
  <c r="F739" i="8"/>
  <c r="O739" i="8"/>
  <c r="L739" i="8"/>
  <c r="P739" i="8"/>
  <c r="Y739" i="8"/>
  <c r="J739" i="8"/>
  <c r="T739" i="8"/>
  <c r="I639" i="8"/>
  <c r="F639" i="8"/>
  <c r="R639" i="8"/>
  <c r="O639" i="8"/>
  <c r="T639" i="8"/>
  <c r="W639" i="8"/>
  <c r="Y639" i="8"/>
  <c r="J639" i="8"/>
  <c r="X639" i="8"/>
  <c r="H639" i="8"/>
  <c r="K639" i="8"/>
  <c r="D639" i="8"/>
  <c r="E639" i="8"/>
  <c r="P639" i="8"/>
  <c r="M639" i="8"/>
  <c r="N639" i="8"/>
  <c r="U639" i="8"/>
  <c r="C639" i="8"/>
  <c r="G639" i="8"/>
  <c r="V639" i="8"/>
  <c r="Q639" i="8"/>
  <c r="B740" i="8"/>
  <c r="B640" i="8"/>
  <c r="E542" i="8"/>
  <c r="S541" i="8"/>
  <c r="F289" i="8"/>
  <c r="I289" i="8"/>
  <c r="L289" i="8"/>
  <c r="W289" i="8"/>
  <c r="M289" i="8"/>
  <c r="P289" i="8"/>
  <c r="V289" i="8"/>
  <c r="Y289" i="8"/>
  <c r="N289" i="8"/>
  <c r="C289" i="8"/>
  <c r="T289" i="8"/>
  <c r="K289" i="8"/>
  <c r="H289" i="8"/>
  <c r="X289" i="8"/>
  <c r="B290" i="8"/>
  <c r="G542" i="8"/>
  <c r="P542" i="8"/>
  <c r="V542" i="8"/>
  <c r="B543" i="8"/>
  <c r="B442" i="8"/>
  <c r="X189" i="8"/>
  <c r="T189" i="8"/>
  <c r="W189" i="8"/>
  <c r="V189" i="8"/>
  <c r="Y189" i="8"/>
  <c r="U189" i="8"/>
  <c r="H640" i="8" a="1"/>
  <c r="J289" i="8" a="1"/>
  <c r="P96" i="8" a="1"/>
  <c r="N543" i="8" a="1"/>
  <c r="Q289" i="8" a="1"/>
  <c r="X542" i="8" a="1"/>
  <c r="O289" i="8" a="1"/>
  <c r="L640" i="8" a="1"/>
  <c r="J640" i="8" a="1"/>
  <c r="U542" i="8" a="1"/>
  <c r="R442" i="8" a="1"/>
  <c r="L740" i="8" a="1"/>
  <c r="W739" i="8" a="1"/>
  <c r="T542" i="8" a="1"/>
  <c r="O640" i="8" a="1"/>
  <c r="H542" i="8" a="1"/>
  <c r="T740" i="8" a="1"/>
  <c r="U289" i="8" a="1"/>
  <c r="I442" i="8" a="1"/>
  <c r="R739" i="8" a="1"/>
  <c r="J290" i="8" a="1"/>
  <c r="D290" i="8" a="1"/>
  <c r="J96" i="8" a="1"/>
  <c r="H290" i="8" a="1"/>
  <c r="X190" i="8" a="1"/>
  <c r="C542" i="8" a="1"/>
  <c r="L543" i="8" a="1"/>
  <c r="E543" i="8" a="1"/>
  <c r="K740" i="8" a="1"/>
  <c r="M96" i="8" a="1"/>
  <c r="O96" i="8" a="1"/>
  <c r="P740" i="8" a="1"/>
  <c r="X442" i="8" a="1"/>
  <c r="D442" i="8" a="1"/>
  <c r="W190" i="8" a="1"/>
  <c r="C96" i="8" a="1"/>
  <c r="X543" i="8" a="1"/>
  <c r="X640" i="8" a="1"/>
  <c r="M740" i="8" a="1"/>
  <c r="Q442" i="8" a="1"/>
  <c r="V543" i="8" a="1"/>
  <c r="G740" i="8" a="1"/>
  <c r="M290" i="8" a="1"/>
  <c r="K442" i="8" a="1"/>
  <c r="N96" i="8" a="1"/>
  <c r="C543" i="8" a="1"/>
  <c r="N442" i="8" a="1"/>
  <c r="Q640" i="8" a="1"/>
  <c r="J542" i="8" a="1"/>
  <c r="C640" i="8" a="1"/>
  <c r="I96" i="8" a="1"/>
  <c r="H442" i="8" a="1"/>
  <c r="D96" i="8" a="1"/>
  <c r="I740" i="8" a="1"/>
  <c r="P640" i="8" a="1"/>
  <c r="R640" i="8" a="1"/>
  <c r="O290" i="8" a="1"/>
  <c r="W442" i="8" a="1"/>
  <c r="O442" i="8" a="1"/>
  <c r="F290" i="8" a="1"/>
  <c r="K542" i="8" a="1"/>
  <c r="F442" i="8" a="1"/>
  <c r="F543" i="8" a="1"/>
  <c r="G96" i="8" a="1"/>
  <c r="E289" i="8" a="1"/>
  <c r="H96" i="8" a="1"/>
  <c r="K96" i="8" a="1"/>
  <c r="R289" i="8" a="1"/>
  <c r="U543" i="8" a="1"/>
  <c r="E96" i="8" a="1"/>
  <c r="W640" i="8" a="1"/>
  <c r="E640" i="8" a="1"/>
  <c r="Y290" i="8" a="1"/>
  <c r="W542" i="8" a="1"/>
  <c r="M640" i="8" a="1"/>
  <c r="P442" i="8" a="1"/>
  <c r="U740" i="8" a="1"/>
  <c r="V190" i="8" a="1"/>
  <c r="E740" i="8" a="1"/>
  <c r="R542" i="8" a="1"/>
  <c r="R290" i="8" a="1"/>
  <c r="Y442" i="8" a="1"/>
  <c r="N640" i="8" a="1"/>
  <c r="G543" i="8" a="1"/>
  <c r="F740" i="8" a="1"/>
  <c r="D289" i="8" a="1"/>
  <c r="G289" i="8" a="1"/>
  <c r="W543" i="8" a="1"/>
  <c r="J740" i="8" a="1"/>
  <c r="Q290" i="8" a="1"/>
  <c r="X740" i="8" a="1"/>
  <c r="Q740" i="8" a="1"/>
  <c r="U442" i="8" a="1"/>
  <c r="C442" i="8" a="1"/>
  <c r="V740" i="8" a="1"/>
  <c r="N740" i="8" a="1"/>
  <c r="Y640" i="8" a="1"/>
  <c r="R740" i="8" a="1"/>
  <c r="O542" i="8" a="1"/>
  <c r="O740" i="8" a="1"/>
  <c r="L442" i="8" a="1"/>
  <c r="J442" i="8" a="1"/>
  <c r="L96" i="8" a="1"/>
  <c r="F96" i="8" a="1"/>
  <c r="F542" i="8" a="1"/>
  <c r="U640" i="8" a="1"/>
  <c r="I640" i="8" a="1"/>
  <c r="Q543" i="8" a="1"/>
  <c r="L639" i="8" a="1"/>
  <c r="W740" i="8" a="1"/>
  <c r="Y542" i="8" a="1"/>
  <c r="V640" i="8" a="1"/>
  <c r="M442" i="8" a="1"/>
  <c r="V442" i="8" a="1"/>
  <c r="R543" i="8" a="1"/>
  <c r="F640" i="8" a="1"/>
  <c r="Y190" i="8" a="1"/>
  <c r="R96" i="8" a="1"/>
  <c r="K640" i="8" a="1"/>
  <c r="V290" i="8" a="1"/>
  <c r="G442" i="8" a="1"/>
  <c r="D640" i="8" a="1"/>
  <c r="E290" i="8" a="1"/>
  <c r="L542" i="8" a="1"/>
  <c r="Q542" i="8" a="1"/>
  <c r="T190" i="8" a="1"/>
  <c r="Y543" i="8" a="1"/>
  <c r="K543" i="8" a="1"/>
  <c r="M543" i="8" a="1"/>
  <c r="T543" i="8" a="1"/>
  <c r="Q96" i="8" a="1"/>
  <c r="N542" i="8" a="1"/>
  <c r="D740" i="8" a="1"/>
  <c r="M542" i="8" a="1"/>
  <c r="U190" i="8" a="1"/>
  <c r="D542" i="8" a="1"/>
  <c r="T640" i="8" a="1"/>
  <c r="T442" i="8" a="1"/>
  <c r="E442" i="8" a="1"/>
  <c r="I542" i="8" a="1"/>
  <c r="I290" i="8" a="1"/>
  <c r="C740" i="8" a="1"/>
  <c r="G640" i="8" a="1"/>
  <c r="H740" i="8" a="1"/>
  <c r="Y740" i="8" a="1"/>
  <c r="S95" i="8" l="1"/>
  <c r="C442" i="8"/>
  <c r="G442" i="8"/>
  <c r="K442" i="8"/>
  <c r="O442" i="8"/>
  <c r="T442" i="8"/>
  <c r="X442" i="8"/>
  <c r="D442" i="8"/>
  <c r="H442" i="8"/>
  <c r="L442" i="8"/>
  <c r="P442" i="8"/>
  <c r="U442" i="8"/>
  <c r="Y442" i="8"/>
  <c r="E442" i="8"/>
  <c r="I442" i="8"/>
  <c r="M442" i="8"/>
  <c r="Q442" i="8"/>
  <c r="F442" i="8"/>
  <c r="J442" i="8"/>
  <c r="N442" i="8"/>
  <c r="R442" i="8"/>
  <c r="W442" i="8"/>
  <c r="V442" i="8"/>
  <c r="S441" i="8"/>
  <c r="F96" i="8"/>
  <c r="J96" i="8"/>
  <c r="N96" i="8"/>
  <c r="R96" i="8"/>
  <c r="C96" i="8"/>
  <c r="G96" i="8"/>
  <c r="K96" i="8"/>
  <c r="O96" i="8"/>
  <c r="D96" i="8"/>
  <c r="H96" i="8"/>
  <c r="L96" i="8"/>
  <c r="P96" i="8"/>
  <c r="M96" i="8"/>
  <c r="E96" i="8"/>
  <c r="I96" i="8"/>
  <c r="Q96" i="8"/>
  <c r="S288" i="8"/>
  <c r="F542" i="8"/>
  <c r="R542" i="8"/>
  <c r="O542" i="8"/>
  <c r="U542" i="8"/>
  <c r="H542" i="8"/>
  <c r="L639" i="8"/>
  <c r="G289" i="8"/>
  <c r="Y542" i="8"/>
  <c r="C542" i="8"/>
  <c r="X542" i="8"/>
  <c r="Q542" i="8"/>
  <c r="R289" i="8"/>
  <c r="I542" i="8"/>
  <c r="M542" i="8"/>
  <c r="J289" i="8"/>
  <c r="E289" i="8"/>
  <c r="K542" i="8"/>
  <c r="R739" i="8"/>
  <c r="U289" i="8"/>
  <c r="Q289" i="8"/>
  <c r="D542" i="8"/>
  <c r="J542" i="8"/>
  <c r="D289" i="8"/>
  <c r="L542" i="8"/>
  <c r="N542" i="8"/>
  <c r="W542" i="8"/>
  <c r="O289" i="8"/>
  <c r="W739" i="8"/>
  <c r="T542" i="8"/>
  <c r="B97" i="8"/>
  <c r="S189" i="8"/>
  <c r="S739" i="8"/>
  <c r="F740" i="8"/>
  <c r="O740" i="8"/>
  <c r="Y740" i="8"/>
  <c r="J740" i="8"/>
  <c r="T740" i="8"/>
  <c r="Q740" i="8"/>
  <c r="C740" i="8"/>
  <c r="N740" i="8"/>
  <c r="X740" i="8"/>
  <c r="M740" i="8"/>
  <c r="R740" i="8"/>
  <c r="D740" i="8"/>
  <c r="E740" i="8"/>
  <c r="L740" i="8"/>
  <c r="W740" i="8"/>
  <c r="H740" i="8"/>
  <c r="I740" i="8"/>
  <c r="V740" i="8"/>
  <c r="G740" i="8"/>
  <c r="P740" i="8"/>
  <c r="K740" i="8"/>
  <c r="U740" i="8"/>
  <c r="D640" i="8"/>
  <c r="I640" i="8"/>
  <c r="W640" i="8"/>
  <c r="X640" i="8"/>
  <c r="V640" i="8"/>
  <c r="L640" i="8"/>
  <c r="G640" i="8"/>
  <c r="F640" i="8"/>
  <c r="P640" i="8"/>
  <c r="E640" i="8"/>
  <c r="O640" i="8"/>
  <c r="K640" i="8"/>
  <c r="J640" i="8"/>
  <c r="T640" i="8"/>
  <c r="H640" i="8"/>
  <c r="N640" i="8"/>
  <c r="C640" i="8"/>
  <c r="M640" i="8"/>
  <c r="R640" i="8"/>
  <c r="Y640" i="8"/>
  <c r="Q640" i="8"/>
  <c r="U640" i="8"/>
  <c r="S639" i="8"/>
  <c r="B741" i="8"/>
  <c r="B641" i="8"/>
  <c r="E543" i="8"/>
  <c r="S289" i="8"/>
  <c r="E290" i="8"/>
  <c r="J290" i="8"/>
  <c r="V290" i="8"/>
  <c r="F290" i="8"/>
  <c r="D290" i="8"/>
  <c r="M290" i="8"/>
  <c r="I290" i="8"/>
  <c r="R290" i="8"/>
  <c r="H290" i="8"/>
  <c r="O290" i="8"/>
  <c r="Q290" i="8"/>
  <c r="Y290" i="8"/>
  <c r="B291" i="8"/>
  <c r="U543" i="8"/>
  <c r="F543" i="8"/>
  <c r="X543" i="8"/>
  <c r="Y543" i="8"/>
  <c r="W543" i="8"/>
  <c r="N543" i="8"/>
  <c r="R543" i="8"/>
  <c r="V543" i="8"/>
  <c r="L543" i="8"/>
  <c r="T543" i="8"/>
  <c r="C543" i="8"/>
  <c r="M543" i="8"/>
  <c r="G543" i="8"/>
  <c r="Q543" i="8"/>
  <c r="K543" i="8"/>
  <c r="B544" i="8"/>
  <c r="B443" i="8"/>
  <c r="Y190" i="8"/>
  <c r="T190" i="8"/>
  <c r="V190" i="8"/>
  <c r="X190" i="8"/>
  <c r="U190" i="8"/>
  <c r="W190" i="8"/>
  <c r="Y741" i="8" a="1"/>
  <c r="K290" i="8" a="1"/>
  <c r="J641" i="8" a="1"/>
  <c r="V544" i="8" a="1"/>
  <c r="F443" i="8" a="1"/>
  <c r="P97" i="8" a="1"/>
  <c r="Q641" i="8" a="1"/>
  <c r="Y443" i="8" a="1"/>
  <c r="U191" i="8" a="1"/>
  <c r="O543" i="8" a="1"/>
  <c r="D641" i="8" a="1"/>
  <c r="W290" i="8" a="1"/>
  <c r="R97" i="8" a="1"/>
  <c r="G97" i="8" a="1"/>
  <c r="O291" i="8" a="1"/>
  <c r="F641" i="8" a="1"/>
  <c r="K443" i="8" a="1"/>
  <c r="D543" i="8" a="1"/>
  <c r="H641" i="8" a="1"/>
  <c r="T191" i="8" a="1"/>
  <c r="W741" i="8" a="1"/>
  <c r="C544" i="8" a="1"/>
  <c r="E741" i="8" a="1"/>
  <c r="P291" i="8" a="1"/>
  <c r="M97" i="8" a="1"/>
  <c r="L741" i="8" a="1"/>
  <c r="G741" i="8" a="1"/>
  <c r="X443" i="8" a="1"/>
  <c r="J291" i="8" a="1"/>
  <c r="L443" i="8" a="1"/>
  <c r="C291" i="8" a="1"/>
  <c r="N443" i="8" a="1"/>
  <c r="P443" i="8" a="1"/>
  <c r="R741" i="8" a="1"/>
  <c r="C641" i="8" a="1"/>
  <c r="D443" i="8" a="1"/>
  <c r="J443" i="8" a="1"/>
  <c r="V741" i="8" a="1"/>
  <c r="X544" i="8" a="1"/>
  <c r="G641" i="8" a="1"/>
  <c r="I544" i="8" a="1"/>
  <c r="Y544" i="8" a="1"/>
  <c r="Q291" i="8" a="1"/>
  <c r="M443" i="8" a="1"/>
  <c r="P641" i="8" a="1"/>
  <c r="H443" i="8" a="1"/>
  <c r="P290" i="8" a="1"/>
  <c r="E97" i="8" a="1"/>
  <c r="W443" i="8" a="1"/>
  <c r="O97" i="8" a="1"/>
  <c r="M641" i="8" a="1"/>
  <c r="Y191" i="8" a="1"/>
  <c r="E291" i="8" a="1"/>
  <c r="L97" i="8" a="1"/>
  <c r="N641" i="8" a="1"/>
  <c r="H544" i="8" a="1"/>
  <c r="I641" i="8" a="1"/>
  <c r="V443" i="8" a="1"/>
  <c r="D97" i="8" a="1"/>
  <c r="D544" i="8" a="1"/>
  <c r="C97" i="8" a="1"/>
  <c r="N291" i="8" a="1"/>
  <c r="U290" i="8" a="1"/>
  <c r="T741" i="8" a="1"/>
  <c r="X291" i="8" a="1"/>
  <c r="N741" i="8" a="1"/>
  <c r="M291" i="8" a="1"/>
  <c r="T544" i="8" a="1"/>
  <c r="H741" i="8" a="1"/>
  <c r="Q741" i="8" a="1"/>
  <c r="T443" i="8" a="1"/>
  <c r="J97" i="8" a="1"/>
  <c r="D291" i="8" a="1"/>
  <c r="I443" i="8" a="1"/>
  <c r="K741" i="8" a="1"/>
  <c r="U544" i="8" a="1"/>
  <c r="I741" i="8" a="1"/>
  <c r="I543" i="8" a="1"/>
  <c r="L544" i="8" a="1"/>
  <c r="W641" i="8" a="1"/>
  <c r="T290" i="8" a="1"/>
  <c r="G290" i="8" a="1"/>
  <c r="X191" i="8" a="1"/>
  <c r="L291" i="8" a="1"/>
  <c r="J543" i="8" a="1"/>
  <c r="G443" i="8" a="1"/>
  <c r="X741" i="8" a="1"/>
  <c r="O443" i="8" a="1"/>
  <c r="F291" i="8" a="1"/>
  <c r="W291" i="8" a="1"/>
  <c r="Q97" i="8" a="1"/>
  <c r="P741" i="8" a="1"/>
  <c r="O544" i="8" a="1"/>
  <c r="U443" i="8" a="1"/>
  <c r="C290" i="8" a="1"/>
  <c r="I97" i="8" a="1"/>
  <c r="K97" i="8" a="1"/>
  <c r="C741" i="8" a="1"/>
  <c r="V191" i="8" a="1"/>
  <c r="T291" i="8" a="1"/>
  <c r="N290" i="8" a="1"/>
  <c r="E443" i="8" a="1"/>
  <c r="F741" i="8" a="1"/>
  <c r="N97" i="8" a="1"/>
  <c r="F97" i="8" a="1"/>
  <c r="P543" i="8" a="1"/>
  <c r="X290" i="8" a="1"/>
  <c r="C443" i="8" a="1"/>
  <c r="V641" i="8" a="1"/>
  <c r="L290" i="8" a="1"/>
  <c r="X641" i="8" a="1"/>
  <c r="K641" i="8" a="1"/>
  <c r="Y641" i="8" a="1"/>
  <c r="H543" i="8" a="1"/>
  <c r="W191" i="8" a="1"/>
  <c r="Q443" i="8" a="1"/>
  <c r="O741" i="8" a="1"/>
  <c r="E544" i="8" a="1"/>
  <c r="L641" i="8" a="1"/>
  <c r="T641" i="8" a="1"/>
  <c r="D741" i="8" a="1"/>
  <c r="V291" i="8" a="1"/>
  <c r="E641" i="8" a="1"/>
  <c r="U291" i="8" a="1"/>
  <c r="R641" i="8" a="1"/>
  <c r="J741" i="8" a="1"/>
  <c r="R291" i="8" a="1"/>
  <c r="M741" i="8" a="1"/>
  <c r="G291" i="8" a="1"/>
  <c r="F544" i="8" a="1"/>
  <c r="H97" i="8" a="1"/>
  <c r="U641" i="8" a="1"/>
  <c r="U741" i="8" a="1"/>
  <c r="K291" i="8" a="1"/>
  <c r="O641" i="8" a="1"/>
  <c r="R443" i="8" a="1"/>
  <c r="H291" i="8" a="1"/>
  <c r="U443" i="8" l="1"/>
  <c r="Y443" i="8"/>
  <c r="E443" i="8"/>
  <c r="I443" i="8"/>
  <c r="M443" i="8"/>
  <c r="Q443" i="8"/>
  <c r="V443" i="8"/>
  <c r="F443" i="8"/>
  <c r="J443" i="8"/>
  <c r="N443" i="8"/>
  <c r="R443" i="8"/>
  <c r="W443" i="8"/>
  <c r="T443" i="8"/>
  <c r="X443" i="8"/>
  <c r="D443" i="8"/>
  <c r="H443" i="8"/>
  <c r="L443" i="8"/>
  <c r="P443" i="8"/>
  <c r="G443" i="8"/>
  <c r="K443" i="8"/>
  <c r="O443" i="8"/>
  <c r="C443" i="8"/>
  <c r="S442" i="8"/>
  <c r="S542" i="8"/>
  <c r="T290" i="8"/>
  <c r="O543" i="8"/>
  <c r="D543" i="8"/>
  <c r="J543" i="8"/>
  <c r="G290" i="8"/>
  <c r="W290" i="8"/>
  <c r="X290" i="8"/>
  <c r="H543" i="8"/>
  <c r="P543" i="8"/>
  <c r="N290" i="8"/>
  <c r="C290" i="8"/>
  <c r="I543" i="8"/>
  <c r="L290" i="8"/>
  <c r="K290" i="8"/>
  <c r="P290" i="8"/>
  <c r="U290" i="8"/>
  <c r="R97" i="8"/>
  <c r="G97" i="8"/>
  <c r="I97" i="8"/>
  <c r="N97" i="8"/>
  <c r="M97" i="8"/>
  <c r="P97" i="8"/>
  <c r="F97" i="8"/>
  <c r="Q97" i="8"/>
  <c r="D97" i="8"/>
  <c r="L97" i="8"/>
  <c r="O97" i="8"/>
  <c r="K97" i="8"/>
  <c r="J97" i="8"/>
  <c r="C97" i="8"/>
  <c r="E97" i="8"/>
  <c r="H97" i="8"/>
  <c r="B98" i="8"/>
  <c r="S190" i="8"/>
  <c r="S640" i="8"/>
  <c r="S740" i="8"/>
  <c r="D641" i="8"/>
  <c r="M641" i="8"/>
  <c r="C641" i="8"/>
  <c r="H641" i="8"/>
  <c r="Q641" i="8"/>
  <c r="G641" i="8"/>
  <c r="L641" i="8"/>
  <c r="T641" i="8"/>
  <c r="R641" i="8"/>
  <c r="X641" i="8"/>
  <c r="E641" i="8"/>
  <c r="V641" i="8"/>
  <c r="I641" i="8"/>
  <c r="F641" i="8"/>
  <c r="K641" i="8"/>
  <c r="P641" i="8"/>
  <c r="J641" i="8"/>
  <c r="O641" i="8"/>
  <c r="U641" i="8"/>
  <c r="N641" i="8"/>
  <c r="Y641" i="8"/>
  <c r="W641" i="8"/>
  <c r="G741" i="8"/>
  <c r="P741" i="8"/>
  <c r="O741" i="8"/>
  <c r="T741" i="8"/>
  <c r="E741" i="8"/>
  <c r="F741" i="8"/>
  <c r="X741" i="8"/>
  <c r="I741" i="8"/>
  <c r="J741" i="8"/>
  <c r="D741" i="8"/>
  <c r="M741" i="8"/>
  <c r="W741" i="8"/>
  <c r="H741" i="8"/>
  <c r="Q741" i="8"/>
  <c r="U741" i="8"/>
  <c r="Y741" i="8"/>
  <c r="C741" i="8"/>
  <c r="L741" i="8"/>
  <c r="V741" i="8"/>
  <c r="K741" i="8"/>
  <c r="N741" i="8"/>
  <c r="R741" i="8"/>
  <c r="B642" i="8"/>
  <c r="B742" i="8"/>
  <c r="E544" i="8"/>
  <c r="S543" i="8"/>
  <c r="E291" i="8"/>
  <c r="L291" i="8"/>
  <c r="C291" i="8"/>
  <c r="V291" i="8"/>
  <c r="T291" i="8"/>
  <c r="H291" i="8"/>
  <c r="G291" i="8"/>
  <c r="M291" i="8"/>
  <c r="K291" i="8"/>
  <c r="U291" i="8"/>
  <c r="P291" i="8"/>
  <c r="W291" i="8"/>
  <c r="Q291" i="8"/>
  <c r="O291" i="8"/>
  <c r="F291" i="8"/>
  <c r="R291" i="8"/>
  <c r="J291" i="8"/>
  <c r="X291" i="8"/>
  <c r="N291" i="8"/>
  <c r="D291" i="8"/>
  <c r="B292" i="8"/>
  <c r="H544" i="8"/>
  <c r="Y544" i="8"/>
  <c r="D544" i="8"/>
  <c r="O544" i="8"/>
  <c r="I544" i="8"/>
  <c r="F544" i="8"/>
  <c r="T544" i="8"/>
  <c r="X544" i="8"/>
  <c r="C544" i="8"/>
  <c r="V544" i="8"/>
  <c r="L544" i="8"/>
  <c r="U544" i="8"/>
  <c r="B545" i="8"/>
  <c r="B444" i="8"/>
  <c r="Y191" i="8"/>
  <c r="W191" i="8"/>
  <c r="T191" i="8"/>
  <c r="V191" i="8"/>
  <c r="X191" i="8"/>
  <c r="U191" i="8"/>
  <c r="F742" i="8" a="1"/>
  <c r="D742" i="8" a="1"/>
  <c r="L742" i="8" a="1"/>
  <c r="H98" i="8" a="1"/>
  <c r="Q544" i="8" a="1"/>
  <c r="D98" i="8" a="1"/>
  <c r="P544" i="8" a="1"/>
  <c r="N642" i="8" a="1"/>
  <c r="Y742" i="8" a="1"/>
  <c r="P98" i="8" a="1"/>
  <c r="L444" i="8" a="1"/>
  <c r="M444" i="8" a="1"/>
  <c r="V642" i="8" a="1"/>
  <c r="Q444" i="8" a="1"/>
  <c r="U742" i="8" a="1"/>
  <c r="G544" i="8" a="1"/>
  <c r="U444" i="8" a="1"/>
  <c r="T444" i="8" a="1"/>
  <c r="F444" i="8" a="1"/>
  <c r="Y444" i="8" a="1"/>
  <c r="G642" i="8" a="1"/>
  <c r="K444" i="8" a="1"/>
  <c r="U642" i="8" a="1"/>
  <c r="O742" i="8" a="1"/>
  <c r="P545" i="8" a="1"/>
  <c r="W742" i="8" a="1"/>
  <c r="K642" i="8" a="1"/>
  <c r="H742" i="8" a="1"/>
  <c r="L98" i="8" a="1"/>
  <c r="R444" i="8" a="1"/>
  <c r="T292" i="8" a="1"/>
  <c r="I444" i="8" a="1"/>
  <c r="N444" i="8" a="1"/>
  <c r="C98" i="8" a="1"/>
  <c r="Y291" i="8" a="1"/>
  <c r="Y545" i="8" a="1"/>
  <c r="H292" i="8" a="1"/>
  <c r="G444" i="8" a="1"/>
  <c r="O292" i="8" a="1"/>
  <c r="I642" i="8" a="1"/>
  <c r="C742" i="8" a="1"/>
  <c r="Y642" i="8" a="1"/>
  <c r="V742" i="8" a="1"/>
  <c r="I545" i="8" a="1"/>
  <c r="P742" i="8" a="1"/>
  <c r="M98" i="8" a="1"/>
  <c r="P642" i="8" a="1"/>
  <c r="E642" i="8" a="1"/>
  <c r="C444" i="8" a="1"/>
  <c r="X742" i="8" a="1"/>
  <c r="M742" i="8" a="1"/>
  <c r="F98" i="8" a="1"/>
  <c r="W544" i="8" a="1"/>
  <c r="J742" i="8" a="1"/>
  <c r="X192" i="8" a="1"/>
  <c r="X642" i="8" a="1"/>
  <c r="O98" i="8" a="1"/>
  <c r="T192" i="8" a="1"/>
  <c r="N545" i="8" a="1"/>
  <c r="T642" i="8" a="1"/>
  <c r="U292" i="8" a="1"/>
  <c r="K98" i="8" a="1"/>
  <c r="W642" i="8" a="1"/>
  <c r="J444" i="8" a="1"/>
  <c r="I742" i="8" a="1"/>
  <c r="E98" i="8" a="1"/>
  <c r="E292" i="8" a="1"/>
  <c r="N742" i="8" a="1"/>
  <c r="H642" i="8" a="1"/>
  <c r="G98" i="8" a="1"/>
  <c r="X444" i="8" a="1"/>
  <c r="Q742" i="8" a="1"/>
  <c r="O642" i="8" a="1"/>
  <c r="J98" i="8" a="1"/>
  <c r="R544" i="8" a="1"/>
  <c r="W444" i="8" a="1"/>
  <c r="D545" i="8" a="1"/>
  <c r="E444" i="8" a="1"/>
  <c r="D444" i="8" a="1"/>
  <c r="M642" i="8" a="1"/>
  <c r="Q292" i="8" a="1"/>
  <c r="Q98" i="8" a="1"/>
  <c r="N544" i="8" a="1"/>
  <c r="D292" i="8" a="1"/>
  <c r="J545" i="8" a="1"/>
  <c r="U545" i="8" a="1"/>
  <c r="E742" i="8" a="1"/>
  <c r="M292" i="8" a="1"/>
  <c r="W192" i="8" a="1"/>
  <c r="F545" i="8" a="1"/>
  <c r="M544" i="8" a="1"/>
  <c r="R742" i="8" a="1"/>
  <c r="V192" i="8" a="1"/>
  <c r="I98" i="8" a="1"/>
  <c r="G742" i="8" a="1"/>
  <c r="T742" i="8" a="1"/>
  <c r="Q642" i="8" a="1"/>
  <c r="O444" i="8" a="1"/>
  <c r="K544" i="8" a="1"/>
  <c r="K742" i="8" a="1"/>
  <c r="E545" i="8" a="1"/>
  <c r="H444" i="8" a="1"/>
  <c r="J544" i="8" a="1"/>
  <c r="C642" i="8" a="1"/>
  <c r="F292" i="8" a="1"/>
  <c r="U192" i="8" a="1"/>
  <c r="V444" i="8" a="1"/>
  <c r="H545" i="8" a="1"/>
  <c r="N98" i="8" a="1"/>
  <c r="I291" i="8" a="1"/>
  <c r="R98" i="8" a="1"/>
  <c r="P444" i="8" a="1"/>
  <c r="Y192" i="8" a="1"/>
  <c r="S443" i="8" l="1"/>
  <c r="F444" i="8"/>
  <c r="J444" i="8"/>
  <c r="N444" i="8"/>
  <c r="R444" i="8"/>
  <c r="W444" i="8"/>
  <c r="C444" i="8"/>
  <c r="G444" i="8"/>
  <c r="K444" i="8"/>
  <c r="O444" i="8"/>
  <c r="T444" i="8"/>
  <c r="X444" i="8"/>
  <c r="D444" i="8"/>
  <c r="H444" i="8"/>
  <c r="L444" i="8"/>
  <c r="P444" i="8"/>
  <c r="E444" i="8"/>
  <c r="I444" i="8"/>
  <c r="M444" i="8"/>
  <c r="Q444" i="8"/>
  <c r="V444" i="8"/>
  <c r="U444" i="8"/>
  <c r="Y444" i="8"/>
  <c r="S290" i="8"/>
  <c r="N544" i="8"/>
  <c r="R544" i="8"/>
  <c r="J544" i="8"/>
  <c r="P544" i="8"/>
  <c r="M544" i="8"/>
  <c r="K544" i="8"/>
  <c r="W544" i="8"/>
  <c r="Y291" i="8"/>
  <c r="I291" i="8"/>
  <c r="G544" i="8"/>
  <c r="Q544" i="8"/>
  <c r="N98" i="8"/>
  <c r="J98" i="8"/>
  <c r="L98" i="8"/>
  <c r="P98" i="8"/>
  <c r="H98" i="8"/>
  <c r="I98" i="8"/>
  <c r="C98" i="8"/>
  <c r="K98" i="8"/>
  <c r="R98" i="8"/>
  <c r="Q98" i="8"/>
  <c r="M98" i="8"/>
  <c r="F98" i="8"/>
  <c r="G98" i="8"/>
  <c r="O98" i="8"/>
  <c r="D98" i="8"/>
  <c r="E98" i="8"/>
  <c r="B99" i="8"/>
  <c r="S191" i="8"/>
  <c r="K642" i="8"/>
  <c r="O642" i="8"/>
  <c r="Y642" i="8"/>
  <c r="T642" i="8"/>
  <c r="E642" i="8"/>
  <c r="X642" i="8"/>
  <c r="I642" i="8"/>
  <c r="N642" i="8"/>
  <c r="M642" i="8"/>
  <c r="Q642" i="8"/>
  <c r="H642" i="8"/>
  <c r="C642" i="8"/>
  <c r="W642" i="8"/>
  <c r="G642" i="8"/>
  <c r="P642" i="8"/>
  <c r="V642" i="8"/>
  <c r="U642" i="8"/>
  <c r="X742" i="8"/>
  <c r="I742" i="8"/>
  <c r="R742" i="8"/>
  <c r="D742" i="8"/>
  <c r="M742" i="8"/>
  <c r="W742" i="8"/>
  <c r="C742" i="8"/>
  <c r="V742" i="8"/>
  <c r="P742" i="8"/>
  <c r="K742" i="8"/>
  <c r="Y742" i="8"/>
  <c r="J742" i="8"/>
  <c r="Q742" i="8"/>
  <c r="U742" i="8"/>
  <c r="F742" i="8"/>
  <c r="O742" i="8"/>
  <c r="G742" i="8"/>
  <c r="T742" i="8"/>
  <c r="E742" i="8"/>
  <c r="N742" i="8"/>
  <c r="H742" i="8"/>
  <c r="L742" i="8"/>
  <c r="B643" i="8"/>
  <c r="S741" i="8"/>
  <c r="S641" i="8"/>
  <c r="B743" i="8"/>
  <c r="E545" i="8"/>
  <c r="S291" i="8"/>
  <c r="S544" i="8"/>
  <c r="E292" i="8"/>
  <c r="F292" i="8"/>
  <c r="H292" i="8"/>
  <c r="U292" i="8"/>
  <c r="M292" i="8"/>
  <c r="T292" i="8"/>
  <c r="D292" i="8"/>
  <c r="O292" i="8"/>
  <c r="Q292" i="8"/>
  <c r="B293" i="8"/>
  <c r="Y545" i="8"/>
  <c r="D545" i="8"/>
  <c r="I545" i="8"/>
  <c r="H545" i="8"/>
  <c r="F545" i="8"/>
  <c r="P545" i="8"/>
  <c r="J545" i="8"/>
  <c r="U545" i="8"/>
  <c r="N545" i="8"/>
  <c r="B546" i="8"/>
  <c r="B445" i="8"/>
  <c r="Y192" i="8"/>
  <c r="U192" i="8"/>
  <c r="W192" i="8"/>
  <c r="X192" i="8"/>
  <c r="T192" i="8"/>
  <c r="V192" i="8"/>
  <c r="O99" i="8" a="1"/>
  <c r="V643" i="8" a="1"/>
  <c r="D293" i="8" a="1"/>
  <c r="D743" i="8" a="1"/>
  <c r="Y96" i="8" a="1"/>
  <c r="V293" i="8" a="1"/>
  <c r="R292" i="8" a="1"/>
  <c r="N293" i="8" a="1"/>
  <c r="Q545" i="8" a="1"/>
  <c r="O643" i="8" a="1"/>
  <c r="K545" i="8" a="1"/>
  <c r="X193" i="8" a="1"/>
  <c r="Q293" i="8" a="1"/>
  <c r="K743" i="8" a="1"/>
  <c r="K99" i="8" a="1"/>
  <c r="O743" i="8" a="1"/>
  <c r="L292" i="8" a="1"/>
  <c r="P445" i="8" a="1"/>
  <c r="Y445" i="8" a="1"/>
  <c r="J642" i="8" a="1"/>
  <c r="R643" i="8" a="1"/>
  <c r="N99" i="8" a="1"/>
  <c r="D99" i="8" a="1"/>
  <c r="M293" i="8" a="1"/>
  <c r="W445" i="8" a="1"/>
  <c r="D643" i="8" a="1"/>
  <c r="L445" i="8" a="1"/>
  <c r="Y292" i="8" a="1"/>
  <c r="V96" i="8" a="1"/>
  <c r="U193" i="8" a="1"/>
  <c r="V193" i="8" a="1"/>
  <c r="G445" i="8" a="1"/>
  <c r="W96" i="8" a="1"/>
  <c r="V546" i="8" a="1"/>
  <c r="V445" i="8" a="1"/>
  <c r="Y643" i="8" a="1"/>
  <c r="G293" i="8" a="1"/>
  <c r="G99" i="8" a="1"/>
  <c r="I546" i="8" a="1"/>
  <c r="T445" i="8" a="1"/>
  <c r="U445" i="8" a="1"/>
  <c r="L642" i="8" a="1"/>
  <c r="C743" i="8" a="1"/>
  <c r="N445" i="8" a="1"/>
  <c r="R545" i="8" a="1"/>
  <c r="F293" i="8" a="1"/>
  <c r="W193" i="8" a="1"/>
  <c r="J743" i="8" a="1"/>
  <c r="H743" i="8" a="1"/>
  <c r="T193" i="8" a="1"/>
  <c r="M545" i="8" a="1"/>
  <c r="T546" i="8" a="1"/>
  <c r="I743" i="8" a="1"/>
  <c r="E99" i="8" a="1"/>
  <c r="Q445" i="8" a="1"/>
  <c r="F445" i="8" a="1"/>
  <c r="P743" i="8" a="1"/>
  <c r="G292" i="8" a="1"/>
  <c r="F642" i="8" a="1"/>
  <c r="G743" i="8" a="1"/>
  <c r="J293" i="8" a="1"/>
  <c r="L545" i="8" a="1"/>
  <c r="X546" i="8" a="1"/>
  <c r="M643" i="8" a="1"/>
  <c r="H99" i="8" a="1"/>
  <c r="N743" i="8" a="1"/>
  <c r="E546" i="8" a="1"/>
  <c r="X743" i="8" a="1"/>
  <c r="F643" i="8" a="1"/>
  <c r="J292" i="8" a="1"/>
  <c r="U643" i="8" a="1"/>
  <c r="Y293" i="8" a="1"/>
  <c r="P293" i="8" a="1"/>
  <c r="W743" i="8" a="1"/>
  <c r="E293" i="8" a="1"/>
  <c r="C546" i="8" a="1"/>
  <c r="C643" i="8" a="1"/>
  <c r="F743" i="8" a="1"/>
  <c r="K445" i="8" a="1"/>
  <c r="E743" i="8" a="1"/>
  <c r="X96" i="8" a="1"/>
  <c r="D445" i="8" a="1"/>
  <c r="I293" i="8" a="1"/>
  <c r="U96" i="8" a="1"/>
  <c r="X545" i="8" a="1"/>
  <c r="T743" i="8" a="1"/>
  <c r="R445" i="8" a="1"/>
  <c r="R642" i="8" a="1"/>
  <c r="R546" i="8" a="1"/>
  <c r="Y743" i="8" a="1"/>
  <c r="R293" i="8" a="1"/>
  <c r="W292" i="8" a="1"/>
  <c r="J445" i="8" a="1"/>
  <c r="X293" i="8" a="1"/>
  <c r="C99" i="8" a="1"/>
  <c r="I99" i="8" a="1"/>
  <c r="E643" i="8" a="1"/>
  <c r="T96" i="8" a="1"/>
  <c r="O545" i="8" a="1"/>
  <c r="T293" i="8" a="1"/>
  <c r="M99" i="8" a="1"/>
  <c r="I445" i="8" a="1"/>
  <c r="Y193" i="8" a="1"/>
  <c r="H643" i="8" a="1"/>
  <c r="Y546" i="8" a="1"/>
  <c r="L99" i="8" a="1"/>
  <c r="W545" i="8" a="1"/>
  <c r="C445" i="8" a="1"/>
  <c r="Q743" i="8" a="1"/>
  <c r="L743" i="8" a="1"/>
  <c r="C545" i="8" a="1"/>
  <c r="K643" i="8" a="1"/>
  <c r="E445" i="8" a="1"/>
  <c r="V743" i="8" a="1"/>
  <c r="I292" i="8" a="1"/>
  <c r="F99" i="8" a="1"/>
  <c r="C292" i="8" a="1"/>
  <c r="X445" i="8" a="1"/>
  <c r="P643" i="8" a="1"/>
  <c r="J643" i="8" a="1"/>
  <c r="O445" i="8" a="1"/>
  <c r="O293" i="8" a="1"/>
  <c r="T545" i="8" a="1"/>
  <c r="V545" i="8" a="1"/>
  <c r="M445" i="8" a="1"/>
  <c r="J99" i="8" a="1"/>
  <c r="C293" i="8" a="1"/>
  <c r="L293" i="8" a="1"/>
  <c r="R99" i="8" a="1"/>
  <c r="O546" i="8" a="1"/>
  <c r="F546" i="8" a="1"/>
  <c r="R743" i="8" a="1"/>
  <c r="X292" i="8" a="1"/>
  <c r="N292" i="8" a="1"/>
  <c r="M743" i="8" a="1"/>
  <c r="U293" i="8" a="1"/>
  <c r="G643" i="8" a="1"/>
  <c r="T643" i="8" a="1"/>
  <c r="X643" i="8" a="1"/>
  <c r="I643" i="8" a="1"/>
  <c r="K293" i="8" a="1"/>
  <c r="D546" i="8" a="1"/>
  <c r="H293" i="8" a="1"/>
  <c r="W643" i="8" a="1"/>
  <c r="Q99" i="8" a="1"/>
  <c r="K292" i="8" a="1"/>
  <c r="U743" i="8" a="1"/>
  <c r="G545" i="8" a="1"/>
  <c r="D642" i="8" a="1"/>
  <c r="V292" i="8" a="1"/>
  <c r="Q643" i="8" a="1"/>
  <c r="H445" i="8" a="1"/>
  <c r="P99" i="8" a="1"/>
  <c r="N643" i="8" a="1"/>
  <c r="H546" i="8" a="1"/>
  <c r="P292" i="8" a="1"/>
  <c r="K546" i="8" a="1"/>
  <c r="L643" i="8" a="1"/>
  <c r="S444" i="8" l="1"/>
  <c r="F445" i="8"/>
  <c r="J445" i="8"/>
  <c r="N445" i="8"/>
  <c r="R445" i="8"/>
  <c r="C445" i="8"/>
  <c r="G445" i="8"/>
  <c r="K445" i="8"/>
  <c r="O445" i="8"/>
  <c r="D445" i="8"/>
  <c r="H445" i="8"/>
  <c r="L445" i="8"/>
  <c r="P445" i="8"/>
  <c r="E445" i="8"/>
  <c r="I445" i="8"/>
  <c r="M445" i="8"/>
  <c r="Q445" i="8"/>
  <c r="D642" i="8"/>
  <c r="G292" i="8"/>
  <c r="I292" i="8"/>
  <c r="L642" i="8"/>
  <c r="G545" i="8"/>
  <c r="W545" i="8"/>
  <c r="R545" i="8"/>
  <c r="X545" i="8"/>
  <c r="O545" i="8"/>
  <c r="X292" i="8"/>
  <c r="Q545" i="8"/>
  <c r="K292" i="8"/>
  <c r="W292" i="8"/>
  <c r="J642" i="8"/>
  <c r="Y292" i="8"/>
  <c r="C545" i="8"/>
  <c r="P292" i="8"/>
  <c r="K545" i="8"/>
  <c r="C292" i="8"/>
  <c r="L292" i="8"/>
  <c r="L545" i="8"/>
  <c r="F642" i="8"/>
  <c r="M545" i="8"/>
  <c r="V545" i="8"/>
  <c r="T545" i="8"/>
  <c r="R292" i="8"/>
  <c r="R642" i="8"/>
  <c r="J292" i="8"/>
  <c r="V292" i="8"/>
  <c r="N292" i="8"/>
  <c r="H99" i="8"/>
  <c r="M99" i="8"/>
  <c r="G99" i="8"/>
  <c r="J99" i="8"/>
  <c r="R99" i="8"/>
  <c r="N99" i="8"/>
  <c r="L99" i="8"/>
  <c r="P99" i="8"/>
  <c r="Q99" i="8"/>
  <c r="I99" i="8"/>
  <c r="O99" i="8"/>
  <c r="F99" i="8"/>
  <c r="D99" i="8"/>
  <c r="C99" i="8"/>
  <c r="E99" i="8"/>
  <c r="K99" i="8"/>
  <c r="S192" i="8"/>
  <c r="J643" i="8"/>
  <c r="N643" i="8"/>
  <c r="T643" i="8"/>
  <c r="D643" i="8"/>
  <c r="I643" i="8"/>
  <c r="R643" i="8"/>
  <c r="Q643" i="8"/>
  <c r="P643" i="8"/>
  <c r="G643" i="8"/>
  <c r="Y643" i="8"/>
  <c r="F643" i="8"/>
  <c r="O643" i="8"/>
  <c r="X643" i="8"/>
  <c r="E643" i="8"/>
  <c r="H643" i="8"/>
  <c r="M643" i="8"/>
  <c r="W643" i="8"/>
  <c r="L643" i="8"/>
  <c r="C643" i="8"/>
  <c r="V643" i="8"/>
  <c r="U643" i="8"/>
  <c r="K643" i="8"/>
  <c r="U96" i="8"/>
  <c r="Y96" i="8"/>
  <c r="T96" i="8"/>
  <c r="X96" i="8"/>
  <c r="V96" i="8"/>
  <c r="W96" i="8"/>
  <c r="P743" i="8"/>
  <c r="Q743" i="8"/>
  <c r="C743" i="8"/>
  <c r="H743" i="8"/>
  <c r="V743" i="8"/>
  <c r="G743" i="8"/>
  <c r="D743" i="8"/>
  <c r="K743" i="8"/>
  <c r="R743" i="8"/>
  <c r="L743" i="8"/>
  <c r="M743" i="8"/>
  <c r="W743" i="8"/>
  <c r="U743" i="8"/>
  <c r="F743" i="8"/>
  <c r="O743" i="8"/>
  <c r="Y743" i="8"/>
  <c r="J743" i="8"/>
  <c r="T743" i="8"/>
  <c r="E743" i="8"/>
  <c r="N743" i="8"/>
  <c r="X743" i="8"/>
  <c r="I743" i="8"/>
  <c r="B644" i="8"/>
  <c r="B744" i="8"/>
  <c r="S742" i="8"/>
  <c r="S642" i="8"/>
  <c r="E546" i="8"/>
  <c r="E293" i="8"/>
  <c r="U293" i="8"/>
  <c r="Q293" i="8"/>
  <c r="J293" i="8"/>
  <c r="M293" i="8"/>
  <c r="X293" i="8"/>
  <c r="H293" i="8"/>
  <c r="L293" i="8"/>
  <c r="K293" i="8"/>
  <c r="O293" i="8"/>
  <c r="D293" i="8"/>
  <c r="T293" i="8"/>
  <c r="F293" i="8"/>
  <c r="I293" i="8"/>
  <c r="Y293" i="8"/>
  <c r="C293" i="8"/>
  <c r="V293" i="8"/>
  <c r="N293" i="8"/>
  <c r="P293" i="8"/>
  <c r="G293" i="8"/>
  <c r="R293" i="8"/>
  <c r="B294" i="8"/>
  <c r="V546" i="8"/>
  <c r="Y546" i="8"/>
  <c r="K546" i="8"/>
  <c r="F546" i="8"/>
  <c r="C546" i="8"/>
  <c r="D546" i="8"/>
  <c r="H546" i="8"/>
  <c r="I546" i="8"/>
  <c r="O546" i="8"/>
  <c r="R546" i="8"/>
  <c r="T546" i="8"/>
  <c r="X546" i="8"/>
  <c r="B547" i="8"/>
  <c r="U445" i="8"/>
  <c r="Y445" i="8"/>
  <c r="W445" i="8"/>
  <c r="T445" i="8"/>
  <c r="V445" i="8"/>
  <c r="X445" i="8"/>
  <c r="B446" i="8"/>
  <c r="W193" i="8"/>
  <c r="U193" i="8"/>
  <c r="V193" i="8"/>
  <c r="Y193" i="8"/>
  <c r="T193" i="8"/>
  <c r="X193" i="8"/>
  <c r="V97" i="8" a="1"/>
  <c r="D644" i="8" a="1"/>
  <c r="F644" i="8" a="1"/>
  <c r="U546" i="8" a="1"/>
  <c r="U547" i="8" a="1"/>
  <c r="E294" i="8" a="1"/>
  <c r="G294" i="8" a="1"/>
  <c r="T644" i="8" a="1"/>
  <c r="J744" i="8" a="1"/>
  <c r="P744" i="8" a="1"/>
  <c r="K744" i="8" a="1"/>
  <c r="K547" i="8" a="1"/>
  <c r="J546" i="8" a="1"/>
  <c r="U744" i="8" a="1"/>
  <c r="M547" i="8" a="1"/>
  <c r="D446" i="8" a="1"/>
  <c r="P547" i="8" a="1"/>
  <c r="F744" i="8" a="1"/>
  <c r="W547" i="8" a="1"/>
  <c r="V547" i="8" a="1"/>
  <c r="M446" i="8" a="1"/>
  <c r="G546" i="8" a="1"/>
  <c r="G744" i="8" a="1"/>
  <c r="L547" i="8" a="1"/>
  <c r="K294" i="8" a="1"/>
  <c r="C446" i="8" a="1"/>
  <c r="V644" i="8" a="1"/>
  <c r="I294" i="8" a="1"/>
  <c r="O446" i="8" a="1"/>
  <c r="D744" i="8" a="1"/>
  <c r="L744" i="8" a="1"/>
  <c r="M294" i="8" a="1"/>
  <c r="H294" i="8" a="1"/>
  <c r="P294" i="8" a="1"/>
  <c r="R294" i="8" a="1"/>
  <c r="R744" i="8" a="1"/>
  <c r="I547" i="8" a="1"/>
  <c r="Y744" i="8" a="1"/>
  <c r="T294" i="8" a="1"/>
  <c r="T547" i="8" a="1"/>
  <c r="N744" i="8" a="1"/>
  <c r="J547" i="8" a="1"/>
  <c r="L294" i="8" a="1"/>
  <c r="X294" i="8" a="1"/>
  <c r="N644" i="8" a="1"/>
  <c r="C644" i="8" a="1"/>
  <c r="O644" i="8" a="1"/>
  <c r="E744" i="8" a="1"/>
  <c r="R547" i="8" a="1"/>
  <c r="O294" i="8" a="1"/>
  <c r="I644" i="8" a="1"/>
  <c r="T194" i="8" a="1"/>
  <c r="J644" i="8" a="1"/>
  <c r="F294" i="8" a="1"/>
  <c r="N294" i="8" a="1"/>
  <c r="G644" i="8" a="1"/>
  <c r="Y194" i="8" a="1"/>
  <c r="V744" i="8" a="1"/>
  <c r="Q294" i="8" a="1"/>
  <c r="P546" i="8" a="1"/>
  <c r="Q644" i="8" a="1"/>
  <c r="Q547" i="8" a="1"/>
  <c r="W194" i="8" a="1"/>
  <c r="Y294" i="8" a="1"/>
  <c r="T97" i="8" a="1"/>
  <c r="I446" i="8" a="1"/>
  <c r="W644" i="8" a="1"/>
  <c r="W97" i="8" a="1"/>
  <c r="W293" i="8" a="1"/>
  <c r="W744" i="8" a="1"/>
  <c r="X97" i="8" a="1"/>
  <c r="N546" i="8" a="1"/>
  <c r="T744" i="8" a="1"/>
  <c r="Y547" i="8" a="1"/>
  <c r="U644" i="8" a="1"/>
  <c r="N547" i="8" a="1"/>
  <c r="I744" i="8" a="1"/>
  <c r="L546" i="8" a="1"/>
  <c r="U294" i="8" a="1"/>
  <c r="P644" i="8" a="1"/>
  <c r="Q546" i="8" a="1"/>
  <c r="M546" i="8" a="1"/>
  <c r="H744" i="8" a="1"/>
  <c r="D294" i="8" a="1"/>
  <c r="L644" i="8" a="1"/>
  <c r="K644" i="8" a="1"/>
  <c r="X194" i="8" a="1"/>
  <c r="H644" i="8" a="1"/>
  <c r="W294" i="8" a="1"/>
  <c r="C744" i="8" a="1"/>
  <c r="X644" i="8" a="1"/>
  <c r="V194" i="8" a="1"/>
  <c r="T446" i="8" a="1"/>
  <c r="W546" i="8" a="1"/>
  <c r="E644" i="8" a="1"/>
  <c r="M644" i="8" a="1"/>
  <c r="V294" i="8" a="1"/>
  <c r="U97" i="8" a="1"/>
  <c r="E547" i="8" a="1"/>
  <c r="F547" i="8" a="1"/>
  <c r="M744" i="8" a="1"/>
  <c r="O547" i="8" a="1"/>
  <c r="H547" i="8" a="1"/>
  <c r="X744" i="8" a="1"/>
  <c r="Y97" i="8" a="1"/>
  <c r="G547" i="8" a="1"/>
  <c r="O744" i="8" a="1"/>
  <c r="V446" i="8" a="1"/>
  <c r="Q744" i="8" a="1"/>
  <c r="R644" i="8" a="1"/>
  <c r="Y644" i="8" a="1"/>
  <c r="W446" i="8" a="1"/>
  <c r="U194" i="8" a="1"/>
  <c r="S445" i="8" l="1"/>
  <c r="S96" i="8"/>
  <c r="S292" i="8"/>
  <c r="S545" i="8"/>
  <c r="N546" i="8"/>
  <c r="U546" i="8"/>
  <c r="Q546" i="8"/>
  <c r="P546" i="8"/>
  <c r="L546" i="8"/>
  <c r="M546" i="8"/>
  <c r="W546" i="8"/>
  <c r="J546" i="8"/>
  <c r="G546" i="8"/>
  <c r="W293" i="8"/>
  <c r="S193" i="8"/>
  <c r="G644" i="8"/>
  <c r="L644" i="8"/>
  <c r="F644" i="8"/>
  <c r="K644" i="8"/>
  <c r="P644" i="8"/>
  <c r="J644" i="8"/>
  <c r="O644" i="8"/>
  <c r="E644" i="8"/>
  <c r="N644" i="8"/>
  <c r="Y644" i="8"/>
  <c r="I644" i="8"/>
  <c r="R644" i="8"/>
  <c r="T644" i="8"/>
  <c r="M644" i="8"/>
  <c r="W644" i="8"/>
  <c r="X644" i="8"/>
  <c r="Q644" i="8"/>
  <c r="U644" i="8"/>
  <c r="D644" i="8"/>
  <c r="V644" i="8"/>
  <c r="C644" i="8"/>
  <c r="H644" i="8"/>
  <c r="F744" i="8"/>
  <c r="O744" i="8"/>
  <c r="Y744" i="8"/>
  <c r="J744" i="8"/>
  <c r="T744" i="8"/>
  <c r="I744" i="8"/>
  <c r="N744" i="8"/>
  <c r="M744" i="8"/>
  <c r="R744" i="8"/>
  <c r="D744" i="8"/>
  <c r="Q744" i="8"/>
  <c r="W744" i="8"/>
  <c r="H744" i="8"/>
  <c r="E744" i="8"/>
  <c r="C744" i="8"/>
  <c r="L744" i="8"/>
  <c r="V744" i="8"/>
  <c r="G744" i="8"/>
  <c r="P744" i="8"/>
  <c r="K744" i="8"/>
  <c r="U744" i="8"/>
  <c r="X744" i="8"/>
  <c r="T97" i="8"/>
  <c r="X97" i="8"/>
  <c r="U97" i="8"/>
  <c r="W97" i="8"/>
  <c r="Y97" i="8"/>
  <c r="V97" i="8"/>
  <c r="B645" i="8"/>
  <c r="S643" i="8"/>
  <c r="B745" i="8"/>
  <c r="S743" i="8"/>
  <c r="E547" i="8"/>
  <c r="S293" i="8"/>
  <c r="S546" i="8"/>
  <c r="E294" i="8"/>
  <c r="P294" i="8"/>
  <c r="L294" i="8"/>
  <c r="T294" i="8"/>
  <c r="V294" i="8"/>
  <c r="F294" i="8"/>
  <c r="R294" i="8"/>
  <c r="I294" i="8"/>
  <c r="W294" i="8"/>
  <c r="D294" i="8"/>
  <c r="M294" i="8"/>
  <c r="Y294" i="8"/>
  <c r="O294" i="8"/>
  <c r="U294" i="8"/>
  <c r="H294" i="8"/>
  <c r="G294" i="8"/>
  <c r="Q294" i="8"/>
  <c r="N294" i="8"/>
  <c r="X294" i="8"/>
  <c r="K294" i="8"/>
  <c r="B295" i="8"/>
  <c r="U547" i="8"/>
  <c r="I547" i="8"/>
  <c r="Y547" i="8"/>
  <c r="H547" i="8"/>
  <c r="G547" i="8"/>
  <c r="L547" i="8"/>
  <c r="F547" i="8"/>
  <c r="K547" i="8"/>
  <c r="P547" i="8"/>
  <c r="J547" i="8"/>
  <c r="O547" i="8"/>
  <c r="Q547" i="8"/>
  <c r="N547" i="8"/>
  <c r="M547" i="8"/>
  <c r="V547" i="8"/>
  <c r="R547" i="8"/>
  <c r="T547" i="8"/>
  <c r="W547" i="8"/>
  <c r="B548" i="8"/>
  <c r="O446" i="8"/>
  <c r="D446" i="8"/>
  <c r="C446" i="8"/>
  <c r="I446" i="8"/>
  <c r="M446" i="8"/>
  <c r="T446" i="8"/>
  <c r="V446" i="8"/>
  <c r="W446" i="8"/>
  <c r="B447" i="8"/>
  <c r="W194" i="8"/>
  <c r="Y194" i="8"/>
  <c r="U194" i="8"/>
  <c r="T194" i="8"/>
  <c r="X194" i="8"/>
  <c r="V194" i="8"/>
  <c r="X645" i="8" a="1"/>
  <c r="P548" i="8" a="1"/>
  <c r="D447" i="8" a="1"/>
  <c r="H745" i="8" a="1"/>
  <c r="W447" i="8" a="1"/>
  <c r="T195" i="8" a="1"/>
  <c r="V195" i="8" a="1"/>
  <c r="M645" i="8" a="1"/>
  <c r="Y548" i="8" a="1"/>
  <c r="D745" i="8" a="1"/>
  <c r="E446" i="8" a="1"/>
  <c r="X547" i="8" a="1"/>
  <c r="K745" i="8" a="1"/>
  <c r="D645" i="8" a="1"/>
  <c r="R446" i="8" a="1"/>
  <c r="E745" i="8" a="1"/>
  <c r="T98" i="8" a="1"/>
  <c r="R447" i="8" a="1"/>
  <c r="M745" i="8" a="1"/>
  <c r="J446" i="8" a="1"/>
  <c r="D547" i="8" a="1"/>
  <c r="W548" i="8" a="1"/>
  <c r="Q447" i="8" a="1"/>
  <c r="U446" i="8" a="1"/>
  <c r="T745" i="8" a="1"/>
  <c r="U548" i="8" a="1"/>
  <c r="U745" i="8" a="1"/>
  <c r="Q745" i="8" a="1"/>
  <c r="E447" i="8" a="1"/>
  <c r="K446" i="8" a="1"/>
  <c r="X295" i="8" a="1"/>
  <c r="P745" i="8" a="1"/>
  <c r="L446" i="8" a="1"/>
  <c r="N645" i="8" a="1"/>
  <c r="V447" i="8" a="1"/>
  <c r="P446" i="8" a="1"/>
  <c r="V295" i="8" a="1"/>
  <c r="Y446" i="8" a="1"/>
  <c r="W295" i="8" a="1"/>
  <c r="Q446" i="8" a="1"/>
  <c r="F295" i="8" a="1"/>
  <c r="V645" i="8" a="1"/>
  <c r="O447" i="8" a="1"/>
  <c r="W98" i="8" a="1"/>
  <c r="G745" i="8" a="1"/>
  <c r="H645" i="8" a="1"/>
  <c r="Y745" i="8" a="1"/>
  <c r="J645" i="8" a="1"/>
  <c r="G446" i="8" a="1"/>
  <c r="E645" i="8" a="1"/>
  <c r="E295" i="8" a="1"/>
  <c r="P295" i="8" a="1"/>
  <c r="O745" i="8" a="1"/>
  <c r="F446" i="8" a="1"/>
  <c r="N295" i="8" a="1"/>
  <c r="K295" i="8" a="1"/>
  <c r="I745" i="8" a="1"/>
  <c r="N745" i="8" a="1"/>
  <c r="W745" i="8" a="1"/>
  <c r="J295" i="8" a="1"/>
  <c r="K548" i="8" a="1"/>
  <c r="Y195" i="8" a="1"/>
  <c r="C294" i="8" a="1"/>
  <c r="Q548" i="8" a="1"/>
  <c r="T295" i="8" a="1"/>
  <c r="O645" i="8" a="1"/>
  <c r="D295" i="8" a="1"/>
  <c r="J745" i="8" a="1"/>
  <c r="V548" i="8" a="1"/>
  <c r="V745" i="8" a="1"/>
  <c r="Y645" i="8" a="1"/>
  <c r="J294" i="8" a="1"/>
  <c r="C295" i="8" a="1"/>
  <c r="R295" i="8" a="1"/>
  <c r="U447" i="8" a="1"/>
  <c r="L745" i="8" a="1"/>
  <c r="Y98" i="8" a="1"/>
  <c r="W195" i="8" a="1"/>
  <c r="L295" i="8" a="1"/>
  <c r="F645" i="8" a="1"/>
  <c r="I447" i="8" a="1"/>
  <c r="X745" i="8" a="1"/>
  <c r="U295" i="8" a="1"/>
  <c r="H446" i="8" a="1"/>
  <c r="M295" i="8" a="1"/>
  <c r="X446" i="8" a="1"/>
  <c r="U98" i="8" a="1"/>
  <c r="I548" i="8" a="1"/>
  <c r="V98" i="8" a="1"/>
  <c r="F745" i="8" a="1"/>
  <c r="P645" i="8" a="1"/>
  <c r="Y295" i="8" a="1"/>
  <c r="T645" i="8" a="1"/>
  <c r="Y447" i="8" a="1"/>
  <c r="G447" i="8" a="1"/>
  <c r="U645" i="8" a="1"/>
  <c r="X195" i="8" a="1"/>
  <c r="M447" i="8" a="1"/>
  <c r="C547" i="8" a="1"/>
  <c r="F548" i="8" a="1"/>
  <c r="N447" i="8" a="1"/>
  <c r="R645" i="8" a="1"/>
  <c r="D548" i="8" a="1"/>
  <c r="Q645" i="8" a="1"/>
  <c r="W645" i="8" a="1"/>
  <c r="X548" i="8" a="1"/>
  <c r="G645" i="8" a="1"/>
  <c r="H295" i="8" a="1"/>
  <c r="H447" i="8" a="1"/>
  <c r="L447" i="8" a="1"/>
  <c r="F447" i="8" a="1"/>
  <c r="C645" i="8" a="1"/>
  <c r="I295" i="8" a="1"/>
  <c r="X447" i="8" a="1"/>
  <c r="C745" i="8" a="1"/>
  <c r="L645" i="8" a="1"/>
  <c r="I645" i="8" a="1"/>
  <c r="R745" i="8" a="1"/>
  <c r="X98" i="8" a="1"/>
  <c r="G295" i="8" a="1"/>
  <c r="T447" i="8" a="1"/>
  <c r="L548" i="8" a="1"/>
  <c r="U195" i="8" a="1"/>
  <c r="Q295" i="8" a="1"/>
  <c r="K645" i="8" a="1"/>
  <c r="C447" i="8" a="1"/>
  <c r="N446" i="8" a="1"/>
  <c r="X446" i="8" l="1"/>
  <c r="S446" i="8" s="1"/>
  <c r="R446" i="8"/>
  <c r="K446" i="8"/>
  <c r="U446" i="8"/>
  <c r="X547" i="8"/>
  <c r="S547" i="8" s="1"/>
  <c r="Q446" i="8"/>
  <c r="G446" i="8"/>
  <c r="J294" i="8"/>
  <c r="D547" i="8"/>
  <c r="F446" i="8"/>
  <c r="J446" i="8"/>
  <c r="Y446" i="8"/>
  <c r="H446" i="8"/>
  <c r="E446" i="8"/>
  <c r="N446" i="8"/>
  <c r="L446" i="8"/>
  <c r="C294" i="8"/>
  <c r="P446" i="8"/>
  <c r="C547" i="8"/>
  <c r="S194" i="8"/>
  <c r="S97" i="8"/>
  <c r="S644" i="8"/>
  <c r="V98" i="8"/>
  <c r="T98" i="8"/>
  <c r="U98" i="8"/>
  <c r="X98" i="8"/>
  <c r="Y98" i="8"/>
  <c r="W98" i="8"/>
  <c r="E745" i="8"/>
  <c r="X745" i="8"/>
  <c r="I745" i="8"/>
  <c r="D745" i="8"/>
  <c r="M745" i="8"/>
  <c r="W745" i="8"/>
  <c r="H745" i="8"/>
  <c r="Q745" i="8"/>
  <c r="K745" i="8"/>
  <c r="U745" i="8"/>
  <c r="T745" i="8"/>
  <c r="J745" i="8"/>
  <c r="C745" i="8"/>
  <c r="L745" i="8"/>
  <c r="V745" i="8"/>
  <c r="G745" i="8"/>
  <c r="P745" i="8"/>
  <c r="F745" i="8"/>
  <c r="N745" i="8"/>
  <c r="O745" i="8"/>
  <c r="Y745" i="8"/>
  <c r="R745" i="8"/>
  <c r="Q645" i="8"/>
  <c r="C645" i="8"/>
  <c r="L645" i="8"/>
  <c r="G645" i="8"/>
  <c r="P645" i="8"/>
  <c r="F645" i="8"/>
  <c r="K645" i="8"/>
  <c r="U645" i="8"/>
  <c r="V645" i="8"/>
  <c r="D645" i="8"/>
  <c r="M645" i="8"/>
  <c r="J645" i="8"/>
  <c r="O645" i="8"/>
  <c r="Y645" i="8"/>
  <c r="N645" i="8"/>
  <c r="T645" i="8"/>
  <c r="E645" i="8"/>
  <c r="R645" i="8"/>
  <c r="X645" i="8"/>
  <c r="I645" i="8"/>
  <c r="W645" i="8"/>
  <c r="H645" i="8"/>
  <c r="S744" i="8"/>
  <c r="B746" i="8"/>
  <c r="B646" i="8"/>
  <c r="S294" i="8"/>
  <c r="E295" i="8"/>
  <c r="W295" i="8"/>
  <c r="R295" i="8"/>
  <c r="J295" i="8"/>
  <c r="U295" i="8"/>
  <c r="V295" i="8"/>
  <c r="X295" i="8"/>
  <c r="D295" i="8"/>
  <c r="C295" i="8"/>
  <c r="H295" i="8"/>
  <c r="G295" i="8"/>
  <c r="M295" i="8"/>
  <c r="P295" i="8"/>
  <c r="T295" i="8"/>
  <c r="Y295" i="8"/>
  <c r="Q295" i="8"/>
  <c r="L295" i="8"/>
  <c r="K295" i="8"/>
  <c r="N295" i="8"/>
  <c r="F295" i="8"/>
  <c r="I295" i="8"/>
  <c r="E447" i="8"/>
  <c r="B296" i="8"/>
  <c r="K548" i="8"/>
  <c r="F548" i="8"/>
  <c r="Y548" i="8"/>
  <c r="W548" i="8"/>
  <c r="D548" i="8"/>
  <c r="P548" i="8"/>
  <c r="U548" i="8"/>
  <c r="X548" i="8"/>
  <c r="I548" i="8"/>
  <c r="L548" i="8"/>
  <c r="Q548" i="8"/>
  <c r="V548" i="8"/>
  <c r="B549" i="8"/>
  <c r="G447" i="8"/>
  <c r="U447" i="8"/>
  <c r="I447" i="8"/>
  <c r="F447" i="8"/>
  <c r="O447" i="8"/>
  <c r="Y447" i="8"/>
  <c r="N447" i="8"/>
  <c r="X447" i="8"/>
  <c r="D447" i="8"/>
  <c r="W447" i="8"/>
  <c r="H447" i="8"/>
  <c r="M447" i="8"/>
  <c r="L447" i="8"/>
  <c r="Q447" i="8"/>
  <c r="T447" i="8"/>
  <c r="V447" i="8"/>
  <c r="R447" i="8"/>
  <c r="C447" i="8"/>
  <c r="B448" i="8"/>
  <c r="T195" i="8"/>
  <c r="W195" i="8"/>
  <c r="U195" i="8"/>
  <c r="V195" i="8"/>
  <c r="X195" i="8"/>
  <c r="Y195" i="8"/>
  <c r="X746" i="8" a="1"/>
  <c r="F549" i="8" a="1"/>
  <c r="H548" i="8" a="1"/>
  <c r="W296" i="8" a="1"/>
  <c r="Q746" i="8" a="1"/>
  <c r="C746" i="8" a="1"/>
  <c r="V549" i="8" a="1"/>
  <c r="Y549" i="8" a="1"/>
  <c r="T548" i="8" a="1"/>
  <c r="W196" i="8" a="1"/>
  <c r="T99" i="8" a="1"/>
  <c r="V99" i="8" a="1"/>
  <c r="O548" i="8" a="1"/>
  <c r="Y746" i="8" a="1"/>
  <c r="Y196" i="8" a="1"/>
  <c r="G448" i="8" a="1"/>
  <c r="V448" i="8" a="1"/>
  <c r="E746" i="8" a="1"/>
  <c r="U746" i="8" a="1"/>
  <c r="V296" i="8" a="1"/>
  <c r="U549" i="8" a="1"/>
  <c r="J746" i="8" a="1"/>
  <c r="O549" i="8" a="1"/>
  <c r="Y99" i="8" a="1"/>
  <c r="M549" i="8" a="1"/>
  <c r="E296" i="8" a="1"/>
  <c r="X196" i="8" a="1"/>
  <c r="O295" i="8" a="1"/>
  <c r="K447" i="8" a="1"/>
  <c r="H296" i="8" a="1"/>
  <c r="J549" i="8" a="1"/>
  <c r="H549" i="8" a="1"/>
  <c r="R548" i="8" a="1"/>
  <c r="G548" i="8" a="1"/>
  <c r="U196" i="8" a="1"/>
  <c r="K549" i="8" a="1"/>
  <c r="W549" i="8" a="1"/>
  <c r="J548" i="8" a="1"/>
  <c r="P447" i="8" a="1"/>
  <c r="I646" i="8" a="1"/>
  <c r="W646" i="8" a="1"/>
  <c r="N549" i="8" a="1"/>
  <c r="E548" i="8" a="1"/>
  <c r="O296" i="8" a="1"/>
  <c r="L549" i="8" a="1"/>
  <c r="C548" i="8" a="1"/>
  <c r="D746" i="8" a="1"/>
  <c r="V196" i="8" a="1"/>
  <c r="P296" i="8" a="1"/>
  <c r="J646" i="8" a="1"/>
  <c r="K448" i="8" a="1"/>
  <c r="T196" i="8" a="1"/>
  <c r="Q549" i="8" a="1"/>
  <c r="X549" i="8" a="1"/>
  <c r="E549" i="8" a="1"/>
  <c r="W99" i="8" a="1"/>
  <c r="H746" i="8" a="1"/>
  <c r="R549" i="8" a="1"/>
  <c r="X646" i="8" a="1"/>
  <c r="U99" i="8" a="1"/>
  <c r="M548" i="8" a="1"/>
  <c r="C296" i="8" a="1"/>
  <c r="J447" i="8" a="1"/>
  <c r="T746" i="8" a="1"/>
  <c r="X99" i="8" a="1"/>
  <c r="N548" i="8" a="1"/>
  <c r="T549" i="8" a="1"/>
  <c r="I549" i="8" a="1"/>
  <c r="C549" i="8" a="1"/>
  <c r="G549" i="8" a="1"/>
  <c r="M548" i="8" l="1"/>
  <c r="N548" i="8"/>
  <c r="E548" i="8"/>
  <c r="C548" i="8"/>
  <c r="P447" i="8"/>
  <c r="H548" i="8"/>
  <c r="G548" i="8"/>
  <c r="R548" i="8"/>
  <c r="O548" i="8"/>
  <c r="J447" i="8"/>
  <c r="O295" i="8"/>
  <c r="J548" i="8"/>
  <c r="T548" i="8"/>
  <c r="S548" i="8" s="1"/>
  <c r="K447" i="8"/>
  <c r="S195" i="8"/>
  <c r="S98" i="8"/>
  <c r="S745" i="8"/>
  <c r="S645" i="8"/>
  <c r="U99" i="8"/>
  <c r="W99" i="8"/>
  <c r="V99" i="8"/>
  <c r="Y99" i="8"/>
  <c r="X99" i="8"/>
  <c r="T99" i="8"/>
  <c r="W646" i="8"/>
  <c r="J646" i="8"/>
  <c r="X646" i="8"/>
  <c r="I646" i="8"/>
  <c r="D746" i="8"/>
  <c r="Q746" i="8"/>
  <c r="C746" i="8"/>
  <c r="H746" i="8"/>
  <c r="J746" i="8"/>
  <c r="E746" i="8"/>
  <c r="U746" i="8"/>
  <c r="T746" i="8"/>
  <c r="Y746" i="8"/>
  <c r="X746" i="8"/>
  <c r="B647" i="8"/>
  <c r="B747" i="8"/>
  <c r="E549" i="8"/>
  <c r="S295" i="8"/>
  <c r="S447" i="8"/>
  <c r="E296" i="8"/>
  <c r="O296" i="8"/>
  <c r="P296" i="8"/>
  <c r="H296" i="8"/>
  <c r="C296" i="8"/>
  <c r="W296" i="8"/>
  <c r="V296" i="8"/>
  <c r="B297" i="8"/>
  <c r="C549" i="8"/>
  <c r="I549" i="8"/>
  <c r="G549" i="8"/>
  <c r="L549" i="8"/>
  <c r="Q549" i="8"/>
  <c r="X549" i="8"/>
  <c r="H549" i="8"/>
  <c r="F549" i="8"/>
  <c r="J549" i="8"/>
  <c r="K549" i="8"/>
  <c r="N549" i="8"/>
  <c r="V549" i="8"/>
  <c r="W549" i="8"/>
  <c r="U549" i="8"/>
  <c r="Y549" i="8"/>
  <c r="O549" i="8"/>
  <c r="M549" i="8"/>
  <c r="R549" i="8"/>
  <c r="T549" i="8"/>
  <c r="V448" i="8"/>
  <c r="G448" i="8"/>
  <c r="K448" i="8"/>
  <c r="B449" i="8"/>
  <c r="V196" i="8"/>
  <c r="Y196" i="8"/>
  <c r="U196" i="8"/>
  <c r="X196" i="8"/>
  <c r="W196" i="8"/>
  <c r="T196" i="8"/>
  <c r="Y448" i="8" a="1"/>
  <c r="R448" i="8" a="1"/>
  <c r="R296" i="8" a="1"/>
  <c r="X747" i="8" a="1"/>
  <c r="P746" i="8" a="1"/>
  <c r="H449" i="8" a="1"/>
  <c r="X197" i="8" a="1"/>
  <c r="C449" i="8" a="1"/>
  <c r="W448" i="8" a="1"/>
  <c r="N647" i="8" a="1"/>
  <c r="T296" i="8" a="1"/>
  <c r="L647" i="8" a="1"/>
  <c r="P297" i="8" a="1"/>
  <c r="R647" i="8" a="1"/>
  <c r="Y647" i="8" a="1"/>
  <c r="P646" i="8" a="1"/>
  <c r="G646" i="8" a="1"/>
  <c r="W297" i="8" a="1"/>
  <c r="X449" i="8" a="1"/>
  <c r="E647" i="8" a="1"/>
  <c r="N646" i="8" a="1"/>
  <c r="Q647" i="8" a="1"/>
  <c r="L746" i="8" a="1"/>
  <c r="Y297" i="8" a="1"/>
  <c r="T646" i="8" a="1"/>
  <c r="N296" i="8" a="1"/>
  <c r="R297" i="8" a="1"/>
  <c r="D646" i="8" a="1"/>
  <c r="T448" i="8" a="1"/>
  <c r="M747" i="8" a="1"/>
  <c r="K646" i="8" a="1"/>
  <c r="L296" i="8" a="1"/>
  <c r="E448" i="8" a="1"/>
  <c r="I448" i="8" a="1"/>
  <c r="Y296" i="8" a="1"/>
  <c r="X448" i="8" a="1"/>
  <c r="I297" i="8" a="1"/>
  <c r="R449" i="8" a="1"/>
  <c r="U449" i="8" a="1"/>
  <c r="P449" i="8" a="1"/>
  <c r="H448" i="8" a="1"/>
  <c r="G747" i="8" a="1"/>
  <c r="C297" i="8" a="1"/>
  <c r="K746" i="8" a="1"/>
  <c r="J297" i="8" a="1"/>
  <c r="O448" i="8" a="1"/>
  <c r="X297" i="8" a="1"/>
  <c r="C647" i="8" a="1"/>
  <c r="D549" i="8" a="1"/>
  <c r="G449" i="8" a="1"/>
  <c r="W197" i="8" a="1"/>
  <c r="Y197" i="8" a="1"/>
  <c r="U647" i="8" a="1"/>
  <c r="D647" i="8" a="1"/>
  <c r="E449" i="8" a="1"/>
  <c r="H297" i="8" a="1"/>
  <c r="I747" i="8" a="1"/>
  <c r="V746" i="8" a="1"/>
  <c r="Q646" i="8" a="1"/>
  <c r="C448" i="8" a="1"/>
  <c r="U297" i="8" a="1"/>
  <c r="M646" i="8" a="1"/>
  <c r="M647" i="8" a="1"/>
  <c r="N746" i="8" a="1"/>
  <c r="I647" i="8" a="1"/>
  <c r="M297" i="8" a="1"/>
  <c r="E297" i="8" a="1"/>
  <c r="F449" i="8" a="1"/>
  <c r="R646" i="8" a="1"/>
  <c r="V449" i="8" a="1"/>
  <c r="L646" i="8" a="1"/>
  <c r="P448" i="8" a="1"/>
  <c r="W746" i="8" a="1"/>
  <c r="W449" i="8" a="1"/>
  <c r="J448" i="8" a="1"/>
  <c r="R746" i="8" a="1"/>
  <c r="O646" i="8" a="1"/>
  <c r="T449" i="8" a="1"/>
  <c r="K297" i="8" a="1"/>
  <c r="F296" i="8" a="1"/>
  <c r="O297" i="8" a="1"/>
  <c r="W647" i="8" a="1"/>
  <c r="G647" i="8" a="1"/>
  <c r="F297" i="8" a="1"/>
  <c r="Q297" i="8" a="1"/>
  <c r="V297" i="8" a="1"/>
  <c r="J449" i="8" a="1"/>
  <c r="H646" i="8" a="1"/>
  <c r="F646" i="8" a="1"/>
  <c r="D449" i="8" a="1"/>
  <c r="F647" i="8" a="1"/>
  <c r="K747" i="8" a="1"/>
  <c r="I296" i="8" a="1"/>
  <c r="U197" i="8" a="1"/>
  <c r="N449" i="8" a="1"/>
  <c r="F746" i="8" a="1"/>
  <c r="T647" i="8" a="1"/>
  <c r="D297" i="8" a="1"/>
  <c r="K296" i="8" a="1"/>
  <c r="U448" i="8" a="1"/>
  <c r="D747" i="8" a="1"/>
  <c r="V646" i="8" a="1"/>
  <c r="T747" i="8" a="1"/>
  <c r="M449" i="8" a="1"/>
  <c r="C646" i="8" a="1"/>
  <c r="N448" i="8" a="1"/>
  <c r="Y646" i="8" a="1"/>
  <c r="Q449" i="8" a="1"/>
  <c r="E646" i="8" a="1"/>
  <c r="K449" i="8" a="1"/>
  <c r="H647" i="8" a="1"/>
  <c r="T297" i="8" a="1"/>
  <c r="O746" i="8" a="1"/>
  <c r="J647" i="8" a="1"/>
  <c r="Y449" i="8" a="1"/>
  <c r="M746" i="8" a="1"/>
  <c r="H747" i="8" a="1"/>
  <c r="O449" i="8" a="1"/>
  <c r="L449" i="8" a="1"/>
  <c r="V197" i="8" a="1"/>
  <c r="T197" i="8" a="1"/>
  <c r="M296" i="8" a="1"/>
  <c r="U296" i="8" a="1"/>
  <c r="N297" i="8" a="1"/>
  <c r="L448" i="8" a="1"/>
  <c r="K647" i="8" a="1"/>
  <c r="D448" i="8" a="1"/>
  <c r="D296" i="8" a="1"/>
  <c r="G296" i="8" a="1"/>
  <c r="O647" i="8" a="1"/>
  <c r="U646" i="8" a="1"/>
  <c r="M448" i="8" a="1"/>
  <c r="O747" i="8" a="1"/>
  <c r="I746" i="8" a="1"/>
  <c r="G297" i="8" a="1"/>
  <c r="I449" i="8" a="1"/>
  <c r="X647" i="8" a="1"/>
  <c r="V647" i="8" a="1"/>
  <c r="Q448" i="8" a="1"/>
  <c r="F448" i="8" a="1"/>
  <c r="Q296" i="8" a="1"/>
  <c r="P647" i="8" a="1"/>
  <c r="X296" i="8" a="1"/>
  <c r="W747" i="8" a="1"/>
  <c r="J296" i="8" a="1"/>
  <c r="L297" i="8" a="1"/>
  <c r="G746" i="8" a="1"/>
  <c r="P549" i="8" a="1"/>
  <c r="F747" i="8" a="1"/>
  <c r="R747" i="8" a="1"/>
  <c r="J747" i="8" a="1"/>
  <c r="X448" i="8" l="1"/>
  <c r="C448" i="8"/>
  <c r="G746" i="8"/>
  <c r="I296" i="8"/>
  <c r="T646" i="8"/>
  <c r="D448" i="8"/>
  <c r="H448" i="8"/>
  <c r="H646" i="8"/>
  <c r="R746" i="8"/>
  <c r="F448" i="8"/>
  <c r="O448" i="8"/>
  <c r="D549" i="8"/>
  <c r="Y448" i="8"/>
  <c r="W448" i="8"/>
  <c r="P448" i="8"/>
  <c r="N646" i="8"/>
  <c r="U646" i="8"/>
  <c r="L746" i="8"/>
  <c r="N448" i="8"/>
  <c r="R646" i="8"/>
  <c r="L448" i="8"/>
  <c r="E448" i="8"/>
  <c r="V646" i="8"/>
  <c r="P746" i="8"/>
  <c r="K296" i="8"/>
  <c r="M296" i="8"/>
  <c r="F646" i="8"/>
  <c r="X296" i="8"/>
  <c r="L296" i="8"/>
  <c r="M746" i="8"/>
  <c r="V746" i="8"/>
  <c r="S746" i="8" s="1"/>
  <c r="T296" i="8"/>
  <c r="K646" i="8"/>
  <c r="G296" i="8"/>
  <c r="O646" i="8"/>
  <c r="J448" i="8"/>
  <c r="D646" i="8"/>
  <c r="L646" i="8"/>
  <c r="D296" i="8"/>
  <c r="I746" i="8"/>
  <c r="F296" i="8"/>
  <c r="F746" i="8"/>
  <c r="Q448" i="8"/>
  <c r="Y296" i="8"/>
  <c r="R448" i="8"/>
  <c r="O746" i="8"/>
  <c r="U448" i="8"/>
  <c r="R296" i="8"/>
  <c r="P549" i="8"/>
  <c r="I448" i="8"/>
  <c r="Y646" i="8"/>
  <c r="P646" i="8"/>
  <c r="E646" i="8"/>
  <c r="N296" i="8"/>
  <c r="N746" i="8"/>
  <c r="G646" i="8"/>
  <c r="Q646" i="8"/>
  <c r="U296" i="8"/>
  <c r="T448" i="8"/>
  <c r="K746" i="8"/>
  <c r="Q296" i="8"/>
  <c r="M448" i="8"/>
  <c r="M646" i="8"/>
  <c r="W746" i="8"/>
  <c r="C646" i="8"/>
  <c r="J296" i="8"/>
  <c r="S196" i="8"/>
  <c r="S99" i="8"/>
  <c r="X647" i="8"/>
  <c r="J647" i="8"/>
  <c r="T647" i="8"/>
  <c r="E647" i="8"/>
  <c r="N647" i="8"/>
  <c r="D647" i="8"/>
  <c r="I647" i="8"/>
  <c r="R647" i="8"/>
  <c r="Y647" i="8"/>
  <c r="H647" i="8"/>
  <c r="M647" i="8"/>
  <c r="W647" i="8"/>
  <c r="L647" i="8"/>
  <c r="Q647" i="8"/>
  <c r="C647" i="8"/>
  <c r="P647" i="8"/>
  <c r="V647" i="8"/>
  <c r="G647" i="8"/>
  <c r="U647" i="8"/>
  <c r="K647" i="8"/>
  <c r="F647" i="8"/>
  <c r="O647" i="8"/>
  <c r="O747" i="8"/>
  <c r="D747" i="8"/>
  <c r="G747" i="8"/>
  <c r="K747" i="8"/>
  <c r="M747" i="8"/>
  <c r="J747" i="8"/>
  <c r="H747" i="8"/>
  <c r="T747" i="8"/>
  <c r="W747" i="8"/>
  <c r="X747" i="8"/>
  <c r="I747" i="8"/>
  <c r="F747" i="8"/>
  <c r="R747" i="8"/>
  <c r="B648" i="8"/>
  <c r="S748" i="8"/>
  <c r="S549" i="8"/>
  <c r="E449" i="8"/>
  <c r="E297" i="8"/>
  <c r="K297" i="8"/>
  <c r="J297" i="8"/>
  <c r="R297" i="8"/>
  <c r="W297" i="8"/>
  <c r="L297" i="8"/>
  <c r="G297" i="8"/>
  <c r="T297" i="8"/>
  <c r="C297" i="8"/>
  <c r="N297" i="8"/>
  <c r="Q297" i="8"/>
  <c r="F297" i="8"/>
  <c r="D297" i="8"/>
  <c r="V297" i="8"/>
  <c r="M297" i="8"/>
  <c r="H297" i="8"/>
  <c r="O297" i="8"/>
  <c r="P297" i="8"/>
  <c r="Y297" i="8"/>
  <c r="X297" i="8"/>
  <c r="I297" i="8"/>
  <c r="U297" i="8"/>
  <c r="B298" i="8"/>
  <c r="V449" i="8"/>
  <c r="L449" i="8"/>
  <c r="K449" i="8"/>
  <c r="H449" i="8"/>
  <c r="G449" i="8"/>
  <c r="P449" i="8"/>
  <c r="U449" i="8"/>
  <c r="F449" i="8"/>
  <c r="O449" i="8"/>
  <c r="Y449" i="8"/>
  <c r="J449" i="8"/>
  <c r="T449" i="8"/>
  <c r="D449" i="8"/>
  <c r="N449" i="8"/>
  <c r="X449" i="8"/>
  <c r="I449" i="8"/>
  <c r="R449" i="8"/>
  <c r="C449" i="8"/>
  <c r="M449" i="8"/>
  <c r="W449" i="8"/>
  <c r="Q449" i="8"/>
  <c r="T197" i="8"/>
  <c r="U197" i="8"/>
  <c r="X197" i="8"/>
  <c r="W197" i="8"/>
  <c r="Y197" i="8"/>
  <c r="V197" i="8"/>
  <c r="N648" i="8" a="1"/>
  <c r="U648" i="8" a="1"/>
  <c r="W648" i="8" a="1"/>
  <c r="T298" i="8" a="1"/>
  <c r="T198" i="8" a="1"/>
  <c r="P648" i="8" a="1"/>
  <c r="L648" i="8" a="1"/>
  <c r="C298" i="8" a="1"/>
  <c r="Y298" i="8" a="1"/>
  <c r="V648" i="8" a="1"/>
  <c r="R648" i="8" a="1"/>
  <c r="W298" i="8" a="1"/>
  <c r="M648" i="8" a="1"/>
  <c r="V198" i="8" a="1"/>
  <c r="L298" i="8" a="1"/>
  <c r="Y198" i="8" a="1"/>
  <c r="X298" i="8" a="1"/>
  <c r="P747" i="8" a="1"/>
  <c r="J648" i="8" a="1"/>
  <c r="Q648" i="8" a="1"/>
  <c r="Q747" i="8" a="1"/>
  <c r="K298" i="8" a="1"/>
  <c r="U298" i="8" a="1"/>
  <c r="X198" i="8" a="1"/>
  <c r="E648" i="8" a="1"/>
  <c r="J298" i="8" a="1"/>
  <c r="C648" i="8" a="1"/>
  <c r="X648" i="8" a="1"/>
  <c r="W198" i="8" a="1"/>
  <c r="L747" i="8" a="1"/>
  <c r="U747" i="8" a="1"/>
  <c r="V298" i="8" a="1"/>
  <c r="T648" i="8" a="1"/>
  <c r="H648" i="8" a="1"/>
  <c r="D648" i="8" a="1"/>
  <c r="V747" i="8" a="1"/>
  <c r="N747" i="8" a="1"/>
  <c r="I648" i="8" a="1"/>
  <c r="P298" i="8" a="1"/>
  <c r="Q298" i="8" a="1"/>
  <c r="U198" i="8" a="1"/>
  <c r="C747" i="8" a="1"/>
  <c r="G648" i="8" a="1"/>
  <c r="O298" i="8" a="1"/>
  <c r="F298" i="8" a="1"/>
  <c r="Y648" i="8" a="1"/>
  <c r="K648" i="8" a="1"/>
  <c r="O648" i="8" a="1"/>
  <c r="H298" i="8" a="1"/>
  <c r="Y747" i="8" a="1"/>
  <c r="E747" i="8" a="1"/>
  <c r="S296" i="8" l="1"/>
  <c r="S448" i="8"/>
  <c r="S646" i="8"/>
  <c r="Q747" i="8"/>
  <c r="C747" i="8"/>
  <c r="Y747" i="8"/>
  <c r="V747" i="8"/>
  <c r="S747" i="8" s="1"/>
  <c r="N747" i="8"/>
  <c r="E747" i="8"/>
  <c r="L747" i="8"/>
  <c r="P747" i="8"/>
  <c r="U747" i="8"/>
  <c r="S197" i="8"/>
  <c r="S647" i="8"/>
  <c r="Q648" i="8"/>
  <c r="W648" i="8"/>
  <c r="D648" i="8"/>
  <c r="Y648" i="8"/>
  <c r="U648" i="8"/>
  <c r="H648" i="8"/>
  <c r="V648" i="8"/>
  <c r="C648" i="8"/>
  <c r="L648" i="8"/>
  <c r="M648" i="8"/>
  <c r="G648" i="8"/>
  <c r="P648" i="8"/>
  <c r="K648" i="8"/>
  <c r="X648" i="8"/>
  <c r="E648" i="8"/>
  <c r="J648" i="8"/>
  <c r="O648" i="8"/>
  <c r="I648" i="8"/>
  <c r="N648" i="8"/>
  <c r="T648" i="8"/>
  <c r="R648" i="8"/>
  <c r="B649" i="8"/>
  <c r="S297" i="8"/>
  <c r="S449" i="8"/>
  <c r="Q298" i="8"/>
  <c r="O298" i="8"/>
  <c r="L298" i="8"/>
  <c r="C298" i="8"/>
  <c r="Y298" i="8"/>
  <c r="K298" i="8"/>
  <c r="T298" i="8"/>
  <c r="U298" i="8"/>
  <c r="W298" i="8"/>
  <c r="V298" i="8"/>
  <c r="F298" i="8"/>
  <c r="X298" i="8"/>
  <c r="P298" i="8"/>
  <c r="H298" i="8"/>
  <c r="J298" i="8"/>
  <c r="B299" i="8"/>
  <c r="V198" i="8"/>
  <c r="W198" i="8"/>
  <c r="X198" i="8"/>
  <c r="T198" i="8"/>
  <c r="Y198" i="8"/>
  <c r="U198" i="8"/>
  <c r="G298" i="8" a="1"/>
  <c r="M649" i="8" a="1"/>
  <c r="Y649" i="8" a="1"/>
  <c r="T199" i="8" a="1"/>
  <c r="Q649" i="8" a="1"/>
  <c r="U299" i="8" a="1"/>
  <c r="U199" i="8" a="1"/>
  <c r="J649" i="8" a="1"/>
  <c r="E299" i="8" a="1"/>
  <c r="H649" i="8" a="1"/>
  <c r="E649" i="8" a="1"/>
  <c r="T649" i="8" a="1"/>
  <c r="M298" i="8" a="1"/>
  <c r="Y199" i="8" a="1"/>
  <c r="N649" i="8" a="1"/>
  <c r="J299" i="8" a="1"/>
  <c r="X649" i="8" a="1"/>
  <c r="P649" i="8" a="1"/>
  <c r="N298" i="8" a="1"/>
  <c r="X199" i="8" a="1"/>
  <c r="W199" i="8" a="1"/>
  <c r="R298" i="8" a="1"/>
  <c r="O649" i="8" a="1"/>
  <c r="V199" i="8" a="1"/>
  <c r="K299" i="8" a="1"/>
  <c r="F648" i="8" a="1"/>
  <c r="W649" i="8" a="1"/>
  <c r="E298" i="8" a="1"/>
  <c r="G299" i="8" a="1"/>
  <c r="I298" i="8" a="1"/>
  <c r="F649" i="8" a="1"/>
  <c r="D298" i="8" a="1"/>
  <c r="D298" i="8" l="1"/>
  <c r="I298" i="8"/>
  <c r="R298" i="8"/>
  <c r="G298" i="8"/>
  <c r="M298" i="8"/>
  <c r="F648" i="8"/>
  <c r="E298" i="8"/>
  <c r="N298" i="8"/>
  <c r="S198" i="8"/>
  <c r="H649" i="8"/>
  <c r="Q649" i="8"/>
  <c r="P649" i="8"/>
  <c r="F649" i="8"/>
  <c r="X649" i="8"/>
  <c r="W649" i="8"/>
  <c r="M649" i="8"/>
  <c r="J649" i="8"/>
  <c r="O649" i="8"/>
  <c r="Y649" i="8"/>
  <c r="N649" i="8"/>
  <c r="T649" i="8"/>
  <c r="E649" i="8"/>
  <c r="S648" i="8"/>
  <c r="S298" i="8"/>
  <c r="E299" i="8"/>
  <c r="J299" i="8"/>
  <c r="K299" i="8"/>
  <c r="G299" i="8"/>
  <c r="U299" i="8"/>
  <c r="T199" i="8"/>
  <c r="W199" i="8"/>
  <c r="X199" i="8"/>
  <c r="V199" i="8"/>
  <c r="U199" i="8"/>
  <c r="Y199" i="8"/>
  <c r="K649" i="8" a="1"/>
  <c r="H299" i="8" a="1"/>
  <c r="D299" i="8" a="1"/>
  <c r="L649" i="8" a="1"/>
  <c r="G649" i="8" a="1"/>
  <c r="Y299" i="8" a="1"/>
  <c r="D649" i="8" a="1"/>
  <c r="Q299" i="8" a="1"/>
  <c r="O299" i="8" a="1"/>
  <c r="C649" i="8" a="1"/>
  <c r="P299" i="8" a="1"/>
  <c r="V299" i="8" a="1"/>
  <c r="I649" i="8" a="1"/>
  <c r="F299" i="8" a="1"/>
  <c r="M299" i="8" a="1"/>
  <c r="R299" i="8" a="1"/>
  <c r="V649" i="8" a="1"/>
  <c r="I299" i="8" a="1"/>
  <c r="X299" i="8" a="1"/>
  <c r="R649" i="8" a="1"/>
  <c r="C299" i="8" a="1"/>
  <c r="L299" i="8" a="1"/>
  <c r="W299" i="8" a="1"/>
  <c r="U649" i="8" a="1"/>
  <c r="N299" i="8" a="1"/>
  <c r="T299" i="8" a="1"/>
  <c r="R649" i="8" l="1"/>
  <c r="O299" i="8"/>
  <c r="F299" i="8"/>
  <c r="U649" i="8"/>
  <c r="T299" i="8"/>
  <c r="W299" i="8"/>
  <c r="N299" i="8"/>
  <c r="G649" i="8"/>
  <c r="R299" i="8"/>
  <c r="Y299" i="8"/>
  <c r="V649" i="8"/>
  <c r="S649" i="8" s="1"/>
  <c r="K649" i="8"/>
  <c r="C299" i="8"/>
  <c r="I649" i="8"/>
  <c r="Q299" i="8"/>
  <c r="D299" i="8"/>
  <c r="L649" i="8"/>
  <c r="M299" i="8"/>
  <c r="X299" i="8"/>
  <c r="L299" i="8"/>
  <c r="P299" i="8"/>
  <c r="V299" i="8"/>
  <c r="H299" i="8"/>
  <c r="C649" i="8"/>
  <c r="I299" i="8"/>
  <c r="D649" i="8"/>
  <c r="S199" i="8"/>
  <c r="S299" i="8" l="1"/>
  <c r="F13" i="5" l="1"/>
  <c r="I13" i="5" s="1"/>
  <c r="F33" i="5"/>
  <c r="I33" i="5" s="1"/>
  <c r="F10" i="5"/>
  <c r="I10" i="5" s="1"/>
  <c r="F30" i="5"/>
  <c r="I30" i="5" s="1"/>
  <c r="F9" i="5"/>
  <c r="I9" i="5" s="1"/>
  <c r="F26" i="5"/>
  <c r="I26" i="5" s="1"/>
  <c r="F31" i="5"/>
  <c r="I31" i="5" s="1"/>
  <c r="F28" i="5"/>
  <c r="I28" i="5" s="1"/>
  <c r="F35" i="5"/>
  <c r="I35" i="5" s="1"/>
  <c r="F7" i="5"/>
  <c r="I7" i="5" s="1"/>
  <c r="F19" i="5"/>
  <c r="I19" i="5" s="1"/>
  <c r="F16" i="5"/>
  <c r="I16" i="5" s="1"/>
  <c r="F25" i="5"/>
  <c r="I25" i="5" s="1"/>
  <c r="F5" i="5"/>
  <c r="I5" i="5" s="1"/>
  <c r="F32" i="5"/>
  <c r="I32" i="5" s="1"/>
  <c r="F24" i="5"/>
  <c r="I24" i="5" s="1"/>
  <c r="F15" i="5"/>
  <c r="I15" i="5" s="1"/>
  <c r="F14" i="5"/>
  <c r="I14" i="5" s="1"/>
  <c r="F6" i="5"/>
  <c r="I6" i="5" s="1"/>
  <c r="F8" i="5"/>
  <c r="I8" i="5" s="1"/>
  <c r="F11" i="5"/>
  <c r="I11" i="5" s="1"/>
  <c r="F22" i="5"/>
  <c r="I22" i="5" s="1"/>
  <c r="F21" i="5"/>
  <c r="I21" i="5" s="1"/>
  <c r="F18" i="5"/>
  <c r="I18" i="5" s="1"/>
  <c r="F27" i="5"/>
  <c r="I27" i="5" s="1"/>
  <c r="F23" i="5"/>
  <c r="I23" i="5" s="1"/>
  <c r="F20" i="5"/>
  <c r="I20" i="5" s="1"/>
  <c r="F12" i="5"/>
  <c r="I12" i="5" s="1"/>
  <c r="F38" i="5"/>
  <c r="I38" i="5" s="1"/>
  <c r="F34" i="5"/>
  <c r="I34" i="5" s="1"/>
  <c r="F17" i="5"/>
  <c r="I17" i="5" s="1"/>
  <c r="J34" i="5" l="1"/>
  <c r="M34" i="5" s="1"/>
  <c r="J12" i="5"/>
  <c r="M12" i="5" s="1"/>
  <c r="J21" i="5"/>
  <c r="M21" i="5" s="1"/>
  <c r="J17" i="5"/>
  <c r="M17" i="5" s="1"/>
  <c r="J27" i="5"/>
  <c r="M27" i="5" s="1"/>
  <c r="J32" i="5"/>
  <c r="M32" i="5" s="1"/>
  <c r="J11" i="5"/>
  <c r="M11" i="5" s="1"/>
  <c r="J7" i="5"/>
  <c r="M7" i="5" s="1"/>
  <c r="J35" i="5"/>
  <c r="M35" i="5" s="1"/>
  <c r="J20" i="5"/>
  <c r="M20" i="5" s="1"/>
  <c r="J24" i="5"/>
  <c r="M24" i="5" s="1"/>
  <c r="J5" i="5"/>
  <c r="M5" i="5" s="1"/>
  <c r="J13" i="5"/>
  <c r="M13" i="5" s="1"/>
  <c r="J9" i="5"/>
  <c r="M9" i="5" s="1"/>
  <c r="J38" i="5"/>
  <c r="M38" i="5" s="1"/>
  <c r="J8" i="5"/>
  <c r="M8" i="5" s="1"/>
  <c r="J31" i="5"/>
  <c r="M31" i="5" s="1"/>
  <c r="J6" i="5"/>
  <c r="M6" i="5" s="1"/>
  <c r="J25" i="5"/>
  <c r="M25" i="5" s="1"/>
  <c r="J33" i="5"/>
  <c r="M33" i="5" s="1"/>
  <c r="J26" i="5"/>
  <c r="M26" i="5" s="1"/>
  <c r="J22" i="5"/>
  <c r="M22" i="5" s="1"/>
  <c r="J16" i="5"/>
  <c r="M16" i="5" s="1"/>
  <c r="J10" i="5"/>
  <c r="M10" i="5" s="1"/>
  <c r="J28" i="5"/>
  <c r="M28" i="5" s="1"/>
  <c r="J14" i="5"/>
  <c r="M14" i="5" s="1"/>
  <c r="J30" i="5"/>
  <c r="M30" i="5" s="1"/>
  <c r="J15" i="5"/>
  <c r="M15" i="5" s="1"/>
  <c r="J18" i="5"/>
  <c r="M18" i="5" s="1"/>
  <c r="J19" i="5"/>
  <c r="M19" i="5" s="1"/>
  <c r="J23" i="5"/>
  <c r="M23" i="5" s="1"/>
  <c r="T350" i="8" a="1"/>
  <c r="T350" i="8" l="1"/>
  <c r="S350" i="8" s="1"/>
  <c r="N350" i="8" a="1"/>
  <c r="N350" i="8" l="1"/>
  <c r="T451" i="8" a="1"/>
  <c r="T451" i="8" l="1"/>
  <c r="S451" i="8" s="1"/>
  <c r="L3" i="11"/>
  <c r="N451" i="8" a="1"/>
  <c r="N451" i="8" l="1"/>
  <c r="T551" i="8" a="1"/>
  <c r="T551" i="8" l="1"/>
  <c r="S551" i="8" s="1"/>
  <c r="N551" i="8" a="1"/>
  <c r="N551" i="8" l="1"/>
  <c r="AF20" i="5" l="1"/>
  <c r="AF13" i="5"/>
  <c r="AF7" i="5"/>
  <c r="AF14" i="5"/>
  <c r="AF19" i="5"/>
  <c r="AF12" i="5"/>
  <c r="AF33" i="5"/>
  <c r="AF8" i="5"/>
  <c r="AF18" i="5"/>
  <c r="AF11" i="5"/>
  <c r="AF22" i="5"/>
  <c r="AF30" i="5"/>
  <c r="AF35" i="5"/>
  <c r="AF6" i="5"/>
  <c r="AF38" i="5"/>
  <c r="AF17" i="5"/>
  <c r="AF34" i="5"/>
  <c r="AF32" i="5"/>
  <c r="AF28" i="5"/>
  <c r="AF16" i="5"/>
  <c r="AF10" i="5"/>
  <c r="AF5" i="5"/>
  <c r="AF21" i="5"/>
  <c r="AF31" i="5"/>
  <c r="AF9" i="5"/>
  <c r="AF25" i="5"/>
  <c r="AF15" i="5"/>
  <c r="AF24" i="5"/>
  <c r="AF23" i="5"/>
  <c r="AF26" i="5"/>
  <c r="AF27" i="5"/>
  <c r="N17" i="5" l="1"/>
  <c r="Q17" i="5" s="1"/>
  <c r="N9" i="5"/>
  <c r="Q9" i="5" s="1"/>
  <c r="N11" i="5"/>
  <c r="Q11" i="5" s="1"/>
  <c r="N13" i="5"/>
  <c r="Q13" i="5" s="1"/>
  <c r="N23" i="5"/>
  <c r="Q23" i="5" s="1"/>
  <c r="N16" i="5"/>
  <c r="Q16" i="5" s="1"/>
  <c r="N27" i="5"/>
  <c r="Q27" i="5" s="1"/>
  <c r="N29" i="5"/>
  <c r="Q29" i="5" s="1"/>
  <c r="N38" i="5"/>
  <c r="Q38" i="5" s="1"/>
  <c r="N21" i="5"/>
  <c r="Q21" i="5" s="1"/>
  <c r="N31" i="5" l="1"/>
  <c r="Q31" i="5" s="1"/>
  <c r="N26" i="5"/>
  <c r="Q26" i="5" s="1"/>
  <c r="N18" i="5"/>
  <c r="Q18" i="5" s="1"/>
  <c r="N25" i="5"/>
  <c r="Q25" i="5" s="1"/>
  <c r="N32" i="5"/>
  <c r="Q32" i="5" s="1"/>
  <c r="N28" i="5"/>
  <c r="Q28" i="5" s="1"/>
  <c r="N20" i="5"/>
  <c r="Q20" i="5" s="1"/>
  <c r="N35" i="5"/>
  <c r="Q35" i="5" s="1"/>
  <c r="N6" i="5"/>
  <c r="Q6" i="5" s="1"/>
  <c r="N22" i="5"/>
  <c r="Q22" i="5" s="1"/>
  <c r="N30" i="5"/>
  <c r="Q30" i="5" s="1"/>
  <c r="N33" i="5"/>
  <c r="Q33" i="5" s="1"/>
  <c r="N15" i="5"/>
  <c r="Q15" i="5" s="1"/>
  <c r="N24" i="5"/>
  <c r="Q24" i="5" s="1"/>
  <c r="N34" i="5"/>
  <c r="Q34" i="5" s="1"/>
  <c r="N19" i="5"/>
  <c r="Q19" i="5" s="1"/>
  <c r="N7" i="5"/>
  <c r="Q7" i="5" s="1"/>
  <c r="N5" i="5"/>
  <c r="Q5" i="5" s="1"/>
  <c r="N10" i="5"/>
  <c r="Q10" i="5" s="1"/>
  <c r="N14" i="5"/>
  <c r="Q14" i="5" s="1"/>
  <c r="N12" i="5"/>
  <c r="Q12" i="5" s="1"/>
  <c r="N8" i="5"/>
  <c r="Q8" i="5" s="1"/>
  <c r="L6" i="13" l="1"/>
  <c r="T300" i="8" a="1"/>
  <c r="N304" i="8" a="1"/>
  <c r="N304" i="8" l="1"/>
  <c r="T300" i="8"/>
  <c r="S300" i="8" s="1"/>
  <c r="L2" i="13"/>
  <c r="N300" i="8" a="1"/>
  <c r="N300" i="8" l="1"/>
  <c r="L11" i="3" l="1"/>
  <c r="N329" i="8" a="1"/>
  <c r="N329" i="8" l="1"/>
  <c r="L4" i="3"/>
  <c r="N322" i="8" a="1"/>
  <c r="N322" i="8" l="1"/>
  <c r="L5" i="3"/>
  <c r="N323" i="8" a="1"/>
  <c r="N323" i="8" l="1"/>
  <c r="L7" i="3"/>
  <c r="N325" i="8" a="1"/>
  <c r="N325" i="8" l="1"/>
  <c r="L8" i="3"/>
  <c r="N326" i="8" a="1"/>
  <c r="N326" i="8" l="1"/>
  <c r="X28" i="5"/>
  <c r="X11" i="5"/>
  <c r="X14" i="5"/>
  <c r="X29" i="5"/>
  <c r="X31" i="5"/>
  <c r="X17" i="5"/>
  <c r="X12" i="5"/>
  <c r="X30" i="5"/>
  <c r="X21" i="5"/>
  <c r="X10" i="5"/>
  <c r="X6" i="5"/>
  <c r="X9" i="5"/>
  <c r="X35" i="5"/>
  <c r="X22" i="5"/>
  <c r="X20" i="5"/>
  <c r="X32" i="5"/>
  <c r="X19" i="5"/>
  <c r="X23" i="5"/>
  <c r="X13" i="5"/>
  <c r="X26" i="5"/>
  <c r="X8" i="5"/>
  <c r="X7" i="5"/>
  <c r="X24" i="5"/>
  <c r="X25" i="5"/>
  <c r="X15" i="5"/>
  <c r="X38" i="5"/>
  <c r="X33" i="5"/>
  <c r="X16" i="5"/>
  <c r="X18" i="5"/>
  <c r="X34" i="5"/>
  <c r="X27" i="5" l="1"/>
  <c r="L9" i="3"/>
  <c r="X5" i="5"/>
  <c r="Z5" i="5" s="1"/>
  <c r="N327" i="8" a="1"/>
  <c r="N327" i="8" l="1"/>
  <c r="L25" i="11"/>
  <c r="L19" i="11" l="1"/>
  <c r="L26" i="11" l="1"/>
  <c r="L20" i="11" l="1"/>
  <c r="L23" i="11" l="1"/>
  <c r="L22" i="11" l="1"/>
  <c r="L21" i="11" l="1"/>
  <c r="L28" i="11" l="1"/>
  <c r="L27" i="11" l="1"/>
  <c r="L24" i="11" l="1"/>
  <c r="L23" i="15" l="1"/>
  <c r="N671" i="8" a="1"/>
  <c r="T652" i="8" a="1"/>
  <c r="N671" i="8" l="1"/>
  <c r="T652" i="8"/>
  <c r="S652" i="8" s="1"/>
  <c r="L4" i="15"/>
  <c r="N652" i="8" a="1"/>
  <c r="N652" i="8" l="1"/>
  <c r="L5" i="15"/>
  <c r="T653" i="8" a="1"/>
  <c r="N653" i="8" a="1"/>
  <c r="T653" i="8" l="1"/>
  <c r="N653" i="8"/>
  <c r="S653" i="8"/>
  <c r="T654" i="8" a="1"/>
  <c r="T654" i="8" l="1"/>
  <c r="S654" i="8" s="1"/>
  <c r="L6" i="15"/>
  <c r="N654" i="8" a="1"/>
  <c r="N654" i="8" l="1"/>
  <c r="L7" i="15"/>
  <c r="T655" i="8" a="1"/>
  <c r="N655" i="8" a="1"/>
  <c r="T655" i="8" l="1"/>
  <c r="S655" i="8" s="1"/>
  <c r="N655" i="8"/>
  <c r="T656" i="8" a="1"/>
  <c r="T656" i="8" l="1"/>
  <c r="S656" i="8" s="1"/>
  <c r="L8" i="15"/>
  <c r="N656" i="8" a="1"/>
  <c r="N656" i="8" l="1"/>
  <c r="L9" i="15"/>
  <c r="N657" i="8" a="1"/>
  <c r="T657" i="8" a="1"/>
  <c r="T657" i="8" l="1"/>
  <c r="S657" i="8" s="1"/>
  <c r="N657" i="8"/>
  <c r="T658" i="8" a="1"/>
  <c r="T658" i="8" l="1"/>
  <c r="S658" i="8" s="1"/>
  <c r="L10" i="15"/>
  <c r="N658" i="8" a="1"/>
  <c r="N658" i="8" l="1"/>
  <c r="L11" i="15"/>
  <c r="N659" i="8" a="1"/>
  <c r="T659" i="8" a="1"/>
  <c r="T659" i="8" l="1"/>
  <c r="S659" i="8" s="1"/>
  <c r="N659" i="8"/>
  <c r="T660" i="8" a="1"/>
  <c r="T660" i="8" l="1"/>
  <c r="S660" i="8" s="1"/>
  <c r="L12" i="15"/>
  <c r="N660" i="8" a="1"/>
  <c r="N660" i="8" l="1"/>
  <c r="L13" i="15"/>
  <c r="N661" i="8" a="1"/>
  <c r="T661" i="8" a="1"/>
  <c r="T661" i="8" l="1"/>
  <c r="S661" i="8" s="1"/>
  <c r="N661" i="8"/>
  <c r="L15" i="15"/>
  <c r="T663" i="8" a="1"/>
  <c r="N663" i="8" a="1"/>
  <c r="T663" i="8" l="1"/>
  <c r="S663" i="8" s="1"/>
  <c r="N663" i="8"/>
  <c r="T664" i="8" a="1"/>
  <c r="T664" i="8" l="1"/>
  <c r="S664" i="8" s="1"/>
  <c r="L16" i="15"/>
  <c r="N664" i="8" a="1"/>
  <c r="N664" i="8" l="1"/>
  <c r="L18" i="15"/>
  <c r="T666" i="8" a="1"/>
  <c r="N666" i="8" a="1"/>
  <c r="T666" i="8" l="1"/>
  <c r="N666" i="8"/>
  <c r="S666" i="8"/>
  <c r="T667" i="8" a="1"/>
  <c r="T667" i="8" l="1"/>
  <c r="S667" i="8" s="1"/>
  <c r="L19" i="15"/>
  <c r="N667" i="8" a="1"/>
  <c r="N667" i="8" l="1"/>
  <c r="L20" i="15"/>
  <c r="T668" i="8" a="1"/>
  <c r="N668" i="8" a="1"/>
  <c r="T668" i="8" l="1"/>
  <c r="S668" i="8" s="1"/>
  <c r="N668" i="8"/>
  <c r="T669" i="8" a="1"/>
  <c r="T669" i="8" l="1"/>
  <c r="S669" i="8" s="1"/>
  <c r="L21" i="15"/>
  <c r="N669" i="8" a="1"/>
  <c r="N669" i="8" l="1"/>
  <c r="L22" i="15"/>
  <c r="N670" i="8" a="1"/>
  <c r="T670" i="8" a="1"/>
  <c r="T670" i="8" l="1"/>
  <c r="N670" i="8"/>
  <c r="S670" i="8"/>
  <c r="L24" i="15"/>
  <c r="T672" i="8" a="1"/>
  <c r="N672" i="8" a="1"/>
  <c r="T672" i="8" l="1"/>
  <c r="S672" i="8" s="1"/>
  <c r="N672" i="8"/>
  <c r="Z27" i="5"/>
  <c r="Z17" i="5"/>
  <c r="Z8" i="5"/>
  <c r="Z10" i="5"/>
  <c r="Z32" i="5"/>
  <c r="Z28" i="5"/>
  <c r="Z26" i="5"/>
  <c r="Z19" i="5"/>
  <c r="Z38" i="5"/>
  <c r="Z16" i="5"/>
  <c r="Z35" i="5"/>
  <c r="Z33" i="5"/>
  <c r="Z11" i="5"/>
  <c r="Z30" i="5"/>
  <c r="Z25" i="5"/>
  <c r="Z34" i="5"/>
  <c r="Z13" i="5"/>
  <c r="Z20" i="5"/>
  <c r="Z6" i="5"/>
  <c r="Z7" i="5"/>
  <c r="Z14" i="5"/>
  <c r="Z18" i="5"/>
  <c r="Z24" i="5"/>
  <c r="Z22" i="5"/>
  <c r="Z12" i="5"/>
  <c r="Z31" i="5"/>
  <c r="Z23" i="5"/>
  <c r="Z29" i="5"/>
  <c r="Z21" i="5"/>
  <c r="Z9" i="5"/>
  <c r="Z15" i="5"/>
  <c r="AC18" i="5" l="1"/>
  <c r="AD18" i="5" s="1"/>
  <c r="AG18" i="5" s="1"/>
  <c r="AA18" i="5"/>
  <c r="AC30" i="5"/>
  <c r="AD30" i="5" s="1"/>
  <c r="AG30" i="5" s="1"/>
  <c r="AA30" i="5"/>
  <c r="AC28" i="5"/>
  <c r="AD28" i="5" s="1"/>
  <c r="AG28" i="5" s="1"/>
  <c r="AA28" i="5"/>
  <c r="AC5" i="5"/>
  <c r="AD5" i="5" s="1"/>
  <c r="AG5" i="5" s="1"/>
  <c r="AA5" i="5"/>
  <c r="AC14" i="5"/>
  <c r="AD14" i="5" s="1"/>
  <c r="AG14" i="5" s="1"/>
  <c r="AA14" i="5"/>
  <c r="AC11" i="5"/>
  <c r="AD11" i="5" s="1"/>
  <c r="AG11" i="5" s="1"/>
  <c r="AA11" i="5"/>
  <c r="AC32" i="5"/>
  <c r="AD32" i="5" s="1"/>
  <c r="AG32" i="5" s="1"/>
  <c r="AA32" i="5"/>
  <c r="AC21" i="5"/>
  <c r="AD21" i="5" s="1"/>
  <c r="AG21" i="5" s="1"/>
  <c r="AA21" i="5"/>
  <c r="AC7" i="5"/>
  <c r="AD7" i="5" s="1"/>
  <c r="AG7" i="5" s="1"/>
  <c r="AA7" i="5"/>
  <c r="AC33" i="5"/>
  <c r="AD33" i="5" s="1"/>
  <c r="AG33" i="5" s="1"/>
  <c r="AA33" i="5"/>
  <c r="AC10" i="5"/>
  <c r="AD10" i="5" s="1"/>
  <c r="AG10" i="5" s="1"/>
  <c r="AA10" i="5"/>
  <c r="AC35" i="5"/>
  <c r="AD35" i="5" s="1"/>
  <c r="AG35" i="5" s="1"/>
  <c r="AA35" i="5"/>
  <c r="AC8" i="5"/>
  <c r="AD8" i="5" s="1"/>
  <c r="AG8" i="5" s="1"/>
  <c r="AA8" i="5"/>
  <c r="AC6" i="5"/>
  <c r="AD6" i="5" s="1"/>
  <c r="AG6" i="5" s="1"/>
  <c r="AA6" i="5"/>
  <c r="AC31" i="5"/>
  <c r="AD31" i="5" s="1"/>
  <c r="AG31" i="5" s="1"/>
  <c r="AA31" i="5"/>
  <c r="AC20" i="5"/>
  <c r="AD20" i="5" s="1"/>
  <c r="AG20" i="5" s="1"/>
  <c r="AA20" i="5"/>
  <c r="AC16" i="5"/>
  <c r="AD16" i="5" s="1"/>
  <c r="AG16" i="5" s="1"/>
  <c r="AA16" i="5"/>
  <c r="AC17" i="5"/>
  <c r="AD17" i="5" s="1"/>
  <c r="AG17" i="5" s="1"/>
  <c r="AA17" i="5"/>
  <c r="AC29" i="5"/>
  <c r="AD29" i="5" s="1"/>
  <c r="AG29" i="5" s="1"/>
  <c r="AA29" i="5"/>
  <c r="AC12" i="5"/>
  <c r="AD12" i="5" s="1"/>
  <c r="AG12" i="5" s="1"/>
  <c r="AA12" i="5"/>
  <c r="AC13" i="5"/>
  <c r="AD13" i="5" s="1"/>
  <c r="AG13" i="5" s="1"/>
  <c r="AA13" i="5"/>
  <c r="AC38" i="5"/>
  <c r="AD38" i="5" s="1"/>
  <c r="AG38" i="5" s="1"/>
  <c r="AA38" i="5"/>
  <c r="AC27" i="5"/>
  <c r="AD27" i="5" s="1"/>
  <c r="AG27" i="5" s="1"/>
  <c r="AA27" i="5"/>
  <c r="AC9" i="5"/>
  <c r="AD9" i="5" s="1"/>
  <c r="AG9" i="5" s="1"/>
  <c r="AA9" i="5"/>
  <c r="AC23" i="5"/>
  <c r="AD23" i="5" s="1"/>
  <c r="AG23" i="5" s="1"/>
  <c r="AA23" i="5"/>
  <c r="AC15" i="5"/>
  <c r="AD15" i="5" s="1"/>
  <c r="AG15" i="5" s="1"/>
  <c r="AA15" i="5"/>
  <c r="AC22" i="5"/>
  <c r="AD22" i="5" s="1"/>
  <c r="AG22" i="5" s="1"/>
  <c r="AA22" i="5"/>
  <c r="AC34" i="5"/>
  <c r="AD34" i="5" s="1"/>
  <c r="AG34" i="5" s="1"/>
  <c r="AA34" i="5"/>
  <c r="AC19" i="5"/>
  <c r="AD19" i="5" s="1"/>
  <c r="AG19" i="5" s="1"/>
  <c r="AA19" i="5"/>
  <c r="AC24" i="5"/>
  <c r="AD24" i="5" s="1"/>
  <c r="AG24" i="5" s="1"/>
  <c r="AA24" i="5"/>
  <c r="AC25" i="5"/>
  <c r="AD25" i="5" s="1"/>
  <c r="AG25" i="5" s="1"/>
  <c r="AA25" i="5"/>
  <c r="AC26" i="5"/>
  <c r="AD26" i="5" s="1"/>
  <c r="AG26" i="5" s="1"/>
  <c r="AA26" i="5"/>
  <c r="L27" i="15"/>
  <c r="T675" i="8" a="1"/>
  <c r="N675" i="8" a="1"/>
  <c r="AD39" i="5" l="1"/>
  <c r="T675" i="8"/>
  <c r="N675" i="8"/>
  <c r="S675" i="8"/>
  <c r="O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<sst xmlns="http://schemas.openxmlformats.org/spreadsheetml/2006/main" count="2902" uniqueCount="411">
  <si>
    <t>Дисциплина</t>
  </si>
  <si>
    <t>Шифр специальноси</t>
  </si>
  <si>
    <t>№ группы</t>
  </si>
  <si>
    <t>Сем</t>
  </si>
  <si>
    <t>Ко-во групп(по нагрузке)</t>
  </si>
  <si>
    <t>Кол.студ</t>
  </si>
  <si>
    <t>Атт</t>
  </si>
  <si>
    <t>ZET</t>
  </si>
  <si>
    <t>Лек</t>
  </si>
  <si>
    <t>ПЗ</t>
  </si>
  <si>
    <t>ЛР, кол-во п/групп</t>
  </si>
  <si>
    <t>ФИО преподавателя, звание, должность</t>
  </si>
  <si>
    <t>Информация о занятости почасовиков, совместителей</t>
  </si>
  <si>
    <t>Основы программирования: Алгоритмические языки и программирование</t>
  </si>
  <si>
    <t xml:space="preserve">09.03.01(09) </t>
  </si>
  <si>
    <t>Ко-во групп (по нагрузке)</t>
  </si>
  <si>
    <t>2091
2092
2093</t>
  </si>
  <si>
    <t>ЭКЗ</t>
  </si>
  <si>
    <t>Архитектура ЭВМ и периферийных устройств</t>
  </si>
  <si>
    <t>ЗАЧ</t>
  </si>
  <si>
    <t>Информационные технологии</t>
  </si>
  <si>
    <t>IT в профессиональной деятельности</t>
  </si>
  <si>
    <t>Операционные системы</t>
  </si>
  <si>
    <t>КП</t>
  </si>
  <si>
    <t>Коммерциализация IT проектов</t>
  </si>
  <si>
    <t>ДЗ</t>
  </si>
  <si>
    <t>Численные методы и программирование</t>
  </si>
  <si>
    <t>Основы программирования микроконтроллеров и ПЛИС</t>
  </si>
  <si>
    <t>Практика учебная: Практика проектно-технологическая</t>
  </si>
  <si>
    <t xml:space="preserve">44.03.05(12) 44.03.05(13) </t>
  </si>
  <si>
    <t>лр * 2п</t>
  </si>
  <si>
    <t xml:space="preserve">13.03.01(41) 23.03.03(06) </t>
  </si>
  <si>
    <t>ИПТ</t>
  </si>
  <si>
    <t>Системы искусственного интеллекта</t>
  </si>
  <si>
    <t>Моделирование систем</t>
  </si>
  <si>
    <t>Защита информации</t>
  </si>
  <si>
    <t>Проектирование информационных систем</t>
  </si>
  <si>
    <t>Технология разработки программного обеспечения</t>
  </si>
  <si>
    <t>Обработка экспериментальных данных на ЭВМ</t>
  </si>
  <si>
    <t>Практика учебная: Практика эксплуатационная</t>
  </si>
  <si>
    <t>пр * 2пп
лр * 2пп</t>
  </si>
  <si>
    <t>Введение в программирование и программирование в визуальных средах</t>
  </si>
  <si>
    <t>Распознавание образов и обработка изображений</t>
  </si>
  <si>
    <t>Управление качеством</t>
  </si>
  <si>
    <t>Практика производственная: Практика преддипломная</t>
  </si>
  <si>
    <t>Компьютерные технологии в математике и физике</t>
  </si>
  <si>
    <t>Мультимедиа технологии в образовании и технологии дистанционного обучения</t>
  </si>
  <si>
    <t>Сетевые технологии больших данных</t>
  </si>
  <si>
    <t xml:space="preserve">09.04.01(09) </t>
  </si>
  <si>
    <t>Практика производственная: Научно-исследовательская работа</t>
  </si>
  <si>
    <t>09.03.01(09)</t>
  </si>
  <si>
    <t>Основы программирования: Алгоритмические языки и программирование(установ.)</t>
  </si>
  <si>
    <t>Основы программирования: Структуры данных и алгоритмы(установ.)</t>
  </si>
  <si>
    <t>Проектный практикум</t>
  </si>
  <si>
    <t>Макевич П.В.</t>
  </si>
  <si>
    <t>Основы программирования: Структуры данных и алгоритмы</t>
  </si>
  <si>
    <t>Объектно-ориентированное программирование (уст)</t>
  </si>
  <si>
    <t>Базы данных (уст)</t>
  </si>
  <si>
    <t>Функциональное и логическое программирование</t>
  </si>
  <si>
    <t>Практика производственная: Практика эксплуатационная</t>
  </si>
  <si>
    <t>Web-программирование</t>
  </si>
  <si>
    <t>Объектно-ориентированное программирование</t>
  </si>
  <si>
    <t>Сети и теллекоммуникации (уст)</t>
  </si>
  <si>
    <t>Базы данных</t>
  </si>
  <si>
    <t>Моделирование систем (уст)</t>
  </si>
  <si>
    <t>Основы теории управления</t>
  </si>
  <si>
    <t>Практика учебная: практика проектно-технологическая</t>
  </si>
  <si>
    <t>Эрштейн Л.Б.</t>
  </si>
  <si>
    <t>Эминов С.И.</t>
  </si>
  <si>
    <t>Моркин С.А.</t>
  </si>
  <si>
    <t>Михайлов Д.В.</t>
  </si>
  <si>
    <t>Жгун Т.В.</t>
  </si>
  <si>
    <t>Журавлева М.П.</t>
  </si>
  <si>
    <t>Бритвина Л.Е.</t>
  </si>
  <si>
    <t>Соколова Г.Ю.</t>
  </si>
  <si>
    <t>Архипова Г.А.</t>
  </si>
  <si>
    <t>Килиба Ю.В.</t>
  </si>
  <si>
    <t>Винник Л.И.</t>
  </si>
  <si>
    <t>Цымбалюк Л.Н.</t>
  </si>
  <si>
    <t>Телина И.С.</t>
  </si>
  <si>
    <t>Петров Р.В.</t>
  </si>
  <si>
    <t>Кулаков И.Ю.</t>
  </si>
  <si>
    <t>Довгалюк П.М.</t>
  </si>
  <si>
    <t>Информатика</t>
  </si>
  <si>
    <t>Практика учебная: Практика ознакомительная</t>
  </si>
  <si>
    <t>WEB-программирование</t>
  </si>
  <si>
    <t>Сети и телекоммуникации</t>
  </si>
  <si>
    <t>Теория языков программирования и методы трансляции</t>
  </si>
  <si>
    <t>Методика обучения информатике</t>
  </si>
  <si>
    <t xml:space="preserve">44.03.05(24) </t>
  </si>
  <si>
    <t>Основы автоматизированных информационных систем управления предприятием</t>
  </si>
  <si>
    <t>Системы хранения и обработки больших данных</t>
  </si>
  <si>
    <t>Информатика(установ.)</t>
  </si>
  <si>
    <t>Архитектура ЭВМ и периферийных устройств(установ.)</t>
  </si>
  <si>
    <t>Численные методы и программирование(установ.)</t>
  </si>
  <si>
    <t>Савинова М.А.</t>
  </si>
  <si>
    <t>Системный анализ и моделирование интеллектуальных систем</t>
  </si>
  <si>
    <t>ИИ. Методы принятия решений</t>
  </si>
  <si>
    <t>ИИ. Искусственный интеллект в программно-информационных системах</t>
  </si>
  <si>
    <t>ИИ. Машинное обечение и анализ данных</t>
  </si>
  <si>
    <t>ИИ. Прикладные аспекты искусственного интеллекта</t>
  </si>
  <si>
    <t>ИИ. Математические методы анализа и обработки данных</t>
  </si>
  <si>
    <t>Управление жизненным циклом программного обеспечения</t>
  </si>
  <si>
    <t>Алгоритмические языки</t>
  </si>
  <si>
    <t>01.03.02(31)</t>
  </si>
  <si>
    <t>Корнышев Н.П.</t>
  </si>
  <si>
    <t>в 3301 кабинете</t>
  </si>
  <si>
    <t>лр * 3п</t>
  </si>
  <si>
    <t>лк 3315 по возм
3305</t>
  </si>
  <si>
    <t>лк 3п
3315, 3312, 1100</t>
  </si>
  <si>
    <t>3312 лк+ пр</t>
  </si>
  <si>
    <t>2309, 3305</t>
  </si>
  <si>
    <t>лр * 1</t>
  </si>
  <si>
    <t>Фуфин М.Н.</t>
  </si>
  <si>
    <t>лр * 1пп</t>
  </si>
  <si>
    <t>Машинное обучение и большие данные</t>
  </si>
  <si>
    <t>пр * 1 пп
 лр * 1 пп</t>
  </si>
  <si>
    <t>Практика производственная: Практика проектно-технологическая</t>
  </si>
  <si>
    <t>Современные web-технологии и методы и средства защиты информации</t>
  </si>
  <si>
    <t>Практика учебная: Практика технологическая (практика по применению информационных технологий в обучении)</t>
  </si>
  <si>
    <t>кр</t>
  </si>
  <si>
    <t>Системы разработки программного обеспечения</t>
  </si>
  <si>
    <t>Проектирование баз данных и работа с ними</t>
  </si>
  <si>
    <t>КР</t>
  </si>
  <si>
    <t>Программные средства для искусственного интеллекта на языке Python</t>
  </si>
  <si>
    <t>Язык R и базовая статистика</t>
  </si>
  <si>
    <t>Технологии работы с естественным языком Natural Language Processing</t>
  </si>
  <si>
    <t>3091з</t>
  </si>
  <si>
    <t>Информационные технологии (установ.)</t>
  </si>
  <si>
    <t>Операционные системы (установ.)</t>
  </si>
  <si>
    <t>1091з</t>
  </si>
  <si>
    <t>Искусственный интелект. Методы принятия решений</t>
  </si>
  <si>
    <t>Искусственный интелект. Машиннное обучение и анализ данных</t>
  </si>
  <si>
    <t>Искусственный интелект. Прикладные аспекты искусственного интеллекта</t>
  </si>
  <si>
    <t>Проектирование баз данных и работа с ними(установ.)</t>
  </si>
  <si>
    <t>Программные средства для искусственного интеллекта на языке Python (устан)</t>
  </si>
  <si>
    <t>Язык R и базовая статистика (устан)</t>
  </si>
  <si>
    <t>Системное программирование(установ.)</t>
  </si>
  <si>
    <t>Моделирование систем(установ.)</t>
  </si>
  <si>
    <t>Введение в информационные технологии больших данных</t>
  </si>
  <si>
    <t>Алгоритмические языки и программирование</t>
  </si>
  <si>
    <t xml:space="preserve">38.03.05(75) </t>
  </si>
  <si>
    <t>Э</t>
  </si>
  <si>
    <t xml:space="preserve">46.03.01(23) </t>
  </si>
  <si>
    <t>ОИА</t>
  </si>
  <si>
    <t xml:space="preserve">13.03.01(41у) 13.03.01(41) 13.03.02(41у) 23.03.03(06у) </t>
  </si>
  <si>
    <t>ЭВМ и периферийные устройства(установ.)</t>
  </si>
  <si>
    <t>ОИНФ</t>
  </si>
  <si>
    <t>ОМЭ</t>
  </si>
  <si>
    <t>Системы искусственного интеллекта(установ.)</t>
  </si>
  <si>
    <t>Защита информации(установ.)</t>
  </si>
  <si>
    <t>Жгун Т.</t>
  </si>
  <si>
    <t>Проектирование информационных систем(установ.)</t>
  </si>
  <si>
    <t>Разработка программного обеспечения микроконтроллеров и ПЛИС</t>
  </si>
  <si>
    <t>Практика учебная: Практика эксплуатационная(установ.)</t>
  </si>
  <si>
    <t>Практика учебная: Практика проектно-технологическая(установ.)</t>
  </si>
  <si>
    <t xml:space="preserve">13.03.01(41у) 13.03.02(41у) 23.03.03(06у) </t>
  </si>
  <si>
    <t>Анализ временных рядов</t>
  </si>
  <si>
    <t>Технологии разработки программного обеспечения</t>
  </si>
  <si>
    <t>Информационно-аналитическое моделирование</t>
  </si>
  <si>
    <t>Распознавание образов и обработка изображений(установ.)</t>
  </si>
  <si>
    <t>Управление качеством(установ.)</t>
  </si>
  <si>
    <t>Машинное обучение и большие данные(установ.)</t>
  </si>
  <si>
    <t>Функциональное и логическое программирование(установ.)</t>
  </si>
  <si>
    <t>Основы автоматизированных информационных систем управления предприятием(установ.)</t>
  </si>
  <si>
    <t>Практика производственная: Практика эксплуатационная(установ.)</t>
  </si>
  <si>
    <t>Практика производственная: Практика проектно-технологическая(установ.)</t>
  </si>
  <si>
    <t>ОЭК</t>
  </si>
  <si>
    <t>Системное программирование</t>
  </si>
  <si>
    <t>Иванов А.</t>
  </si>
  <si>
    <t>124 ПТК</t>
  </si>
  <si>
    <t>лр * 1п</t>
  </si>
  <si>
    <t>Методы защиты информации</t>
  </si>
  <si>
    <t>лк 3315,3312
лр 3300</t>
  </si>
  <si>
    <t xml:space="preserve">44.03.05(13) </t>
  </si>
  <si>
    <t>лр *2пп</t>
  </si>
  <si>
    <t>2091з</t>
  </si>
  <si>
    <t>ФИО</t>
  </si>
  <si>
    <t>Часы</t>
  </si>
  <si>
    <t>Шаклеин В.Г.</t>
  </si>
  <si>
    <t>Количество подгрупп для пр и лр</t>
  </si>
  <si>
    <t>ОО-09</t>
  </si>
  <si>
    <t>ЗО-09</t>
  </si>
  <si>
    <t>ОО-не09</t>
  </si>
  <si>
    <t>ЗО</t>
  </si>
  <si>
    <t>Основные модели программирования (установ.)</t>
  </si>
  <si>
    <t>Залилов Р.Ю.</t>
  </si>
  <si>
    <t>В</t>
  </si>
  <si>
    <t>ЗО-ВБ</t>
  </si>
  <si>
    <t>Практика учебная : Практика проектная</t>
  </si>
  <si>
    <t>Практика учебная : Практика проектная (устан.)</t>
  </si>
  <si>
    <t>Э прАт кп</t>
  </si>
  <si>
    <t>Практика производственная: Практика преддипломная(установ.)</t>
  </si>
  <si>
    <t>Методы защиты информации(установ.)</t>
  </si>
  <si>
    <t>Технология разработки программного обеспечения(установ.)</t>
  </si>
  <si>
    <t xml:space="preserve">09.03.01(09у) </t>
  </si>
  <si>
    <t>Кулаков 3315</t>
  </si>
  <si>
    <t>3300 лр</t>
  </si>
  <si>
    <t>3305,3312,3315</t>
  </si>
  <si>
    <t>3312, 3305</t>
  </si>
  <si>
    <t>3312,3315,3305, 2407</t>
  </si>
  <si>
    <t>2п</t>
  </si>
  <si>
    <t>3п</t>
  </si>
  <si>
    <t>Практика учебная: практика проектно-технологическая (уст)</t>
  </si>
  <si>
    <t>Технологии работы с естественным языком Natural Language Processing (устан)</t>
  </si>
  <si>
    <t>лк 3315 или 3312 по возм.
Лр 3305, 2407</t>
  </si>
  <si>
    <t>3305, 2407</t>
  </si>
  <si>
    <t>Нагрузка на 2023-2024 учебный год, кафедра ИТИС</t>
  </si>
  <si>
    <t xml:space="preserve">Современные концепции и методы управления ИТ-проектами </t>
  </si>
  <si>
    <t>HAT</t>
  </si>
  <si>
    <t>HKR/ HPR</t>
  </si>
  <si>
    <t>2309, 3300</t>
  </si>
  <si>
    <t>консультации каждую неделю</t>
  </si>
  <si>
    <t>кп</t>
  </si>
  <si>
    <t>консультации</t>
  </si>
  <si>
    <t>консультации, защита</t>
  </si>
  <si>
    <t>Выполнение и защита выпускной квалификационной работы</t>
  </si>
  <si>
    <t>защита дипломных проектов</t>
  </si>
  <si>
    <t>сопровождение, защита отчётов, нормокортроль</t>
  </si>
  <si>
    <t>курсовой проект</t>
  </si>
  <si>
    <t>3305, 3312 с 18 часов</t>
  </si>
  <si>
    <t>консультации, защита практики, нормоконтроль</t>
  </si>
  <si>
    <t>Руководство ДП 3 человека</t>
  </si>
  <si>
    <t>уст.</t>
  </si>
  <si>
    <t>1п</t>
  </si>
  <si>
    <t>2407, 3305</t>
  </si>
  <si>
    <t>3305, 3312</t>
  </si>
  <si>
    <t>3305, 3315</t>
  </si>
  <si>
    <t>практика</t>
  </si>
  <si>
    <t>3312, 3315</t>
  </si>
  <si>
    <t>практика, НИР</t>
  </si>
  <si>
    <t>Практика производственная: Научно-исследовательская работа(установ.)</t>
  </si>
  <si>
    <t xml:space="preserve">44.03.05(12) </t>
  </si>
  <si>
    <t>Практика учебная : Практика по информатике</t>
  </si>
  <si>
    <t>до</t>
  </si>
  <si>
    <t>4п</t>
  </si>
  <si>
    <t>ВНЕБЮДЖЕТ</t>
  </si>
  <si>
    <t>БЮДЖЕТ</t>
  </si>
  <si>
    <t>09.03.01(09у)</t>
  </si>
  <si>
    <t>50%
3312, 3315, 2407, 3305</t>
  </si>
  <si>
    <t>124, 50%</t>
  </si>
  <si>
    <t>2407, 50%</t>
  </si>
  <si>
    <t>2909, 50%</t>
  </si>
  <si>
    <t>ДО</t>
  </si>
  <si>
    <t>уст</t>
  </si>
  <si>
    <t>3312, 3305, 3315</t>
  </si>
  <si>
    <t>3300, 3305</t>
  </si>
  <si>
    <t>Введение в информационные технологии больших данных (установ.)</t>
  </si>
  <si>
    <t>3305, 3300</t>
  </si>
  <si>
    <t>З</t>
  </si>
  <si>
    <t>3312, 3315, 2407, 3305
50%</t>
  </si>
  <si>
    <t>124
50%</t>
  </si>
  <si>
    <t>НА</t>
  </si>
  <si>
    <t>лр 1пп, 
пр 1п</t>
  </si>
  <si>
    <t>пр * 1пп
лр * 1пп</t>
  </si>
  <si>
    <t>Программирование виртуальной и дополненной реальности</t>
  </si>
  <si>
    <t>Аспир</t>
  </si>
  <si>
    <t>Доп</t>
  </si>
  <si>
    <t xml:space="preserve">09.03.01(09) 09.03.01(09у) </t>
  </si>
  <si>
    <t>Иванов Д.Д.</t>
  </si>
  <si>
    <t>Майноры</t>
  </si>
  <si>
    <t>3091,3092,3093</t>
  </si>
  <si>
    <t>Инженерная и компьютерная графика</t>
  </si>
  <si>
    <t>Гареева Т.Ю.</t>
  </si>
  <si>
    <t>ОО-09 (у)</t>
  </si>
  <si>
    <t>ОО-09 (м)</t>
  </si>
  <si>
    <t>ООНЕ09</t>
  </si>
  <si>
    <t>ЗО-09 (у)</t>
  </si>
  <si>
    <t>ЗО-09 (с)</t>
  </si>
  <si>
    <t>4  пп</t>
  </si>
  <si>
    <t>лр *3п</t>
  </si>
  <si>
    <t>2091
2092</t>
  </si>
  <si>
    <t>лр * 3пп</t>
  </si>
  <si>
    <t>ПТК</t>
  </si>
  <si>
    <t>Технические и программные средства информатизации</t>
  </si>
  <si>
    <t>Савинова 108к. ПТК</t>
  </si>
  <si>
    <t>лр *3пп</t>
  </si>
  <si>
    <t>Разработка прикладного программного обеспечения для мобильных платформ</t>
  </si>
  <si>
    <t>Искусственный интеллект в инженерии</t>
  </si>
  <si>
    <t>Программирование на языке Java</t>
  </si>
  <si>
    <t>Информационная безопасность автоматизированных систем</t>
  </si>
  <si>
    <t>Цымбалюк А.Е.</t>
  </si>
  <si>
    <t>пр * 3пп</t>
  </si>
  <si>
    <t>Тестирование программных продуктов</t>
  </si>
  <si>
    <t>ЧленКомиссии1</t>
  </si>
  <si>
    <t>ЧленКомиссии2</t>
  </si>
  <si>
    <t>ЧленКомиссии3</t>
  </si>
  <si>
    <t xml:space="preserve">Гареева Т.Ю. лк+пр 3п </t>
  </si>
  <si>
    <t>пр * 3пп
лр * 3пп</t>
  </si>
  <si>
    <t>Микросервисные технологии и архитектура</t>
  </si>
  <si>
    <t>лр * 3пп
пр * 3пп</t>
  </si>
  <si>
    <t>лр *1п</t>
  </si>
  <si>
    <t>лр *1пп</t>
  </si>
  <si>
    <t>Внедрение и поддержка компьютерных систем</t>
  </si>
  <si>
    <t>ОО-ПТИ</t>
  </si>
  <si>
    <t>ИТОГ</t>
  </si>
  <si>
    <t>в наг-рузку</t>
  </si>
  <si>
    <t>Сверх
Часть
Ставки</t>
  </si>
  <si>
    <t>лр *1</t>
  </si>
  <si>
    <t>руководство ДП 2 человека</t>
  </si>
  <si>
    <t>предзащита дипломных проектов</t>
  </si>
  <si>
    <t>ПТИ</t>
  </si>
  <si>
    <t>ПИ</t>
  </si>
  <si>
    <t>ЗО-09 (м)</t>
  </si>
  <si>
    <t>Практика учебная: Практика ознакомительная(установ.)</t>
  </si>
  <si>
    <t>4091з</t>
  </si>
  <si>
    <t>Инженерная и компьютерная графика(установ.)</t>
  </si>
  <si>
    <t>WEB-программирование(установ.)</t>
  </si>
  <si>
    <t>Основы программирования и анализа данных на языке Python(установ.)</t>
  </si>
  <si>
    <t>Майноры(установ.)</t>
  </si>
  <si>
    <t>Технические и программные средства информатизации(установ.)</t>
  </si>
  <si>
    <t>Практика учебная: Практика проектно-эксплуатационная (установ.)</t>
  </si>
  <si>
    <t>Информационная безопасность автоматизированных систем(установ.)</t>
  </si>
  <si>
    <t>Практика учебная: Практика проектно-эксплуатационная</t>
  </si>
  <si>
    <t>Практика производственная: Практика эксплуатационная установ.)</t>
  </si>
  <si>
    <t>Введение в информационные технологии больших данных(установ.)</t>
  </si>
  <si>
    <t>Микросервисные технологии и архитектура(установ.)</t>
  </si>
  <si>
    <t>Внедрение и поддержка компьютерных систем(установ.)</t>
  </si>
  <si>
    <t>Основы программирования и анализа данных на языке Python</t>
  </si>
  <si>
    <t>09.03.01(09) 09.03.01(09у)</t>
  </si>
  <si>
    <t>6п</t>
  </si>
  <si>
    <t>4095з</t>
  </si>
  <si>
    <t>3095з</t>
  </si>
  <si>
    <t>Нагрузка на 2024-2025 учебный год, кафедра ИТИС</t>
  </si>
  <si>
    <t>пр * 3п</t>
  </si>
  <si>
    <t>Сазонова Н.В.</t>
  </si>
  <si>
    <t>Введение и поддержка компьютерных систем</t>
  </si>
  <si>
    <t>Попов В.С.</t>
  </si>
  <si>
    <t>исправлено</t>
  </si>
  <si>
    <t>руководство ДП 4 человека</t>
  </si>
  <si>
    <t>руководство ДП 3 человека</t>
  </si>
  <si>
    <t>6ч на человека</t>
  </si>
  <si>
    <r>
      <t xml:space="preserve">Сверх
Нагрузки </t>
    </r>
    <r>
      <rPr>
        <b/>
        <sz val="9"/>
        <color rgb="FF00B0F0"/>
        <rFont val="Calibri"/>
        <family val="2"/>
        <charset val="204"/>
        <scheme val="minor"/>
      </rPr>
      <t>часы</t>
    </r>
  </si>
  <si>
    <t xml:space="preserve">38.03.02(11) </t>
  </si>
  <si>
    <t>ИЦЭУС</t>
  </si>
  <si>
    <r>
      <t>пр *</t>
    </r>
    <r>
      <rPr>
        <b/>
        <sz val="8"/>
        <color theme="1"/>
        <rFont val="Times New Roman"/>
        <family val="1"/>
        <charset val="204"/>
      </rPr>
      <t xml:space="preserve"> 2пп</t>
    </r>
  </si>
  <si>
    <t>ИТ в профессиональной деятельности</t>
  </si>
  <si>
    <t>Проектный практикум (уст)</t>
  </si>
  <si>
    <t>пр*2, лр*2</t>
  </si>
  <si>
    <t>Доплата
сентябрь</t>
  </si>
  <si>
    <t>Доплата
октябрь</t>
  </si>
  <si>
    <t xml:space="preserve"> Основы программирования Python</t>
  </si>
  <si>
    <t>Егорова О.В.</t>
  </si>
  <si>
    <t>4094з</t>
  </si>
  <si>
    <t>3312 Алексеева Ю.В.
3317 Архипова</t>
  </si>
  <si>
    <t>Алексеева Ю.В.</t>
  </si>
  <si>
    <t>408 ПТК</t>
  </si>
  <si>
    <t>зач</t>
  </si>
  <si>
    <t>Моделирование систем и системный анализ</t>
  </si>
  <si>
    <t>Специальные методы информационной безопасности</t>
  </si>
  <si>
    <t>Доагалюк П.М.</t>
  </si>
  <si>
    <t>5п</t>
  </si>
  <si>
    <t>пр *5 пп</t>
  </si>
  <si>
    <t>Методы и технологии анализа текстов</t>
  </si>
  <si>
    <t>Интеллектуальный анализ данных</t>
  </si>
  <si>
    <t xml:space="preserve">13.03.01(41)-10 13.03.02(41)-10 15.03.05(04)-20 15.03.06(71)-20 </t>
  </si>
  <si>
    <t>Кибербезопасность</t>
  </si>
  <si>
    <t>Интеллектуальный анализ данных(установ.)</t>
  </si>
  <si>
    <t>Кибербезопасность(установ.)</t>
  </si>
  <si>
    <t>Техническое документирование(установ.)</t>
  </si>
  <si>
    <t>Коммерциализация IT проектов(установ.)</t>
  </si>
  <si>
    <t>Искусственный интеллект. Современные концепции и методы управления ИТ-проектами</t>
  </si>
  <si>
    <t>4091,4092,4093</t>
  </si>
  <si>
    <t xml:space="preserve">Иванов А.. - лекции + лр </t>
  </si>
  <si>
    <t xml:space="preserve">1п </t>
  </si>
  <si>
    <t>Техническое документирование</t>
  </si>
  <si>
    <t xml:space="preserve">13.03.02(41)-53/2 15.03.05(04)-12 </t>
  </si>
  <si>
    <t>3091
3092
3093</t>
  </si>
  <si>
    <t>Разработка мобильных приложений на Kotlin1</t>
  </si>
  <si>
    <t>Разработка мобильных приложений на Java</t>
  </si>
  <si>
    <t>3091
3092</t>
  </si>
  <si>
    <t>Разработка мобильных приложений на Kotlin2</t>
  </si>
  <si>
    <t>Элементы пользовательского интерфейса мобильных приложений</t>
  </si>
  <si>
    <t>3091з
3092з</t>
  </si>
  <si>
    <t>3092з</t>
  </si>
  <si>
    <t xml:space="preserve">13.03.02(41) 23.03.03(06) </t>
  </si>
  <si>
    <t>5091
5092
5093
5098</t>
  </si>
  <si>
    <t>2 лк + 4 лр +1лр 
лк 3312, лр 4207</t>
  </si>
  <si>
    <t>Комментарии</t>
  </si>
  <si>
    <t>пр *5 пп
лр *5 пп</t>
  </si>
  <si>
    <t>Машинное обучение на больших данных</t>
  </si>
  <si>
    <t>Филиппов И.И.</t>
  </si>
  <si>
    <t>Предзащита</t>
  </si>
  <si>
    <t>Защита</t>
  </si>
  <si>
    <t>Иванов И.</t>
  </si>
  <si>
    <t>ЧленКомиссии</t>
  </si>
  <si>
    <t>3ч на человека</t>
  </si>
  <si>
    <t>4ч на человека</t>
  </si>
  <si>
    <t>Проверка на антиплагиат
защита</t>
  </si>
  <si>
    <t xml:space="preserve">Гареева Т.Ю. лк+пр 3п
</t>
  </si>
  <si>
    <t>руководство ДП 6 человек</t>
  </si>
  <si>
    <t>в нагрузке ошибка</t>
  </si>
  <si>
    <t>5 п</t>
  </si>
  <si>
    <t>Цымаблюк Л.Н.</t>
  </si>
  <si>
    <t>Соколова Г.Ю,</t>
  </si>
  <si>
    <t>Основы теории управления(установ.)</t>
  </si>
  <si>
    <t>3094зу</t>
  </si>
  <si>
    <t>Сети и телекоммуникации(установ.)</t>
  </si>
  <si>
    <t>13.03.01(41)-12 13.03.02(41)-50/2</t>
  </si>
  <si>
    <t>ИТ в профессиональной деятельности уст</t>
  </si>
  <si>
    <t xml:space="preserve">09.03.01(09)-11 09.03.01(09у)-31 </t>
  </si>
  <si>
    <t>2091з
2092зу</t>
  </si>
  <si>
    <t>2092зу</t>
  </si>
  <si>
    <t>2п пр + 2п лр</t>
  </si>
  <si>
    <t>лр2</t>
  </si>
  <si>
    <t>по 6ч</t>
  </si>
  <si>
    <t>руководство ДП 3-1 человек
нормоконтроль</t>
  </si>
  <si>
    <t>руководство ДП 9 человек</t>
  </si>
  <si>
    <t>Алексеев П.С.</t>
  </si>
  <si>
    <t>Яковлев Н.С.</t>
  </si>
  <si>
    <t>Сидорин С.Н.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</si>
</sst>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;\-0.0"/>
  </numFmts>
  <fonts count="32" x14ac:knownFonts="1">
    <font>
      <sz val="11"/>
      <color theme="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7"/>
      <name val="Arial Cyr"/>
      <charset val="204"/>
    </font>
    <font>
      <sz val="8"/>
      <name val="Arial Cyr"/>
      <charset val="204"/>
    </font>
    <font>
      <sz val="8"/>
      <color rgb="FFFF0000"/>
      <name val="Times New Roman"/>
      <family val="1"/>
      <charset val="204"/>
    </font>
    <font>
      <sz val="8"/>
      <name val="Arial Cyr"/>
      <family val="2"/>
      <charset val="204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sz val="9"/>
      <color theme="1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sz val="6"/>
      <color theme="1"/>
      <name val="Times New Roman"/>
      <family val="1"/>
      <charset val="204"/>
    </font>
    <font>
      <b/>
      <sz val="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8"/>
      <name val="Arial Cyr"/>
    </font>
    <font>
      <b/>
      <sz val="9"/>
      <color rgb="FF00B0F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8"/>
      <name val="Arial Cyr"/>
    </font>
    <font>
      <sz val="7"/>
      <name val="Arial Cyr"/>
    </font>
    <font>
      <b/>
      <sz val="8"/>
      <name val="Times New Roman"/>
      <family val="1"/>
      <charset val="204"/>
    </font>
    <font>
      <b/>
      <sz val="8"/>
      <color theme="3"/>
      <name val="Times New Roman"/>
      <family val="1"/>
      <charset val="204"/>
    </font>
    <font>
      <u/>
      <sz val="8"/>
      <name val="Arial Cyr"/>
      <charset val="204"/>
    </font>
    <font>
      <u/>
      <sz val="7"/>
      <name val="Arial Cyr"/>
      <charset val="204"/>
    </font>
    <font>
      <u/>
      <sz val="8"/>
      <color theme="1"/>
      <name val="Times New Roman"/>
      <family val="1"/>
      <charset val="204"/>
    </font>
    <font>
      <sz val="8"/>
      <color theme="6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wrapText="1"/>
    </xf>
    <xf numFmtId="0" fontId="0" fillId="2" borderId="0" xfId="0" applyFill="1"/>
    <xf numFmtId="0" fontId="10" fillId="2" borderId="1" xfId="0" applyFont="1" applyFill="1" applyBorder="1" applyAlignment="1">
      <alignment horizontal="center" vertical="center" wrapText="1"/>
    </xf>
    <xf numFmtId="0" fontId="1" fillId="2" borderId="1" xfId="0" quotePrefix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49" fontId="3" fillId="2" borderId="2" xfId="0" quotePrefix="1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justify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top" wrapText="1"/>
    </xf>
    <xf numFmtId="0" fontId="11" fillId="0" borderId="0" xfId="0" applyFont="1"/>
    <xf numFmtId="0" fontId="1" fillId="2" borderId="3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wrapText="1"/>
    </xf>
    <xf numFmtId="0" fontId="0" fillId="2" borderId="1" xfId="0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1" fillId="2" borderId="0" xfId="0" applyFont="1" applyFill="1"/>
    <xf numFmtId="0" fontId="0" fillId="2" borderId="5" xfId="0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0" fillId="2" borderId="5" xfId="0" applyFill="1" applyBorder="1"/>
    <xf numFmtId="0" fontId="0" fillId="0" borderId="0" xfId="0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7" fillId="2" borderId="0" xfId="0" applyFont="1" applyFill="1"/>
    <xf numFmtId="9" fontId="1" fillId="2" borderId="4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0" fontId="5" fillId="2" borderId="1" xfId="0" applyFont="1" applyFill="1" applyBorder="1"/>
    <xf numFmtId="0" fontId="5" fillId="2" borderId="2" xfId="0" applyFont="1" applyFill="1" applyBorder="1"/>
    <xf numFmtId="0" fontId="18" fillId="2" borderId="0" xfId="0" applyFont="1" applyFill="1"/>
    <xf numFmtId="0" fontId="6" fillId="2" borderId="0" xfId="0" applyFont="1" applyFill="1" applyAlignment="1">
      <alignment horizontal="center" vertical="center"/>
    </xf>
    <xf numFmtId="2" fontId="19" fillId="2" borderId="0" xfId="0" applyNumberFormat="1" applyFont="1" applyFill="1" applyAlignment="1">
      <alignment horizontal="center" vertical="center"/>
    </xf>
    <xf numFmtId="0" fontId="21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justify" wrapText="1"/>
    </xf>
    <xf numFmtId="0" fontId="3" fillId="2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 vertical="center" wrapText="1"/>
    </xf>
    <xf numFmtId="0" fontId="24" fillId="0" borderId="6" xfId="0" applyFont="1" applyBorder="1" applyAlignment="1">
      <alignment vertical="top" wrapText="1"/>
    </xf>
    <xf numFmtId="0" fontId="24" fillId="4" borderId="6" xfId="0" applyFont="1" applyFill="1" applyBorder="1" applyAlignment="1">
      <alignment vertical="top" wrapText="1"/>
    </xf>
    <xf numFmtId="0" fontId="24" fillId="0" borderId="6" xfId="0" applyFont="1" applyBorder="1" applyAlignment="1">
      <alignment horizontal="center" vertical="top"/>
    </xf>
    <xf numFmtId="164" fontId="1" fillId="2" borderId="1" xfId="0" applyNumberFormat="1" applyFont="1" applyFill="1" applyBorder="1" applyAlignment="1">
      <alignment horizontal="center" vertical="center" wrapText="1"/>
    </xf>
    <xf numFmtId="164" fontId="7" fillId="2" borderId="0" xfId="0" applyNumberFormat="1" applyFont="1" applyFill="1" applyAlignment="1">
      <alignment horizontal="center" vertical="center"/>
    </xf>
    <xf numFmtId="0" fontId="1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top" wrapText="1"/>
    </xf>
    <xf numFmtId="0" fontId="8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left" vertical="top" wrapText="1"/>
    </xf>
    <xf numFmtId="0" fontId="8" fillId="8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wrapText="1"/>
    </xf>
    <xf numFmtId="0" fontId="6" fillId="8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vertical="top" wrapText="1"/>
    </xf>
    <xf numFmtId="0" fontId="8" fillId="9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left" vertical="top" wrapText="1"/>
    </xf>
    <xf numFmtId="0" fontId="26" fillId="2" borderId="1" xfId="0" applyFont="1" applyFill="1" applyBorder="1" applyAlignment="1">
      <alignment horizontal="center" vertical="center" wrapText="1"/>
    </xf>
    <xf numFmtId="0" fontId="8" fillId="2" borderId="1" xfId="0" quotePrefix="1" applyFont="1" applyFill="1" applyBorder="1" applyAlignment="1">
      <alignment horizontal="center" vertical="center" wrapText="1"/>
    </xf>
    <xf numFmtId="9" fontId="1" fillId="2" borderId="1" xfId="0" applyNumberFormat="1" applyFont="1" applyFill="1" applyBorder="1" applyAlignment="1">
      <alignment horizontal="center" vertical="center" wrapText="1"/>
    </xf>
    <xf numFmtId="9" fontId="8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25" fillId="2" borderId="6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center" vertical="center"/>
    </xf>
    <xf numFmtId="0" fontId="0" fillId="0" borderId="1" xfId="0" applyBorder="1"/>
    <xf numFmtId="0" fontId="7" fillId="0" borderId="1" xfId="0" applyFont="1" applyBorder="1" applyAlignment="1">
      <alignment horizontal="center" vertical="center" wrapText="1"/>
    </xf>
    <xf numFmtId="0" fontId="7" fillId="10" borderId="1" xfId="0" applyFont="1" applyFill="1" applyBorder="1" applyAlignment="1">
      <alignment wrapText="1"/>
    </xf>
    <xf numFmtId="0" fontId="1" fillId="10" borderId="1" xfId="0" applyFont="1" applyFill="1" applyBorder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top"/>
    </xf>
    <xf numFmtId="164" fontId="24" fillId="2" borderId="6" xfId="0" applyNumberFormat="1" applyFont="1" applyFill="1" applyBorder="1" applyAlignment="1">
      <alignment horizontal="center" vertical="top"/>
    </xf>
    <xf numFmtId="0" fontId="24" fillId="2" borderId="6" xfId="0" applyFont="1" applyFill="1" applyBorder="1" applyAlignment="1">
      <alignment vertical="top" wrapText="1"/>
    </xf>
    <xf numFmtId="0" fontId="24" fillId="2" borderId="0" xfId="0" applyFont="1" applyFill="1" applyAlignment="1">
      <alignment vertical="top" wrapText="1"/>
    </xf>
    <xf numFmtId="0" fontId="24" fillId="2" borderId="0" xfId="0" applyFont="1" applyFill="1" applyAlignment="1">
      <alignment horizontal="center" vertical="top"/>
    </xf>
    <xf numFmtId="0" fontId="7" fillId="8" borderId="1" xfId="0" applyFont="1" applyFill="1" applyBorder="1" applyAlignment="1">
      <alignment wrapText="1"/>
    </xf>
    <xf numFmtId="0" fontId="1" fillId="8" borderId="1" xfId="0" applyFont="1" applyFill="1" applyBorder="1" applyAlignment="1">
      <alignment horizontal="center" vertical="center" wrapText="1"/>
    </xf>
    <xf numFmtId="0" fontId="23" fillId="2" borderId="1" xfId="0" applyFont="1" applyFill="1" applyBorder="1"/>
    <xf numFmtId="0" fontId="1" fillId="2" borderId="2" xfId="0" applyFont="1" applyFill="1" applyBorder="1" applyAlignment="1">
      <alignment horizontal="center" vertical="center" wrapText="1"/>
    </xf>
    <xf numFmtId="0" fontId="25" fillId="0" borderId="6" xfId="0" applyFont="1" applyBorder="1" applyAlignment="1">
      <alignment horizontal="center" vertical="top" wrapText="1"/>
    </xf>
    <xf numFmtId="0" fontId="28" fillId="0" borderId="6" xfId="0" applyFont="1" applyBorder="1" applyAlignment="1">
      <alignment vertical="top" wrapText="1"/>
    </xf>
    <xf numFmtId="0" fontId="29" fillId="0" borderId="6" xfId="0" applyFont="1" applyBorder="1" applyAlignment="1">
      <alignment horizontal="center" vertical="top" wrapText="1"/>
    </xf>
    <xf numFmtId="0" fontId="30" fillId="2" borderId="1" xfId="0" applyFont="1" applyFill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top"/>
    </xf>
    <xf numFmtId="0" fontId="30" fillId="2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top"/>
    </xf>
    <xf numFmtId="0" fontId="3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top" wrapText="1"/>
    </xf>
    <xf numFmtId="0" fontId="1" fillId="10" borderId="1" xfId="0" applyFont="1" applyFill="1" applyBorder="1" applyAlignment="1">
      <alignment horizontal="left" vertical="top" wrapText="1"/>
    </xf>
    <xf numFmtId="0" fontId="14" fillId="10" borderId="0" xfId="0" applyFont="1" applyFill="1" applyAlignment="1">
      <alignment horizontal="center" vertical="center"/>
    </xf>
    <xf numFmtId="0" fontId="7" fillId="10" borderId="0" xfId="0" applyFont="1" applyFill="1"/>
    <xf numFmtId="0" fontId="8" fillId="4" borderId="1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Обычный" xfId="0" builtinId="0"/>
  </cellStyles>
  <dxfs count="6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theme="0"/>
      </font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DC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6" dropStyle="combo" dx="22" fmlaLink="$T$1" fmlaRange="ППС!$E$5:$E$38" noThreeD="1" sel="12" val="8"/>
</file>

<file path=xl/ctrlProps/ctrlProp3.xml><?xml version="1.0" encoding="utf-8"?>
<formControlPr xmlns="http://schemas.microsoft.com/office/spreadsheetml/2009/9/main" objectType="Drop" dropLines="26" dropStyle="combo" dx="22" fmlaLink="$R$1" fmlaRange="ППС!$E$5:$E$38" noThreeD="1" sel="18" val="5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0</xdr:row>
          <xdr:rowOff>66675</xdr:rowOff>
        </xdr:from>
        <xdr:to>
          <xdr:col>13</xdr:col>
          <xdr:colOff>942975</xdr:colOff>
          <xdr:row>0</xdr:row>
          <xdr:rowOff>295275</xdr:rowOff>
        </xdr:to>
        <xdr:sp macro="" textlink="">
          <xdr:nvSpPr>
            <xdr:cNvPr id="8208" name="Drop Dow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47625</xdr:rowOff>
        </xdr:from>
        <xdr:to>
          <xdr:col>15</xdr:col>
          <xdr:colOff>904875</xdr:colOff>
          <xdr:row>0</xdr:row>
          <xdr:rowOff>466725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66675</xdr:rowOff>
        </xdr:from>
        <xdr:to>
          <xdr:col>13</xdr:col>
          <xdr:colOff>28575</xdr:colOff>
          <xdr:row>0</xdr:row>
          <xdr:rowOff>295275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47625</xdr:rowOff>
        </xdr:from>
        <xdr:to>
          <xdr:col>14</xdr:col>
          <xdr:colOff>904875</xdr:colOff>
          <xdr:row>0</xdr:row>
          <xdr:rowOff>466725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C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F85C3-BA95-4D62-936F-F244DC204927}">
  <sheetPr codeName="Лист1" filterMode="1"/>
  <dimension ref="A1:AC1453"/>
  <sheetViews>
    <sheetView view="pageBreakPreview" topLeftCell="A100" zoomScale="160" zoomScaleNormal="100" zoomScaleSheetLayoutView="160" workbookViewId="0">
      <selection activeCell="N661" sqref="N661"/>
    </sheetView>
  </sheetViews>
  <sheetFormatPr defaultColWidth="9.140625" defaultRowHeight="15" x14ac:dyDescent="0.25"/>
  <cols>
    <col min="1" max="1" width="7.85546875" style="24" customWidth="1"/>
    <col min="2" max="2" width="3.85546875" style="24" customWidth="1"/>
    <col min="3" max="3" width="18.5703125" customWidth="1"/>
    <col min="4" max="4" width="10.42578125" customWidth="1"/>
    <col min="5" max="5" width="7.42578125" customWidth="1"/>
    <col min="6" max="6" width="3.5703125" bestFit="1" customWidth="1"/>
    <col min="7" max="7" width="5" customWidth="1"/>
    <col min="8" max="8" width="3.42578125" customWidth="1"/>
    <col min="9" max="13" width="5.42578125" style="3" customWidth="1"/>
    <col min="14" max="14" width="14.42578125" style="3" customWidth="1"/>
    <col min="15" max="15" width="10.42578125" style="3" customWidth="1"/>
    <col min="16" max="16" width="10" style="3" customWidth="1"/>
    <col min="17" max="17" width="6.5703125" style="3" hidden="1" customWidth="1"/>
    <col min="18" max="18" width="4.42578125" style="3" hidden="1" customWidth="1"/>
    <col min="19" max="19" width="4.42578125" style="3" customWidth="1"/>
    <col min="20" max="20" width="10.5703125" style="3" customWidth="1"/>
    <col min="21" max="21" width="3.85546875" style="3" customWidth="1"/>
    <col min="22" max="23" width="4.5703125" style="3" customWidth="1"/>
    <col min="24" max="24" width="5.5703125" style="3" customWidth="1"/>
    <col min="25" max="25" width="4.5703125" style="3" customWidth="1"/>
    <col min="26" max="26" width="9" style="3" customWidth="1"/>
    <col min="27" max="16384" width="9.140625" style="3"/>
  </cols>
  <sheetData>
    <row r="1" spans="1:25" ht="24" customHeight="1" x14ac:dyDescent="0.25">
      <c r="C1" s="28" t="s">
        <v>237</v>
      </c>
      <c r="D1" s="110" t="s">
        <v>323</v>
      </c>
      <c r="E1" s="110"/>
      <c r="F1" s="110"/>
      <c r="G1" s="110"/>
      <c r="H1" s="110"/>
      <c r="I1" s="111"/>
      <c r="J1" s="111"/>
      <c r="K1" s="111"/>
      <c r="L1" s="111"/>
      <c r="M1" s="111"/>
      <c r="N1" s="25" t="str" cm="1">
        <f t="array" ref="N1">INDEX(ППС!E5:E38,НагрузкаБюджет!T1)</f>
        <v>Савинова М.А.</v>
      </c>
      <c r="O1" s="26">
        <f ca="1">_xlfn.AGGREGATE(9,5,S:S)</f>
        <v>531.9</v>
      </c>
      <c r="P1" s="27"/>
      <c r="T1" s="27">
        <v>12</v>
      </c>
      <c r="U1" s="27"/>
      <c r="V1" s="27"/>
      <c r="W1" s="27"/>
      <c r="X1" s="27"/>
      <c r="Y1" s="27"/>
    </row>
    <row r="2" spans="1:25" ht="56.25" x14ac:dyDescent="0.25">
      <c r="C2" s="23" t="str">
        <f>'ОО-09'!A1</f>
        <v>Дисциплина</v>
      </c>
      <c r="D2" s="23" t="str">
        <f>'ОО-09'!B1</f>
        <v>Шифр специальноси</v>
      </c>
      <c r="E2" s="23" t="str">
        <f>'ОО-09'!C1</f>
        <v>№ группы</v>
      </c>
      <c r="F2" s="23" t="str">
        <f>'ОО-09'!D1</f>
        <v>Сем</v>
      </c>
      <c r="G2" s="23" t="str">
        <f>'ОО-09'!E1</f>
        <v>Ко-во групп (по нагрузке)</v>
      </c>
      <c r="H2" s="23" t="str">
        <f>'ОО-09'!F1</f>
        <v>Кол.студ</v>
      </c>
      <c r="I2" s="1" t="str">
        <f>'ОО-09'!G1</f>
        <v>Атт</v>
      </c>
      <c r="J2" s="1" t="str">
        <f>'ОО-09'!H1</f>
        <v>ZET</v>
      </c>
      <c r="K2" s="1" t="str">
        <f>'ОО-09'!I1</f>
        <v>Лек</v>
      </c>
      <c r="L2" s="1" t="str">
        <f>'ОО-09'!J1</f>
        <v>ПЗ</v>
      </c>
      <c r="M2" s="1" t="str">
        <f>'ОО-09'!K1</f>
        <v>ЛР, кол-во п/групп</v>
      </c>
      <c r="N2" s="1" t="str">
        <f>'ОО-09'!L1</f>
        <v>ФИО преподавателя, звание, должность</v>
      </c>
      <c r="O2" s="1" t="str">
        <f>'ОО-09'!M1</f>
        <v>Информация о занятости почасовиков, совместителей</v>
      </c>
      <c r="P2" s="1" t="str">
        <f>'ОО-09'!N1</f>
        <v>Количество подгрупп для пр и лр</v>
      </c>
      <c r="Q2" s="1" t="str">
        <f>'ОО-09'!O1</f>
        <v>HKR/ HPR</v>
      </c>
      <c r="R2" s="1" t="str">
        <f>'ОО-09'!P1</f>
        <v>HAT</v>
      </c>
      <c r="S2" s="1" t="s">
        <v>252</v>
      </c>
      <c r="T2" s="1" t="str">
        <f>'ОО-09'!Q1</f>
        <v>ФИО</v>
      </c>
      <c r="U2" s="1" t="str">
        <f>'ОО-09'!R1</f>
        <v>Часы</v>
      </c>
      <c r="V2" s="1" t="str">
        <f>'ОО-09'!S1</f>
        <v>ФИО</v>
      </c>
      <c r="W2" s="1" t="str">
        <f>'ОО-09'!T1</f>
        <v>Часы</v>
      </c>
      <c r="X2" s="1" t="str">
        <f>'ОО-09'!U1</f>
        <v>ФИО</v>
      </c>
      <c r="Y2" s="1" t="str">
        <f>'ОО-09'!V1</f>
        <v>Часы</v>
      </c>
    </row>
    <row r="3" spans="1:25" ht="56.25" hidden="1" x14ac:dyDescent="0.25">
      <c r="A3" s="24" t="s">
        <v>181</v>
      </c>
      <c r="B3" s="24">
        <v>2</v>
      </c>
      <c r="C3" s="1" t="str" cm="1">
        <f t="array" aca="1" ref="C3" ca="1">INDIRECT(CONCATENATE("'",$A$3,"'!A",B3),1)</f>
        <v>Информатика</v>
      </c>
      <c r="D3" s="1" t="str" cm="1">
        <f t="array" aca="1" ref="D3" ca="1">INDIRECT(CONCATENATE("'",$A$3,"'!B",B3),1)</f>
        <v xml:space="preserve">09.03.01(09) </v>
      </c>
      <c r="E3" s="1" t="str" cm="1">
        <f t="array" aca="1" ref="E3" ca="1">INDIRECT(CONCATENATE("'",$A$3,"'!c",B3),1)</f>
        <v>5091
5092
5093
5098</v>
      </c>
      <c r="F3" s="1" cm="1">
        <f t="array" aca="1" ref="F3" ca="1">INDIRECT(CONCATENATE("'",$A$3,"'!d",B3),1)</f>
        <v>1</v>
      </c>
      <c r="G3" s="1" cm="1">
        <f t="array" aca="1" ref="G3" ca="1">INDIRECT(CONCATENATE("'",$A$3,"'!e",B3),1)</f>
        <v>4</v>
      </c>
      <c r="H3" s="1" cm="1">
        <f t="array" aca="1" ref="H3" ca="1">INDIRECT(CONCATENATE("'",$A$3,"'!f",B3),1)</f>
        <v>101</v>
      </c>
      <c r="I3" s="1" t="str" cm="1">
        <f t="array" aca="1" ref="I3" ca="1">INDIRECT(CONCATENATE("'",$A$3,"'!g",B3),1)</f>
        <v>ДЗ</v>
      </c>
      <c r="J3" s="1" cm="1">
        <f t="array" aca="1" ref="J3" ca="1">INDIRECT(CONCATENATE("'",$A$3,"'!h",B3),1)</f>
        <v>4</v>
      </c>
      <c r="K3" s="1" cm="1">
        <f t="array" aca="1" ref="K3" ca="1">INDIRECT(CONCATENATE("'",$A$3,"'!i",B3),1)</f>
        <v>28</v>
      </c>
      <c r="L3" s="1" cm="1">
        <f t="array" aca="1" ref="L3" ca="1">INDIRECT(CONCATENATE("'",$A$3,"'!j",B3),1)</f>
        <v>0</v>
      </c>
      <c r="M3" s="1" cm="1">
        <f t="array" aca="1" ref="M3" ca="1">INDIRECT(CONCATENATE("'",$A$3,"'!k",B3),1)</f>
        <v>210</v>
      </c>
      <c r="N3" s="1" t="str" cm="1">
        <f t="array" aca="1" ref="N3" ca="1">INDIRECT(CONCATENATE("'",$A$3,"'!l",B3),1)</f>
        <v>Алексеева Ю.В.Архипова Г.А.Алексеева Ю.В.</v>
      </c>
      <c r="O3" s="1" t="str" cm="1">
        <f t="array" aca="1" ref="O3" ca="1">INDIRECT(CONCATENATE("'",$A$3,"'!m",B3),1)</f>
        <v>3312 Алексеева Ю.В.
3317 Архипова</v>
      </c>
      <c r="P3" s="1" t="str" cm="1">
        <f t="array" aca="1" ref="P3" ca="1">INDIRECT(CONCATENATE("'",$A$3,"'!n",B3),1)</f>
        <v>5 п</v>
      </c>
      <c r="Q3" s="1" cm="1">
        <f t="array" aca="1" ref="Q3" ca="1">INDIRECT(CONCATENATE("'",$A$3,"'!o",B3),1)</f>
        <v>63</v>
      </c>
      <c r="R3" s="1" cm="1">
        <f t="array" aca="1" ref="R3" ca="1">INDIRECT(CONCATENATE("'",$A$3,"'!p",B3),1)</f>
        <v>0</v>
      </c>
      <c r="S3" s="1">
        <f ca="1">SUMIFS(U3,T3,$N$1)+SUMIFS(W3,V3,$N$1)+SUMIFS(Y3,X3,$N$1)</f>
        <v>0</v>
      </c>
      <c r="T3" s="1" t="str" cm="1">
        <f t="array" aca="1" ref="T3" ca="1">INDIRECT(CONCATENATE("'",$A$3,"'!q",B3),1)</f>
        <v>Алексеева Ю.В.</v>
      </c>
      <c r="U3" s="1" cm="1">
        <f t="array" aca="1" ref="U3" ca="1">INDIRECT(CONCATENATE("'",$A$3,"'!r",B3),1)</f>
        <v>91</v>
      </c>
      <c r="V3" s="1" t="str" cm="1">
        <f t="array" aca="1" ref="V3" ca="1">INDIRECT(CONCATENATE("'",$A$3,"'!s",B3),1)</f>
        <v>Архипова Г.А.</v>
      </c>
      <c r="W3" s="1" cm="1">
        <f t="array" aca="1" ref="W3" ca="1">INDIRECT(CONCATENATE("'",$A$3,"'!t",B3),1)</f>
        <v>168</v>
      </c>
      <c r="X3" s="1" t="str" cm="1">
        <f t="array" aca="1" ref="X3" ca="1">INDIRECT(CONCATENATE("'",$A$3,"'!u",B3),1)</f>
        <v>Алексеева Ю.В.</v>
      </c>
      <c r="Y3" s="1" cm="1">
        <f t="array" aca="1" ref="Y3" ca="1">INDIRECT(CONCATENATE("'",$A$3,"'!v",B3),1)</f>
        <v>42</v>
      </c>
    </row>
    <row r="4" spans="1:25" customFormat="1" ht="45" hidden="1" x14ac:dyDescent="0.25">
      <c r="A4" s="15"/>
      <c r="B4" s="24">
        <f>B3+1</f>
        <v>3</v>
      </c>
      <c r="C4" s="1" t="str" cm="1">
        <f t="array" aca="1" ref="C4" ca="1">INDIRECT(CONCATENATE("'",$A$3,"'!A",B4),1)</f>
        <v>Основы программирования: Алгоритмические языки и программирование</v>
      </c>
      <c r="D4" s="1" t="str" cm="1">
        <f t="array" aca="1" ref="D4" ca="1">INDIRECT(CONCATENATE("'",$A$3,"'!B",B4),1)</f>
        <v xml:space="preserve">09.03.01(09) </v>
      </c>
      <c r="E4" s="1" t="str" cm="1">
        <f t="array" aca="1" ref="E4" ca="1">INDIRECT(CONCATENATE("'",$A$3,"'!c",B4),1)</f>
        <v>5091
5092
5093
5098</v>
      </c>
      <c r="F4" s="1" cm="1">
        <f t="array" aca="1" ref="F4" ca="1">INDIRECT(CONCATENATE("'",$A$3,"'!d",B4),1)</f>
        <v>1</v>
      </c>
      <c r="G4" s="1" cm="1">
        <f t="array" aca="1" ref="G4" ca="1">INDIRECT(CONCATENATE("'",$A$3,"'!e",B4),1)</f>
        <v>4</v>
      </c>
      <c r="H4" s="1" cm="1">
        <f t="array" aca="1" ref="H4" ca="1">INDIRECT(CONCATENATE("'",$A$3,"'!f",B4),1)</f>
        <v>101</v>
      </c>
      <c r="I4" s="1" t="str" cm="1">
        <f t="array" aca="1" ref="I4" ca="1">INDIRECT(CONCATENATE("'",$A$3,"'!g",B4),1)</f>
        <v>ЭКЗ</v>
      </c>
      <c r="J4" s="1" cm="1">
        <f t="array" aca="1" ref="J4" ca="1">INDIRECT(CONCATENATE("'",$A$3,"'!h",B4),1)</f>
        <v>8</v>
      </c>
      <c r="K4" s="1" cm="1">
        <f t="array" aca="1" ref="K4" ca="1">INDIRECT(CONCATENATE("'",$A$3,"'!i",B4),1)</f>
        <v>84</v>
      </c>
      <c r="L4" s="1" cm="1">
        <f t="array" aca="1" ref="L4" ca="1">INDIRECT(CONCATENATE("'",$A$3,"'!j",B4),1)</f>
        <v>336</v>
      </c>
      <c r="M4" s="1" cm="1">
        <f t="array" aca="1" ref="M4" ca="1">INDIRECT(CONCATENATE("'",$A$3,"'!k",B4),1)</f>
        <v>0</v>
      </c>
      <c r="N4" s="1" t="str" cm="1">
        <f t="array" aca="1" ref="N4" ca="1">INDIRECT(CONCATENATE("'",$A$3,"'!l",B4),1)</f>
        <v>Винник Л.И.Иванов Д.Д.Кулаков И.Ю.</v>
      </c>
      <c r="O4" s="1" cm="1">
        <f t="array" aca="1" ref="O4" ca="1">INDIRECT(CONCATENATE("'",$A$3,"'!m",B4),1)</f>
        <v>0</v>
      </c>
      <c r="P4" s="1" t="str" cm="1">
        <f t="array" aca="1" ref="P4" ca="1">INDIRECT(CONCATENATE("'",$A$3,"'!n",B4),1)</f>
        <v>4  пп</v>
      </c>
      <c r="Q4" s="1" cm="1">
        <f t="array" aca="1" ref="Q4" ca="1">INDIRECT(CONCATENATE("'",$A$3,"'!o",B4),1)</f>
        <v>126</v>
      </c>
      <c r="R4" s="1" cm="1">
        <f t="array" aca="1" ref="R4" ca="1">INDIRECT(CONCATENATE("'",$A$3,"'!p",B4),1)</f>
        <v>84</v>
      </c>
      <c r="S4" s="1">
        <f t="shared" ref="S4:S67" ca="1" si="0">SUMIFS(U4,T4,$N$1)+SUMIFS(W4,V4,$N$1)+SUMIFS(Y4,X4,$N$1)</f>
        <v>0</v>
      </c>
      <c r="T4" s="1" t="str" cm="1">
        <f t="array" aca="1" ref="T4" ca="1">INDIRECT(CONCATENATE("'",$A$3,"'!q",B4),1)</f>
        <v>Винник Л.И.</v>
      </c>
      <c r="U4" s="1" cm="1">
        <f t="array" aca="1" ref="U4" ca="1">INDIRECT(CONCATENATE("'",$A$3,"'!r",B4),1)</f>
        <v>105.5</v>
      </c>
      <c r="V4" s="1" t="str" cm="1">
        <f t="array" aca="1" ref="V4" ca="1">INDIRECT(CONCATENATE("'",$A$3,"'!s",B4),1)</f>
        <v>Иванов Д.Д.</v>
      </c>
      <c r="W4" s="1" cm="1">
        <f t="array" aca="1" ref="W4" ca="1">INDIRECT(CONCATENATE("'",$A$3,"'!t",B4),1)</f>
        <v>171.5</v>
      </c>
      <c r="X4" s="1" t="str" cm="1">
        <f t="array" aca="1" ref="X4" ca="1">INDIRECT(CONCATENATE("'",$A$3,"'!u",B4),1)</f>
        <v>Кулаков И.Ю.</v>
      </c>
      <c r="Y4" s="1" cm="1">
        <f t="array" aca="1" ref="Y4" ca="1">INDIRECT(CONCATENATE("'",$A$3,"'!v",B4),1)</f>
        <v>171.5</v>
      </c>
    </row>
    <row r="5" spans="1:25" customFormat="1" ht="24.6" hidden="1" customHeight="1" x14ac:dyDescent="0.25">
      <c r="A5" s="15"/>
      <c r="B5" s="24">
        <f t="shared" ref="B5:B79" si="1">B4+1</f>
        <v>4</v>
      </c>
      <c r="C5" s="1" cm="1">
        <f t="array" aca="1" ref="C5" ca="1">INDIRECT(CONCATENATE("'",$A$3,"'!A",B5),1)</f>
        <v>0</v>
      </c>
      <c r="D5" s="1" cm="1">
        <f t="array" aca="1" ref="D5" ca="1">INDIRECT(CONCATENATE("'",$A$3,"'!B",B5),1)</f>
        <v>0</v>
      </c>
      <c r="E5" s="1" cm="1">
        <f t="array" aca="1" ref="E5" ca="1">INDIRECT(CONCATENATE("'",$A$3,"'!c",B5),1)</f>
        <v>0</v>
      </c>
      <c r="F5" s="1" cm="1">
        <f t="array" aca="1" ref="F5" ca="1">INDIRECT(CONCATENATE("'",$A$3,"'!d",B5),1)</f>
        <v>0</v>
      </c>
      <c r="G5" s="1" cm="1">
        <f t="array" aca="1" ref="G5" ca="1">INDIRECT(CONCATENATE("'",$A$3,"'!e",B5),1)</f>
        <v>0</v>
      </c>
      <c r="H5" s="1" cm="1">
        <f t="array" aca="1" ref="H5" ca="1">INDIRECT(CONCATENATE("'",$A$3,"'!f",B5),1)</f>
        <v>0</v>
      </c>
      <c r="I5" s="1" cm="1">
        <f t="array" aca="1" ref="I5" ca="1">INDIRECT(CONCATENATE("'",$A$3,"'!g",B5),1)</f>
        <v>0</v>
      </c>
      <c r="J5" s="1" cm="1">
        <f t="array" aca="1" ref="J5" ca="1">INDIRECT(CONCATENATE("'",$A$3,"'!h",B5),1)</f>
        <v>0</v>
      </c>
      <c r="K5" s="1" cm="1">
        <f t="array" aca="1" ref="K5" ca="1">INDIRECT(CONCATENATE("'",$A$3,"'!i",B5),1)</f>
        <v>0</v>
      </c>
      <c r="L5" s="1" cm="1">
        <f t="array" aca="1" ref="L5" ca="1">INDIRECT(CONCATENATE("'",$A$3,"'!j",B5),1)</f>
        <v>0</v>
      </c>
      <c r="M5" s="1" cm="1">
        <f t="array" aca="1" ref="M5" ca="1">INDIRECT(CONCATENATE("'",$A$3,"'!k",B5),1)</f>
        <v>0</v>
      </c>
      <c r="N5" s="1" t="str" cm="1">
        <f t="array" aca="1" ref="N5" ca="1">INDIRECT(CONCATENATE("'",$A$3,"'!l",B5),1)</f>
        <v/>
      </c>
      <c r="O5" s="1" cm="1">
        <f t="array" aca="1" ref="O5" ca="1">INDIRECT(CONCATENATE("'",$A$3,"'!m",B5),1)</f>
        <v>0</v>
      </c>
      <c r="P5" s="1" cm="1">
        <f t="array" aca="1" ref="P5" ca="1">INDIRECT(CONCATENATE("'",$A$3,"'!n",B5),1)</f>
        <v>0</v>
      </c>
      <c r="Q5" s="1" cm="1">
        <f t="array" aca="1" ref="Q5" ca="1">INDIRECT(CONCATENATE("'",$A$3,"'!o",B5),1)</f>
        <v>0</v>
      </c>
      <c r="R5" s="1" cm="1">
        <f t="array" aca="1" ref="R5" ca="1">INDIRECT(CONCATENATE("'",$A$3,"'!p",B5),1)</f>
        <v>0</v>
      </c>
      <c r="S5" s="1">
        <f t="shared" ca="1" si="0"/>
        <v>0</v>
      </c>
      <c r="T5" s="1" cm="1">
        <f t="array" aca="1" ref="T5" ca="1">INDIRECT(CONCATENATE("'",$A$3,"'!q",B5),1)</f>
        <v>0</v>
      </c>
      <c r="U5" s="1" cm="1">
        <f t="array" aca="1" ref="U5" ca="1">INDIRECT(CONCATENATE("'",$A$3,"'!r",B5),1)</f>
        <v>0</v>
      </c>
      <c r="V5" s="1" cm="1">
        <f t="array" aca="1" ref="V5" ca="1">INDIRECT(CONCATENATE("'",$A$3,"'!s",B5),1)</f>
        <v>0</v>
      </c>
      <c r="W5" s="1" cm="1">
        <f t="array" aca="1" ref="W5" ca="1">INDIRECT(CONCATENATE("'",$A$3,"'!t",B5),1)</f>
        <v>0</v>
      </c>
      <c r="X5" s="1" cm="1">
        <f t="array" aca="1" ref="X5" ca="1">INDIRECT(CONCATENATE("'",$A$3,"'!u",B5),1)</f>
        <v>0</v>
      </c>
      <c r="Y5" s="1" cm="1">
        <f t="array" aca="1" ref="Y5" ca="1">INDIRECT(CONCATENATE("'",$A$3,"'!v",B5),1)</f>
        <v>0</v>
      </c>
    </row>
    <row r="6" spans="1:25" customFormat="1" ht="45" hidden="1" x14ac:dyDescent="0.25">
      <c r="A6" s="15"/>
      <c r="B6" s="24">
        <f t="shared" si="1"/>
        <v>5</v>
      </c>
      <c r="C6" s="1" t="str" cm="1">
        <f t="array" aca="1" ref="C6" ca="1">INDIRECT(CONCATENATE("'",$A$3,"'!A",B6),1)</f>
        <v>Основы программирования: Алгоритмические языки и программирование</v>
      </c>
      <c r="D6" s="1" t="str" cm="1">
        <f t="array" aca="1" ref="D6" ca="1">INDIRECT(CONCATENATE("'",$A$3,"'!B",B6),1)</f>
        <v xml:space="preserve">09.03.01(09) </v>
      </c>
      <c r="E6" s="1" t="str" cm="1">
        <f t="array" aca="1" ref="E6" ca="1">INDIRECT(CONCATENATE("'",$A$3,"'!c",B6),1)</f>
        <v>5091
5092
5093
5098</v>
      </c>
      <c r="F6" s="1" cm="1">
        <f t="array" aca="1" ref="F6" ca="1">INDIRECT(CONCATENATE("'",$A$3,"'!d",B6),1)</f>
        <v>1</v>
      </c>
      <c r="G6" s="1" cm="1">
        <f t="array" aca="1" ref="G6" ca="1">INDIRECT(CONCATENATE("'",$A$3,"'!e",B6),1)</f>
        <v>4</v>
      </c>
      <c r="H6" s="1" cm="1">
        <f t="array" aca="1" ref="H6" ca="1">INDIRECT(CONCATENATE("'",$A$3,"'!f",B6),1)</f>
        <v>101</v>
      </c>
      <c r="I6" s="1" t="str" cm="1">
        <f t="array" aca="1" ref="I6" ca="1">INDIRECT(CONCATENATE("'",$A$3,"'!g",B6),1)</f>
        <v>ЭКЗ</v>
      </c>
      <c r="J6" s="1" cm="1">
        <f t="array" aca="1" ref="J6" ca="1">INDIRECT(CONCATENATE("'",$A$3,"'!h",B6),1)</f>
        <v>8</v>
      </c>
      <c r="K6" s="1" cm="1">
        <f t="array" aca="1" ref="K6" ca="1">INDIRECT(CONCATENATE("'",$A$3,"'!i",B6),1)</f>
        <v>42</v>
      </c>
      <c r="L6" s="1" cm="1">
        <f t="array" aca="1" ref="L6" ca="1">INDIRECT(CONCATENATE("'",$A$3,"'!j",B6),1)</f>
        <v>336</v>
      </c>
      <c r="M6" s="1" cm="1">
        <f t="array" aca="1" ref="M6" ca="1">INDIRECT(CONCATENATE("'",$A$3,"'!k",B6),1)</f>
        <v>0</v>
      </c>
      <c r="N6" s="1" t="str" cm="1">
        <f t="array" aca="1" ref="N6" ca="1">INDIRECT(CONCATENATE("'",$A$3,"'!l",B6),1)</f>
        <v>Попов В.С.Цымбалюк Л.Н.</v>
      </c>
      <c r="O6" s="1" cm="1">
        <f t="array" aca="1" ref="O6" ca="1">INDIRECT(CONCATENATE("'",$A$3,"'!m",B6),1)</f>
        <v>0</v>
      </c>
      <c r="P6" s="1" cm="1">
        <f t="array" aca="1" ref="P6" ca="1">INDIRECT(CONCATENATE("'",$A$3,"'!n",B6),1)</f>
        <v>0</v>
      </c>
      <c r="Q6" s="1" cm="1">
        <f t="array" aca="1" ref="Q6" ca="1">INDIRECT(CONCATENATE("'",$A$3,"'!o",B6),1)</f>
        <v>0</v>
      </c>
      <c r="R6" s="1" cm="1">
        <f t="array" aca="1" ref="R6" ca="1">INDIRECT(CONCATENATE("'",$A$3,"'!p",B6),1)</f>
        <v>0</v>
      </c>
      <c r="S6" s="1">
        <f t="shared" ca="1" si="0"/>
        <v>0</v>
      </c>
      <c r="T6" s="1" cm="1">
        <f t="array" aca="1" ref="T6" ca="1">INDIRECT(CONCATENATE("'",$A$3,"'!q",B6),1)</f>
        <v>0</v>
      </c>
      <c r="U6" s="1" cm="1">
        <f t="array" aca="1" ref="U6" ca="1">INDIRECT(CONCATENATE("'",$A$3,"'!r",B6),1)</f>
        <v>0</v>
      </c>
      <c r="V6" s="1" t="str" cm="1">
        <f t="array" aca="1" ref="V6" ca="1">INDIRECT(CONCATENATE("'",$A$3,"'!s",B6),1)</f>
        <v>Попов В.С.</v>
      </c>
      <c r="W6" s="1" cm="1">
        <f t="array" aca="1" ref="W6" ca="1">INDIRECT(CONCATENATE("'",$A$3,"'!t",B6),1)</f>
        <v>171.5</v>
      </c>
      <c r="X6" s="1" t="str" cm="1">
        <f t="array" aca="1" ref="X6" ca="1">INDIRECT(CONCATENATE("'",$A$3,"'!u",B6),1)</f>
        <v>Цымбалюк Л.Н.</v>
      </c>
      <c r="Y6" s="1" cm="1">
        <f t="array" aca="1" ref="Y6" ca="1">INDIRECT(CONCATENATE("'",$A$3,"'!v",B6),1)</f>
        <v>10</v>
      </c>
    </row>
    <row r="7" spans="1:25" customFormat="1" ht="45" hidden="1" x14ac:dyDescent="0.25">
      <c r="A7" s="15"/>
      <c r="B7" s="24">
        <f t="shared" si="1"/>
        <v>6</v>
      </c>
      <c r="C7" s="1" t="str" cm="1">
        <f t="array" aca="1" ref="C7" ca="1">INDIRECT(CONCATENATE("'",$A$3,"'!A",B7),1)</f>
        <v>Основы программирования: Алгоритмические языки и программирование</v>
      </c>
      <c r="D7" s="1" t="str" cm="1">
        <f t="array" aca="1" ref="D7" ca="1">INDIRECT(CONCATENATE("'",$A$3,"'!B",B7),1)</f>
        <v xml:space="preserve">09.03.01(09) </v>
      </c>
      <c r="E7" s="1" t="str" cm="1">
        <f t="array" aca="1" ref="E7" ca="1">INDIRECT(CONCATENATE("'",$A$3,"'!c",B7),1)</f>
        <v>5091
5092
5093
5098</v>
      </c>
      <c r="F7" s="1" cm="1">
        <f t="array" aca="1" ref="F7" ca="1">INDIRECT(CONCATENATE("'",$A$3,"'!d",B7),1)</f>
        <v>2</v>
      </c>
      <c r="G7" s="1" cm="1">
        <f t="array" aca="1" ref="G7" ca="1">INDIRECT(CONCATENATE("'",$A$3,"'!e",B7),1)</f>
        <v>4</v>
      </c>
      <c r="H7" s="1" cm="1">
        <f t="array" aca="1" ref="H7" ca="1">INDIRECT(CONCATENATE("'",$A$3,"'!f",B7),1)</f>
        <v>101</v>
      </c>
      <c r="I7" s="1" t="str" cm="1">
        <f t="array" aca="1" ref="I7" ca="1">INDIRECT(CONCATENATE("'",$A$3,"'!g",B7),1)</f>
        <v>ЭКЗ</v>
      </c>
      <c r="J7" s="1" cm="1">
        <f t="array" aca="1" ref="J7" ca="1">INDIRECT(CONCATENATE("'",$A$3,"'!h",B7),1)</f>
        <v>8</v>
      </c>
      <c r="K7" s="1" cm="1">
        <f t="array" aca="1" ref="K7" ca="1">INDIRECT(CONCATENATE("'",$A$3,"'!i",B7),1)</f>
        <v>28</v>
      </c>
      <c r="L7" s="1" cm="1">
        <f t="array" aca="1" ref="L7" ca="1">INDIRECT(CONCATENATE("'",$A$3,"'!j",B7),1)</f>
        <v>210</v>
      </c>
      <c r="M7" s="1" cm="1">
        <f t="array" aca="1" ref="M7" ca="1">INDIRECT(CONCATENATE("'",$A$3,"'!k",B7),1)</f>
        <v>210</v>
      </c>
      <c r="N7" s="1" t="str" cm="1">
        <f t="array" aca="1" ref="N7" ca="1">INDIRECT(CONCATENATE("'",$A$3,"'!l",B7),1)</f>
        <v>Винник Л.И.Кулаков И.Ю.Иванов Д.Д.</v>
      </c>
      <c r="O7" s="1" cm="1">
        <f t="array" aca="1" ref="O7" ca="1">INDIRECT(CONCATENATE("'",$A$3,"'!m",B7),1)</f>
        <v>0</v>
      </c>
      <c r="P7" s="1" t="str" cm="1">
        <f t="array" aca="1" ref="P7" ca="1">INDIRECT(CONCATENATE("'",$A$3,"'!n",B7),1)</f>
        <v>пр *5 пп
лр *5 пп</v>
      </c>
      <c r="Q7" s="1" cm="1">
        <f t="array" aca="1" ref="Q7" ca="1">INDIRECT(CONCATENATE("'",$A$3,"'!o",B7),1)</f>
        <v>126</v>
      </c>
      <c r="R7" s="1" cm="1">
        <f t="array" aca="1" ref="R7" ca="1">INDIRECT(CONCATENATE("'",$A$3,"'!p",B7),1)</f>
        <v>84</v>
      </c>
      <c r="S7" s="1">
        <f t="shared" ca="1" si="0"/>
        <v>0</v>
      </c>
      <c r="T7" s="1" t="str" cm="1">
        <f t="array" aca="1" ref="T7" ca="1">INDIRECT(CONCATENATE("'",$A$3,"'!q",B7),1)</f>
        <v>Винник Л.И.</v>
      </c>
      <c r="U7" s="1" cm="1">
        <f t="array" aca="1" ref="U7" ca="1">INDIRECT(CONCATENATE("'",$A$3,"'!r",B7),1)</f>
        <v>73.5</v>
      </c>
      <c r="V7" s="1" t="str" cm="1">
        <f t="array" aca="1" ref="V7" ca="1">INDIRECT(CONCATENATE("'",$A$3,"'!s",B7),1)</f>
        <v>Кулаков И.Ю.</v>
      </c>
      <c r="W7" s="1" cm="1">
        <f t="array" aca="1" ref="W7" ca="1">INDIRECT(CONCATENATE("'",$A$3,"'!t",B7),1)</f>
        <v>227.5</v>
      </c>
      <c r="X7" s="1" t="str" cm="1">
        <f t="array" aca="1" ref="X7" ca="1">INDIRECT(CONCATENATE("'",$A$3,"'!u",B7),1)</f>
        <v>Иванов Д.Д.</v>
      </c>
      <c r="Y7" s="1" cm="1">
        <f t="array" aca="1" ref="Y7" ca="1">INDIRECT(CONCATENATE("'",$A$3,"'!v",B7),1)</f>
        <v>227.5</v>
      </c>
    </row>
    <row r="8" spans="1:25" customFormat="1" ht="45" hidden="1" x14ac:dyDescent="0.25">
      <c r="A8" s="15"/>
      <c r="B8" s="24">
        <f t="shared" si="1"/>
        <v>7</v>
      </c>
      <c r="C8" s="1" t="str" cm="1">
        <f t="array" aca="1" ref="C8" ca="1">INDIRECT(CONCATENATE("'",$A$3,"'!A",B8),1)</f>
        <v>Основы программирования: Алгоритмические языки и программирование</v>
      </c>
      <c r="D8" s="1" t="str" cm="1">
        <f t="array" aca="1" ref="D8" ca="1">INDIRECT(CONCATENATE("'",$A$3,"'!B",B8),1)</f>
        <v xml:space="preserve">09.03.01(09) </v>
      </c>
      <c r="E8" s="1" t="str" cm="1">
        <f t="array" aca="1" ref="E8" ca="1">INDIRECT(CONCATENATE("'",$A$3,"'!c",B8),1)</f>
        <v>5091
5092
5093
5098</v>
      </c>
      <c r="F8" s="1" cm="1">
        <f t="array" aca="1" ref="F8" ca="1">INDIRECT(CONCATENATE("'",$A$3,"'!d",B8),1)</f>
        <v>2</v>
      </c>
      <c r="G8" s="1" cm="1">
        <f t="array" aca="1" ref="G8" ca="1">INDIRECT(CONCATENATE("'",$A$3,"'!e",B8),1)</f>
        <v>4</v>
      </c>
      <c r="H8" s="1" cm="1">
        <f t="array" aca="1" ref="H8" ca="1">INDIRECT(CONCATENATE("'",$A$3,"'!f",B8),1)</f>
        <v>101</v>
      </c>
      <c r="I8" s="1" cm="1">
        <f t="array" aca="1" ref="I8" ca="1">INDIRECT(CONCATENATE("'",$A$3,"'!g",B8),1)</f>
        <v>0</v>
      </c>
      <c r="J8" s="1" cm="1">
        <f t="array" aca="1" ref="J8" ca="1">INDIRECT(CONCATENATE("'",$A$3,"'!h",B8),1)</f>
        <v>0</v>
      </c>
      <c r="K8" s="1" cm="1">
        <f t="array" aca="1" ref="K8" ca="1">INDIRECT(CONCATENATE("'",$A$3,"'!i",B8),1)</f>
        <v>0</v>
      </c>
      <c r="L8" s="1" cm="1">
        <f t="array" aca="1" ref="L8" ca="1">INDIRECT(CONCATENATE("'",$A$3,"'!j",B8),1)</f>
        <v>0</v>
      </c>
      <c r="M8" s="1" cm="1">
        <f t="array" aca="1" ref="M8" ca="1">INDIRECT(CONCATENATE("'",$A$3,"'!k",B8),1)</f>
        <v>0</v>
      </c>
      <c r="N8" s="1" t="str" cm="1">
        <f t="array" aca="1" ref="N8" ca="1">INDIRECT(CONCATENATE("'",$A$3,"'!l",B8),1)</f>
        <v>Попов В.С.Цымбалюк Л.Н.</v>
      </c>
      <c r="O8" s="1" cm="1">
        <f t="array" aca="1" ref="O8" ca="1">INDIRECT(CONCATENATE("'",$A$3,"'!m",B8),1)</f>
        <v>0</v>
      </c>
      <c r="P8" s="1" cm="1">
        <f t="array" aca="1" ref="P8" ca="1">INDIRECT(CONCATENATE("'",$A$3,"'!n",B8),1)</f>
        <v>0</v>
      </c>
      <c r="Q8" s="1" cm="1">
        <f t="array" aca="1" ref="Q8" ca="1">INDIRECT(CONCATENATE("'",$A$3,"'!o",B8),1)</f>
        <v>0</v>
      </c>
      <c r="R8" s="1" cm="1">
        <f t="array" aca="1" ref="R8" ca="1">INDIRECT(CONCATENATE("'",$A$3,"'!p",B8),1)</f>
        <v>0</v>
      </c>
      <c r="S8" s="1">
        <f t="shared" ca="1" si="0"/>
        <v>0</v>
      </c>
      <c r="T8" s="1" cm="1">
        <f t="array" aca="1" ref="T8" ca="1">INDIRECT(CONCATENATE("'",$A$3,"'!q",B8),1)</f>
        <v>0</v>
      </c>
      <c r="U8" s="1" cm="1">
        <f t="array" aca="1" ref="U8" ca="1">INDIRECT(CONCATENATE("'",$A$3,"'!r",B8),1)</f>
        <v>0</v>
      </c>
      <c r="V8" s="1" t="str" cm="1">
        <f t="array" aca="1" ref="V8" ca="1">INDIRECT(CONCATENATE("'",$A$3,"'!s",B8),1)</f>
        <v>Попов В.С.</v>
      </c>
      <c r="W8" s="1" cm="1">
        <f t="array" aca="1" ref="W8" ca="1">INDIRECT(CONCATENATE("'",$A$3,"'!t",B8),1)</f>
        <v>115.5</v>
      </c>
      <c r="X8" s="1" t="str" cm="1">
        <f t="array" aca="1" ref="X8" ca="1">INDIRECT(CONCATENATE("'",$A$3,"'!u",B8),1)</f>
        <v>Цымбалюк Л.Н.</v>
      </c>
      <c r="Y8" s="1" cm="1">
        <f t="array" aca="1" ref="Y8" ca="1">INDIRECT(CONCATENATE("'",$A$3,"'!v",B8),1)</f>
        <v>14</v>
      </c>
    </row>
    <row r="9" spans="1:25" customFormat="1" ht="45" x14ac:dyDescent="0.25">
      <c r="A9" s="15"/>
      <c r="B9" s="24">
        <f t="shared" si="1"/>
        <v>8</v>
      </c>
      <c r="C9" s="1" t="str" cm="1">
        <f t="array" aca="1" ref="C9" ca="1">INDIRECT(CONCATENATE("'",$A$3,"'!A",B9),1)</f>
        <v>Архитектура ЭВМ и периферийных устройств</v>
      </c>
      <c r="D9" s="1" t="str" cm="1">
        <f t="array" aca="1" ref="D9" ca="1">INDIRECT(CONCATENATE("'",$A$3,"'!B",B9),1)</f>
        <v xml:space="preserve">09.03.01(09) </v>
      </c>
      <c r="E9" s="1" t="str" cm="1">
        <f t="array" aca="1" ref="E9" ca="1">INDIRECT(CONCATENATE("'",$A$3,"'!c",B9),1)</f>
        <v>5091
5092
5093
5098</v>
      </c>
      <c r="F9" s="1" cm="1">
        <f t="array" aca="1" ref="F9" ca="1">INDIRECT(CONCATENATE("'",$A$3,"'!d",B9),1)</f>
        <v>2</v>
      </c>
      <c r="G9" s="1" cm="1">
        <f t="array" aca="1" ref="G9" ca="1">INDIRECT(CONCATENATE("'",$A$3,"'!e",B9),1)</f>
        <v>4</v>
      </c>
      <c r="H9" s="1" cm="1">
        <f t="array" aca="1" ref="H9" ca="1">INDIRECT(CONCATENATE("'",$A$3,"'!f",B9),1)</f>
        <v>101</v>
      </c>
      <c r="I9" s="1" t="str" cm="1">
        <f t="array" aca="1" ref="I9" ca="1">INDIRECT(CONCATENATE("'",$A$3,"'!g",B9),1)</f>
        <v>ЗАЧ</v>
      </c>
      <c r="J9" s="1" cm="1">
        <f t="array" aca="1" ref="J9" ca="1">INDIRECT(CONCATENATE("'",$A$3,"'!h",B9),1)</f>
        <v>3</v>
      </c>
      <c r="K9" s="1" cm="1">
        <f t="array" aca="1" ref="K9" ca="1">INDIRECT(CONCATENATE("'",$A$3,"'!i",B9),1)</f>
        <v>14</v>
      </c>
      <c r="L9" s="1" cm="1">
        <f t="array" aca="1" ref="L9" ca="1">INDIRECT(CONCATENATE("'",$A$3,"'!j",B9),1)</f>
        <v>0</v>
      </c>
      <c r="M9" s="1" cm="1">
        <f t="array" aca="1" ref="M9" ca="1">INDIRECT(CONCATENATE("'",$A$3,"'!k",B9),1)</f>
        <v>140</v>
      </c>
      <c r="N9" s="1" t="str" cm="1">
        <f t="array" aca="1" ref="N9" ca="1">INDIRECT(CONCATENATE("'",$A$3,"'!l",B9),1)</f>
        <v>Шаклеин В.Г.Савинова М.А.Эрштейн Л.Б.</v>
      </c>
      <c r="O9" s="1" cm="1">
        <f t="array" aca="1" ref="O9" ca="1">INDIRECT(CONCATENATE("'",$A$3,"'!m",B9),1)</f>
        <v>0</v>
      </c>
      <c r="P9" s="1" t="str" cm="1">
        <f t="array" aca="1" ref="P9" ca="1">INDIRECT(CONCATENATE("'",$A$3,"'!n",B9),1)</f>
        <v>5п</v>
      </c>
      <c r="Q9" s="1" cm="1">
        <f t="array" aca="1" ref="Q9" ca="1">INDIRECT(CONCATENATE("'",$A$3,"'!o",B9),1)</f>
        <v>47.25</v>
      </c>
      <c r="R9" s="1" cm="1">
        <f t="array" aca="1" ref="R9" ca="1">INDIRECT(CONCATENATE("'",$A$3,"'!p",B9),1)</f>
        <v>0</v>
      </c>
      <c r="S9" s="1">
        <f t="shared" ca="1" si="0"/>
        <v>112</v>
      </c>
      <c r="T9" s="1" t="str" cm="1">
        <f t="array" aca="1" ref="T9" ca="1">INDIRECT(CONCATENATE("'",$A$3,"'!q",B9),1)</f>
        <v>Шаклеин В.Г.</v>
      </c>
      <c r="U9" s="1" cm="1">
        <f t="array" aca="1" ref="U9" ca="1">INDIRECT(CONCATENATE("'",$A$3,"'!r",B9),1)</f>
        <v>75.25</v>
      </c>
      <c r="V9" s="1" t="str" cm="1">
        <f t="array" aca="1" ref="V9" ca="1">INDIRECT(CONCATENATE("'",$A$3,"'!s",B9),1)</f>
        <v>Савинова М.А.</v>
      </c>
      <c r="W9" s="1" cm="1">
        <f t="array" aca="1" ref="W9" ca="1">INDIRECT(CONCATENATE("'",$A$3,"'!t",B9),1)</f>
        <v>112</v>
      </c>
      <c r="X9" s="1" t="str" cm="1">
        <f t="array" aca="1" ref="X9" ca="1">INDIRECT(CONCATENATE("'",$A$3,"'!u",B9),1)</f>
        <v>Эрштейн Л.Б.</v>
      </c>
      <c r="Y9" s="1" cm="1">
        <f t="array" aca="1" ref="Y9" ca="1">INDIRECT(CONCATENATE("'",$A$3,"'!v",B9),1)</f>
        <v>28</v>
      </c>
    </row>
    <row r="10" spans="1:25" customFormat="1" ht="24.6" hidden="1" customHeight="1" x14ac:dyDescent="0.25">
      <c r="A10" s="15"/>
      <c r="B10" s="24">
        <f t="shared" si="1"/>
        <v>9</v>
      </c>
      <c r="C10" s="1" t="str" cm="1">
        <f t="array" aca="1" ref="C10" ca="1">INDIRECT(CONCATENATE("'",$A$3,"'!A",B10),1)</f>
        <v>Информационные технологии</v>
      </c>
      <c r="D10" s="1" t="str" cm="1">
        <f t="array" aca="1" ref="D10" ca="1">INDIRECT(CONCATENATE("'",$A$3,"'!B",B10),1)</f>
        <v xml:space="preserve">09.03.01(09) </v>
      </c>
      <c r="E10" s="1" t="str" cm="1">
        <f t="array" aca="1" ref="E10" ca="1">INDIRECT(CONCATENATE("'",$A$3,"'!c",B10),1)</f>
        <v>5091
5092
5093
5098</v>
      </c>
      <c r="F10" s="1" cm="1">
        <f t="array" aca="1" ref="F10" ca="1">INDIRECT(CONCATENATE("'",$A$3,"'!d",B10),1)</f>
        <v>2</v>
      </c>
      <c r="G10" s="1" cm="1">
        <f t="array" aca="1" ref="G10" ca="1">INDIRECT(CONCATENATE("'",$A$3,"'!e",B10),1)</f>
        <v>4</v>
      </c>
      <c r="H10" s="1" cm="1">
        <f t="array" aca="1" ref="H10" ca="1">INDIRECT(CONCATENATE("'",$A$3,"'!f",B10),1)</f>
        <v>101</v>
      </c>
      <c r="I10" s="1" t="str" cm="1">
        <f t="array" aca="1" ref="I10" ca="1">INDIRECT(CONCATENATE("'",$A$3,"'!g",B10),1)</f>
        <v>ЗАЧ</v>
      </c>
      <c r="J10" s="1" cm="1">
        <f t="array" aca="1" ref="J10" ca="1">INDIRECT(CONCATENATE("'",$A$3,"'!h",B10),1)</f>
        <v>2</v>
      </c>
      <c r="K10" s="1" cm="1">
        <f t="array" aca="1" ref="K10" ca="1">INDIRECT(CONCATENATE("'",$A$3,"'!i",B10),1)</f>
        <v>28</v>
      </c>
      <c r="L10" s="1" cm="1">
        <f t="array" aca="1" ref="L10" ca="1">INDIRECT(CONCATENATE("'",$A$3,"'!j",B10),1)</f>
        <v>70</v>
      </c>
      <c r="M10" s="1" cm="1">
        <f t="array" aca="1" ref="M10" ca="1">INDIRECT(CONCATENATE("'",$A$3,"'!k",B10),1)</f>
        <v>0</v>
      </c>
      <c r="N10" s="1" t="str" cm="1">
        <f t="array" aca="1" ref="N10" ca="1">INDIRECT(CONCATENATE("'",$A$3,"'!l",B10),1)</f>
        <v>Архипова Г.А.</v>
      </c>
      <c r="O10" s="1" t="str" cm="1">
        <f t="array" aca="1" ref="O10" ca="1">INDIRECT(CONCATENATE("'",$A$3,"'!m",B10),1)</f>
        <v>в 3301 кабинете</v>
      </c>
      <c r="P10" s="1" t="str" cm="1">
        <f t="array" aca="1" ref="P10" ca="1">INDIRECT(CONCATENATE("'",$A$3,"'!n",B10),1)</f>
        <v>пр *5 пп</v>
      </c>
      <c r="Q10" s="1" cm="1">
        <f t="array" aca="1" ref="Q10" ca="1">INDIRECT(CONCATENATE("'",$A$3,"'!o",B10),1)</f>
        <v>31.5</v>
      </c>
      <c r="R10" s="1" cm="1">
        <f t="array" aca="1" ref="R10" ca="1">INDIRECT(CONCATENATE("'",$A$3,"'!p",B10),1)</f>
        <v>0</v>
      </c>
      <c r="S10" s="1">
        <f t="shared" ca="1" si="0"/>
        <v>0</v>
      </c>
      <c r="T10" s="1" t="str" cm="1">
        <f t="array" aca="1" ref="T10" ca="1">INDIRECT(CONCATENATE("'",$A$3,"'!q",B10),1)</f>
        <v>Архипова Г.А.</v>
      </c>
      <c r="U10" s="1" cm="1">
        <f t="array" aca="1" ref="U10" ca="1">INDIRECT(CONCATENATE("'",$A$3,"'!r",B10),1)</f>
        <v>129.5</v>
      </c>
      <c r="V10" s="1" cm="1">
        <f t="array" aca="1" ref="V10" ca="1">INDIRECT(CONCATENATE("'",$A$3,"'!s",B10),1)</f>
        <v>0</v>
      </c>
      <c r="W10" s="1" cm="1">
        <f t="array" aca="1" ref="W10" ca="1">INDIRECT(CONCATENATE("'",$A$3,"'!t",B10),1)</f>
        <v>0</v>
      </c>
      <c r="X10" s="1" cm="1">
        <f t="array" aca="1" ref="X10" ca="1">INDIRECT(CONCATENATE("'",$A$3,"'!u",B10),1)</f>
        <v>0</v>
      </c>
      <c r="Y10" s="1" cm="1">
        <f t="array" aca="1" ref="Y10" ca="1">INDIRECT(CONCATENATE("'",$A$3,"'!v",B10),1)</f>
        <v>0</v>
      </c>
    </row>
    <row r="11" spans="1:25" customFormat="1" ht="45" hidden="1" x14ac:dyDescent="0.25">
      <c r="A11" s="15"/>
      <c r="B11" s="24">
        <f t="shared" si="1"/>
        <v>10</v>
      </c>
      <c r="C11" s="1" t="str" cm="1">
        <f t="array" aca="1" ref="C11" ca="1">INDIRECT(CONCATENATE("'",$A$3,"'!A",B11),1)</f>
        <v>Практика учебная: Практика ознакомительная</v>
      </c>
      <c r="D11" s="1" t="str" cm="1">
        <f t="array" aca="1" ref="D11" ca="1">INDIRECT(CONCATENATE("'",$A$3,"'!B",B11),1)</f>
        <v xml:space="preserve">09.03.01(09) </v>
      </c>
      <c r="E11" s="1" t="str" cm="1">
        <f t="array" aca="1" ref="E11" ca="1">INDIRECT(CONCATENATE("'",$A$3,"'!c",B11),1)</f>
        <v>5091
5092
5093
5098</v>
      </c>
      <c r="F11" s="1" cm="1">
        <f t="array" aca="1" ref="F11" ca="1">INDIRECT(CONCATENATE("'",$A$3,"'!d",B11),1)</f>
        <v>2</v>
      </c>
      <c r="G11" s="1" cm="1">
        <f t="array" aca="1" ref="G11" ca="1">INDIRECT(CONCATENATE("'",$A$3,"'!e",B11),1)</f>
        <v>4</v>
      </c>
      <c r="H11" s="1" cm="1">
        <f t="array" aca="1" ref="H11" ca="1">INDIRECT(CONCATENATE("'",$A$3,"'!f",B11),1)</f>
        <v>101</v>
      </c>
      <c r="I11" s="1" t="str" cm="1">
        <f t="array" aca="1" ref="I11" ca="1">INDIRECT(CONCATENATE("'",$A$3,"'!g",B11),1)</f>
        <v>ДЗ</v>
      </c>
      <c r="J11" s="1" cm="1">
        <f t="array" aca="1" ref="J11" ca="1">INDIRECT(CONCATENATE("'",$A$3,"'!h",B11),1)</f>
        <v>3</v>
      </c>
      <c r="K11" s="1" cm="1">
        <f t="array" aca="1" ref="K11" ca="1">INDIRECT(CONCATENATE("'",$A$3,"'!i",B11),1)</f>
        <v>0</v>
      </c>
      <c r="L11" s="1" cm="1">
        <f t="array" aca="1" ref="L11" ca="1">INDIRECT(CONCATENATE("'",$A$3,"'!j",B11),1)</f>
        <v>2</v>
      </c>
      <c r="M11" s="1" cm="1">
        <f t="array" aca="1" ref="M11" ca="1">INDIRECT(CONCATENATE("'",$A$3,"'!k",B11),1)</f>
        <v>0</v>
      </c>
      <c r="N11" s="1" t="str" cm="1">
        <f t="array" aca="1" ref="N11" ca="1">INDIRECT(CONCATENATE("'",$A$3,"'!l",B11),1)</f>
        <v>Архипова Г.А.</v>
      </c>
      <c r="O11" s="1" cm="1">
        <f t="array" aca="1" ref="O11" ca="1">INDIRECT(CONCATENATE("'",$A$3,"'!m",B11),1)</f>
        <v>3315</v>
      </c>
      <c r="P11" s="1" t="str" cm="1">
        <f t="array" aca="1" ref="P11" ca="1">INDIRECT(CONCATENATE("'",$A$3,"'!n",B11),1)</f>
        <v>консультации каждую неделю</v>
      </c>
      <c r="Q11" s="1" cm="1">
        <f t="array" aca="1" ref="Q11" ca="1">INDIRECT(CONCATENATE("'",$A$3,"'!o",B11),1)</f>
        <v>252</v>
      </c>
      <c r="R11" s="1" cm="1">
        <f t="array" aca="1" ref="R11" ca="1">INDIRECT(CONCATENATE("'",$A$3,"'!p",B11),1)</f>
        <v>0</v>
      </c>
      <c r="S11" s="1">
        <f t="shared" ca="1" si="0"/>
        <v>0</v>
      </c>
      <c r="T11" s="1" t="str" cm="1">
        <f t="array" aca="1" ref="T11" ca="1">INDIRECT(CONCATENATE("'",$A$3,"'!q",B11),1)</f>
        <v>Архипова Г.А.</v>
      </c>
      <c r="U11" s="1" cm="1">
        <f t="array" aca="1" ref="U11" ca="1">INDIRECT(CONCATENATE("'",$A$3,"'!r",B11),1)</f>
        <v>252</v>
      </c>
      <c r="V11" s="1" cm="1">
        <f t="array" aca="1" ref="V11" ca="1">INDIRECT(CONCATENATE("'",$A$3,"'!s",B11),1)</f>
        <v>0</v>
      </c>
      <c r="W11" s="1" cm="1">
        <f t="array" aca="1" ref="W11" ca="1">INDIRECT(CONCATENATE("'",$A$3,"'!t",B11),1)</f>
        <v>0</v>
      </c>
      <c r="X11" s="1" cm="1">
        <f t="array" aca="1" ref="X11" ca="1">INDIRECT(CONCATENATE("'",$A$3,"'!u",B11),1)</f>
        <v>0</v>
      </c>
      <c r="Y11" s="1" cm="1">
        <f t="array" aca="1" ref="Y11" ca="1">INDIRECT(CONCATENATE("'",$A$3,"'!v",B11),1)</f>
        <v>0</v>
      </c>
    </row>
    <row r="12" spans="1:25" customFormat="1" hidden="1" x14ac:dyDescent="0.25">
      <c r="A12" s="15"/>
      <c r="B12" s="24">
        <f t="shared" si="1"/>
        <v>11</v>
      </c>
      <c r="C12" s="1" cm="1">
        <f t="array" aca="1" ref="C12" ca="1">INDIRECT(CONCATENATE("'",$A$3,"'!A",B12),1)</f>
        <v>0</v>
      </c>
      <c r="D12" s="1" cm="1">
        <f t="array" aca="1" ref="D12" ca="1">INDIRECT(CONCATENATE("'",$A$3,"'!B",B12),1)</f>
        <v>0</v>
      </c>
      <c r="E12" s="1" cm="1">
        <f t="array" aca="1" ref="E12" ca="1">INDIRECT(CONCATENATE("'",$A$3,"'!c",B12),1)</f>
        <v>0</v>
      </c>
      <c r="F12" s="1" cm="1">
        <f t="array" aca="1" ref="F12" ca="1">INDIRECT(CONCATENATE("'",$A$3,"'!d",B12),1)</f>
        <v>0</v>
      </c>
      <c r="G12" s="1" cm="1">
        <f t="array" aca="1" ref="G12" ca="1">INDIRECT(CONCATENATE("'",$A$3,"'!e",B12),1)</f>
        <v>0</v>
      </c>
      <c r="H12" s="1" cm="1">
        <f t="array" aca="1" ref="H12" ca="1">INDIRECT(CONCATENATE("'",$A$3,"'!f",B12),1)</f>
        <v>0</v>
      </c>
      <c r="I12" s="1" cm="1">
        <f t="array" aca="1" ref="I12" ca="1">INDIRECT(CONCATENATE("'",$A$3,"'!g",B12),1)</f>
        <v>0</v>
      </c>
      <c r="J12" s="1" cm="1">
        <f t="array" aca="1" ref="J12" ca="1">INDIRECT(CONCATENATE("'",$A$3,"'!h",B12),1)</f>
        <v>0</v>
      </c>
      <c r="K12" s="1" cm="1">
        <f t="array" aca="1" ref="K12" ca="1">INDIRECT(CONCATENATE("'",$A$3,"'!i",B12),1)</f>
        <v>0</v>
      </c>
      <c r="L12" s="1" cm="1">
        <f t="array" aca="1" ref="L12" ca="1">INDIRECT(CONCATENATE("'",$A$3,"'!j",B12),1)</f>
        <v>0</v>
      </c>
      <c r="M12" s="1" cm="1">
        <f t="array" aca="1" ref="M12" ca="1">INDIRECT(CONCATENATE("'",$A$3,"'!k",B12),1)</f>
        <v>0</v>
      </c>
      <c r="N12" s="1" t="str" cm="1">
        <f t="array" aca="1" ref="N12" ca="1">INDIRECT(CONCATENATE("'",$A$3,"'!l",B12),1)</f>
        <v/>
      </c>
      <c r="O12" s="1" cm="1">
        <f t="array" aca="1" ref="O12" ca="1">INDIRECT(CONCATENATE("'",$A$3,"'!m",B12),1)</f>
        <v>0</v>
      </c>
      <c r="P12" s="1" cm="1">
        <f t="array" aca="1" ref="P12" ca="1">INDIRECT(CONCATENATE("'",$A$3,"'!n",B12),1)</f>
        <v>0</v>
      </c>
      <c r="Q12" s="1" cm="1">
        <f t="array" aca="1" ref="Q12" ca="1">INDIRECT(CONCATENATE("'",$A$3,"'!o",B12),1)</f>
        <v>0</v>
      </c>
      <c r="R12" s="1" cm="1">
        <f t="array" aca="1" ref="R12" ca="1">INDIRECT(CONCATENATE("'",$A$3,"'!p",B12),1)</f>
        <v>0</v>
      </c>
      <c r="S12" s="1">
        <f t="shared" ca="1" si="0"/>
        <v>0</v>
      </c>
      <c r="T12" s="1" cm="1">
        <f t="array" aca="1" ref="T12" ca="1">INDIRECT(CONCATENATE("'",$A$3,"'!q",B12),1)</f>
        <v>0</v>
      </c>
      <c r="U12" s="1" cm="1">
        <f t="array" aca="1" ref="U12" ca="1">INDIRECT(CONCATENATE("'",$A$3,"'!r",B12),1)</f>
        <v>0</v>
      </c>
      <c r="V12" s="1" cm="1">
        <f t="array" aca="1" ref="V12" ca="1">INDIRECT(CONCATENATE("'",$A$3,"'!s",B12),1)</f>
        <v>0</v>
      </c>
      <c r="W12" s="1" cm="1">
        <f t="array" aca="1" ref="W12" ca="1">INDIRECT(CONCATENATE("'",$A$3,"'!t",B12),1)</f>
        <v>0</v>
      </c>
      <c r="X12" s="1" cm="1">
        <f t="array" aca="1" ref="X12" ca="1">INDIRECT(CONCATENATE("'",$A$3,"'!u",B12),1)</f>
        <v>0</v>
      </c>
      <c r="Y12" s="1" cm="1">
        <f t="array" aca="1" ref="Y12" ca="1">INDIRECT(CONCATENATE("'",$A$3,"'!v",B12),1)</f>
        <v>0</v>
      </c>
    </row>
    <row r="13" spans="1:25" customFormat="1" ht="45" hidden="1" x14ac:dyDescent="0.25">
      <c r="A13" s="15"/>
      <c r="B13" s="24">
        <f t="shared" si="1"/>
        <v>12</v>
      </c>
      <c r="C13" s="1" t="str" cm="1">
        <f t="array" aca="1" ref="C13" ca="1">INDIRECT(CONCATENATE("'",$A$3,"'!A",B13),1)</f>
        <v>Основы программирования: Структуры данных и алгоритмы</v>
      </c>
      <c r="D13" s="1" t="str" cm="1">
        <f t="array" aca="1" ref="D13" ca="1">INDIRECT(CONCATENATE("'",$A$3,"'!B",B13),1)</f>
        <v xml:space="preserve">09.03.01(09) </v>
      </c>
      <c r="E13" s="1" t="str" cm="1">
        <f t="array" aca="1" ref="E13" ca="1">INDIRECT(CONCATENATE("'",$A$3,"'!c",B13),1)</f>
        <v>3091,3092,3093</v>
      </c>
      <c r="F13" s="1" cm="1">
        <f t="array" aca="1" ref="F13" ca="1">INDIRECT(CONCATENATE("'",$A$3,"'!d",B13),1)</f>
        <v>3</v>
      </c>
      <c r="G13" s="1" cm="1">
        <f t="array" aca="1" ref="G13" ca="1">INDIRECT(CONCATENATE("'",$A$3,"'!e",B13),1)</f>
        <v>3</v>
      </c>
      <c r="H13" s="1" cm="1">
        <f t="array" aca="1" ref="H13" ca="1">INDIRECT(CONCATENATE("'",$A$3,"'!f",B13),1)</f>
        <v>89</v>
      </c>
      <c r="I13" s="1" t="str" cm="1">
        <f t="array" aca="1" ref="I13" ca="1">INDIRECT(CONCATENATE("'",$A$3,"'!g",B13),1)</f>
        <v>ЭКЗ</v>
      </c>
      <c r="J13" s="1" cm="1">
        <f t="array" aca="1" ref="J13" ca="1">INDIRECT(CONCATENATE("'",$A$3,"'!h",B13),1)</f>
        <v>8</v>
      </c>
      <c r="K13" s="1" cm="1">
        <f t="array" aca="1" ref="K13" ca="1">INDIRECT(CONCATENATE("'",$A$3,"'!i",B13),1)</f>
        <v>28</v>
      </c>
      <c r="L13" s="1" cm="1">
        <f t="array" aca="1" ref="L13" ca="1">INDIRECT(CONCATENATE("'",$A$3,"'!j",B13),1)</f>
        <v>105</v>
      </c>
      <c r="M13" s="1" cm="1">
        <f t="array" aca="1" ref="M13" ca="1">INDIRECT(CONCATENATE("'",$A$3,"'!k",B13),1)</f>
        <v>105</v>
      </c>
      <c r="N13" s="1" t="str" cm="1">
        <f t="array" aca="1" ref="N13" ca="1">INDIRECT(CONCATENATE("'",$A$3,"'!l",B13),1)</f>
        <v>Довгалюк П.М.Кулаков И.Ю.</v>
      </c>
      <c r="O13" s="1" cm="1">
        <f t="array" aca="1" ref="O13" ca="1">INDIRECT(CONCATENATE("'",$A$3,"'!m",B13),1)</f>
        <v>0</v>
      </c>
      <c r="P13" s="1" t="str" cm="1">
        <f t="array" aca="1" ref="P13" ca="1">INDIRECT(CONCATENATE("'",$A$3,"'!n",B13),1)</f>
        <v>лр * 3пп
пр * 3пп</v>
      </c>
      <c r="Q13" s="1" cm="1">
        <f t="array" aca="1" ref="Q13" ca="1">INDIRECT(CONCATENATE("'",$A$3,"'!o",B13),1)</f>
        <v>108</v>
      </c>
      <c r="R13" s="1" cm="1">
        <f t="array" aca="1" ref="R13" ca="1">INDIRECT(CONCATENATE("'",$A$3,"'!p",B13),1)</f>
        <v>72</v>
      </c>
      <c r="S13" s="1">
        <f t="shared" ca="1" si="0"/>
        <v>0</v>
      </c>
      <c r="T13" s="1" t="str" cm="1">
        <f t="array" aca="1" ref="T13" ca="1">INDIRECT(CONCATENATE("'",$A$3,"'!q",B13),1)</f>
        <v>Довгалюк П.М.</v>
      </c>
      <c r="U13" s="1" cm="1">
        <f t="array" aca="1" ref="U13" ca="1">INDIRECT(CONCATENATE("'",$A$3,"'!r",B13),1)</f>
        <v>179</v>
      </c>
      <c r="V13" s="1" t="str" cm="1">
        <f t="array" aca="1" ref="V13" ca="1">INDIRECT(CONCATENATE("'",$A$3,"'!s",B13),1)</f>
        <v>Кулаков И.Ю.</v>
      </c>
      <c r="W13" s="1" cm="1">
        <f t="array" aca="1" ref="W13" ca="1">INDIRECT(CONCATENATE("'",$A$3,"'!t",B13),1)</f>
        <v>131</v>
      </c>
      <c r="X13" s="1" cm="1">
        <f t="array" aca="1" ref="X13" ca="1">INDIRECT(CONCATENATE("'",$A$3,"'!u",B13),1)</f>
        <v>0</v>
      </c>
      <c r="Y13" s="1" cm="1">
        <f t="array" aca="1" ref="Y13" ca="1">INDIRECT(CONCATENATE("'",$A$3,"'!v",B13),1)</f>
        <v>213</v>
      </c>
    </row>
    <row r="14" spans="1:25" customFormat="1" ht="33.75" hidden="1" x14ac:dyDescent="0.25">
      <c r="A14" s="15"/>
      <c r="B14" s="24">
        <f t="shared" si="1"/>
        <v>13</v>
      </c>
      <c r="C14" s="1" t="str" cm="1">
        <f t="array" aca="1" ref="C14" ca="1">INDIRECT(CONCATENATE("'",$A$3,"'!A",B14),1)</f>
        <v>Инженерная и компьютерная графика</v>
      </c>
      <c r="D14" s="1" t="str" cm="1">
        <f t="array" aca="1" ref="D14" ca="1">INDIRECT(CONCATENATE("'",$A$3,"'!B",B14),1)</f>
        <v xml:space="preserve">09.03.01(09) </v>
      </c>
      <c r="E14" s="1" t="str" cm="1">
        <f t="array" aca="1" ref="E14" ca="1">INDIRECT(CONCATENATE("'",$A$3,"'!c",B14),1)</f>
        <v>3091,3092,3093</v>
      </c>
      <c r="F14" s="1" cm="1">
        <f t="array" aca="1" ref="F14" ca="1">INDIRECT(CONCATENATE("'",$A$3,"'!d",B14),1)</f>
        <v>3</v>
      </c>
      <c r="G14" s="1" cm="1">
        <f t="array" aca="1" ref="G14" ca="1">INDIRECT(CONCATENATE("'",$A$3,"'!e",B14),1)</f>
        <v>3</v>
      </c>
      <c r="H14" s="1" cm="1">
        <f t="array" aca="1" ref="H14" ca="1">INDIRECT(CONCATENATE("'",$A$3,"'!f",B14),1)</f>
        <v>89</v>
      </c>
      <c r="I14" s="1" t="str" cm="1">
        <f t="array" aca="1" ref="I14" ca="1">INDIRECT(CONCATENATE("'",$A$3,"'!g",B14),1)</f>
        <v>ЗАЧ</v>
      </c>
      <c r="J14" s="1" cm="1">
        <f t="array" aca="1" ref="J14" ca="1">INDIRECT(CONCATENATE("'",$A$3,"'!h",B14),1)</f>
        <v>2</v>
      </c>
      <c r="K14" s="1" cm="1">
        <f t="array" aca="1" ref="K14" ca="1">INDIRECT(CONCATENATE("'",$A$3,"'!i",B14),1)</f>
        <v>0</v>
      </c>
      <c r="L14" s="1" cm="1">
        <f t="array" aca="1" ref="L14" ca="1">INDIRECT(CONCATENATE("'",$A$3,"'!j",B14),1)</f>
        <v>84</v>
      </c>
      <c r="M14" s="1" cm="1">
        <f t="array" aca="1" ref="M14" ca="1">INDIRECT(CONCATENATE("'",$A$3,"'!k",B14),1)</f>
        <v>0</v>
      </c>
      <c r="N14" s="1" t="str" cm="1">
        <f t="array" aca="1" ref="N14" ca="1">INDIRECT(CONCATENATE("'",$A$3,"'!l",B14),1)</f>
        <v>Гареева Т.Ю.</v>
      </c>
      <c r="O14" s="1" cm="1">
        <f t="array" aca="1" ref="O14" ca="1">INDIRECT(CONCATENATE("'",$A$3,"'!m",B14),1)</f>
        <v>4207</v>
      </c>
      <c r="P14" s="1" t="str" cm="1">
        <f t="array" aca="1" ref="P14" ca="1">INDIRECT(CONCATENATE("'",$A$3,"'!n",B14),1)</f>
        <v xml:space="preserve">Гареева Т.Ю. лк+пр 3п </v>
      </c>
      <c r="Q14" s="1" cm="1">
        <f t="array" aca="1" ref="Q14" ca="1">INDIRECT(CONCATENATE("'",$A$3,"'!o",B14),1)</f>
        <v>27</v>
      </c>
      <c r="R14" s="1" cm="1">
        <f t="array" aca="1" ref="R14" ca="1">INDIRECT(CONCATENATE("'",$A$3,"'!p",B14),1)</f>
        <v>0</v>
      </c>
      <c r="S14" s="1">
        <f t="shared" ca="1" si="0"/>
        <v>0</v>
      </c>
      <c r="T14" s="1" t="str" cm="1">
        <f t="array" aca="1" ref="T14" ca="1">INDIRECT(CONCATENATE("'",$A$3,"'!q",B14),1)</f>
        <v>Гареева Т.Ю.</v>
      </c>
      <c r="U14" s="1" cm="1">
        <f t="array" aca="1" ref="U14" ca="1">INDIRECT(CONCATENATE("'",$A$3,"'!r",B14),1)</f>
        <v>111</v>
      </c>
      <c r="V14" s="1" cm="1">
        <f t="array" aca="1" ref="V14" ca="1">INDIRECT(CONCATENATE("'",$A$3,"'!s",B14),1)</f>
        <v>0</v>
      </c>
      <c r="W14" s="1" cm="1">
        <f t="array" aca="1" ref="W14" ca="1">INDIRECT(CONCATENATE("'",$A$3,"'!t",B14),1)</f>
        <v>0</v>
      </c>
      <c r="X14" s="1" cm="1">
        <f t="array" aca="1" ref="X14" ca="1">INDIRECT(CONCATENATE("'",$A$3,"'!u",B14),1)</f>
        <v>0</v>
      </c>
      <c r="Y14" s="1" cm="1">
        <f t="array" aca="1" ref="Y14" ca="1">INDIRECT(CONCATENATE("'",$A$3,"'!v",B14),1)</f>
        <v>0</v>
      </c>
    </row>
    <row r="15" spans="1:25" customFormat="1" ht="22.5" hidden="1" x14ac:dyDescent="0.25">
      <c r="A15" s="15"/>
      <c r="B15" s="24">
        <f t="shared" si="1"/>
        <v>14</v>
      </c>
      <c r="C15" s="1" t="str" cm="1">
        <f t="array" aca="1" ref="C15" ca="1">INDIRECT(CONCATENATE("'",$A$3,"'!A",B15),1)</f>
        <v>Методы защиты информации</v>
      </c>
      <c r="D15" s="1" t="str" cm="1">
        <f t="array" aca="1" ref="D15" ca="1">INDIRECT(CONCATENATE("'",$A$3,"'!B",B15),1)</f>
        <v xml:space="preserve">09.03.01(09) </v>
      </c>
      <c r="E15" s="1" t="str" cm="1">
        <f t="array" aca="1" ref="E15" ca="1">INDIRECT(CONCATENATE("'",$A$3,"'!c",B15),1)</f>
        <v>3091,3092,3093</v>
      </c>
      <c r="F15" s="1" cm="1">
        <f t="array" aca="1" ref="F15" ca="1">INDIRECT(CONCATENATE("'",$A$3,"'!d",B15),1)</f>
        <v>3</v>
      </c>
      <c r="G15" s="1" cm="1">
        <f t="array" aca="1" ref="G15" ca="1">INDIRECT(CONCATENATE("'",$A$3,"'!e",B15),1)</f>
        <v>3</v>
      </c>
      <c r="H15" s="1" cm="1">
        <f t="array" aca="1" ref="H15" ca="1">INDIRECT(CONCATENATE("'",$A$3,"'!f",B15),1)</f>
        <v>89</v>
      </c>
      <c r="I15" s="1" t="str" cm="1">
        <f t="array" aca="1" ref="I15" ca="1">INDIRECT(CONCATENATE("'",$A$3,"'!g",B15),1)</f>
        <v>ДЗ</v>
      </c>
      <c r="J15" s="1" cm="1">
        <f t="array" aca="1" ref="J15" ca="1">INDIRECT(CONCATENATE("'",$A$3,"'!h",B15),1)</f>
        <v>4</v>
      </c>
      <c r="K15" s="1" cm="1">
        <f t="array" aca="1" ref="K15" ca="1">INDIRECT(CONCATENATE("'",$A$3,"'!i",B15),1)</f>
        <v>28</v>
      </c>
      <c r="L15" s="1" cm="1">
        <f t="array" aca="1" ref="L15" ca="1">INDIRECT(CONCATENATE("'",$A$3,"'!j",B15),1)</f>
        <v>0</v>
      </c>
      <c r="M15" s="1" cm="1">
        <f t="array" aca="1" ref="M15" ca="1">INDIRECT(CONCATENATE("'",$A$3,"'!k",B15),1)</f>
        <v>84</v>
      </c>
      <c r="N15" s="1" t="str" cm="1">
        <f t="array" aca="1" ref="N15" ca="1">INDIRECT(CONCATENATE("'",$A$3,"'!l",B15),1)</f>
        <v>Жгун Т.В.</v>
      </c>
      <c r="O15" s="1" t="str" cm="1">
        <f t="array" aca="1" ref="O15" ca="1">INDIRECT(CONCATENATE("'",$A$3,"'!m",B15),1)</f>
        <v>лк 3315,3312
лр 3300</v>
      </c>
      <c r="P15" s="1" t="str" cm="1">
        <f t="array" aca="1" ref="P15" ca="1">INDIRECT(CONCATENATE("'",$A$3,"'!n",B15),1)</f>
        <v>лр *3п</v>
      </c>
      <c r="Q15" s="1" cm="1">
        <f t="array" aca="1" ref="Q15" ca="1">INDIRECT(CONCATENATE("'",$A$3,"'!o",B15),1)</f>
        <v>54</v>
      </c>
      <c r="R15" s="1" cm="1">
        <f t="array" aca="1" ref="R15" ca="1">INDIRECT(CONCATENATE("'",$A$3,"'!p",B15),1)</f>
        <v>0</v>
      </c>
      <c r="S15" s="1">
        <f t="shared" ca="1" si="0"/>
        <v>0</v>
      </c>
      <c r="T15" s="1" t="str" cm="1">
        <f t="array" aca="1" ref="T15" ca="1">INDIRECT(CONCATENATE("'",$A$3,"'!q",B15),1)</f>
        <v>Жгун Т.В.</v>
      </c>
      <c r="U15" s="1" cm="1">
        <f t="array" aca="1" ref="U15" ca="1">INDIRECT(CONCATENATE("'",$A$3,"'!r",B15),1)</f>
        <v>166</v>
      </c>
      <c r="V15" s="1" cm="1">
        <f t="array" aca="1" ref="V15" ca="1">INDIRECT(CONCATENATE("'",$A$3,"'!s",B15),1)</f>
        <v>0</v>
      </c>
      <c r="W15" s="1" cm="1">
        <f t="array" aca="1" ref="W15" ca="1">INDIRECT(CONCATENATE("'",$A$3,"'!t",B15),1)</f>
        <v>0</v>
      </c>
      <c r="X15" s="1" cm="1">
        <f t="array" aca="1" ref="X15" ca="1">INDIRECT(CONCATENATE("'",$A$3,"'!u",B15),1)</f>
        <v>0</v>
      </c>
      <c r="Y15" s="1" cm="1">
        <f t="array" aca="1" ref="Y15" ca="1">INDIRECT(CONCATENATE("'",$A$3,"'!v",B15),1)</f>
        <v>0</v>
      </c>
    </row>
    <row r="16" spans="1:25" customFormat="1" ht="22.5" hidden="1" x14ac:dyDescent="0.25">
      <c r="A16" s="15"/>
      <c r="B16" s="24">
        <f t="shared" si="1"/>
        <v>15</v>
      </c>
      <c r="C16" s="1" t="str" cm="1">
        <f t="array" aca="1" ref="C16" ca="1">INDIRECT(CONCATENATE("'",$A$3,"'!A",B16),1)</f>
        <v>Методы защиты информации</v>
      </c>
      <c r="D16" s="1" t="str" cm="1">
        <f t="array" aca="1" ref="D16" ca="1">INDIRECT(CONCATENATE("'",$A$3,"'!B",B16),1)</f>
        <v xml:space="preserve">09.03.01(09) </v>
      </c>
      <c r="E16" s="1" t="str" cm="1">
        <f t="array" aca="1" ref="E16" ca="1">INDIRECT(CONCATENATE("'",$A$3,"'!c",B16),1)</f>
        <v>3091,3092,3093</v>
      </c>
      <c r="F16" s="1" cm="1">
        <f t="array" aca="1" ref="F16" ca="1">INDIRECT(CONCATENATE("'",$A$3,"'!d",B16),1)</f>
        <v>3</v>
      </c>
      <c r="G16" s="1" cm="1">
        <f t="array" aca="1" ref="G16" ca="1">INDIRECT(CONCATENATE("'",$A$3,"'!e",B16),1)</f>
        <v>3</v>
      </c>
      <c r="H16" s="1" cm="1">
        <f t="array" aca="1" ref="H16" ca="1">INDIRECT(CONCATENATE("'",$A$3,"'!f",B16),1)</f>
        <v>89</v>
      </c>
      <c r="I16" s="1" t="str" cm="1">
        <f t="array" aca="1" ref="I16" ca="1">INDIRECT(CONCATENATE("'",$A$3,"'!g",B16),1)</f>
        <v>ДЗ</v>
      </c>
      <c r="J16" s="1" cm="1">
        <f t="array" aca="1" ref="J16" ca="1">INDIRECT(CONCATENATE("'",$A$3,"'!h",B16),1)</f>
        <v>4</v>
      </c>
      <c r="K16" s="1" cm="1">
        <f t="array" aca="1" ref="K16" ca="1">INDIRECT(CONCATENATE("'",$A$3,"'!i",B16),1)</f>
        <v>28</v>
      </c>
      <c r="L16" s="1" cm="1">
        <f t="array" aca="1" ref="L16" ca="1">INDIRECT(CONCATENATE("'",$A$3,"'!j",B16),1)</f>
        <v>0</v>
      </c>
      <c r="M16" s="1" cm="1">
        <f t="array" aca="1" ref="M16" ca="1">INDIRECT(CONCATENATE("'",$A$3,"'!k",B16),1)</f>
        <v>84</v>
      </c>
      <c r="N16" s="1" t="str" cm="1">
        <f t="array" aca="1" ref="N16" ca="1">INDIRECT(CONCATENATE("'",$A$3,"'!l",B16),1)</f>
        <v>Цымбалюк А.Е.</v>
      </c>
      <c r="O16" s="1" t="str" cm="1">
        <f t="array" aca="1" ref="O16" ca="1">INDIRECT(CONCATENATE("'",$A$3,"'!m",B16),1)</f>
        <v>лк 3315,3312
лр 3300</v>
      </c>
      <c r="P16" s="1" t="str" cm="1">
        <f t="array" aca="1" ref="P16" ca="1">INDIRECT(CONCATENATE("'",$A$3,"'!n",B16),1)</f>
        <v>лр *3п</v>
      </c>
      <c r="Q16" s="1" cm="1">
        <f t="array" aca="1" ref="Q16" ca="1">INDIRECT(CONCATENATE("'",$A$3,"'!o",B16),1)</f>
        <v>0</v>
      </c>
      <c r="R16" s="1" cm="1">
        <f t="array" aca="1" ref="R16" ca="1">INDIRECT(CONCATENATE("'",$A$3,"'!p",B16),1)</f>
        <v>0</v>
      </c>
      <c r="S16" s="1">
        <f t="shared" ca="1" si="0"/>
        <v>0</v>
      </c>
      <c r="T16" s="1" t="str" cm="1">
        <f t="array" aca="1" ref="T16" ca="1">INDIRECT(CONCATENATE("'",$A$3,"'!q",B16),1)</f>
        <v>Цымбалюк А.Е.</v>
      </c>
      <c r="U16" s="1" cm="1">
        <f t="array" aca="1" ref="U16" ca="1">INDIRECT(CONCATENATE("'",$A$3,"'!r",B16),1)</f>
        <v>84</v>
      </c>
      <c r="V16" s="1" cm="1">
        <f t="array" aca="1" ref="V16" ca="1">INDIRECT(CONCATENATE("'",$A$3,"'!s",B16),1)</f>
        <v>0</v>
      </c>
      <c r="W16" s="1" cm="1">
        <f t="array" aca="1" ref="W16" ca="1">INDIRECT(CONCATENATE("'",$A$3,"'!t",B16),1)</f>
        <v>0</v>
      </c>
      <c r="X16" s="1" cm="1">
        <f t="array" aca="1" ref="X16" ca="1">INDIRECT(CONCATENATE("'",$A$3,"'!u",B16),1)</f>
        <v>0</v>
      </c>
      <c r="Y16" s="1" cm="1">
        <f t="array" aca="1" ref="Y16" ca="1">INDIRECT(CONCATENATE("'",$A$3,"'!v",B16),1)</f>
        <v>0</v>
      </c>
    </row>
    <row r="17" spans="1:25" customFormat="1" ht="33.75" hidden="1" x14ac:dyDescent="0.25">
      <c r="A17" s="15"/>
      <c r="B17" s="24">
        <f t="shared" si="1"/>
        <v>16</v>
      </c>
      <c r="C17" s="1" t="str" cm="1">
        <f t="array" aca="1" ref="C17" ca="1">INDIRECT(CONCATENATE("'",$A$3,"'!A",B17),1)</f>
        <v>Практика учебная: Практика проектно-технологическая</v>
      </c>
      <c r="D17" s="1" t="str" cm="1">
        <f t="array" aca="1" ref="D17" ca="1">INDIRECT(CONCATENATE("'",$A$3,"'!B",B17),1)</f>
        <v xml:space="preserve">09.03.01(09) </v>
      </c>
      <c r="E17" s="1" t="str" cm="1">
        <f t="array" aca="1" ref="E17" ca="1">INDIRECT(CONCATENATE("'",$A$3,"'!c",B17),1)</f>
        <v>3091,3092,3093</v>
      </c>
      <c r="F17" s="1" cm="1">
        <f t="array" aca="1" ref="F17" ca="1">INDIRECT(CONCATENATE("'",$A$3,"'!d",B17),1)</f>
        <v>3</v>
      </c>
      <c r="G17" s="1" cm="1">
        <f t="array" aca="1" ref="G17" ca="1">INDIRECT(CONCATENATE("'",$A$3,"'!e",B17),1)</f>
        <v>3</v>
      </c>
      <c r="H17" s="1" cm="1">
        <f t="array" aca="1" ref="H17" ca="1">INDIRECT(CONCATENATE("'",$A$3,"'!f",B17),1)</f>
        <v>89</v>
      </c>
      <c r="I17" s="1" t="str" cm="1">
        <f t="array" aca="1" ref="I17" ca="1">INDIRECT(CONCATENATE("'",$A$3,"'!g",B17),1)</f>
        <v>ДЗ</v>
      </c>
      <c r="J17" s="1" cm="1">
        <f t="array" aca="1" ref="J17" ca="1">INDIRECT(CONCATENATE("'",$A$3,"'!h",B17),1)</f>
        <v>4</v>
      </c>
      <c r="K17" s="1" cm="1">
        <f t="array" aca="1" ref="K17" ca="1">INDIRECT(CONCATENATE("'",$A$3,"'!i",B17),1)</f>
        <v>0</v>
      </c>
      <c r="L17" s="1" cm="1">
        <f t="array" aca="1" ref="L17" ca="1">INDIRECT(CONCATENATE("'",$A$3,"'!j",B17),1)</f>
        <v>2</v>
      </c>
      <c r="M17" s="1" cm="1">
        <f t="array" aca="1" ref="M17" ca="1">INDIRECT(CONCATENATE("'",$A$3,"'!k",B17),1)</f>
        <v>0</v>
      </c>
      <c r="N17" s="1" t="str" cm="1">
        <f t="array" aca="1" ref="N17" ca="1">INDIRECT(CONCATENATE("'",$A$3,"'!l",B17),1)</f>
        <v>Архипова Г.А.Моркин С.А.</v>
      </c>
      <c r="O17" s="1" cm="1">
        <f t="array" aca="1" ref="O17" ca="1">INDIRECT(CONCATENATE("'",$A$3,"'!m",B17),1)</f>
        <v>0</v>
      </c>
      <c r="P17" s="1" cm="1">
        <f t="array" aca="1" ref="P17" ca="1">INDIRECT(CONCATENATE("'",$A$3,"'!n",B17),1)</f>
        <v>0</v>
      </c>
      <c r="Q17" s="1" cm="1">
        <f t="array" aca="1" ref="Q17" ca="1">INDIRECT(CONCATENATE("'",$A$3,"'!o",B17),1)</f>
        <v>72</v>
      </c>
      <c r="R17" s="1" cm="1">
        <f t="array" aca="1" ref="R17" ca="1">INDIRECT(CONCATENATE("'",$A$3,"'!p",B17),1)</f>
        <v>0</v>
      </c>
      <c r="S17" s="1">
        <f t="shared" ca="1" si="0"/>
        <v>0</v>
      </c>
      <c r="T17" s="1" t="str" cm="1">
        <f t="array" aca="1" ref="T17" ca="1">INDIRECT(CONCATENATE("'",$A$3,"'!q",B17),1)</f>
        <v>Архипова Г.А.</v>
      </c>
      <c r="U17" s="1" cm="1">
        <f t="array" aca="1" ref="U17" ca="1">INDIRECT(CONCATENATE("'",$A$3,"'!r",B17),1)</f>
        <v>4</v>
      </c>
      <c r="V17" s="1" t="str" cm="1">
        <f t="array" aca="1" ref="V17" ca="1">INDIRECT(CONCATENATE("'",$A$3,"'!s",B17),1)</f>
        <v>Моркин С.А.</v>
      </c>
      <c r="W17" s="1" cm="1">
        <f t="array" aca="1" ref="W17" ca="1">INDIRECT(CONCATENATE("'",$A$3,"'!t",B17),1)</f>
        <v>68</v>
      </c>
      <c r="X17" s="1" cm="1">
        <f t="array" aca="1" ref="X17" ca="1">INDIRECT(CONCATENATE("'",$A$3,"'!u",B17),1)</f>
        <v>0</v>
      </c>
      <c r="Y17" s="1" cm="1">
        <f t="array" aca="1" ref="Y17" ca="1">INDIRECT(CONCATENATE("'",$A$3,"'!v",B17),1)</f>
        <v>0</v>
      </c>
    </row>
    <row r="18" spans="1:25" customFormat="1" ht="22.5" hidden="1" x14ac:dyDescent="0.25">
      <c r="A18" s="15"/>
      <c r="B18" s="24">
        <f t="shared" si="1"/>
        <v>17</v>
      </c>
      <c r="C18" s="1" t="str" cm="1">
        <f t="array" aca="1" ref="C18" ca="1">INDIRECT(CONCATENATE("'",$A$3,"'!A",B18),1)</f>
        <v>Операционные системы</v>
      </c>
      <c r="D18" s="1" t="str" cm="1">
        <f t="array" aca="1" ref="D18" ca="1">INDIRECT(CONCATENATE("'",$A$3,"'!B",B18),1)</f>
        <v xml:space="preserve">09.03.01(09) </v>
      </c>
      <c r="E18" s="1" t="str" cm="1">
        <f t="array" aca="1" ref="E18" ca="1">INDIRECT(CONCATENATE("'",$A$3,"'!c",B18),1)</f>
        <v>3091,3092,3093</v>
      </c>
      <c r="F18" s="1" cm="1">
        <f t="array" aca="1" ref="F18" ca="1">INDIRECT(CONCATENATE("'",$A$3,"'!d",B18),1)</f>
        <v>3</v>
      </c>
      <c r="G18" s="1" cm="1">
        <f t="array" aca="1" ref="G18" ca="1">INDIRECT(CONCATENATE("'",$A$3,"'!e",B18),1)</f>
        <v>3</v>
      </c>
      <c r="H18" s="1" cm="1">
        <f t="array" aca="1" ref="H18" ca="1">INDIRECT(CONCATENATE("'",$A$3,"'!f",B18),1)</f>
        <v>89</v>
      </c>
      <c r="I18" s="1" t="str" cm="1">
        <f t="array" aca="1" ref="I18" ca="1">INDIRECT(CONCATENATE("'",$A$3,"'!g",B18),1)</f>
        <v>ДЗ</v>
      </c>
      <c r="J18" s="1" cm="1">
        <f t="array" aca="1" ref="J18" ca="1">INDIRECT(CONCATENATE("'",$A$3,"'!h",B18),1)</f>
        <v>4</v>
      </c>
      <c r="K18" s="1" cm="1">
        <f t="array" aca="1" ref="K18" ca="1">INDIRECT(CONCATENATE("'",$A$3,"'!i",B18),1)</f>
        <v>14</v>
      </c>
      <c r="L18" s="1" cm="1">
        <f t="array" aca="1" ref="L18" ca="1">INDIRECT(CONCATENATE("'",$A$3,"'!j",B18),1)</f>
        <v>0</v>
      </c>
      <c r="M18" s="1" cm="1">
        <f t="array" aca="1" ref="M18" ca="1">INDIRECT(CONCATENATE("'",$A$3,"'!k",B18),1)</f>
        <v>126</v>
      </c>
      <c r="N18" s="1" t="str" cm="1">
        <f t="array" aca="1" ref="N18" ca="1">INDIRECT(CONCATENATE("'",$A$3,"'!l",B18),1)</f>
        <v>Иванов А.Петров Р.В.</v>
      </c>
      <c r="O18" s="1" cm="1">
        <f t="array" aca="1" ref="O18" ca="1">INDIRECT(CONCATENATE("'",$A$3,"'!m",B18),1)</f>
        <v>0</v>
      </c>
      <c r="P18" s="1" t="str" cm="1">
        <f t="array" aca="1" ref="P18" ca="1">INDIRECT(CONCATENATE("'",$A$3,"'!n",B18),1)</f>
        <v>лр * 3пп</v>
      </c>
      <c r="Q18" s="1" cm="1">
        <f t="array" aca="1" ref="Q18" ca="1">INDIRECT(CONCATENATE("'",$A$3,"'!o",B18),1)</f>
        <v>67.5</v>
      </c>
      <c r="R18" s="1" cm="1">
        <f t="array" aca="1" ref="R18" ca="1">INDIRECT(CONCATENATE("'",$A$3,"'!p",B18),1)</f>
        <v>45</v>
      </c>
      <c r="S18" s="1">
        <f t="shared" ca="1" si="0"/>
        <v>0</v>
      </c>
      <c r="T18" s="1" t="str" cm="1">
        <f t="array" aca="1" ref="T18" ca="1">INDIRECT(CONCATENATE("'",$A$3,"'!q",B18),1)</f>
        <v>Иванов А.</v>
      </c>
      <c r="U18" s="1" cm="1">
        <f t="array" aca="1" ref="U18" ca="1">INDIRECT(CONCATENATE("'",$A$3,"'!r",B18),1)</f>
        <v>238.5</v>
      </c>
      <c r="V18" s="1" cm="1">
        <f t="array" aca="1" ref="V18" ca="1">INDIRECT(CONCATENATE("'",$A$3,"'!s",B18),1)</f>
        <v>0</v>
      </c>
      <c r="W18" s="1" cm="1">
        <f t="array" aca="1" ref="W18" ca="1">INDIRECT(CONCATENATE("'",$A$3,"'!t",B18),1)</f>
        <v>126</v>
      </c>
      <c r="X18" s="1" t="str" cm="1">
        <f t="array" aca="1" ref="X18" ca="1">INDIRECT(CONCATENATE("'",$A$3,"'!u",B18),1)</f>
        <v>Петров Р.В.</v>
      </c>
      <c r="Y18" s="1" cm="1">
        <f t="array" aca="1" ref="Y18" ca="1">INDIRECT(CONCATENATE("'",$A$3,"'!v",B18),1)</f>
        <v>14</v>
      </c>
    </row>
    <row r="19" spans="1:25" customFormat="1" hidden="1" x14ac:dyDescent="0.25">
      <c r="A19" s="15"/>
      <c r="B19" s="24">
        <f t="shared" si="1"/>
        <v>18</v>
      </c>
      <c r="C19" s="1" cm="1">
        <f t="array" aca="1" ref="C19" ca="1">INDIRECT(CONCATENATE("'",$A$3,"'!A",B19),1)</f>
        <v>0</v>
      </c>
      <c r="D19" s="1" cm="1">
        <f t="array" aca="1" ref="D19" ca="1">INDIRECT(CONCATENATE("'",$A$3,"'!B",B19),1)</f>
        <v>0</v>
      </c>
      <c r="E19" s="1" cm="1">
        <f t="array" aca="1" ref="E19" ca="1">INDIRECT(CONCATENATE("'",$A$3,"'!c",B19),1)</f>
        <v>0</v>
      </c>
      <c r="F19" s="1" cm="1">
        <f t="array" aca="1" ref="F19" ca="1">INDIRECT(CONCATENATE("'",$A$3,"'!d",B19),1)</f>
        <v>0</v>
      </c>
      <c r="G19" s="1" cm="1">
        <f t="array" aca="1" ref="G19" ca="1">INDIRECT(CONCATENATE("'",$A$3,"'!e",B19),1)</f>
        <v>0</v>
      </c>
      <c r="H19" s="1" cm="1">
        <f t="array" aca="1" ref="H19" ca="1">INDIRECT(CONCATENATE("'",$A$3,"'!f",B19),1)</f>
        <v>0</v>
      </c>
      <c r="I19" s="1" cm="1">
        <f t="array" aca="1" ref="I19" ca="1">INDIRECT(CONCATENATE("'",$A$3,"'!g",B19),1)</f>
        <v>0</v>
      </c>
      <c r="J19" s="1" cm="1">
        <f t="array" aca="1" ref="J19" ca="1">INDIRECT(CONCATENATE("'",$A$3,"'!h",B19),1)</f>
        <v>0</v>
      </c>
      <c r="K19" s="1" cm="1">
        <f t="array" aca="1" ref="K19" ca="1">INDIRECT(CONCATENATE("'",$A$3,"'!i",B19),1)</f>
        <v>0</v>
      </c>
      <c r="L19" s="1" cm="1">
        <f t="array" aca="1" ref="L19" ca="1">INDIRECT(CONCATENATE("'",$A$3,"'!j",B19),1)</f>
        <v>0</v>
      </c>
      <c r="M19" s="1" cm="1">
        <f t="array" aca="1" ref="M19" ca="1">INDIRECT(CONCATENATE("'",$A$3,"'!k",B19),1)</f>
        <v>0</v>
      </c>
      <c r="N19" s="1" t="str" cm="1">
        <f t="array" aca="1" ref="N19" ca="1">INDIRECT(CONCATENATE("'",$A$3,"'!l",B19),1)</f>
        <v/>
      </c>
      <c r="O19" s="1" cm="1">
        <f t="array" aca="1" ref="O19" ca="1">INDIRECT(CONCATENATE("'",$A$3,"'!m",B19),1)</f>
        <v>0</v>
      </c>
      <c r="P19" s="1" cm="1">
        <f t="array" aca="1" ref="P19" ca="1">INDIRECT(CONCATENATE("'",$A$3,"'!n",B19),1)</f>
        <v>0</v>
      </c>
      <c r="Q19" s="1" cm="1">
        <f t="array" aca="1" ref="Q19" ca="1">INDIRECT(CONCATENATE("'",$A$3,"'!o",B19),1)</f>
        <v>0</v>
      </c>
      <c r="R19" s="1" cm="1">
        <f t="array" aca="1" ref="R19" ca="1">INDIRECT(CONCATENATE("'",$A$3,"'!p",B19),1)</f>
        <v>0</v>
      </c>
      <c r="S19" s="1">
        <f t="shared" ca="1" si="0"/>
        <v>0</v>
      </c>
      <c r="T19" s="1" cm="1">
        <f t="array" aca="1" ref="T19" ca="1">INDIRECT(CONCATENATE("'",$A$3,"'!q",B19),1)</f>
        <v>0</v>
      </c>
      <c r="U19" s="1" cm="1">
        <f t="array" aca="1" ref="U19" ca="1">INDIRECT(CONCATENATE("'",$A$3,"'!r",B19),1)</f>
        <v>0</v>
      </c>
      <c r="V19" s="1" cm="1">
        <f t="array" aca="1" ref="V19" ca="1">INDIRECT(CONCATENATE("'",$A$3,"'!s",B19),1)</f>
        <v>0</v>
      </c>
      <c r="W19" s="1" cm="1">
        <f t="array" aca="1" ref="W19" ca="1">INDIRECT(CONCATENATE("'",$A$3,"'!t",B19),1)</f>
        <v>0</v>
      </c>
      <c r="X19" s="1" cm="1">
        <f t="array" aca="1" ref="X19" ca="1">INDIRECT(CONCATENATE("'",$A$3,"'!u",B19),1)</f>
        <v>0</v>
      </c>
      <c r="Y19" s="1" cm="1">
        <f t="array" aca="1" ref="Y19" ca="1">INDIRECT(CONCATENATE("'",$A$3,"'!v",B19),1)</f>
        <v>0</v>
      </c>
    </row>
    <row r="20" spans="1:25" customFormat="1" ht="22.5" hidden="1" x14ac:dyDescent="0.25">
      <c r="A20" s="15"/>
      <c r="B20" s="24">
        <f t="shared" si="1"/>
        <v>19</v>
      </c>
      <c r="C20" s="1" t="str" cm="1">
        <f t="array" aca="1" ref="C20" ca="1">INDIRECT(CONCATENATE("'",$A$3,"'!A",B20),1)</f>
        <v>Системное программирование</v>
      </c>
      <c r="D20" s="1" t="str" cm="1">
        <f t="array" aca="1" ref="D20" ca="1">INDIRECT(CONCATENATE("'",$A$3,"'!B",B20),1)</f>
        <v xml:space="preserve">09.03.01(09) </v>
      </c>
      <c r="E20" s="1" t="str" cm="1">
        <f t="array" aca="1" ref="E20" ca="1">INDIRECT(CONCATENATE("'",$A$3,"'!c",B20),1)</f>
        <v>4091,4092,4093</v>
      </c>
      <c r="F20" s="1" cm="1">
        <f t="array" aca="1" ref="F20" ca="1">INDIRECT(CONCATENATE("'",$A$3,"'!d",B20),1)</f>
        <v>4</v>
      </c>
      <c r="G20" s="1" cm="1">
        <f t="array" aca="1" ref="G20" ca="1">INDIRECT(CONCATENATE("'",$A$3,"'!e",B20),1)</f>
        <v>3</v>
      </c>
      <c r="H20" s="1" cm="1">
        <f t="array" aca="1" ref="H20" ca="1">INDIRECT(CONCATENATE("'",$A$3,"'!f",B20),1)</f>
        <v>90</v>
      </c>
      <c r="I20" s="1" t="str" cm="1">
        <f t="array" aca="1" ref="I20" ca="1">INDIRECT(CONCATENATE("'",$A$3,"'!g",B20),1)</f>
        <v>ЭКЗ</v>
      </c>
      <c r="J20" s="1" cm="1">
        <f t="array" aca="1" ref="J20" ca="1">INDIRECT(CONCATENATE("'",$A$3,"'!h",B20),1)</f>
        <v>6</v>
      </c>
      <c r="K20" s="1" cm="1">
        <f t="array" aca="1" ref="K20" ca="1">INDIRECT(CONCATENATE("'",$A$3,"'!i",B20),1)</f>
        <v>28</v>
      </c>
      <c r="L20" s="1" cm="1">
        <f t="array" aca="1" ref="L20" ca="1">INDIRECT(CONCATENATE("'",$A$3,"'!j",B20),1)</f>
        <v>0</v>
      </c>
      <c r="M20" s="1" cm="1">
        <f t="array" aca="1" ref="M20" ca="1">INDIRECT(CONCATENATE("'",$A$3,"'!k",B20),1)</f>
        <v>84</v>
      </c>
      <c r="N20" s="1" t="str" cm="1">
        <f t="array" aca="1" ref="N20" ca="1">INDIRECT(CONCATENATE("'",$A$3,"'!l",B20),1)</f>
        <v>Иванов А.</v>
      </c>
      <c r="O20" s="1" t="str" cm="1">
        <f t="array" aca="1" ref="O20" ca="1">INDIRECT(CONCATENATE("'",$A$3,"'!m",B20),1)</f>
        <v xml:space="preserve">Иванов А.. - лекции + лр </v>
      </c>
      <c r="P20" s="1" t="str" cm="1">
        <f t="array" aca="1" ref="P20" ca="1">INDIRECT(CONCATENATE("'",$A$3,"'!n",B20),1)</f>
        <v>лр * 3п</v>
      </c>
      <c r="Q20" s="1" cm="1">
        <f t="array" aca="1" ref="Q20" ca="1">INDIRECT(CONCATENATE("'",$A$3,"'!o",B20),1)</f>
        <v>67.5</v>
      </c>
      <c r="R20" s="1" cm="1">
        <f t="array" aca="1" ref="R20" ca="1">INDIRECT(CONCATENATE("'",$A$3,"'!p",B20),1)</f>
        <v>45</v>
      </c>
      <c r="S20" s="1">
        <f t="shared" ca="1" si="0"/>
        <v>0</v>
      </c>
      <c r="T20" s="1" t="str" cm="1">
        <f t="array" aca="1" ref="T20" ca="1">INDIRECT(CONCATENATE("'",$A$3,"'!q",B20),1)</f>
        <v>Иванов А.</v>
      </c>
      <c r="U20" s="1" cm="1">
        <f t="array" aca="1" ref="U20" ca="1">INDIRECT(CONCATENATE("'",$A$3,"'!r",B20),1)</f>
        <v>224.5</v>
      </c>
      <c r="V20" s="1" cm="1">
        <f t="array" aca="1" ref="V20" ca="1">INDIRECT(CONCATENATE("'",$A$3,"'!s",B20),1)</f>
        <v>0</v>
      </c>
      <c r="W20" s="1" cm="1">
        <f t="array" aca="1" ref="W20" ca="1">INDIRECT(CONCATENATE("'",$A$3,"'!t",B20),1)</f>
        <v>84</v>
      </c>
      <c r="X20" s="1" cm="1">
        <f t="array" aca="1" ref="X20" ca="1">INDIRECT(CONCATENATE("'",$A$3,"'!u",B20),1)</f>
        <v>0</v>
      </c>
      <c r="Y20" s="1" cm="1">
        <f t="array" aca="1" ref="Y20" ca="1">INDIRECT(CONCATENATE("'",$A$3,"'!v",B20),1)</f>
        <v>0</v>
      </c>
    </row>
    <row r="21" spans="1:25" customFormat="1" ht="33.75" hidden="1" x14ac:dyDescent="0.25">
      <c r="A21" s="15"/>
      <c r="B21" s="24">
        <f t="shared" si="1"/>
        <v>20</v>
      </c>
      <c r="C21" s="1" t="str" cm="1">
        <f t="array" aca="1" ref="C21" ca="1">INDIRECT(CONCATENATE("'",$A$3,"'!A",B21),1)</f>
        <v>Объектно-ориентированное программирование</v>
      </c>
      <c r="D21" s="1" t="str" cm="1">
        <f t="array" aca="1" ref="D21" ca="1">INDIRECT(CONCATENATE("'",$A$3,"'!B",B21),1)</f>
        <v xml:space="preserve">09.03.01(09) </v>
      </c>
      <c r="E21" s="1" t="str" cm="1">
        <f t="array" aca="1" ref="E21" ca="1">INDIRECT(CONCATENATE("'",$A$3,"'!c",B21),1)</f>
        <v>4091,4092,4093</v>
      </c>
      <c r="F21" s="1" cm="1">
        <f t="array" aca="1" ref="F21" ca="1">INDIRECT(CONCATENATE("'",$A$3,"'!d",B21),1)</f>
        <v>4</v>
      </c>
      <c r="G21" s="1" cm="1">
        <f t="array" aca="1" ref="G21" ca="1">INDIRECT(CONCATENATE("'",$A$3,"'!e",B21),1)</f>
        <v>3</v>
      </c>
      <c r="H21" s="1" cm="1">
        <f t="array" aca="1" ref="H21" ca="1">INDIRECT(CONCATENATE("'",$A$3,"'!f",B21),1)</f>
        <v>90</v>
      </c>
      <c r="I21" s="1" t="str" cm="1">
        <f t="array" aca="1" ref="I21" ca="1">INDIRECT(CONCATENATE("'",$A$3,"'!g",B21),1)</f>
        <v>КП</v>
      </c>
      <c r="J21" s="1" cm="1">
        <f t="array" aca="1" ref="J21" ca="1">INDIRECT(CONCATENATE("'",$A$3,"'!h",B21),1)</f>
        <v>1</v>
      </c>
      <c r="K21" s="1" cm="1">
        <f t="array" aca="1" ref="K21" ca="1">INDIRECT(CONCATENATE("'",$A$3,"'!i",B21),1)</f>
        <v>0</v>
      </c>
      <c r="L21" s="1" cm="1">
        <f t="array" aca="1" ref="L21" ca="1">INDIRECT(CONCATENATE("'",$A$3,"'!j",B21),1)</f>
        <v>0</v>
      </c>
      <c r="M21" s="1" cm="1">
        <f t="array" aca="1" ref="M21" ca="1">INDIRECT(CONCATENATE("'",$A$3,"'!k",B21),1)</f>
        <v>0</v>
      </c>
      <c r="N21" s="1" t="str" cm="1">
        <f t="array" aca="1" ref="N21" ca="1">INDIRECT(CONCATENATE("'",$A$3,"'!l",B21),1)</f>
        <v>Иванов Д.Д.Кулаков И.Ю.</v>
      </c>
      <c r="O21" s="1" cm="1">
        <f t="array" aca="1" ref="O21" ca="1">INDIRECT(CONCATENATE("'",$A$3,"'!m",B21),1)</f>
        <v>0</v>
      </c>
      <c r="P21" s="1" cm="1">
        <f t="array" aca="1" ref="P21" ca="1">INDIRECT(CONCATENATE("'",$A$3,"'!n",B21),1)</f>
        <v>0</v>
      </c>
      <c r="Q21" s="1" cm="1">
        <f t="array" aca="1" ref="Q21" ca="1">INDIRECT(CONCATENATE("'",$A$3,"'!o",B21),1)</f>
        <v>135</v>
      </c>
      <c r="R21" s="1" cm="1">
        <f t="array" aca="1" ref="R21" ca="1">INDIRECT(CONCATENATE("'",$A$3,"'!p",B21),1)</f>
        <v>0</v>
      </c>
      <c r="S21" s="1">
        <f t="shared" ca="1" si="0"/>
        <v>0</v>
      </c>
      <c r="T21" s="1" t="str" cm="1">
        <f t="array" aca="1" ref="T21" ca="1">INDIRECT(CONCATENATE("'",$A$3,"'!q",B21),1)</f>
        <v>Иванов Д.Д.</v>
      </c>
      <c r="U21" s="1" cm="1">
        <f t="array" aca="1" ref="U21" ca="1">INDIRECT(CONCATENATE("'",$A$3,"'!r",B21),1)</f>
        <v>101.25</v>
      </c>
      <c r="V21" s="1" t="str" cm="1">
        <f t="array" aca="1" ref="V21" ca="1">INDIRECT(CONCATENATE("'",$A$3,"'!s",B21),1)</f>
        <v>Кулаков И.Ю.</v>
      </c>
      <c r="W21" s="1" cm="1">
        <f t="array" aca="1" ref="W21" ca="1">INDIRECT(CONCATENATE("'",$A$3,"'!t",B21),1)</f>
        <v>33.75</v>
      </c>
      <c r="X21" s="1" cm="1">
        <f t="array" aca="1" ref="X21" ca="1">INDIRECT(CONCATENATE("'",$A$3,"'!u",B21),1)</f>
        <v>0</v>
      </c>
      <c r="Y21" s="1" cm="1">
        <f t="array" aca="1" ref="Y21" ca="1">INDIRECT(CONCATENATE("'",$A$3,"'!v",B21),1)</f>
        <v>0</v>
      </c>
    </row>
    <row r="22" spans="1:25" customFormat="1" ht="33.75" hidden="1" x14ac:dyDescent="0.25">
      <c r="A22" s="15"/>
      <c r="B22" s="24">
        <f t="shared" si="1"/>
        <v>21</v>
      </c>
      <c r="C22" s="1" t="str" cm="1">
        <f t="array" aca="1" ref="C22" ca="1">INDIRECT(CONCATENATE("'",$A$3,"'!A",B22),1)</f>
        <v>Инженерная и компьютерная графика</v>
      </c>
      <c r="D22" s="1" t="str" cm="1">
        <f t="array" aca="1" ref="D22" ca="1">INDIRECT(CONCATENATE("'",$A$3,"'!B",B22),1)</f>
        <v xml:space="preserve">09.03.01(09) </v>
      </c>
      <c r="E22" s="1" t="str" cm="1">
        <f t="array" aca="1" ref="E22" ca="1">INDIRECT(CONCATENATE("'",$A$3,"'!c",B22),1)</f>
        <v>4091,4092,4093</v>
      </c>
      <c r="F22" s="1" cm="1">
        <f t="array" aca="1" ref="F22" ca="1">INDIRECT(CONCATENATE("'",$A$3,"'!d",B22),1)</f>
        <v>4</v>
      </c>
      <c r="G22" s="1" cm="1">
        <f t="array" aca="1" ref="G22" ca="1">INDIRECT(CONCATENATE("'",$A$3,"'!e",B22),1)</f>
        <v>3</v>
      </c>
      <c r="H22" s="1" cm="1">
        <f t="array" aca="1" ref="H22" ca="1">INDIRECT(CONCATENATE("'",$A$3,"'!f",B22),1)</f>
        <v>90</v>
      </c>
      <c r="I22" s="1" t="str" cm="1">
        <f t="array" aca="1" ref="I22" ca="1">INDIRECT(CONCATENATE("'",$A$3,"'!g",B22),1)</f>
        <v>ЗАЧ</v>
      </c>
      <c r="J22" s="1" cm="1">
        <f t="array" aca="1" ref="J22" ca="1">INDIRECT(CONCATENATE("'",$A$3,"'!h",B22),1)</f>
        <v>2</v>
      </c>
      <c r="K22" s="1" cm="1">
        <f t="array" aca="1" ref="K22" ca="1">INDIRECT(CONCATENATE("'",$A$3,"'!i",B22),1)</f>
        <v>0</v>
      </c>
      <c r="L22" s="1" cm="1">
        <f t="array" aca="1" ref="L22" ca="1">INDIRECT(CONCATENATE("'",$A$3,"'!j",B22),1)</f>
        <v>84</v>
      </c>
      <c r="M22" s="1" cm="1">
        <f t="array" aca="1" ref="M22" ca="1">INDIRECT(CONCATENATE("'",$A$3,"'!k",B22),1)</f>
        <v>0</v>
      </c>
      <c r="N22" s="1" t="str" cm="1">
        <f t="array" aca="1" ref="N22" ca="1">INDIRECT(CONCATENATE("'",$A$3,"'!l",B22),1)</f>
        <v>Гареева Т.Ю.</v>
      </c>
      <c r="O22" s="1" cm="1">
        <f t="array" aca="1" ref="O22" ca="1">INDIRECT(CONCATENATE("'",$A$3,"'!m",B22),1)</f>
        <v>4207</v>
      </c>
      <c r="P22" s="1" t="str" cm="1">
        <f t="array" aca="1" ref="P22" ca="1">INDIRECT(CONCATENATE("'",$A$3,"'!n",B22),1)</f>
        <v xml:space="preserve">Гареева Т.Ю. лк+пр 3п </v>
      </c>
      <c r="Q22" s="1" cm="1">
        <f t="array" aca="1" ref="Q22" ca="1">INDIRECT(CONCATENATE("'",$A$3,"'!o",B22),1)</f>
        <v>27</v>
      </c>
      <c r="R22" s="1" cm="1">
        <f t="array" aca="1" ref="R22" ca="1">INDIRECT(CONCATENATE("'",$A$3,"'!p",B22),1)</f>
        <v>0</v>
      </c>
      <c r="S22" s="1">
        <f t="shared" ca="1" si="0"/>
        <v>0</v>
      </c>
      <c r="T22" s="1" t="str" cm="1">
        <f t="array" aca="1" ref="T22" ca="1">INDIRECT(CONCATENATE("'",$A$3,"'!q",B22),1)</f>
        <v>Гареева Т.Ю.</v>
      </c>
      <c r="U22" s="1" cm="1">
        <f t="array" aca="1" ref="U22" ca="1">INDIRECT(CONCATENATE("'",$A$3,"'!r",B22),1)</f>
        <v>111</v>
      </c>
      <c r="V22" s="1" cm="1">
        <f t="array" aca="1" ref="V22" ca="1">INDIRECT(CONCATENATE("'",$A$3,"'!s",B22),1)</f>
        <v>0</v>
      </c>
      <c r="W22" s="1" cm="1">
        <f t="array" aca="1" ref="W22" ca="1">INDIRECT(CONCATENATE("'",$A$3,"'!t",B22),1)</f>
        <v>0</v>
      </c>
      <c r="X22" s="1" cm="1">
        <f t="array" aca="1" ref="X22" ca="1">INDIRECT(CONCATENATE("'",$A$3,"'!u",B22),1)</f>
        <v>0</v>
      </c>
      <c r="Y22" s="1" cm="1">
        <f t="array" aca="1" ref="Y22" ca="1">INDIRECT(CONCATENATE("'",$A$3,"'!v",B22),1)</f>
        <v>0</v>
      </c>
    </row>
    <row r="23" spans="1:25" customFormat="1" ht="22.5" hidden="1" x14ac:dyDescent="0.25">
      <c r="A23" s="15"/>
      <c r="B23" s="24">
        <f t="shared" si="1"/>
        <v>22</v>
      </c>
      <c r="C23" s="1" t="str" cm="1">
        <f t="array" aca="1" ref="C23" ca="1">INDIRECT(CONCATENATE("'",$A$3,"'!A",B23),1)</f>
        <v>Численные методы и программирование</v>
      </c>
      <c r="D23" s="1" t="str" cm="1">
        <f t="array" aca="1" ref="D23" ca="1">INDIRECT(CONCATENATE("'",$A$3,"'!B",B23),1)</f>
        <v xml:space="preserve">09.03.01(09) </v>
      </c>
      <c r="E23" s="1" t="str" cm="1">
        <f t="array" aca="1" ref="E23" ca="1">INDIRECT(CONCATENATE("'",$A$3,"'!c",B23),1)</f>
        <v>4091,4092,4093</v>
      </c>
      <c r="F23" s="1" cm="1">
        <f t="array" aca="1" ref="F23" ca="1">INDIRECT(CONCATENATE("'",$A$3,"'!d",B23),1)</f>
        <v>4</v>
      </c>
      <c r="G23" s="1" cm="1">
        <f t="array" aca="1" ref="G23" ca="1">INDIRECT(CONCATENATE("'",$A$3,"'!e",B23),1)</f>
        <v>3</v>
      </c>
      <c r="H23" s="1" cm="1">
        <f t="array" aca="1" ref="H23" ca="1">INDIRECT(CONCATENATE("'",$A$3,"'!f",B23),1)</f>
        <v>90</v>
      </c>
      <c r="I23" s="1" t="str" cm="1">
        <f t="array" aca="1" ref="I23" ca="1">INDIRECT(CONCATENATE("'",$A$3,"'!g",B23),1)</f>
        <v>ДЗ</v>
      </c>
      <c r="J23" s="1" cm="1">
        <f t="array" aca="1" ref="J23" ca="1">INDIRECT(CONCATENATE("'",$A$3,"'!h",B23),1)</f>
        <v>4</v>
      </c>
      <c r="K23" s="1" cm="1">
        <f t="array" aca="1" ref="K23" ca="1">INDIRECT(CONCATENATE("'",$A$3,"'!i",B23),1)</f>
        <v>14</v>
      </c>
      <c r="L23" s="1" cm="1">
        <f t="array" aca="1" ref="L23" ca="1">INDIRECT(CONCATENATE("'",$A$3,"'!j",B23),1)</f>
        <v>126</v>
      </c>
      <c r="M23" s="1" cm="1">
        <f t="array" aca="1" ref="M23" ca="1">INDIRECT(CONCATENATE("'",$A$3,"'!k",B23),1)</f>
        <v>0</v>
      </c>
      <c r="N23" s="1" t="str" cm="1">
        <f t="array" aca="1" ref="N23" ca="1">INDIRECT(CONCATENATE("'",$A$3,"'!l",B23),1)</f>
        <v>Эминов С.И.</v>
      </c>
      <c r="O23" s="1"/>
      <c r="P23" s="1" t="str" cm="1">
        <f t="array" aca="1" ref="P23" ca="1">INDIRECT(CONCATENATE("'",$A$3,"'!n",B23),1)</f>
        <v>пр * 3п</v>
      </c>
      <c r="Q23" s="1" cm="1">
        <f t="array" aca="1" ref="Q23" ca="1">INDIRECT(CONCATENATE("'",$A$3,"'!o",B23),1)</f>
        <v>54</v>
      </c>
      <c r="R23" s="1" cm="1">
        <f t="array" aca="1" ref="R23" ca="1">INDIRECT(CONCATENATE("'",$A$3,"'!p",B23),1)</f>
        <v>0</v>
      </c>
      <c r="S23" s="1">
        <f t="shared" ca="1" si="0"/>
        <v>0</v>
      </c>
      <c r="T23" s="1" t="str" cm="1">
        <f t="array" aca="1" ref="T23" ca="1">INDIRECT(CONCATENATE("'",$A$3,"'!q",B23),1)</f>
        <v>Эминов С.И.</v>
      </c>
      <c r="U23" s="1" cm="1">
        <f t="array" aca="1" ref="U23" ca="1">INDIRECT(CONCATENATE("'",$A$3,"'!r",B23),1)</f>
        <v>194</v>
      </c>
      <c r="V23" s="1" cm="1">
        <f t="array" aca="1" ref="V23" ca="1">INDIRECT(CONCATENATE("'",$A$3,"'!s",B23),1)</f>
        <v>0</v>
      </c>
      <c r="W23" s="1" cm="1">
        <f t="array" aca="1" ref="W23" ca="1">INDIRECT(CONCATENATE("'",$A$3,"'!t",B23),1)</f>
        <v>0</v>
      </c>
      <c r="X23" s="1" cm="1">
        <f t="array" aca="1" ref="X23" ca="1">INDIRECT(CONCATENATE("'",$A$3,"'!u",B23),1)</f>
        <v>0</v>
      </c>
      <c r="Y23" s="1" cm="1">
        <f t="array" aca="1" ref="Y23" ca="1">INDIRECT(CONCATENATE("'",$A$3,"'!v",B23),1)</f>
        <v>0</v>
      </c>
    </row>
    <row r="24" spans="1:25" customFormat="1" ht="33.75" hidden="1" x14ac:dyDescent="0.25">
      <c r="A24" s="15"/>
      <c r="B24" s="24">
        <f t="shared" si="1"/>
        <v>23</v>
      </c>
      <c r="C24" s="1" t="str" cm="1">
        <f t="array" aca="1" ref="C24" ca="1">INDIRECT(CONCATENATE("'",$A$3,"'!A",B24),1)</f>
        <v>Объектно-ориентированное программирование</v>
      </c>
      <c r="D24" s="1" t="str" cm="1">
        <f t="array" aca="1" ref="D24" ca="1">INDIRECT(CONCATENATE("'",$A$3,"'!B",B24),1)</f>
        <v xml:space="preserve">09.03.01(09) </v>
      </c>
      <c r="E24" s="1" t="str" cm="1">
        <f t="array" aca="1" ref="E24" ca="1">INDIRECT(CONCATENATE("'",$A$3,"'!c",B24),1)</f>
        <v>4091,4092,4093</v>
      </c>
      <c r="F24" s="1" cm="1">
        <f t="array" aca="1" ref="F24" ca="1">INDIRECT(CONCATENATE("'",$A$3,"'!d",B24),1)</f>
        <v>4</v>
      </c>
      <c r="G24" s="1" cm="1">
        <f t="array" aca="1" ref="G24" ca="1">INDIRECT(CONCATENATE("'",$A$3,"'!e",B24),1)</f>
        <v>3</v>
      </c>
      <c r="H24" s="1" cm="1">
        <f t="array" aca="1" ref="H24" ca="1">INDIRECT(CONCATENATE("'",$A$3,"'!f",B24),1)</f>
        <v>90</v>
      </c>
      <c r="I24" s="1" t="str" cm="1">
        <f t="array" aca="1" ref="I24" ca="1">INDIRECT(CONCATENATE("'",$A$3,"'!g",B24),1)</f>
        <v>ДЗ</v>
      </c>
      <c r="J24" s="1" cm="1">
        <f t="array" aca="1" ref="J24" ca="1">INDIRECT(CONCATENATE("'",$A$3,"'!h",B24),1)</f>
        <v>5</v>
      </c>
      <c r="K24" s="1" cm="1">
        <f t="array" aca="1" ref="K24" ca="1">INDIRECT(CONCATENATE("'",$A$3,"'!i",B24),1)</f>
        <v>14</v>
      </c>
      <c r="L24" s="1" cm="1">
        <f t="array" aca="1" ref="L24" ca="1">INDIRECT(CONCATENATE("'",$A$3,"'!j",B24),1)</f>
        <v>84</v>
      </c>
      <c r="M24" s="1" cm="1">
        <f t="array" aca="1" ref="M24" ca="1">INDIRECT(CONCATENATE("'",$A$3,"'!k",B24),1)</f>
        <v>84</v>
      </c>
      <c r="N24" s="1" t="str" cm="1">
        <f t="array" aca="1" ref="N24" ca="1">INDIRECT(CONCATENATE("'",$A$3,"'!l",B24),1)</f>
        <v>Кулаков И.Ю.</v>
      </c>
      <c r="O24" s="1" t="str" cm="1">
        <f t="array" aca="1" ref="O24" ca="1">INDIRECT(CONCATENATE("'",$A$3,"'!m",B24),1)</f>
        <v>лк 3315 по возм
3305</v>
      </c>
      <c r="P24" s="1" t="str" cm="1">
        <f t="array" aca="1" ref="P24" ca="1">INDIRECT(CONCATENATE("'",$A$3,"'!n",B24),1)</f>
        <v>пр * 3пп
лр * 3пп</v>
      </c>
      <c r="Q24" s="1" cm="1">
        <f t="array" aca="1" ref="Q24" ca="1">INDIRECT(CONCATENATE("'",$A$3,"'!o",B24),1)</f>
        <v>67.5</v>
      </c>
      <c r="R24" s="1" cm="1">
        <f t="array" aca="1" ref="R24" ca="1">INDIRECT(CONCATENATE("'",$A$3,"'!p",B24),1)</f>
        <v>0</v>
      </c>
      <c r="S24" s="1">
        <f t="shared" ca="1" si="0"/>
        <v>0</v>
      </c>
      <c r="T24" s="1" t="str" cm="1">
        <f t="array" aca="1" ref="T24" ca="1">INDIRECT(CONCATENATE("'",$A$3,"'!q",B24),1)</f>
        <v>Кулаков И.Ю.</v>
      </c>
      <c r="U24" s="1" cm="1">
        <f t="array" aca="1" ref="U24" ca="1">INDIRECT(CONCATENATE("'",$A$3,"'!r",B24),1)</f>
        <v>249.5</v>
      </c>
      <c r="V24" s="1" cm="1">
        <f t="array" aca="1" ref="V24" ca="1">INDIRECT(CONCATENATE("'",$A$3,"'!s",B24),1)</f>
        <v>0</v>
      </c>
      <c r="W24" s="1" cm="1">
        <f t="array" aca="1" ref="W24" ca="1">INDIRECT(CONCATENATE("'",$A$3,"'!t",B24),1)</f>
        <v>0</v>
      </c>
      <c r="X24" s="1" cm="1">
        <f t="array" aca="1" ref="X24" ca="1">INDIRECT(CONCATENATE("'",$A$3,"'!u",B24),1)</f>
        <v>0</v>
      </c>
      <c r="Y24" s="1" cm="1">
        <f t="array" aca="1" ref="Y24" ca="1">INDIRECT(CONCATENATE("'",$A$3,"'!v",B24),1)</f>
        <v>0</v>
      </c>
    </row>
    <row r="25" spans="1:25" customFormat="1" ht="22.5" hidden="1" x14ac:dyDescent="0.25">
      <c r="A25" s="15"/>
      <c r="B25" s="24">
        <f t="shared" si="1"/>
        <v>24</v>
      </c>
      <c r="C25" s="1" t="str" cm="1">
        <f t="array" aca="1" ref="C25" ca="1">INDIRECT(CONCATENATE("'",$A$3,"'!A",B25),1)</f>
        <v>WEB-программирование</v>
      </c>
      <c r="D25" s="1" t="str" cm="1">
        <f t="array" aca="1" ref="D25" ca="1">INDIRECT(CONCATENATE("'",$A$3,"'!B",B25),1)</f>
        <v xml:space="preserve">09.03.01(09) </v>
      </c>
      <c r="E25" s="1" t="str" cm="1">
        <f t="array" aca="1" ref="E25" ca="1">INDIRECT(CONCATENATE("'",$A$3,"'!c",B25),1)</f>
        <v>4091,4092,4093</v>
      </c>
      <c r="F25" s="1" cm="1">
        <f t="array" aca="1" ref="F25" ca="1">INDIRECT(CONCATENATE("'",$A$3,"'!d",B25),1)</f>
        <v>4</v>
      </c>
      <c r="G25" s="1" cm="1">
        <f t="array" aca="1" ref="G25" ca="1">INDIRECT(CONCATENATE("'",$A$3,"'!e",B25),1)</f>
        <v>3</v>
      </c>
      <c r="H25" s="1" cm="1">
        <f t="array" aca="1" ref="H25" ca="1">INDIRECT(CONCATENATE("'",$A$3,"'!f",B25),1)</f>
        <v>90</v>
      </c>
      <c r="I25" s="1" t="str" cm="1">
        <f t="array" aca="1" ref="I25" ca="1">INDIRECT(CONCATENATE("'",$A$3,"'!g",B25),1)</f>
        <v>ДЗ</v>
      </c>
      <c r="J25" s="1" cm="1">
        <f t="array" aca="1" ref="J25" ca="1">INDIRECT(CONCATENATE("'",$A$3,"'!h",B25),1)</f>
        <v>3</v>
      </c>
      <c r="K25" s="1" cm="1">
        <f t="array" aca="1" ref="K25" ca="1">INDIRECT(CONCATENATE("'",$A$3,"'!i",B25),1)</f>
        <v>14</v>
      </c>
      <c r="L25" s="1" cm="1">
        <f t="array" aca="1" ref="L25" ca="1">INDIRECT(CONCATENATE("'",$A$3,"'!j",B25),1)</f>
        <v>0</v>
      </c>
      <c r="M25" s="1" cm="1">
        <f t="array" aca="1" ref="M25" ca="1">INDIRECT(CONCATENATE("'",$A$3,"'!k",B25),1)</f>
        <v>84</v>
      </c>
      <c r="N25" s="1" t="str" cm="1">
        <f t="array" aca="1" ref="N25" ca="1">INDIRECT(CONCATENATE("'",$A$3,"'!l",B25),1)</f>
        <v>Соколова Г.Ю.</v>
      </c>
      <c r="O25" s="1" cm="1">
        <f t="array" aca="1" ref="O25" ca="1">INDIRECT(CONCATENATE("'",$A$3,"'!m",B25),1)</f>
        <v>3300</v>
      </c>
      <c r="P25" s="1" t="str" cm="1">
        <f t="array" aca="1" ref="P25" ca="1">INDIRECT(CONCATENATE("'",$A$3,"'!n",B25),1)</f>
        <v>лр *3пп</v>
      </c>
      <c r="Q25" s="1" cm="1">
        <f t="array" aca="1" ref="Q25" ca="1">INDIRECT(CONCATENATE("'",$A$3,"'!o",B25),1)</f>
        <v>40.5</v>
      </c>
      <c r="R25" s="1" cm="1">
        <f t="array" aca="1" ref="R25" ca="1">INDIRECT(CONCATENATE("'",$A$3,"'!p",B25),1)</f>
        <v>0</v>
      </c>
      <c r="S25" s="1">
        <f t="shared" ca="1" si="0"/>
        <v>0</v>
      </c>
      <c r="T25" s="1" t="str" cm="1">
        <f t="array" aca="1" ref="T25" ca="1">INDIRECT(CONCATENATE("'",$A$3,"'!q",B25),1)</f>
        <v>Соколова Г.Ю.</v>
      </c>
      <c r="U25" s="1" cm="1">
        <f t="array" aca="1" ref="U25" ca="1">INDIRECT(CONCATENATE("'",$A$3,"'!r",B25),1)</f>
        <v>138.5</v>
      </c>
      <c r="V25" s="1" cm="1">
        <f t="array" aca="1" ref="V25" ca="1">INDIRECT(CONCATENATE("'",$A$3,"'!s",B25),1)</f>
        <v>0</v>
      </c>
      <c r="W25" s="1" cm="1">
        <f t="array" aca="1" ref="W25" ca="1">INDIRECT(CONCATENATE("'",$A$3,"'!t",B25),1)</f>
        <v>84</v>
      </c>
      <c r="X25" s="1" cm="1">
        <f t="array" aca="1" ref="X25" ca="1">INDIRECT(CONCATENATE("'",$A$3,"'!u",B25),1)</f>
        <v>0</v>
      </c>
      <c r="Y25" s="1" cm="1">
        <f t="array" aca="1" ref="Y25" ca="1">INDIRECT(CONCATENATE("'",$A$3,"'!v",B25),1)</f>
        <v>0</v>
      </c>
    </row>
    <row r="26" spans="1:25" customFormat="1" hidden="1" x14ac:dyDescent="0.25">
      <c r="A26" s="15"/>
      <c r="B26" s="24">
        <f t="shared" si="1"/>
        <v>25</v>
      </c>
      <c r="C26" s="1" cm="1">
        <f t="array" aca="1" ref="C26" ca="1">INDIRECT(CONCATENATE("'",$A$3,"'!A",B26),1)</f>
        <v>0</v>
      </c>
      <c r="D26" s="1" cm="1">
        <f t="array" aca="1" ref="D26" ca="1">INDIRECT(CONCATENATE("'",$A$3,"'!B",B26),1)</f>
        <v>0</v>
      </c>
      <c r="E26" s="1" cm="1">
        <f t="array" aca="1" ref="E26" ca="1">INDIRECT(CONCATENATE("'",$A$3,"'!c",B26),1)</f>
        <v>0</v>
      </c>
      <c r="F26" s="1" cm="1">
        <f t="array" aca="1" ref="F26" ca="1">INDIRECT(CONCATENATE("'",$A$3,"'!d",B26),1)</f>
        <v>0</v>
      </c>
      <c r="G26" s="1" cm="1">
        <f t="array" aca="1" ref="G26" ca="1">INDIRECT(CONCATENATE("'",$A$3,"'!e",B26),1)</f>
        <v>0</v>
      </c>
      <c r="H26" s="1" cm="1">
        <f t="array" aca="1" ref="H26" ca="1">INDIRECT(CONCATENATE("'",$A$3,"'!f",B26),1)</f>
        <v>0</v>
      </c>
      <c r="I26" s="1" cm="1">
        <f t="array" aca="1" ref="I26" ca="1">INDIRECT(CONCATENATE("'",$A$3,"'!g",B26),1)</f>
        <v>0</v>
      </c>
      <c r="J26" s="1" cm="1">
        <f t="array" aca="1" ref="J26" ca="1">INDIRECT(CONCATENATE("'",$A$3,"'!h",B26),1)</f>
        <v>0</v>
      </c>
      <c r="K26" s="1" cm="1">
        <f t="array" aca="1" ref="K26" ca="1">INDIRECT(CONCATENATE("'",$A$3,"'!i",B26),1)</f>
        <v>0</v>
      </c>
      <c r="L26" s="1" cm="1">
        <f t="array" aca="1" ref="L26" ca="1">INDIRECT(CONCATENATE("'",$A$3,"'!j",B26),1)</f>
        <v>0</v>
      </c>
      <c r="M26" s="1" cm="1">
        <f t="array" aca="1" ref="M26" ca="1">INDIRECT(CONCATENATE("'",$A$3,"'!k",B26),1)</f>
        <v>0</v>
      </c>
      <c r="N26" s="1" t="str" cm="1">
        <f t="array" aca="1" ref="N26" ca="1">INDIRECT(CONCATENATE("'",$A$3,"'!l",B26),1)</f>
        <v/>
      </c>
      <c r="O26" s="1" cm="1">
        <f t="array" aca="1" ref="O26" ca="1">INDIRECT(CONCATENATE("'",$A$3,"'!m",B26),1)</f>
        <v>0</v>
      </c>
      <c r="P26" s="1" cm="1">
        <f t="array" aca="1" ref="P26" ca="1">INDIRECT(CONCATENATE("'",$A$3,"'!n",B26),1)</f>
        <v>0</v>
      </c>
      <c r="Q26" s="1" cm="1">
        <f t="array" aca="1" ref="Q26" ca="1">INDIRECT(CONCATENATE("'",$A$3,"'!o",B26),1)</f>
        <v>0</v>
      </c>
      <c r="R26" s="1" cm="1">
        <f t="array" aca="1" ref="R26" ca="1">INDIRECT(CONCATENATE("'",$A$3,"'!p",B26),1)</f>
        <v>0</v>
      </c>
      <c r="S26" s="1">
        <f t="shared" ca="1" si="0"/>
        <v>0</v>
      </c>
      <c r="T26" s="1" cm="1">
        <f t="array" aca="1" ref="T26" ca="1">INDIRECT(CONCATENATE("'",$A$3,"'!q",B26),1)</f>
        <v>0</v>
      </c>
      <c r="U26" s="1" cm="1">
        <f t="array" aca="1" ref="U26" ca="1">INDIRECT(CONCATENATE("'",$A$3,"'!r",B26),1)</f>
        <v>0</v>
      </c>
      <c r="V26" s="1" cm="1">
        <f t="array" aca="1" ref="V26" ca="1">INDIRECT(CONCATENATE("'",$A$3,"'!s",B26),1)</f>
        <v>0</v>
      </c>
      <c r="W26" s="1" cm="1">
        <f t="array" aca="1" ref="W26" ca="1">INDIRECT(CONCATENATE("'",$A$3,"'!t",B26),1)</f>
        <v>0</v>
      </c>
      <c r="X26" s="1" cm="1">
        <f t="array" aca="1" ref="X26" ca="1">INDIRECT(CONCATENATE("'",$A$3,"'!u",B26),1)</f>
        <v>0</v>
      </c>
      <c r="Y26" s="1" cm="1">
        <f t="array" aca="1" ref="Y26" ca="1">INDIRECT(CONCATENATE("'",$A$3,"'!v",B26),1)</f>
        <v>0</v>
      </c>
    </row>
    <row r="27" spans="1:25" customFormat="1" ht="33.75" hidden="1" x14ac:dyDescent="0.25">
      <c r="A27" s="15"/>
      <c r="B27" s="24">
        <f t="shared" si="1"/>
        <v>26</v>
      </c>
      <c r="C27" s="1" t="str" cm="1">
        <f t="array" aca="1" ref="C27" ca="1">INDIRECT(CONCATENATE("'",$A$3,"'!A",B27),1)</f>
        <v>Микросервисные технологии и архитектура</v>
      </c>
      <c r="D27" s="1" t="str" cm="1">
        <f t="array" aca="1" ref="D27" ca="1">INDIRECT(CONCATENATE("'",$A$3,"'!B",B27),1)</f>
        <v xml:space="preserve">09.03.01(09) </v>
      </c>
      <c r="E27" s="1" t="str" cm="1">
        <f t="array" aca="1" ref="E27" ca="1">INDIRECT(CONCATENATE("'",$A$3,"'!c",B27),1)</f>
        <v>3091
3092
3093</v>
      </c>
      <c r="F27" s="1" cm="1">
        <f t="array" aca="1" ref="F27" ca="1">INDIRECT(CONCATENATE("'",$A$3,"'!d",B27),1)</f>
        <v>5</v>
      </c>
      <c r="G27" s="1" cm="1">
        <f t="array" aca="1" ref="G27" ca="1">INDIRECT(CONCATENATE("'",$A$3,"'!e",B27),1)</f>
        <v>3</v>
      </c>
      <c r="H27" s="1" cm="1">
        <f t="array" aca="1" ref="H27" ca="1">INDIRECT(CONCATENATE("'",$A$3,"'!f",B27),1)</f>
        <v>57</v>
      </c>
      <c r="I27" s="1" t="str" cm="1">
        <f t="array" aca="1" ref="I27" ca="1">INDIRECT(CONCATENATE("'",$A$3,"'!g",B27),1)</f>
        <v>ЭКЗ</v>
      </c>
      <c r="J27" s="1" cm="1">
        <f t="array" aca="1" ref="J27" ca="1">INDIRECT(CONCATENATE("'",$A$3,"'!h",B27),1)</f>
        <v>5</v>
      </c>
      <c r="K27" s="1" cm="1">
        <f t="array" aca="1" ref="K27" ca="1">INDIRECT(CONCATENATE("'",$A$3,"'!i",B27),1)</f>
        <v>28</v>
      </c>
      <c r="L27" s="1" cm="1">
        <f t="array" aca="1" ref="L27" ca="1">INDIRECT(CONCATENATE("'",$A$3,"'!j",B27),1)</f>
        <v>0</v>
      </c>
      <c r="M27" s="1" cm="1">
        <f t="array" aca="1" ref="M27" ca="1">INDIRECT(CONCATENATE("'",$A$3,"'!k",B27),1)</f>
        <v>84</v>
      </c>
      <c r="N27" s="1" t="str" cm="1">
        <f t="array" aca="1" ref="N27" ca="1">INDIRECT(CONCATENATE("'",$A$3,"'!l",B27),1)</f>
        <v>Сидорин С.Н.</v>
      </c>
      <c r="O27" s="1" cm="1">
        <f t="array" aca="1" ref="O27" ca="1">INDIRECT(CONCATENATE("'",$A$3,"'!m",B27),1)</f>
        <v>0</v>
      </c>
      <c r="P27" s="1" t="str" cm="1">
        <f t="array" aca="1" ref="P27" ca="1">INDIRECT(CONCATENATE("'",$A$3,"'!n",B27),1)</f>
        <v>лр * 3п</v>
      </c>
      <c r="Q27" s="1" cm="1">
        <f t="array" aca="1" ref="Q27" ca="1">INDIRECT(CONCATENATE("'",$A$3,"'!o",B27),1)</f>
        <v>42.8</v>
      </c>
      <c r="R27" s="1" cm="1">
        <f t="array" aca="1" ref="R27" ca="1">INDIRECT(CONCATENATE("'",$A$3,"'!p",B27),1)</f>
        <v>28.5</v>
      </c>
      <c r="S27" s="1">
        <f t="shared" ca="1" si="0"/>
        <v>0</v>
      </c>
      <c r="T27" s="1" t="str" cm="1">
        <f t="array" aca="1" ref="T27" ca="1">INDIRECT(CONCATENATE("'",$A$3,"'!q",B27),1)</f>
        <v>Сидорин С.Н.</v>
      </c>
      <c r="U27" s="1" cm="1">
        <f t="array" aca="1" ref="U27" ca="1">INDIRECT(CONCATENATE("'",$A$3,"'!r",B27),1)</f>
        <v>183.3</v>
      </c>
      <c r="V27" s="1" cm="1">
        <f t="array" aca="1" ref="V27" ca="1">INDIRECT(CONCATENATE("'",$A$3,"'!s",B27),1)</f>
        <v>0</v>
      </c>
      <c r="W27" s="1" cm="1">
        <f t="array" aca="1" ref="W27" ca="1">INDIRECT(CONCATENATE("'",$A$3,"'!t",B27),1)</f>
        <v>0</v>
      </c>
      <c r="X27" s="1" cm="1">
        <f t="array" aca="1" ref="X27" ca="1">INDIRECT(CONCATENATE("'",$A$3,"'!u",B27),1)</f>
        <v>0</v>
      </c>
      <c r="Y27" s="1" cm="1">
        <f t="array" aca="1" ref="Y27" ca="1">INDIRECT(CONCATENATE("'",$A$3,"'!v",B27),1)</f>
        <v>0</v>
      </c>
    </row>
    <row r="28" spans="1:25" customFormat="1" ht="33.75" hidden="1" x14ac:dyDescent="0.25">
      <c r="A28" s="15"/>
      <c r="B28" s="24">
        <f t="shared" si="1"/>
        <v>27</v>
      </c>
      <c r="C28" s="1" t="str" cm="1">
        <f t="array" aca="1" ref="C28" ca="1">INDIRECT(CONCATENATE("'",$A$3,"'!A",B28),1)</f>
        <v>WEB-программирование</v>
      </c>
      <c r="D28" s="1" t="str" cm="1">
        <f t="array" aca="1" ref="D28" ca="1">INDIRECT(CONCATENATE("'",$A$3,"'!B",B28),1)</f>
        <v xml:space="preserve">09.03.01(09) </v>
      </c>
      <c r="E28" s="1" t="str" cm="1">
        <f t="array" aca="1" ref="E28" ca="1">INDIRECT(CONCATENATE("'",$A$3,"'!c",B28),1)</f>
        <v>3091
3092
3093</v>
      </c>
      <c r="F28" s="1" cm="1">
        <f t="array" aca="1" ref="F28" ca="1">INDIRECT(CONCATENATE("'",$A$3,"'!d",B28),1)</f>
        <v>5</v>
      </c>
      <c r="G28" s="1" cm="1">
        <f t="array" aca="1" ref="G28" ca="1">INDIRECT(CONCATENATE("'",$A$3,"'!e",B28),1)</f>
        <v>3</v>
      </c>
      <c r="H28" s="1" cm="1">
        <f t="array" aca="1" ref="H28" ca="1">INDIRECT(CONCATENATE("'",$A$3,"'!f",B28),1)</f>
        <v>57</v>
      </c>
      <c r="I28" s="1" t="str" cm="1">
        <f t="array" aca="1" ref="I28" ca="1">INDIRECT(CONCATENATE("'",$A$3,"'!g",B28),1)</f>
        <v>ЭКЗ</v>
      </c>
      <c r="J28" s="1" cm="1">
        <f t="array" aca="1" ref="J28" ca="1">INDIRECT(CONCATENATE("'",$A$3,"'!h",B28),1)</f>
        <v>4</v>
      </c>
      <c r="K28" s="1" cm="1">
        <f t="array" aca="1" ref="K28" ca="1">INDIRECT(CONCATENATE("'",$A$3,"'!i",B28),1)</f>
        <v>14</v>
      </c>
      <c r="L28" s="1" cm="1">
        <f t="array" aca="1" ref="L28" ca="1">INDIRECT(CONCATENATE("'",$A$3,"'!j",B28),1)</f>
        <v>0</v>
      </c>
      <c r="M28" s="1" cm="1">
        <f t="array" aca="1" ref="M28" ca="1">INDIRECT(CONCATENATE("'",$A$3,"'!k",B28),1)</f>
        <v>84</v>
      </c>
      <c r="N28" s="1" t="str" cm="1">
        <f t="array" aca="1" ref="N28" ca="1">INDIRECT(CONCATENATE("'",$A$3,"'!l",B28),1)</f>
        <v>Соколова Г.Ю.</v>
      </c>
      <c r="O28" s="1" cm="1">
        <f t="array" aca="1" ref="O28" ca="1">INDIRECT(CONCATENATE("'",$A$3,"'!m",B28),1)</f>
        <v>0</v>
      </c>
      <c r="P28" s="1" t="str" cm="1">
        <f t="array" aca="1" ref="P28" ca="1">INDIRECT(CONCATENATE("'",$A$3,"'!n",B28),1)</f>
        <v>лр * 3п</v>
      </c>
      <c r="Q28" s="1" cm="1">
        <f t="array" aca="1" ref="Q28" ca="1">INDIRECT(CONCATENATE("'",$A$3,"'!o",B28),1)</f>
        <v>25.7</v>
      </c>
      <c r="R28" s="1" cm="1">
        <f t="array" aca="1" ref="R28" ca="1">INDIRECT(CONCATENATE("'",$A$3,"'!p",B28),1)</f>
        <v>0</v>
      </c>
      <c r="S28" s="1">
        <f t="shared" ca="1" si="0"/>
        <v>0</v>
      </c>
      <c r="T28" s="1" t="str" cm="1">
        <f t="array" aca="1" ref="T28" ca="1">INDIRECT(CONCATENATE("'",$A$3,"'!q",B28),1)</f>
        <v>Соколова Г.Ю.</v>
      </c>
      <c r="U28" s="1" cm="1">
        <f t="array" aca="1" ref="U28" ca="1">INDIRECT(CONCATENATE("'",$A$3,"'!r",B28),1)</f>
        <v>123.7</v>
      </c>
      <c r="V28" s="1" cm="1">
        <f t="array" aca="1" ref="V28" ca="1">INDIRECT(CONCATENATE("'",$A$3,"'!s",B28),1)</f>
        <v>0</v>
      </c>
      <c r="W28" s="1" cm="1">
        <f t="array" aca="1" ref="W28" ca="1">INDIRECT(CONCATENATE("'",$A$3,"'!t",B28),1)</f>
        <v>0</v>
      </c>
      <c r="X28" s="1" cm="1">
        <f t="array" aca="1" ref="X28" ca="1">INDIRECT(CONCATENATE("'",$A$3,"'!u",B28),1)</f>
        <v>0</v>
      </c>
      <c r="Y28" s="1" cm="1">
        <f t="array" aca="1" ref="Y28" ca="1">INDIRECT(CONCATENATE("'",$A$3,"'!v",B28),1)</f>
        <v>0</v>
      </c>
    </row>
    <row r="29" spans="1:25" customFormat="1" ht="45" hidden="1" x14ac:dyDescent="0.25">
      <c r="A29" s="15"/>
      <c r="B29" s="24">
        <f t="shared" si="1"/>
        <v>28</v>
      </c>
      <c r="C29" s="1" t="str" cm="1">
        <f t="array" aca="1" ref="C29" ca="1">INDIRECT(CONCATENATE("'",$A$3,"'!A",B29),1)</f>
        <v>Базы данных</v>
      </c>
      <c r="D29" s="1" t="str" cm="1">
        <f t="array" aca="1" ref="D29" ca="1">INDIRECT(CONCATENATE("'",$A$3,"'!B",B29),1)</f>
        <v xml:space="preserve">09.03.01(09) </v>
      </c>
      <c r="E29" s="1" t="str" cm="1">
        <f t="array" aca="1" ref="E29" ca="1">INDIRECT(CONCATENATE("'",$A$3,"'!c",B29),1)</f>
        <v>3091
3092
3093</v>
      </c>
      <c r="F29" s="1" cm="1">
        <f t="array" aca="1" ref="F29" ca="1">INDIRECT(CONCATENATE("'",$A$3,"'!d",B29),1)</f>
        <v>5</v>
      </c>
      <c r="G29" s="1" cm="1">
        <f t="array" aca="1" ref="G29" ca="1">INDIRECT(CONCATENATE("'",$A$3,"'!e",B29),1)</f>
        <v>3</v>
      </c>
      <c r="H29" s="1" cm="1">
        <f t="array" aca="1" ref="H29" ca="1">INDIRECT(CONCATENATE("'",$A$3,"'!f",B29),1)</f>
        <v>57</v>
      </c>
      <c r="I29" s="1" t="str" cm="1">
        <f t="array" aca="1" ref="I29" ca="1">INDIRECT(CONCATENATE("'",$A$3,"'!g",B29),1)</f>
        <v>ЭКЗ</v>
      </c>
      <c r="J29" s="1" cm="1">
        <f t="array" aca="1" ref="J29" ca="1">INDIRECT(CONCATENATE("'",$A$3,"'!h",B29),1)</f>
        <v>6</v>
      </c>
      <c r="K29" s="1" cm="1">
        <f t="array" aca="1" ref="K29" ca="1">INDIRECT(CONCATENATE("'",$A$3,"'!i",B29),1)</f>
        <v>28</v>
      </c>
      <c r="L29" s="1" cm="1">
        <f t="array" aca="1" ref="L29" ca="1">INDIRECT(CONCATENATE("'",$A$3,"'!j",B29),1)</f>
        <v>0</v>
      </c>
      <c r="M29" s="1" cm="1">
        <f t="array" aca="1" ref="M29" ca="1">INDIRECT(CONCATENATE("'",$A$3,"'!k",B29),1)</f>
        <v>126</v>
      </c>
      <c r="N29" s="1" t="str" cm="1">
        <f t="array" aca="1" ref="N29" ca="1">INDIRECT(CONCATENATE("'",$A$3,"'!l",B29),1)</f>
        <v>Цымбалюк Л.Н.Цымбалюк А.Е.</v>
      </c>
      <c r="O29" s="1" cm="1">
        <f t="array" aca="1" ref="O29" ca="1">INDIRECT(CONCATENATE("'",$A$3,"'!m",B29),1)</f>
        <v>124</v>
      </c>
      <c r="P29" s="1" t="str" cm="1">
        <f t="array" aca="1" ref="P29" ca="1">INDIRECT(CONCATENATE("'",$A$3,"'!n",B29),1)</f>
        <v>лр * 3пп</v>
      </c>
      <c r="Q29" s="1" cm="1">
        <f t="array" aca="1" ref="Q29" ca="1">INDIRECT(CONCATENATE("'",$A$3,"'!o",B29),1)</f>
        <v>51.3</v>
      </c>
      <c r="R29" s="1" cm="1">
        <f t="array" aca="1" ref="R29" ca="1">INDIRECT(CONCATENATE("'",$A$3,"'!p",B29),1)</f>
        <v>34.200000000000003</v>
      </c>
      <c r="S29" s="1">
        <f t="shared" ca="1" si="0"/>
        <v>0</v>
      </c>
      <c r="T29" s="1" t="str" cm="1">
        <f t="array" aca="1" ref="T29" ca="1">INDIRECT(CONCATENATE("'",$A$3,"'!q",B29),1)</f>
        <v>Цымбалюк Л.Н.</v>
      </c>
      <c r="U29" s="1" cm="1">
        <f t="array" aca="1" ref="U29" ca="1">INDIRECT(CONCATENATE("'",$A$3,"'!r",B29),1)</f>
        <v>154</v>
      </c>
      <c r="V29" s="1" t="str" cm="1">
        <f t="array" aca="1" ref="V29" ca="1">INDIRECT(CONCATENATE("'",$A$3,"'!s",B29),1)</f>
        <v>Цымбалюк А.Е.</v>
      </c>
      <c r="W29" s="1" cm="1">
        <f t="array" aca="1" ref="W29" ca="1">INDIRECT(CONCATENATE("'",$A$3,"'!t",B29),1)</f>
        <v>85.5</v>
      </c>
      <c r="X29" s="1" cm="1">
        <f t="array" aca="1" ref="X29" ca="1">INDIRECT(CONCATENATE("'",$A$3,"'!u",B29),1)</f>
        <v>0</v>
      </c>
      <c r="Y29" s="1" cm="1">
        <f t="array" aca="1" ref="Y29" ca="1">INDIRECT(CONCATENATE("'",$A$3,"'!v",B29),1)</f>
        <v>0</v>
      </c>
    </row>
    <row r="30" spans="1:25" customFormat="1" ht="45" hidden="1" x14ac:dyDescent="0.25">
      <c r="A30" s="15"/>
      <c r="B30" s="24">
        <f t="shared" si="1"/>
        <v>29</v>
      </c>
      <c r="C30" s="1" t="str" cm="1">
        <f t="array" aca="1" ref="C30" ca="1">INDIRECT(CONCATENATE("'",$A$3,"'!A",B30),1)</f>
        <v>Базы данных</v>
      </c>
      <c r="D30" s="1" t="str" cm="1">
        <f t="array" aca="1" ref="D30" ca="1">INDIRECT(CONCATENATE("'",$A$3,"'!B",B30),1)</f>
        <v xml:space="preserve">09.03.01(09) </v>
      </c>
      <c r="E30" s="1" t="str" cm="1">
        <f t="array" aca="1" ref="E30" ca="1">INDIRECT(CONCATENATE("'",$A$3,"'!c",B30),1)</f>
        <v>3091
3092
3093</v>
      </c>
      <c r="F30" s="1" cm="1">
        <f t="array" aca="1" ref="F30" ca="1">INDIRECT(CONCATENATE("'",$A$3,"'!d",B30),1)</f>
        <v>5</v>
      </c>
      <c r="G30" s="1" cm="1">
        <f t="array" aca="1" ref="G30" ca="1">INDIRECT(CONCATENATE("'",$A$3,"'!e",B30),1)</f>
        <v>3</v>
      </c>
      <c r="H30" s="1" cm="1">
        <f t="array" aca="1" ref="H30" ca="1">INDIRECT(CONCATENATE("'",$A$3,"'!f",B30),1)</f>
        <v>57</v>
      </c>
      <c r="I30" s="1" t="str" cm="1">
        <f t="array" aca="1" ref="I30" ca="1">INDIRECT(CONCATENATE("'",$A$3,"'!g",B30),1)</f>
        <v>КП</v>
      </c>
      <c r="J30" s="1" cm="1">
        <f t="array" aca="1" ref="J30" ca="1">INDIRECT(CONCATENATE("'",$A$3,"'!h",B30),1)</f>
        <v>1</v>
      </c>
      <c r="K30" s="1" cm="1">
        <f t="array" aca="1" ref="K30" ca="1">INDIRECT(CONCATENATE("'",$A$3,"'!i",B30),1)</f>
        <v>0</v>
      </c>
      <c r="L30" s="1" cm="1">
        <f t="array" aca="1" ref="L30" ca="1">INDIRECT(CONCATENATE("'",$A$3,"'!j",B30),1)</f>
        <v>0</v>
      </c>
      <c r="M30" s="1" cm="1">
        <f t="array" aca="1" ref="M30" ca="1">INDIRECT(CONCATENATE("'",$A$3,"'!k",B30),1)</f>
        <v>0</v>
      </c>
      <c r="N30" s="1" t="str" cm="1">
        <f t="array" aca="1" ref="N30" ca="1">INDIRECT(CONCATENATE("'",$A$3,"'!l",B30),1)</f>
        <v>Цымбалюк Л.Н.Цымбалюк А.Е.</v>
      </c>
      <c r="O30" s="1" cm="1">
        <f t="array" aca="1" ref="O30" ca="1">INDIRECT(CONCATENATE("'",$A$3,"'!m",B30),1)</f>
        <v>124</v>
      </c>
      <c r="P30" s="1" cm="1">
        <f t="array" aca="1" ref="P30" ca="1">INDIRECT(CONCATENATE("'",$A$3,"'!n",B30),1)</f>
        <v>0</v>
      </c>
      <c r="Q30" s="1" cm="1">
        <f t="array" aca="1" ref="Q30" ca="1">INDIRECT(CONCATENATE("'",$A$3,"'!o",B30),1)</f>
        <v>85.5</v>
      </c>
      <c r="R30" s="1" cm="1">
        <f t="array" aca="1" ref="R30" ca="1">INDIRECT(CONCATENATE("'",$A$3,"'!p",B30),1)</f>
        <v>0</v>
      </c>
      <c r="S30" s="1">
        <f t="shared" ca="1" si="0"/>
        <v>0</v>
      </c>
      <c r="T30" s="1" t="str" cm="1">
        <f t="array" aca="1" ref="T30" ca="1">INDIRECT(CONCATENATE("'",$A$3,"'!q",B30),1)</f>
        <v>Цымбалюк Л.Н.</v>
      </c>
      <c r="U30" s="1" cm="1">
        <f t="array" aca="1" ref="U30" ca="1">INDIRECT(CONCATENATE("'",$A$3,"'!r",B30),1)</f>
        <v>25.5</v>
      </c>
      <c r="V30" s="1" t="str" cm="1">
        <f t="array" aca="1" ref="V30" ca="1">INDIRECT(CONCATENATE("'",$A$3,"'!s",B30),1)</f>
        <v>Цымбалюк А.Е.</v>
      </c>
      <c r="W30" s="1" cm="1">
        <f t="array" aca="1" ref="W30" ca="1">INDIRECT(CONCATENATE("'",$A$3,"'!t",B30),1)</f>
        <v>60</v>
      </c>
      <c r="X30" s="1" cm="1">
        <f t="array" aca="1" ref="X30" ca="1">INDIRECT(CONCATENATE("'",$A$3,"'!u",B30),1)</f>
        <v>0</v>
      </c>
      <c r="Y30" s="1" cm="1">
        <f t="array" aca="1" ref="Y30" ca="1">INDIRECT(CONCATENATE("'",$A$3,"'!v",B30),1)</f>
        <v>0</v>
      </c>
    </row>
    <row r="31" spans="1:25" customFormat="1" ht="22.5" hidden="1" x14ac:dyDescent="0.25">
      <c r="A31" s="15"/>
      <c r="B31" s="24">
        <f t="shared" si="1"/>
        <v>30</v>
      </c>
      <c r="C31" s="1" t="str" cm="1">
        <f t="array" aca="1" ref="C31" ca="1">INDIRECT(CONCATENATE("'",$A$3,"'!A",B31),1)</f>
        <v>Моделирование систем</v>
      </c>
      <c r="D31" s="1" t="str" cm="1">
        <f t="array" aca="1" ref="D31" ca="1">INDIRECT(CONCATENATE("'",$A$3,"'!B",B31),1)</f>
        <v xml:space="preserve">09.03.01(09) </v>
      </c>
      <c r="E31" s="1" t="str" cm="1">
        <f t="array" aca="1" ref="E31" ca="1">INDIRECT(CONCATENATE("'",$A$3,"'!c",B31),1)</f>
        <v>3091
3092</v>
      </c>
      <c r="F31" s="1" cm="1">
        <f t="array" aca="1" ref="F31" ca="1">INDIRECT(CONCATENATE("'",$A$3,"'!d",B31),1)</f>
        <v>5</v>
      </c>
      <c r="G31" s="1" cm="1">
        <f t="array" aca="1" ref="G31" ca="1">INDIRECT(CONCATENATE("'",$A$3,"'!e",B31),1)</f>
        <v>2</v>
      </c>
      <c r="H31" s="1" cm="1">
        <f t="array" aca="1" ref="H31" ca="1">INDIRECT(CONCATENATE("'",$A$3,"'!f",B31),1)</f>
        <v>37</v>
      </c>
      <c r="I31" s="1" t="str" cm="1">
        <f t="array" aca="1" ref="I31" ca="1">INDIRECT(CONCATENATE("'",$A$3,"'!g",B31),1)</f>
        <v>ДЗ</v>
      </c>
      <c r="J31" s="1" cm="1">
        <f t="array" aca="1" ref="J31" ca="1">INDIRECT(CONCATENATE("'",$A$3,"'!h",B31),1)</f>
        <v>4</v>
      </c>
      <c r="K31" s="1" cm="1">
        <f t="array" aca="1" ref="K31" ca="1">INDIRECT(CONCATENATE("'",$A$3,"'!i",B31),1)</f>
        <v>14</v>
      </c>
      <c r="L31" s="1" cm="1">
        <f t="array" aca="1" ref="L31" ca="1">INDIRECT(CONCATENATE("'",$A$3,"'!j",B31),1)</f>
        <v>0</v>
      </c>
      <c r="M31" s="1" cm="1">
        <f t="array" aca="1" ref="M31" ca="1">INDIRECT(CONCATENATE("'",$A$3,"'!k",B31),1)</f>
        <v>84</v>
      </c>
      <c r="N31" s="1" t="str" cm="1">
        <f t="array" aca="1" ref="N31" ca="1">INDIRECT(CONCATENATE("'",$A$3,"'!l",B31),1)</f>
        <v>Эминов С.И.</v>
      </c>
      <c r="O31" s="1" cm="1">
        <f t="array" aca="1" ref="O31" ca="1">INDIRECT(CONCATENATE("'",$A$3,"'!m",B31),1)</f>
        <v>0</v>
      </c>
      <c r="P31" s="1" t="str" cm="1">
        <f t="array" aca="1" ref="P31" ca="1">INDIRECT(CONCATENATE("'",$A$3,"'!n",B31),1)</f>
        <v>2п</v>
      </c>
      <c r="Q31" s="1" cm="1">
        <f t="array" aca="1" ref="Q31" ca="1">INDIRECT(CONCATENATE("'",$A$3,"'!o",B31),1)</f>
        <v>22.2</v>
      </c>
      <c r="R31" s="1" cm="1">
        <f t="array" aca="1" ref="R31" ca="1">INDIRECT(CONCATENATE("'",$A$3,"'!p",B31),1)</f>
        <v>0</v>
      </c>
      <c r="S31" s="1">
        <f t="shared" ca="1" si="0"/>
        <v>0</v>
      </c>
      <c r="T31" s="1" t="str" cm="1">
        <f t="array" aca="1" ref="T31" ca="1">INDIRECT(CONCATENATE("'",$A$3,"'!q",B31),1)</f>
        <v>Эминов С.И.</v>
      </c>
      <c r="U31" s="1" cm="1">
        <f t="array" aca="1" ref="U31" ca="1">INDIRECT(CONCATENATE("'",$A$3,"'!r",B31),1)</f>
        <v>120.2</v>
      </c>
      <c r="V31" s="1" cm="1">
        <f t="array" aca="1" ref="V31" ca="1">INDIRECT(CONCATENATE("'",$A$3,"'!s",B31),1)</f>
        <v>0</v>
      </c>
      <c r="W31" s="1" cm="1">
        <f t="array" aca="1" ref="W31" ca="1">INDIRECT(CONCATENATE("'",$A$3,"'!t",B31),1)</f>
        <v>0</v>
      </c>
      <c r="X31" s="1" cm="1">
        <f t="array" aca="1" ref="X31" ca="1">INDIRECT(CONCATENATE("'",$A$3,"'!u",B31),1)</f>
        <v>0</v>
      </c>
      <c r="Y31" s="1" cm="1">
        <f t="array" aca="1" ref="Y31" ca="1">INDIRECT(CONCATENATE("'",$A$3,"'!v",B31),1)</f>
        <v>0</v>
      </c>
    </row>
    <row r="32" spans="1:25" customFormat="1" hidden="1" x14ac:dyDescent="0.25">
      <c r="A32" s="15"/>
      <c r="B32" s="24">
        <f t="shared" si="1"/>
        <v>31</v>
      </c>
      <c r="C32" s="1" t="str" cm="1">
        <f t="array" aca="1" ref="C32" ca="1">INDIRECT(CONCATENATE("'",$A$3,"'!A",B32),1)</f>
        <v>Моделирование систем</v>
      </c>
      <c r="D32" s="1" t="str" cm="1">
        <f t="array" aca="1" ref="D32" ca="1">INDIRECT(CONCATENATE("'",$A$3,"'!B",B32),1)</f>
        <v xml:space="preserve">09.03.01(09) </v>
      </c>
      <c r="E32" s="1" cm="1">
        <f t="array" aca="1" ref="E32" ca="1">INDIRECT(CONCATENATE("'",$A$3,"'!c",B32),1)</f>
        <v>3095</v>
      </c>
      <c r="F32" s="1" cm="1">
        <f t="array" aca="1" ref="F32" ca="1">INDIRECT(CONCATENATE("'",$A$3,"'!d",B32),1)</f>
        <v>5</v>
      </c>
      <c r="G32" s="1" cm="1">
        <f t="array" aca="1" ref="G32" ca="1">INDIRECT(CONCATENATE("'",$A$3,"'!e",B32),1)</f>
        <v>1</v>
      </c>
      <c r="H32" s="1" cm="1">
        <f t="array" aca="1" ref="H32" ca="1">INDIRECT(CONCATENATE("'",$A$3,"'!f",B32),1)</f>
        <v>20</v>
      </c>
      <c r="I32" s="1" t="str" cm="1">
        <f t="array" aca="1" ref="I32" ca="1">INDIRECT(CONCATENATE("'",$A$3,"'!g",B32),1)</f>
        <v>ДЗ</v>
      </c>
      <c r="J32" s="1" cm="1">
        <f t="array" aca="1" ref="J32" ca="1">INDIRECT(CONCATENATE("'",$A$3,"'!h",B32),1)</f>
        <v>4</v>
      </c>
      <c r="K32" s="1" cm="1">
        <f t="array" aca="1" ref="K32" ca="1">INDIRECT(CONCATENATE("'",$A$3,"'!i",B32),1)</f>
        <v>14</v>
      </c>
      <c r="L32" s="1" cm="1">
        <f t="array" aca="1" ref="L32" ca="1">INDIRECT(CONCATENATE("'",$A$3,"'!j",B32),1)</f>
        <v>0</v>
      </c>
      <c r="M32" s="1" cm="1">
        <f t="array" aca="1" ref="M32" ca="1">INDIRECT(CONCATENATE("'",$A$3,"'!k",B32),1)</f>
        <v>42</v>
      </c>
      <c r="N32" s="1" t="str" cm="1">
        <f t="array" aca="1" ref="N32" ca="1">INDIRECT(CONCATENATE("'",$A$3,"'!l",B32),1)</f>
        <v>Эминов С.И.</v>
      </c>
      <c r="O32" s="1" cm="1">
        <f t="array" aca="1" ref="O32" ca="1">INDIRECT(CONCATENATE("'",$A$3,"'!m",B32),1)</f>
        <v>0</v>
      </c>
      <c r="P32" s="1" t="str" cm="1">
        <f t="array" aca="1" ref="P32" ca="1">INDIRECT(CONCATENATE("'",$A$3,"'!n",B32),1)</f>
        <v>1п</v>
      </c>
      <c r="Q32" s="1" cm="1">
        <f t="array" aca="1" ref="Q32" ca="1">INDIRECT(CONCATENATE("'",$A$3,"'!o",B32),1)</f>
        <v>12</v>
      </c>
      <c r="R32" s="1" cm="1">
        <f t="array" aca="1" ref="R32" ca="1">INDIRECT(CONCATENATE("'",$A$3,"'!p",B32),1)</f>
        <v>0</v>
      </c>
      <c r="S32" s="1">
        <f t="shared" ca="1" si="0"/>
        <v>0</v>
      </c>
      <c r="T32" s="1" t="str" cm="1">
        <f t="array" aca="1" ref="T32" ca="1">INDIRECT(CONCATENATE("'",$A$3,"'!q",B32),1)</f>
        <v>Эминов С.И.</v>
      </c>
      <c r="U32" s="1" cm="1">
        <f t="array" aca="1" ref="U32" ca="1">INDIRECT(CONCATENATE("'",$A$3,"'!r",B32),1)</f>
        <v>68</v>
      </c>
      <c r="V32" s="1" cm="1">
        <f t="array" aca="1" ref="V32" ca="1">INDIRECT(CONCATENATE("'",$A$3,"'!s",B32),1)</f>
        <v>0</v>
      </c>
      <c r="W32" s="1" cm="1">
        <f t="array" aca="1" ref="W32" ca="1">INDIRECT(CONCATENATE("'",$A$3,"'!t",B32),1)</f>
        <v>0</v>
      </c>
      <c r="X32" s="1" cm="1">
        <f t="array" aca="1" ref="X32" ca="1">INDIRECT(CONCATENATE("'",$A$3,"'!u",B32),1)</f>
        <v>0</v>
      </c>
      <c r="Y32" s="1" cm="1">
        <f t="array" aca="1" ref="Y32" ca="1">INDIRECT(CONCATENATE("'",$A$3,"'!v",B32),1)</f>
        <v>0</v>
      </c>
    </row>
    <row r="33" spans="1:25" customFormat="1" ht="33.75" hidden="1" x14ac:dyDescent="0.25">
      <c r="A33" s="15"/>
      <c r="B33" s="24">
        <f t="shared" si="1"/>
        <v>32</v>
      </c>
      <c r="C33" s="1" t="str" cm="1">
        <f t="array" aca="1" ref="C33" ca="1">INDIRECT(CONCATENATE("'",$A$3,"'!A",B33),1)</f>
        <v>Теория языков программирования и методы трансляции</v>
      </c>
      <c r="D33" s="1" t="str" cm="1">
        <f t="array" aca="1" ref="D33" ca="1">INDIRECT(CONCATENATE("'",$A$3,"'!B",B33),1)</f>
        <v xml:space="preserve">09.03.01(09) </v>
      </c>
      <c r="E33" s="1" t="str" cm="1">
        <f t="array" aca="1" ref="E33" ca="1">INDIRECT(CONCATENATE("'",$A$3,"'!c",B33),1)</f>
        <v>3091
3092</v>
      </c>
      <c r="F33" s="1" cm="1">
        <f t="array" aca="1" ref="F33" ca="1">INDIRECT(CONCATENATE("'",$A$3,"'!d",B33),1)</f>
        <v>5</v>
      </c>
      <c r="G33" s="1" cm="1">
        <f t="array" aca="1" ref="G33" ca="1">INDIRECT(CONCATENATE("'",$A$3,"'!e",B33),1)</f>
        <v>2</v>
      </c>
      <c r="H33" s="1" cm="1">
        <f t="array" aca="1" ref="H33" ca="1">INDIRECT(CONCATENATE("'",$A$3,"'!f",B33),1)</f>
        <v>23</v>
      </c>
      <c r="I33" s="1" t="str" cm="1">
        <f t="array" aca="1" ref="I33" ca="1">INDIRECT(CONCATENATE("'",$A$3,"'!g",B33),1)</f>
        <v>ДЗ</v>
      </c>
      <c r="J33" s="1" cm="1">
        <f t="array" aca="1" ref="J33" ca="1">INDIRECT(CONCATENATE("'",$A$3,"'!h",B33),1)</f>
        <v>4</v>
      </c>
      <c r="K33" s="1" cm="1">
        <f t="array" aca="1" ref="K33" ca="1">INDIRECT(CONCATENATE("'",$A$3,"'!i",B33),1)</f>
        <v>14</v>
      </c>
      <c r="L33" s="1" cm="1">
        <f t="array" aca="1" ref="L33" ca="1">INDIRECT(CONCATENATE("'",$A$3,"'!j",B33),1)</f>
        <v>14</v>
      </c>
      <c r="M33" s="1" cm="1">
        <f t="array" aca="1" ref="M33" ca="1">INDIRECT(CONCATENATE("'",$A$3,"'!k",B33),1)</f>
        <v>28</v>
      </c>
      <c r="N33" s="1" t="str" cm="1">
        <f t="array" aca="1" ref="N33" ca="1">INDIRECT(CONCATENATE("'",$A$3,"'!l",B33),1)</f>
        <v>Яковлев Н.С.Яковлев Н.С.</v>
      </c>
      <c r="O33" s="1" cm="1">
        <f t="array" aca="1" ref="O33" ca="1">INDIRECT(CONCATENATE("'",$A$3,"'!m",B33),1)</f>
        <v>0</v>
      </c>
      <c r="P33" s="1" t="str" cm="1">
        <f t="array" aca="1" ref="P33" ca="1">INDIRECT(CONCATENATE("'",$A$3,"'!n",B33),1)</f>
        <v>1п</v>
      </c>
      <c r="Q33" s="1" cm="1">
        <f t="array" aca="1" ref="Q33" ca="1">INDIRECT(CONCATENATE("'",$A$3,"'!o",B33),1)</f>
        <v>13.8</v>
      </c>
      <c r="R33" s="1" cm="1">
        <f t="array" aca="1" ref="R33" ca="1">INDIRECT(CONCATENATE("'",$A$3,"'!p",B33),1)</f>
        <v>0</v>
      </c>
      <c r="S33" s="1">
        <f t="shared" ca="1" si="0"/>
        <v>0</v>
      </c>
      <c r="T33" s="1" t="str" cm="1">
        <f t="array" aca="1" ref="T33" ca="1">INDIRECT(CONCATENATE("'",$A$3,"'!q",B33),1)</f>
        <v>Яковлев Н.С.</v>
      </c>
      <c r="U33" s="1" cm="1">
        <f t="array" aca="1" ref="U33" ca="1">INDIRECT(CONCATENATE("'",$A$3,"'!r",B33),1)</f>
        <v>69.8</v>
      </c>
      <c r="V33" s="1" t="str" cm="1">
        <f t="array" aca="1" ref="V33" ca="1">INDIRECT(CONCATENATE("'",$A$3,"'!s",B33),1)</f>
        <v>Яковлев Н.С.</v>
      </c>
      <c r="W33" s="1" cm="1">
        <f t="array" aca="1" ref="W33" ca="1">INDIRECT(CONCATENATE("'",$A$3,"'!t",B33),1)</f>
        <v>28</v>
      </c>
      <c r="X33" s="1" cm="1">
        <f t="array" aca="1" ref="X33" ca="1">INDIRECT(CONCATENATE("'",$A$3,"'!u",B33),1)</f>
        <v>0</v>
      </c>
      <c r="Y33" s="1" cm="1">
        <f t="array" aca="1" ref="Y33" ca="1">INDIRECT(CONCATENATE("'",$A$3,"'!v",B33),1)</f>
        <v>0</v>
      </c>
    </row>
    <row r="34" spans="1:25" customFormat="1" ht="22.5" hidden="1" x14ac:dyDescent="0.25">
      <c r="A34" s="15"/>
      <c r="B34" s="24">
        <f t="shared" si="1"/>
        <v>33</v>
      </c>
      <c r="C34" s="1" t="str" cm="1">
        <f t="array" aca="1" ref="C34" ca="1">INDIRECT(CONCATENATE("'",$A$3,"'!A",B34),1)</f>
        <v>Основы теории управления</v>
      </c>
      <c r="D34" s="1" t="str" cm="1">
        <f t="array" aca="1" ref="D34" ca="1">INDIRECT(CONCATENATE("'",$A$3,"'!B",B34),1)</f>
        <v xml:space="preserve">09.03.01(09) </v>
      </c>
      <c r="E34" s="1" t="str" cm="1">
        <f t="array" aca="1" ref="E34" ca="1">INDIRECT(CONCATENATE("'",$A$3,"'!c",B34),1)</f>
        <v>3091
3092</v>
      </c>
      <c r="F34" s="1" cm="1">
        <f t="array" aca="1" ref="F34" ca="1">INDIRECT(CONCATENATE("'",$A$3,"'!d",B34),1)</f>
        <v>5</v>
      </c>
      <c r="G34" s="1" cm="1">
        <f t="array" aca="1" ref="G34" ca="1">INDIRECT(CONCATENATE("'",$A$3,"'!e",B34),1)</f>
        <v>2</v>
      </c>
      <c r="H34" s="1" cm="1">
        <f t="array" aca="1" ref="H34" ca="1">INDIRECT(CONCATENATE("'",$A$3,"'!f",B34),1)</f>
        <v>14</v>
      </c>
      <c r="I34" s="1" t="str" cm="1">
        <f t="array" aca="1" ref="I34" ca="1">INDIRECT(CONCATENATE("'",$A$3,"'!g",B34),1)</f>
        <v>ДЗ</v>
      </c>
      <c r="J34" s="1" cm="1">
        <f t="array" aca="1" ref="J34" ca="1">INDIRECT(CONCATENATE("'",$A$3,"'!h",B34),1)</f>
        <v>4</v>
      </c>
      <c r="K34" s="1" cm="1">
        <f t="array" aca="1" ref="K34" ca="1">INDIRECT(CONCATENATE("'",$A$3,"'!i",B34),1)</f>
        <v>14</v>
      </c>
      <c r="L34" s="1" cm="1">
        <f t="array" aca="1" ref="L34" ca="1">INDIRECT(CONCATENATE("'",$A$3,"'!j",B34),1)</f>
        <v>14</v>
      </c>
      <c r="M34" s="1" cm="1">
        <f t="array" aca="1" ref="M34" ca="1">INDIRECT(CONCATENATE("'",$A$3,"'!k",B34),1)</f>
        <v>28</v>
      </c>
      <c r="N34" s="1" t="str" cm="1">
        <f t="array" aca="1" ref="N34" ca="1">INDIRECT(CONCATENATE("'",$A$3,"'!l",B34),1)</f>
        <v>Эминов С.И.</v>
      </c>
      <c r="O34" s="1" cm="1">
        <f t="array" aca="1" ref="O34" ca="1">INDIRECT(CONCATENATE("'",$A$3,"'!m",B34),1)</f>
        <v>0</v>
      </c>
      <c r="P34" s="1" t="str" cm="1">
        <f t="array" aca="1" ref="P34" ca="1">INDIRECT(CONCATENATE("'",$A$3,"'!n",B34),1)</f>
        <v>1п</v>
      </c>
      <c r="Q34" s="1" cm="1">
        <f t="array" aca="1" ref="Q34" ca="1">INDIRECT(CONCATENATE("'",$A$3,"'!o",B34),1)</f>
        <v>12</v>
      </c>
      <c r="R34" s="1" cm="1">
        <f t="array" aca="1" ref="R34" ca="1">INDIRECT(CONCATENATE("'",$A$3,"'!p",B34),1)</f>
        <v>0</v>
      </c>
      <c r="S34" s="1">
        <f t="shared" ca="1" si="0"/>
        <v>0</v>
      </c>
      <c r="T34" s="1" t="str" cm="1">
        <f t="array" aca="1" ref="T34" ca="1">INDIRECT(CONCATENATE("'",$A$3,"'!q",B34),1)</f>
        <v>Эминов С.И.</v>
      </c>
      <c r="U34" s="1" cm="1">
        <f t="array" aca="1" ref="U34" ca="1">INDIRECT(CONCATENATE("'",$A$3,"'!r",B34),1)</f>
        <v>68</v>
      </c>
      <c r="V34" s="1" cm="1">
        <f t="array" aca="1" ref="V34" ca="1">INDIRECT(CONCATENATE("'",$A$3,"'!s",B34),1)</f>
        <v>0</v>
      </c>
      <c r="W34" s="1" cm="1">
        <f t="array" aca="1" ref="W34" ca="1">INDIRECT(CONCATENATE("'",$A$3,"'!t",B34),1)</f>
        <v>0</v>
      </c>
      <c r="X34" s="1" cm="1">
        <f t="array" aca="1" ref="X34" ca="1">INDIRECT(CONCATENATE("'",$A$3,"'!u",B34),1)</f>
        <v>0</v>
      </c>
      <c r="Y34" s="1" cm="1">
        <f t="array" aca="1" ref="Y34" ca="1">INDIRECT(CONCATENATE("'",$A$3,"'!v",B34),1)</f>
        <v>0</v>
      </c>
    </row>
    <row r="35" spans="1:25" customFormat="1" ht="22.5" hidden="1" x14ac:dyDescent="0.25">
      <c r="A35" s="15"/>
      <c r="B35" s="24">
        <f t="shared" si="1"/>
        <v>34</v>
      </c>
      <c r="C35" s="1" t="str" cm="1">
        <f t="array" aca="1" ref="C35" ca="1">INDIRECT(CONCATENATE("'",$A$3,"'!A",B35),1)</f>
        <v>Разработка мобильных приложений на Java</v>
      </c>
      <c r="D35" s="1" t="str" cm="1">
        <f t="array" aca="1" ref="D35" ca="1">INDIRECT(CONCATENATE("'",$A$3,"'!B",B35),1)</f>
        <v xml:space="preserve">09.03.01(09) </v>
      </c>
      <c r="E35" s="1" cm="1">
        <f t="array" aca="1" ref="E35" ca="1">INDIRECT(CONCATENATE("'",$A$3,"'!c",B35),1)</f>
        <v>3093</v>
      </c>
      <c r="F35" s="1" cm="1">
        <f t="array" aca="1" ref="F35" ca="1">INDIRECT(CONCATENATE("'",$A$3,"'!d",B35),1)</f>
        <v>5</v>
      </c>
      <c r="G35" s="1" cm="1">
        <f t="array" aca="1" ref="G35" ca="1">INDIRECT(CONCATENATE("'",$A$3,"'!e",B35),1)</f>
        <v>2</v>
      </c>
      <c r="H35" s="1" cm="1">
        <f t="array" aca="1" ref="H35" ca="1">INDIRECT(CONCATENATE("'",$A$3,"'!f",B35),1)</f>
        <v>20</v>
      </c>
      <c r="I35" s="1" t="str" cm="1">
        <f t="array" aca="1" ref="I35" ca="1">INDIRECT(CONCATENATE("'",$A$3,"'!g",B35),1)</f>
        <v>ЭКЗ</v>
      </c>
      <c r="J35" s="1" cm="1">
        <f t="array" aca="1" ref="J35" ca="1">INDIRECT(CONCATENATE("'",$A$3,"'!h",B35),1)</f>
        <v>4</v>
      </c>
      <c r="K35" s="1" cm="1">
        <f t="array" aca="1" ref="K35" ca="1">INDIRECT(CONCATENATE("'",$A$3,"'!i",B35),1)</f>
        <v>14</v>
      </c>
      <c r="L35" s="1" cm="1">
        <f t="array" aca="1" ref="L35" ca="1">INDIRECT(CONCATENATE("'",$A$3,"'!j",B35),1)</f>
        <v>0</v>
      </c>
      <c r="M35" s="1" cm="1">
        <f t="array" aca="1" ref="M35" ca="1">INDIRECT(CONCATENATE("'",$A$3,"'!k",B35),1)</f>
        <v>28</v>
      </c>
      <c r="N35" s="1" t="str" cm="1">
        <f t="array" aca="1" ref="N35" ca="1">INDIRECT(CONCATENATE("'",$A$3,"'!l",B35),1)</f>
        <v>Кулаков И.Ю.</v>
      </c>
      <c r="O35" s="1" cm="1">
        <f t="array" aca="1" ref="O35" ca="1">INDIRECT(CONCATENATE("'",$A$3,"'!m",B35),1)</f>
        <v>0</v>
      </c>
      <c r="P35" s="1" t="str" cm="1">
        <f t="array" aca="1" ref="P35" ca="1">INDIRECT(CONCATENATE("'",$A$3,"'!n",B35),1)</f>
        <v>1п</v>
      </c>
      <c r="Q35" s="1" cm="1">
        <f t="array" aca="1" ref="Q35" ca="1">INDIRECT(CONCATENATE("'",$A$3,"'!o",B35),1)</f>
        <v>12</v>
      </c>
      <c r="R35" s="1" cm="1">
        <f t="array" aca="1" ref="R35" ca="1">INDIRECT(CONCATENATE("'",$A$3,"'!p",B35),1)</f>
        <v>8</v>
      </c>
      <c r="S35" s="1">
        <f t="shared" ca="1" si="0"/>
        <v>0</v>
      </c>
      <c r="T35" s="1" t="str" cm="1">
        <f t="array" aca="1" ref="T35" ca="1">INDIRECT(CONCATENATE("'",$A$3,"'!q",B35),1)</f>
        <v>Кулаков И.Ю.</v>
      </c>
      <c r="U35" s="1" cm="1">
        <f t="array" aca="1" ref="U35" ca="1">INDIRECT(CONCATENATE("'",$A$3,"'!r",B35),1)</f>
        <v>62</v>
      </c>
      <c r="V35" s="1" cm="1">
        <f t="array" aca="1" ref="V35" ca="1">INDIRECT(CONCATENATE("'",$A$3,"'!s",B35),1)</f>
        <v>0</v>
      </c>
      <c r="W35" s="1" cm="1">
        <f t="array" aca="1" ref="W35" ca="1">INDIRECT(CONCATENATE("'",$A$3,"'!t",B35),1)</f>
        <v>0</v>
      </c>
      <c r="X35" s="1" cm="1">
        <f t="array" aca="1" ref="X35" ca="1">INDIRECT(CONCATENATE("'",$A$3,"'!u",B35),1)</f>
        <v>0</v>
      </c>
      <c r="Y35" s="1" cm="1">
        <f t="array" aca="1" ref="Y35" ca="1">INDIRECT(CONCATENATE("'",$A$3,"'!v",B35),1)</f>
        <v>0</v>
      </c>
    </row>
    <row r="36" spans="1:25" customFormat="1" ht="22.5" hidden="1" x14ac:dyDescent="0.25">
      <c r="A36" s="15"/>
      <c r="B36" s="24">
        <f t="shared" si="1"/>
        <v>35</v>
      </c>
      <c r="C36" s="1" t="str" cm="1">
        <f t="array" aca="1" ref="C36" ca="1">INDIRECT(CONCATENATE("'",$A$3,"'!A",B36),1)</f>
        <v>Разработка мобильных приложений на Kotlin1</v>
      </c>
      <c r="D36" s="1" t="str" cm="1">
        <f t="array" aca="1" ref="D36" ca="1">INDIRECT(CONCATENATE("'",$A$3,"'!B",B36),1)</f>
        <v xml:space="preserve">09.03.01(09) </v>
      </c>
      <c r="E36" s="1" cm="1">
        <f t="array" aca="1" ref="E36" ca="1">INDIRECT(CONCATENATE("'",$A$3,"'!c",B36),1)</f>
        <v>3093</v>
      </c>
      <c r="F36" s="1" cm="1">
        <f t="array" aca="1" ref="F36" ca="1">INDIRECT(CONCATENATE("'",$A$3,"'!d",B36),1)</f>
        <v>5</v>
      </c>
      <c r="G36" s="1" cm="1">
        <f t="array" aca="1" ref="G36" ca="1">INDIRECT(CONCATENATE("'",$A$3,"'!e",B36),1)</f>
        <v>2</v>
      </c>
      <c r="H36" s="1" cm="1">
        <f t="array" aca="1" ref="H36" ca="1">INDIRECT(CONCATENATE("'",$A$3,"'!f",B36),1)</f>
        <v>20</v>
      </c>
      <c r="I36" s="1" t="str" cm="1">
        <f t="array" aca="1" ref="I36" ca="1">INDIRECT(CONCATENATE("'",$A$3,"'!g",B36),1)</f>
        <v>ДЗ</v>
      </c>
      <c r="J36" s="1" cm="1">
        <f t="array" aca="1" ref="J36" ca="1">INDIRECT(CONCATENATE("'",$A$3,"'!h",B36),1)</f>
        <v>4</v>
      </c>
      <c r="K36" s="1" cm="1">
        <f t="array" aca="1" ref="K36" ca="1">INDIRECT(CONCATENATE("'",$A$3,"'!i",B36),1)</f>
        <v>14</v>
      </c>
      <c r="L36" s="1" cm="1">
        <f t="array" aca="1" ref="L36" ca="1">INDIRECT(CONCATENATE("'",$A$3,"'!j",B36),1)</f>
        <v>0</v>
      </c>
      <c r="M36" s="1" cm="1">
        <f t="array" aca="1" ref="M36" ca="1">INDIRECT(CONCATENATE("'",$A$3,"'!k",B36),1)</f>
        <v>42</v>
      </c>
      <c r="N36" s="1" t="str" cm="1">
        <f t="array" aca="1" ref="N36" ca="1">INDIRECT(CONCATENATE("'",$A$3,"'!l",B36),1)</f>
        <v>Иванов Д.Д.</v>
      </c>
      <c r="O36" s="1" cm="1">
        <f t="array" aca="1" ref="O36" ca="1">INDIRECT(CONCATENATE("'",$A$3,"'!m",B36),1)</f>
        <v>0</v>
      </c>
      <c r="P36" s="1" t="str" cm="1">
        <f t="array" aca="1" ref="P36" ca="1">INDIRECT(CONCATENATE("'",$A$3,"'!n",B36),1)</f>
        <v>1п</v>
      </c>
      <c r="Q36" s="1" cm="1">
        <f t="array" aca="1" ref="Q36" ca="1">INDIRECT(CONCATENATE("'",$A$3,"'!o",B36),1)</f>
        <v>12</v>
      </c>
      <c r="R36" s="1" cm="1">
        <f t="array" aca="1" ref="R36" ca="1">INDIRECT(CONCATENATE("'",$A$3,"'!p",B36),1)</f>
        <v>0</v>
      </c>
      <c r="S36" s="1">
        <f t="shared" ca="1" si="0"/>
        <v>0</v>
      </c>
      <c r="T36" s="1" t="str" cm="1">
        <f t="array" aca="1" ref="T36" ca="1">INDIRECT(CONCATENATE("'",$A$3,"'!q",B36),1)</f>
        <v>Иванов Д.Д.</v>
      </c>
      <c r="U36" s="1" cm="1">
        <f t="array" aca="1" ref="U36" ca="1">INDIRECT(CONCATENATE("'",$A$3,"'!r",B36),1)</f>
        <v>68</v>
      </c>
      <c r="V36" s="1" cm="1">
        <f t="array" aca="1" ref="V36" ca="1">INDIRECT(CONCATENATE("'",$A$3,"'!s",B36),1)</f>
        <v>0</v>
      </c>
      <c r="W36" s="1" cm="1">
        <f t="array" aca="1" ref="W36" ca="1">INDIRECT(CONCATENATE("'",$A$3,"'!t",B36),1)</f>
        <v>0</v>
      </c>
      <c r="X36" s="1" cm="1">
        <f t="array" aca="1" ref="X36" ca="1">INDIRECT(CONCATENATE("'",$A$3,"'!u",B36),1)</f>
        <v>0</v>
      </c>
      <c r="Y36" s="1" cm="1">
        <f t="array" aca="1" ref="Y36" ca="1">INDIRECT(CONCATENATE("'",$A$3,"'!v",B36),1)</f>
        <v>0</v>
      </c>
    </row>
    <row r="37" spans="1:25" customFormat="1" ht="22.5" hidden="1" x14ac:dyDescent="0.25">
      <c r="A37" s="15"/>
      <c r="B37" s="24">
        <f t="shared" si="1"/>
        <v>36</v>
      </c>
      <c r="C37" s="1" t="str" cm="1">
        <f t="array" aca="1" ref="C37" ca="1">INDIRECT(CONCATENATE("'",$A$3,"'!A",B37),1)</f>
        <v>Разработка мобильных приложений на Kotlin2</v>
      </c>
      <c r="D37" s="1" t="str" cm="1">
        <f t="array" aca="1" ref="D37" ca="1">INDIRECT(CONCATENATE("'",$A$3,"'!B",B37),1)</f>
        <v xml:space="preserve">09.03.01(09) </v>
      </c>
      <c r="E37" s="1" cm="1">
        <f t="array" aca="1" ref="E37" ca="1">INDIRECT(CONCATENATE("'",$A$3,"'!c",B37),1)</f>
        <v>3093</v>
      </c>
      <c r="F37" s="1" cm="1">
        <f t="array" aca="1" ref="F37" ca="1">INDIRECT(CONCATENATE("'",$A$3,"'!d",B37),1)</f>
        <v>5</v>
      </c>
      <c r="G37" s="1" cm="1">
        <f t="array" aca="1" ref="G37" ca="1">INDIRECT(CONCATENATE("'",$A$3,"'!e",B37),1)</f>
        <v>2</v>
      </c>
      <c r="H37" s="1" cm="1">
        <f t="array" aca="1" ref="H37" ca="1">INDIRECT(CONCATENATE("'",$A$3,"'!f",B37),1)</f>
        <v>20</v>
      </c>
      <c r="I37" s="1" t="str" cm="1">
        <f t="array" aca="1" ref="I37" ca="1">INDIRECT(CONCATENATE("'",$A$3,"'!g",B37),1)</f>
        <v>ДЗ</v>
      </c>
      <c r="J37" s="1" cm="1">
        <f t="array" aca="1" ref="J37" ca="1">INDIRECT(CONCATENATE("'",$A$3,"'!h",B37),1)</f>
        <v>4</v>
      </c>
      <c r="K37" s="1" cm="1">
        <f t="array" aca="1" ref="K37" ca="1">INDIRECT(CONCATENATE("'",$A$3,"'!i",B37),1)</f>
        <v>14</v>
      </c>
      <c r="L37" s="1" cm="1">
        <f t="array" aca="1" ref="L37" ca="1">INDIRECT(CONCATENATE("'",$A$3,"'!j",B37),1)</f>
        <v>0</v>
      </c>
      <c r="M37" s="1" cm="1">
        <f t="array" aca="1" ref="M37" ca="1">INDIRECT(CONCATENATE("'",$A$3,"'!k",B37),1)</f>
        <v>28</v>
      </c>
      <c r="N37" s="1" t="str" cm="1">
        <f t="array" aca="1" ref="N37" ca="1">INDIRECT(CONCATENATE("'",$A$3,"'!l",B37),1)</f>
        <v>Иванов Д.Д.</v>
      </c>
      <c r="O37" s="1" cm="1">
        <f t="array" aca="1" ref="O37" ca="1">INDIRECT(CONCATENATE("'",$A$3,"'!m",B37),1)</f>
        <v>0</v>
      </c>
      <c r="P37" s="1" t="str" cm="1">
        <f t="array" aca="1" ref="P37" ca="1">INDIRECT(CONCATENATE("'",$A$3,"'!n",B37),1)</f>
        <v>1п</v>
      </c>
      <c r="Q37" s="1" cm="1">
        <f t="array" aca="1" ref="Q37" ca="1">INDIRECT(CONCATENATE("'",$A$3,"'!o",B37),1)</f>
        <v>12</v>
      </c>
      <c r="R37" s="1" cm="1">
        <f t="array" aca="1" ref="R37" ca="1">INDIRECT(CONCATENATE("'",$A$3,"'!p",B37),1)</f>
        <v>8</v>
      </c>
      <c r="S37" s="1">
        <f t="shared" ca="1" si="0"/>
        <v>0</v>
      </c>
      <c r="T37" s="1" t="str" cm="1">
        <f t="array" aca="1" ref="T37" ca="1">INDIRECT(CONCATENATE("'",$A$3,"'!q",B37),1)</f>
        <v>Иванов Д.Д.</v>
      </c>
      <c r="U37" s="1" cm="1">
        <f t="array" aca="1" ref="U37" ca="1">INDIRECT(CONCATENATE("'",$A$3,"'!r",B37),1)</f>
        <v>62</v>
      </c>
      <c r="V37" s="1" cm="1">
        <f t="array" aca="1" ref="V37" ca="1">INDIRECT(CONCATENATE("'",$A$3,"'!s",B37),1)</f>
        <v>0</v>
      </c>
      <c r="W37" s="1" cm="1">
        <f t="array" aca="1" ref="W37" ca="1">INDIRECT(CONCATENATE("'",$A$3,"'!t",B37),1)</f>
        <v>0</v>
      </c>
      <c r="X37" s="1" cm="1">
        <f t="array" aca="1" ref="X37" ca="1">INDIRECT(CONCATENATE("'",$A$3,"'!u",B37),1)</f>
        <v>0</v>
      </c>
      <c r="Y37" s="1" cm="1">
        <f t="array" aca="1" ref="Y37" ca="1">INDIRECT(CONCATENATE("'",$A$3,"'!v",B37),1)</f>
        <v>0</v>
      </c>
    </row>
    <row r="38" spans="1:25" customFormat="1" ht="33.75" x14ac:dyDescent="0.25">
      <c r="A38" s="15"/>
      <c r="B38" s="24">
        <f t="shared" si="1"/>
        <v>37</v>
      </c>
      <c r="C38" s="1" t="str" cm="1">
        <f t="array" aca="1" ref="C38" ca="1">INDIRECT(CONCATENATE("'",$A$3,"'!A",B38),1)</f>
        <v>Программирование виртуальной и дополненной реальности</v>
      </c>
      <c r="D38" s="1" t="str" cm="1">
        <f t="array" aca="1" ref="D38" ca="1">INDIRECT(CONCATENATE("'",$A$3,"'!B",B38),1)</f>
        <v xml:space="preserve">09.03.01(09) </v>
      </c>
      <c r="E38" s="1" cm="1">
        <f t="array" aca="1" ref="E38" ca="1">INDIRECT(CONCATENATE("'",$A$3,"'!c",B38),1)</f>
        <v>3093</v>
      </c>
      <c r="F38" s="1" cm="1">
        <f t="array" aca="1" ref="F38" ca="1">INDIRECT(CONCATENATE("'",$A$3,"'!d",B38),1)</f>
        <v>5</v>
      </c>
      <c r="G38" s="1" cm="1">
        <f t="array" aca="1" ref="G38" ca="1">INDIRECT(CONCATENATE("'",$A$3,"'!e",B38),1)</f>
        <v>2</v>
      </c>
      <c r="H38" s="1" cm="1">
        <f t="array" aca="1" ref="H38" ca="1">INDIRECT(CONCATENATE("'",$A$3,"'!f",B38),1)</f>
        <v>20</v>
      </c>
      <c r="I38" s="1" t="str" cm="1">
        <f t="array" aca="1" ref="I38" ca="1">INDIRECT(CONCATENATE("'",$A$3,"'!g",B38),1)</f>
        <v>ДЗ</v>
      </c>
      <c r="J38" s="1" cm="1">
        <f t="array" aca="1" ref="J38" ca="1">INDIRECT(CONCATENATE("'",$A$3,"'!h",B38),1)</f>
        <v>2</v>
      </c>
      <c r="K38" s="1" cm="1">
        <f t="array" aca="1" ref="K38" ca="1">INDIRECT(CONCATENATE("'",$A$3,"'!i",B38),1)</f>
        <v>7</v>
      </c>
      <c r="L38" s="1" cm="1">
        <f t="array" aca="1" ref="L38" ca="1">INDIRECT(CONCATENATE("'",$A$3,"'!j",B38),1)</f>
        <v>7</v>
      </c>
      <c r="M38" s="1" cm="1">
        <f t="array" aca="1" ref="M38" ca="1">INDIRECT(CONCATENATE("'",$A$3,"'!k",B38),1)</f>
        <v>14</v>
      </c>
      <c r="N38" s="1" t="str" cm="1">
        <f t="array" aca="1" ref="N38" ca="1">INDIRECT(CONCATENATE("'",$A$3,"'!l",B38),1)</f>
        <v>Савинова М.А.</v>
      </c>
      <c r="O38" s="1" t="str" cm="1">
        <f t="array" aca="1" ref="O38" ca="1">INDIRECT(CONCATENATE("'",$A$3,"'!m",B38),1)</f>
        <v>ПТК</v>
      </c>
      <c r="P38" s="1" t="str" cm="1">
        <f t="array" aca="1" ref="P38" ca="1">INDIRECT(CONCATENATE("'",$A$3,"'!n",B38),1)</f>
        <v>пр * 1 пп
 лр * 1 пп</v>
      </c>
      <c r="Q38" s="1" cm="1">
        <f t="array" aca="1" ref="Q38" ca="1">INDIRECT(CONCATENATE("'",$A$3,"'!o",B38),1)</f>
        <v>6</v>
      </c>
      <c r="R38" s="1" cm="1">
        <f t="array" aca="1" ref="R38" ca="1">INDIRECT(CONCATENATE("'",$A$3,"'!p",B38),1)</f>
        <v>0</v>
      </c>
      <c r="S38" s="1">
        <f t="shared" ca="1" si="0"/>
        <v>34</v>
      </c>
      <c r="T38" s="1" t="str" cm="1">
        <f t="array" aca="1" ref="T38" ca="1">INDIRECT(CONCATENATE("'",$A$3,"'!q",B38),1)</f>
        <v>Савинова М.А.</v>
      </c>
      <c r="U38" s="1" cm="1">
        <f t="array" aca="1" ref="U38" ca="1">INDIRECT(CONCATENATE("'",$A$3,"'!r",B38),1)</f>
        <v>34</v>
      </c>
      <c r="V38" s="1" cm="1">
        <f t="array" aca="1" ref="V38" ca="1">INDIRECT(CONCATENATE("'",$A$3,"'!s",B38),1)</f>
        <v>0</v>
      </c>
      <c r="W38" s="1" cm="1">
        <f t="array" aca="1" ref="W38" ca="1">INDIRECT(CONCATENATE("'",$A$3,"'!t",B38),1)</f>
        <v>0</v>
      </c>
      <c r="X38" s="1" cm="1">
        <f t="array" aca="1" ref="X38" ca="1">INDIRECT(CONCATENATE("'",$A$3,"'!u",B38),1)</f>
        <v>0</v>
      </c>
      <c r="Y38" s="1" cm="1">
        <f t="array" aca="1" ref="Y38" ca="1">INDIRECT(CONCATENATE("'",$A$3,"'!v",B38),1)</f>
        <v>0</v>
      </c>
    </row>
    <row r="39" spans="1:25" customFormat="1" ht="45" hidden="1" x14ac:dyDescent="0.25">
      <c r="A39" s="15"/>
      <c r="B39" s="24">
        <f t="shared" si="1"/>
        <v>38</v>
      </c>
      <c r="C39" s="1" t="str" cm="1">
        <f t="array" aca="1" ref="C39" ca="1">INDIRECT(CONCATENATE("'",$A$3,"'!A",B39),1)</f>
        <v>Элементы пользовательского интерфейса мобильных приложений</v>
      </c>
      <c r="D39" s="1" t="str" cm="1">
        <f t="array" aca="1" ref="D39" ca="1">INDIRECT(CONCATENATE("'",$A$3,"'!B",B39),1)</f>
        <v xml:space="preserve">09.03.01(09) </v>
      </c>
      <c r="E39" s="1" cm="1">
        <f t="array" aca="1" ref="E39" ca="1">INDIRECT(CONCATENATE("'",$A$3,"'!c",B39),1)</f>
        <v>3093</v>
      </c>
      <c r="F39" s="1" cm="1">
        <f t="array" aca="1" ref="F39" ca="1">INDIRECT(CONCATENATE("'",$A$3,"'!d",B39),1)</f>
        <v>5</v>
      </c>
      <c r="G39" s="1" cm="1">
        <f t="array" aca="1" ref="G39" ca="1">INDIRECT(CONCATENATE("'",$A$3,"'!e",B39),1)</f>
        <v>2</v>
      </c>
      <c r="H39" s="1" cm="1">
        <f t="array" aca="1" ref="H39" ca="1">INDIRECT(CONCATENATE("'",$A$3,"'!f",B39),1)</f>
        <v>20</v>
      </c>
      <c r="I39" s="1" t="str" cm="1">
        <f t="array" aca="1" ref="I39" ca="1">INDIRECT(CONCATENATE("'",$A$3,"'!g",B39),1)</f>
        <v>ДЗ</v>
      </c>
      <c r="J39" s="1" cm="1">
        <f t="array" aca="1" ref="J39" ca="1">INDIRECT(CONCATENATE("'",$A$3,"'!h",B39),1)</f>
        <v>2</v>
      </c>
      <c r="K39" s="1" cm="1">
        <f t="array" aca="1" ref="K39" ca="1">INDIRECT(CONCATENATE("'",$A$3,"'!i",B39),1)</f>
        <v>14</v>
      </c>
      <c r="L39" s="1" cm="1">
        <f t="array" aca="1" ref="L39" ca="1">INDIRECT(CONCATENATE("'",$A$3,"'!j",B39),1)</f>
        <v>7</v>
      </c>
      <c r="M39" s="1" cm="1">
        <f t="array" aca="1" ref="M39" ca="1">INDIRECT(CONCATENATE("'",$A$3,"'!k",B39),1)</f>
        <v>7</v>
      </c>
      <c r="N39" s="1" t="str" cm="1">
        <f t="array" aca="1" ref="N39" ca="1">INDIRECT(CONCATENATE("'",$A$3,"'!l",B39),1)</f>
        <v>Гареева Т.Ю.</v>
      </c>
      <c r="O39" s="1" cm="1">
        <f t="array" aca="1" ref="O39" ca="1">INDIRECT(CONCATENATE("'",$A$3,"'!m",B39),1)</f>
        <v>0</v>
      </c>
      <c r="P39" s="1" t="str" cm="1">
        <f t="array" aca="1" ref="P39" ca="1">INDIRECT(CONCATENATE("'",$A$3,"'!n",B39),1)</f>
        <v>пр * 1 пп
 лр * 1 пп</v>
      </c>
      <c r="Q39" s="1" cm="1">
        <f t="array" aca="1" ref="Q39" ca="1">INDIRECT(CONCATENATE("'",$A$3,"'!o",B39),1)</f>
        <v>6</v>
      </c>
      <c r="R39" s="1" cm="1">
        <f t="array" aca="1" ref="R39" ca="1">INDIRECT(CONCATENATE("'",$A$3,"'!p",B39),1)</f>
        <v>0</v>
      </c>
      <c r="S39" s="1">
        <f t="shared" ca="1" si="0"/>
        <v>0</v>
      </c>
      <c r="T39" s="1" t="str" cm="1">
        <f t="array" aca="1" ref="T39" ca="1">INDIRECT(CONCATENATE("'",$A$3,"'!q",B39),1)</f>
        <v>Гареева Т.Ю.</v>
      </c>
      <c r="U39" s="1" cm="1">
        <f t="array" aca="1" ref="U39" ca="1">INDIRECT(CONCATENATE("'",$A$3,"'!r",B39),1)</f>
        <v>34</v>
      </c>
      <c r="V39" s="1" cm="1">
        <f t="array" aca="1" ref="V39" ca="1">INDIRECT(CONCATENATE("'",$A$3,"'!s",B39),1)</f>
        <v>0</v>
      </c>
      <c r="W39" s="1" cm="1">
        <f t="array" aca="1" ref="W39" ca="1">INDIRECT(CONCATENATE("'",$A$3,"'!t",B39),1)</f>
        <v>0</v>
      </c>
      <c r="X39" s="1" cm="1">
        <f t="array" aca="1" ref="X39" ca="1">INDIRECT(CONCATENATE("'",$A$3,"'!u",B39),1)</f>
        <v>0</v>
      </c>
      <c r="Y39" s="1" cm="1">
        <f t="array" aca="1" ref="Y39" ca="1">INDIRECT(CONCATENATE("'",$A$3,"'!v",B39),1)</f>
        <v>0</v>
      </c>
    </row>
    <row r="40" spans="1:25" customFormat="1" ht="33.75" hidden="1" x14ac:dyDescent="0.25">
      <c r="A40" s="15"/>
      <c r="B40" s="24">
        <f t="shared" si="1"/>
        <v>39</v>
      </c>
      <c r="C40" s="1" t="str" cm="1">
        <f t="array" aca="1" ref="C40" ca="1">INDIRECT(CONCATENATE("'",$A$3,"'!A",B40),1)</f>
        <v>Майноры</v>
      </c>
      <c r="D40" s="1" t="str" cm="1">
        <f t="array" aca="1" ref="D40" ca="1">INDIRECT(CONCATENATE("'",$A$3,"'!B",B40),1)</f>
        <v xml:space="preserve">09.03.01(09) </v>
      </c>
      <c r="E40" s="1" t="str" cm="1">
        <f t="array" aca="1" ref="E40" ca="1">INDIRECT(CONCATENATE("'",$A$3,"'!c",B40),1)</f>
        <v>3091
3092
3093</v>
      </c>
      <c r="F40" s="1" cm="1">
        <f t="array" aca="1" ref="F40" ca="1">INDIRECT(CONCATENATE("'",$A$3,"'!d",B40),1)</f>
        <v>5</v>
      </c>
      <c r="G40" s="1" cm="1">
        <f t="array" aca="1" ref="G40" ca="1">INDIRECT(CONCATENATE("'",$A$3,"'!e",B40),1)</f>
        <v>3</v>
      </c>
      <c r="H40" s="1" cm="1">
        <f t="array" aca="1" ref="H40" ca="1">INDIRECT(CONCATENATE("'",$A$3,"'!f",B40),1)</f>
        <v>57</v>
      </c>
      <c r="I40" s="1" t="str" cm="1">
        <f t="array" aca="1" ref="I40" ca="1">INDIRECT(CONCATENATE("'",$A$3,"'!g",B40),1)</f>
        <v>ДЗ</v>
      </c>
      <c r="J40" s="1" cm="1">
        <f t="array" aca="1" ref="J40" ca="1">INDIRECT(CONCATENATE("'",$A$3,"'!h",B40),1)</f>
        <v>5</v>
      </c>
      <c r="K40" s="1" cm="1">
        <f t="array" aca="1" ref="K40" ca="1">INDIRECT(CONCATENATE("'",$A$3,"'!i",B40),1)</f>
        <v>28</v>
      </c>
      <c r="L40" s="1" cm="1">
        <f t="array" aca="1" ref="L40" ca="1">INDIRECT(CONCATENATE("'",$A$3,"'!j",B40),1)</f>
        <v>84</v>
      </c>
      <c r="M40" s="1" cm="1">
        <f t="array" aca="1" ref="M40" ca="1">INDIRECT(CONCATENATE("'",$A$3,"'!k",B40),1)</f>
        <v>0</v>
      </c>
      <c r="N40" s="1" t="str" cm="1">
        <f t="array" aca="1" ref="N40" ca="1">INDIRECT(CONCATENATE("'",$A$3,"'!l",B40),1)</f>
        <v>Сазонова Н.В.Залилов Р.Ю.</v>
      </c>
      <c r="O40" s="1" cm="1">
        <f t="array" aca="1" ref="O40" ca="1">INDIRECT(CONCATENATE("'",$A$3,"'!m",B40),1)</f>
        <v>0</v>
      </c>
      <c r="P40" s="1" t="str" cm="1">
        <f t="array" aca="1" ref="P40" ca="1">INDIRECT(CONCATENATE("'",$A$3,"'!n",B40),1)</f>
        <v>лр * 3п</v>
      </c>
      <c r="Q40" s="1" cm="1">
        <f t="array" aca="1" ref="Q40" ca="1">INDIRECT(CONCATENATE("'",$A$3,"'!o",B40),1)</f>
        <v>34.200000000000003</v>
      </c>
      <c r="R40" s="1" cm="1">
        <f t="array" aca="1" ref="R40" ca="1">INDIRECT(CONCATENATE("'",$A$3,"'!p",B40),1)</f>
        <v>0</v>
      </c>
      <c r="S40" s="1">
        <f t="shared" ca="1" si="0"/>
        <v>0</v>
      </c>
      <c r="T40" s="1" t="str" cm="1">
        <f t="array" aca="1" ref="T40" ca="1">INDIRECT(CONCATENATE("'",$A$3,"'!q",B40),1)</f>
        <v>Сазонова Н.В.</v>
      </c>
      <c r="U40" s="1" cm="1">
        <f t="array" aca="1" ref="U40" ca="1">INDIRECT(CONCATENATE("'",$A$3,"'!r",B40),1)</f>
        <v>84</v>
      </c>
      <c r="V40" s="1" t="str" cm="1">
        <f t="array" aca="1" ref="V40" ca="1">INDIRECT(CONCATENATE("'",$A$3,"'!s",B40),1)</f>
        <v>Залилов Р.Ю.</v>
      </c>
      <c r="W40" s="1" cm="1">
        <f t="array" aca="1" ref="W40" ca="1">INDIRECT(CONCATENATE("'",$A$3,"'!t",B40),1)</f>
        <v>62.2</v>
      </c>
      <c r="X40" s="1" cm="1">
        <f t="array" aca="1" ref="X40" ca="1">INDIRECT(CONCATENATE("'",$A$3,"'!u",B40),1)</f>
        <v>0</v>
      </c>
      <c r="Y40" s="1" cm="1">
        <f t="array" aca="1" ref="Y40" ca="1">INDIRECT(CONCATENATE("'",$A$3,"'!v",B40),1)</f>
        <v>0</v>
      </c>
    </row>
    <row r="41" spans="1:25" customFormat="1" ht="45" hidden="1" x14ac:dyDescent="0.25">
      <c r="A41" s="15"/>
      <c r="B41" s="24">
        <f t="shared" si="1"/>
        <v>40</v>
      </c>
      <c r="C41" s="1" t="str" cm="1">
        <f t="array" aca="1" ref="C41" ca="1">INDIRECT(CONCATENATE("'",$A$3,"'!A",B41),1)</f>
        <v>Практика учебная: Практика проектно-технологическая</v>
      </c>
      <c r="D41" s="1" t="str" cm="1">
        <f t="array" aca="1" ref="D41" ca="1">INDIRECT(CONCATENATE("'",$A$3,"'!B",B41),1)</f>
        <v xml:space="preserve">09.03.01(09) </v>
      </c>
      <c r="E41" s="1" t="str" cm="1">
        <f t="array" aca="1" ref="E41" ca="1">INDIRECT(CONCATENATE("'",$A$3,"'!c",B41),1)</f>
        <v>3091
3092
3093</v>
      </c>
      <c r="F41" s="1" cm="1">
        <f t="array" aca="1" ref="F41" ca="1">INDIRECT(CONCATENATE("'",$A$3,"'!d",B41),1)</f>
        <v>5</v>
      </c>
      <c r="G41" s="1" cm="1">
        <f t="array" aca="1" ref="G41" ca="1">INDIRECT(CONCATENATE("'",$A$3,"'!e",B41),1)</f>
        <v>3</v>
      </c>
      <c r="H41" s="1" cm="1">
        <f t="array" aca="1" ref="H41" ca="1">INDIRECT(CONCATENATE("'",$A$3,"'!f",B41),1)</f>
        <v>57</v>
      </c>
      <c r="I41" s="1" t="str" cm="1">
        <f t="array" aca="1" ref="I41" ca="1">INDIRECT(CONCATENATE("'",$A$3,"'!g",B41),1)</f>
        <v>ДЗ</v>
      </c>
      <c r="J41" s="1" cm="1">
        <f t="array" aca="1" ref="J41" ca="1">INDIRECT(CONCATENATE("'",$A$3,"'!h",B41),1)</f>
        <v>1</v>
      </c>
      <c r="K41" s="1" cm="1">
        <f t="array" aca="1" ref="K41" ca="1">INDIRECT(CONCATENATE("'",$A$3,"'!i",B41),1)</f>
        <v>0</v>
      </c>
      <c r="L41" s="1" cm="1">
        <f t="array" aca="1" ref="L41" ca="1">INDIRECT(CONCATENATE("'",$A$3,"'!j",B41),1)</f>
        <v>2</v>
      </c>
      <c r="M41" s="1" cm="1">
        <f t="array" aca="1" ref="M41" ca="1">INDIRECT(CONCATENATE("'",$A$3,"'!k",B41),1)</f>
        <v>0</v>
      </c>
      <c r="N41" s="1" t="str" cm="1">
        <f t="array" aca="1" ref="N41" ca="1">INDIRECT(CONCATENATE("'",$A$3,"'!l",B41),1)</f>
        <v>Моркин С.А.Архипова Г.А.</v>
      </c>
      <c r="O41" s="1" cm="1">
        <f t="array" aca="1" ref="O41" ca="1">INDIRECT(CONCATENATE("'",$A$3,"'!m",B41),1)</f>
        <v>0</v>
      </c>
      <c r="P41" s="1" cm="1">
        <f t="array" aca="1" ref="P41" ca="1">INDIRECT(CONCATENATE("'",$A$3,"'!n",B41),1)</f>
        <v>0</v>
      </c>
      <c r="Q41" s="1" cm="1">
        <f t="array" aca="1" ref="Q41" ca="1">INDIRECT(CONCATENATE("'",$A$3,"'!o",B41),1)</f>
        <v>45.6</v>
      </c>
      <c r="R41" s="1" cm="1">
        <f t="array" aca="1" ref="R41" ca="1">INDIRECT(CONCATENATE("'",$A$3,"'!p",B41),1)</f>
        <v>0</v>
      </c>
      <c r="S41" s="1">
        <f t="shared" ca="1" si="0"/>
        <v>0</v>
      </c>
      <c r="T41" s="1" t="str" cm="1">
        <f t="array" aca="1" ref="T41" ca="1">INDIRECT(CONCATENATE("'",$A$3,"'!q",B41),1)</f>
        <v>Моркин С.А.</v>
      </c>
      <c r="U41" s="1" cm="1">
        <f t="array" aca="1" ref="U41" ca="1">INDIRECT(CONCATENATE("'",$A$3,"'!r",B41),1)</f>
        <v>41.6</v>
      </c>
      <c r="V41" s="1" t="str" cm="1">
        <f t="array" aca="1" ref="V41" ca="1">INDIRECT(CONCATENATE("'",$A$3,"'!s",B41),1)</f>
        <v>Архипова Г.А.</v>
      </c>
      <c r="W41" s="1" cm="1">
        <f t="array" aca="1" ref="W41" ca="1">INDIRECT(CONCATENATE("'",$A$3,"'!t",B41),1)</f>
        <v>4</v>
      </c>
      <c r="X41" s="1" cm="1">
        <f t="array" aca="1" ref="X41" ca="1">INDIRECT(CONCATENATE("'",$A$3,"'!u",B41),1)</f>
        <v>0</v>
      </c>
      <c r="Y41" s="1" cm="1">
        <f t="array" aca="1" ref="Y41" ca="1">INDIRECT(CONCATENATE("'",$A$3,"'!v",B41),1)</f>
        <v>0</v>
      </c>
    </row>
    <row r="42" spans="1:25" customFormat="1" hidden="1" x14ac:dyDescent="0.25">
      <c r="A42" s="15"/>
      <c r="B42" s="24">
        <f t="shared" si="1"/>
        <v>41</v>
      </c>
      <c r="C42" s="1" cm="1">
        <f t="array" aca="1" ref="C42" ca="1">INDIRECT(CONCATENATE("'",$A$3,"'!A",B42),1)</f>
        <v>0</v>
      </c>
      <c r="D42" s="1" cm="1">
        <f t="array" aca="1" ref="D42" ca="1">INDIRECT(CONCATENATE("'",$A$3,"'!B",B42),1)</f>
        <v>0</v>
      </c>
      <c r="E42" s="1" cm="1">
        <f t="array" aca="1" ref="E42" ca="1">INDIRECT(CONCATENATE("'",$A$3,"'!c",B42),1)</f>
        <v>0</v>
      </c>
      <c r="F42" s="1" cm="1">
        <f t="array" aca="1" ref="F42" ca="1">INDIRECT(CONCATENATE("'",$A$3,"'!d",B42),1)</f>
        <v>0</v>
      </c>
      <c r="G42" s="1" cm="1">
        <f t="array" aca="1" ref="G42" ca="1">INDIRECT(CONCATENATE("'",$A$3,"'!e",B42),1)</f>
        <v>0</v>
      </c>
      <c r="H42" s="1" cm="1">
        <f t="array" aca="1" ref="H42" ca="1">INDIRECT(CONCATENATE("'",$A$3,"'!f",B42),1)</f>
        <v>0</v>
      </c>
      <c r="I42" s="1" cm="1">
        <f t="array" aca="1" ref="I42" ca="1">INDIRECT(CONCATENATE("'",$A$3,"'!g",B42),1)</f>
        <v>0</v>
      </c>
      <c r="J42" s="1" cm="1">
        <f t="array" aca="1" ref="J42" ca="1">INDIRECT(CONCATENATE("'",$A$3,"'!h",B42),1)</f>
        <v>0</v>
      </c>
      <c r="K42" s="1" cm="1">
        <f t="array" aca="1" ref="K42" ca="1">INDIRECT(CONCATENATE("'",$A$3,"'!i",B42),1)</f>
        <v>0</v>
      </c>
      <c r="L42" s="1" cm="1">
        <f t="array" aca="1" ref="L42" ca="1">INDIRECT(CONCATENATE("'",$A$3,"'!j",B42),1)</f>
        <v>0</v>
      </c>
      <c r="M42" s="1" cm="1">
        <f t="array" aca="1" ref="M42" ca="1">INDIRECT(CONCATENATE("'",$A$3,"'!k",B42),1)</f>
        <v>0</v>
      </c>
      <c r="N42" s="1" t="str" cm="1">
        <f t="array" aca="1" ref="N42" ca="1">INDIRECT(CONCATENATE("'",$A$3,"'!l",B42),1)</f>
        <v/>
      </c>
      <c r="O42" s="1" cm="1">
        <f t="array" aca="1" ref="O42" ca="1">INDIRECT(CONCATENATE("'",$A$3,"'!m",B42),1)</f>
        <v>0</v>
      </c>
      <c r="P42" s="1" cm="1">
        <f t="array" aca="1" ref="P42" ca="1">INDIRECT(CONCATENATE("'",$A$3,"'!n",B42),1)</f>
        <v>0</v>
      </c>
      <c r="Q42" s="1" cm="1">
        <f t="array" aca="1" ref="Q42" ca="1">INDIRECT(CONCATENATE("'",$A$3,"'!o",B42),1)</f>
        <v>0</v>
      </c>
      <c r="R42" s="1" cm="1">
        <f t="array" aca="1" ref="R42" ca="1">INDIRECT(CONCATENATE("'",$A$3,"'!p",B42),1)</f>
        <v>0</v>
      </c>
      <c r="S42" s="1">
        <f t="shared" ca="1" si="0"/>
        <v>0</v>
      </c>
      <c r="T42" s="1" cm="1">
        <f t="array" aca="1" ref="T42" ca="1">INDIRECT(CONCATENATE("'",$A$3,"'!q",B42),1)</f>
        <v>0</v>
      </c>
      <c r="U42" s="1" cm="1">
        <f t="array" aca="1" ref="U42" ca="1">INDIRECT(CONCATENATE("'",$A$3,"'!r",B42),1)</f>
        <v>0</v>
      </c>
      <c r="V42" s="1" cm="1">
        <f t="array" aca="1" ref="V42" ca="1">INDIRECT(CONCATENATE("'",$A$3,"'!s",B42),1)</f>
        <v>0</v>
      </c>
      <c r="W42" s="1" cm="1">
        <f t="array" aca="1" ref="W42" ca="1">INDIRECT(CONCATENATE("'",$A$3,"'!t",B42),1)</f>
        <v>0</v>
      </c>
      <c r="X42" s="1" cm="1">
        <f t="array" aca="1" ref="X42" ca="1">INDIRECT(CONCATENATE("'",$A$3,"'!u",B42),1)</f>
        <v>0</v>
      </c>
      <c r="Y42" s="1" cm="1">
        <f t="array" aca="1" ref="Y42" ca="1">INDIRECT(CONCATENATE("'",$A$3,"'!v",B42),1)</f>
        <v>0</v>
      </c>
    </row>
    <row r="43" spans="1:25" customFormat="1" ht="22.5" hidden="1" x14ac:dyDescent="0.25">
      <c r="A43" s="15"/>
      <c r="B43" s="24">
        <f t="shared" si="1"/>
        <v>42</v>
      </c>
      <c r="C43" s="1" t="str" cm="1">
        <f t="array" aca="1" ref="C43" ca="1">INDIRECT(CONCATENATE("'",$A$3,"'!A",B43),1)</f>
        <v>Системы искусственного интеллекта</v>
      </c>
      <c r="D43" s="1" t="str" cm="1">
        <f t="array" aca="1" ref="D43" ca="1">INDIRECT(CONCATENATE("'",$A$3,"'!B",B43),1)</f>
        <v xml:space="preserve">09.03.01(09) </v>
      </c>
      <c r="E43" s="1" t="str" cm="1">
        <f t="array" aca="1" ref="E43" ca="1">INDIRECT(CONCATENATE("'",$A$3,"'!c",B43),1)</f>
        <v>3091
3092</v>
      </c>
      <c r="F43" s="1" cm="1">
        <f t="array" aca="1" ref="F43" ca="1">INDIRECT(CONCATENATE("'",$A$3,"'!d",B43),1)</f>
        <v>6</v>
      </c>
      <c r="G43" s="1" cm="1">
        <f t="array" aca="1" ref="G43" ca="1">INDIRECT(CONCATENATE("'",$A$3,"'!e",B43),1)</f>
        <v>3</v>
      </c>
      <c r="H43" s="1" cm="1">
        <f t="array" aca="1" ref="H43" ca="1">INDIRECT(CONCATENATE("'",$A$3,"'!f",B43),1)</f>
        <v>37</v>
      </c>
      <c r="I43" s="1" t="str" cm="1">
        <f t="array" aca="1" ref="I43" ca="1">INDIRECT(CONCATENATE("'",$A$3,"'!g",B43),1)</f>
        <v>ЭКЗ</v>
      </c>
      <c r="J43" s="1" cm="1">
        <f t="array" aca="1" ref="J43" ca="1">INDIRECT(CONCATENATE("'",$A$3,"'!h",B43),1)</f>
        <v>4</v>
      </c>
      <c r="K43" s="1" cm="1">
        <f t="array" aca="1" ref="K43" ca="1">INDIRECT(CONCATENATE("'",$A$3,"'!i",B43),1)</f>
        <v>14</v>
      </c>
      <c r="L43" s="1" cm="1">
        <f t="array" aca="1" ref="L43" ca="1">INDIRECT(CONCATENATE("'",$A$3,"'!j",B43),1)</f>
        <v>0</v>
      </c>
      <c r="M43" s="1" cm="1">
        <f t="array" aca="1" ref="M43" ca="1">INDIRECT(CONCATENATE("'",$A$3,"'!k",B43),1)</f>
        <v>28</v>
      </c>
      <c r="N43" s="1" t="str" cm="1">
        <f t="array" aca="1" ref="N43" ca="1">INDIRECT(CONCATENATE("'",$A$3,"'!l",B43),1)</f>
        <v>Михайлов Д.В.</v>
      </c>
      <c r="O43" s="1" cm="1">
        <f t="array" aca="1" ref="O43" ca="1">INDIRECT(CONCATENATE("'",$A$3,"'!m",B43),1)</f>
        <v>3305</v>
      </c>
      <c r="P43" s="1" cm="1">
        <f t="array" aca="1" ref="P43" ca="1">INDIRECT(CONCATENATE("'",$A$3,"'!n",B43),1)</f>
        <v>0</v>
      </c>
      <c r="Q43" s="1" cm="1">
        <f t="array" aca="1" ref="Q43" ca="1">INDIRECT(CONCATENATE("'",$A$3,"'!o",B43),1)</f>
        <v>22.2</v>
      </c>
      <c r="R43" s="1" cm="1">
        <f t="array" aca="1" ref="R43" ca="1">INDIRECT(CONCATENATE("'",$A$3,"'!p",B43),1)</f>
        <v>14.8</v>
      </c>
      <c r="S43" s="1">
        <f t="shared" ca="1" si="0"/>
        <v>0</v>
      </c>
      <c r="T43" s="1" t="str" cm="1">
        <f t="array" aca="1" ref="T43" ca="1">INDIRECT(CONCATENATE("'",$A$3,"'!q",B43),1)</f>
        <v>Михайлов Д.В.</v>
      </c>
      <c r="U43" s="1" cm="1">
        <f t="array" aca="1" ref="U43" ca="1">INDIRECT(CONCATENATE("'",$A$3,"'!r",B43),1)</f>
        <v>107</v>
      </c>
      <c r="V43" s="1" cm="1">
        <f t="array" aca="1" ref="V43" ca="1">INDIRECT(CONCATENATE("'",$A$3,"'!s",B43),1)</f>
        <v>0</v>
      </c>
      <c r="W43" s="1" cm="1">
        <f t="array" aca="1" ref="W43" ca="1">INDIRECT(CONCATENATE("'",$A$3,"'!t",B43),1)</f>
        <v>0</v>
      </c>
      <c r="X43" s="1" cm="1">
        <f t="array" aca="1" ref="X43" ca="1">INDIRECT(CONCATENATE("'",$A$3,"'!u",B43),1)</f>
        <v>0</v>
      </c>
      <c r="Y43" s="1" cm="1">
        <f t="array" aca="1" ref="Y43" ca="1">INDIRECT(CONCATENATE("'",$A$3,"'!v",B43),1)</f>
        <v>0</v>
      </c>
    </row>
    <row r="44" spans="1:25" customFormat="1" ht="45" hidden="1" x14ac:dyDescent="0.25">
      <c r="A44" s="15"/>
      <c r="B44" s="24">
        <f t="shared" si="1"/>
        <v>43</v>
      </c>
      <c r="C44" s="1" t="str" cm="1">
        <f t="array" aca="1" ref="C44" ca="1">INDIRECT(CONCATENATE("'",$A$3,"'!A",B44),1)</f>
        <v>Проектирование информационных систем</v>
      </c>
      <c r="D44" s="1" t="str" cm="1">
        <f t="array" aca="1" ref="D44" ca="1">INDIRECT(CONCATENATE("'",$A$3,"'!B",B44),1)</f>
        <v xml:space="preserve">09.03.01(09) </v>
      </c>
      <c r="E44" s="1" t="str" cm="1">
        <f t="array" aca="1" ref="E44" ca="1">INDIRECT(CONCATENATE("'",$A$3,"'!c",B44),1)</f>
        <v>3091
3092
3093</v>
      </c>
      <c r="F44" s="1" cm="1">
        <f t="array" aca="1" ref="F44" ca="1">INDIRECT(CONCATENATE("'",$A$3,"'!d",B44),1)</f>
        <v>6</v>
      </c>
      <c r="G44" s="1" cm="1">
        <f t="array" aca="1" ref="G44" ca="1">INDIRECT(CONCATENATE("'",$A$3,"'!e",B44),1)</f>
        <v>3</v>
      </c>
      <c r="H44" s="1" cm="1">
        <f t="array" aca="1" ref="H44" ca="1">INDIRECT(CONCATENATE("'",$A$3,"'!f",B44),1)</f>
        <v>57</v>
      </c>
      <c r="I44" s="1" t="str" cm="1">
        <f t="array" aca="1" ref="I44" ca="1">INDIRECT(CONCATENATE("'",$A$3,"'!g",B44),1)</f>
        <v>ЭКЗ</v>
      </c>
      <c r="J44" s="1" cm="1">
        <f t="array" aca="1" ref="J44" ca="1">INDIRECT(CONCATENATE("'",$A$3,"'!h",B44),1)</f>
        <v>5</v>
      </c>
      <c r="K44" s="1" cm="1">
        <f t="array" aca="1" ref="K44" ca="1">INDIRECT(CONCATENATE("'",$A$3,"'!i",B44),1)</f>
        <v>14</v>
      </c>
      <c r="L44" s="1" cm="1">
        <f t="array" aca="1" ref="L44" ca="1">INDIRECT(CONCATENATE("'",$A$3,"'!j",B44),1)</f>
        <v>0</v>
      </c>
      <c r="M44" s="1" cm="1">
        <f t="array" aca="1" ref="M44" ca="1">INDIRECT(CONCATENATE("'",$A$3,"'!k",B44),1)</f>
        <v>126</v>
      </c>
      <c r="N44" s="1" t="str" cm="1">
        <f t="array" aca="1" ref="N44" ca="1">INDIRECT(CONCATENATE("'",$A$3,"'!l",B44),1)</f>
        <v>Цымбалюк Л.Н.Цымбалюк А.Е.</v>
      </c>
      <c r="O44" s="1" t="str" cm="1">
        <f t="array" aca="1" ref="O44" ca="1">INDIRECT(CONCATENATE("'",$A$3,"'!m",B44),1)</f>
        <v>124 ПТК</v>
      </c>
      <c r="P44" s="1" t="str" cm="1">
        <f t="array" aca="1" ref="P44" ca="1">INDIRECT(CONCATENATE("'",$A$3,"'!n",B44),1)</f>
        <v>лр * 3п</v>
      </c>
      <c r="Q44" s="1" cm="1">
        <f t="array" aca="1" ref="Q44" ca="1">INDIRECT(CONCATENATE("'",$A$3,"'!o",B44),1)</f>
        <v>42.8</v>
      </c>
      <c r="R44" s="1" cm="1">
        <f t="array" aca="1" ref="R44" ca="1">INDIRECT(CONCATENATE("'",$A$3,"'!p",B44),1)</f>
        <v>28.5</v>
      </c>
      <c r="S44" s="1">
        <f t="shared" ca="1" si="0"/>
        <v>0</v>
      </c>
      <c r="T44" s="1" t="str" cm="1">
        <f t="array" aca="1" ref="T44" ca="1">INDIRECT(CONCATENATE("'",$A$3,"'!q",B44),1)</f>
        <v>Цымбалюк Л.Н.</v>
      </c>
      <c r="U44" s="1" cm="1">
        <f t="array" aca="1" ref="U44" ca="1">INDIRECT(CONCATENATE("'",$A$3,"'!r",B44),1)</f>
        <v>140</v>
      </c>
      <c r="V44" s="1" t="str" cm="1">
        <f t="array" aca="1" ref="V44" ca="1">INDIRECT(CONCATENATE("'",$A$3,"'!s",B44),1)</f>
        <v>Цымбалюк А.Е.</v>
      </c>
      <c r="W44" s="1" cm="1">
        <f t="array" aca="1" ref="W44" ca="1">INDIRECT(CONCATENATE("'",$A$3,"'!t",B44),1)</f>
        <v>71.3</v>
      </c>
      <c r="X44" s="1" cm="1">
        <f t="array" aca="1" ref="X44" ca="1">INDIRECT(CONCATENATE("'",$A$3,"'!u",B44),1)</f>
        <v>0</v>
      </c>
      <c r="Y44" s="1" cm="1">
        <f t="array" aca="1" ref="Y44" ca="1">INDIRECT(CONCATENATE("'",$A$3,"'!v",B44),1)</f>
        <v>0</v>
      </c>
    </row>
    <row r="45" spans="1:25" customFormat="1" ht="29.45" hidden="1" customHeight="1" x14ac:dyDescent="0.25">
      <c r="A45" s="15"/>
      <c r="B45" s="24">
        <f t="shared" si="1"/>
        <v>44</v>
      </c>
      <c r="C45" s="1" t="str" cm="1">
        <f t="array" aca="1" ref="C45" ca="1">INDIRECT(CONCATENATE("'",$A$3,"'!A",B45),1)</f>
        <v>Проектирование информационных систем</v>
      </c>
      <c r="D45" s="1" t="str" cm="1">
        <f t="array" aca="1" ref="D45" ca="1">INDIRECT(CONCATENATE("'",$A$3,"'!B",B45),1)</f>
        <v xml:space="preserve">09.03.01(09) </v>
      </c>
      <c r="E45" s="1" t="str" cm="1">
        <f t="array" aca="1" ref="E45" ca="1">INDIRECT(CONCATENATE("'",$A$3,"'!c",B45),1)</f>
        <v>3091
3092
3093</v>
      </c>
      <c r="F45" s="1" cm="1">
        <f t="array" aca="1" ref="F45" ca="1">INDIRECT(CONCATENATE("'",$A$3,"'!d",B45),1)</f>
        <v>6</v>
      </c>
      <c r="G45" s="1" cm="1">
        <f t="array" aca="1" ref="G45" ca="1">INDIRECT(CONCATENATE("'",$A$3,"'!e",B45),1)</f>
        <v>3</v>
      </c>
      <c r="H45" s="1" cm="1">
        <f t="array" aca="1" ref="H45" ca="1">INDIRECT(CONCATENATE("'",$A$3,"'!f",B45),1)</f>
        <v>57</v>
      </c>
      <c r="I45" s="1" t="str" cm="1">
        <f t="array" aca="1" ref="I45" ca="1">INDIRECT(CONCATENATE("'",$A$3,"'!g",B45),1)</f>
        <v>КП</v>
      </c>
      <c r="J45" s="1" cm="1">
        <f t="array" aca="1" ref="J45" ca="1">INDIRECT(CONCATENATE("'",$A$3,"'!h",B45),1)</f>
        <v>1</v>
      </c>
      <c r="K45" s="1" cm="1">
        <f t="array" aca="1" ref="K45" ca="1">INDIRECT(CONCATENATE("'",$A$3,"'!i",B45),1)</f>
        <v>0</v>
      </c>
      <c r="L45" s="1" cm="1">
        <f t="array" aca="1" ref="L45" ca="1">INDIRECT(CONCATENATE("'",$A$3,"'!j",B45),1)</f>
        <v>0</v>
      </c>
      <c r="M45" s="1" cm="1">
        <f t="array" aca="1" ref="M45" ca="1">INDIRECT(CONCATENATE("'",$A$3,"'!k",B45),1)</f>
        <v>0</v>
      </c>
      <c r="N45" s="1" t="str" cm="1">
        <f t="array" aca="1" ref="N45" ca="1">INDIRECT(CONCATENATE("'",$A$3,"'!l",B45),1)</f>
        <v>Цымбалюк Л.Н.Цымбалюк А.Е.</v>
      </c>
      <c r="O45" s="1" cm="1">
        <f t="array" aca="1" ref="O45" ca="1">INDIRECT(CONCATENATE("'",$A$3,"'!m",B45),1)</f>
        <v>124</v>
      </c>
      <c r="P45" s="1" t="str" cm="1">
        <f t="array" aca="1" ref="P45" ca="1">INDIRECT(CONCATENATE("'",$A$3,"'!n",B45),1)</f>
        <v>консультации, защита</v>
      </c>
      <c r="Q45" s="1" cm="1">
        <f t="array" aca="1" ref="Q45" ca="1">INDIRECT(CONCATENATE("'",$A$3,"'!o",B45),1)</f>
        <v>85.5</v>
      </c>
      <c r="R45" s="1" cm="1">
        <f t="array" aca="1" ref="R45" ca="1">INDIRECT(CONCATENATE("'",$A$3,"'!p",B45),1)</f>
        <v>0</v>
      </c>
      <c r="S45" s="1">
        <f t="shared" ca="1" si="0"/>
        <v>0</v>
      </c>
      <c r="T45" s="1" t="str" cm="1">
        <f t="array" aca="1" ref="T45" ca="1">INDIRECT(CONCATENATE("'",$A$3,"'!q",B45),1)</f>
        <v>Цымбалюк Л.Н.</v>
      </c>
      <c r="U45" s="1" cm="1">
        <f t="array" aca="1" ref="U45" ca="1">INDIRECT(CONCATENATE("'",$A$3,"'!r",B45),1)</f>
        <v>25.5</v>
      </c>
      <c r="V45" s="1" t="str" cm="1">
        <f t="array" aca="1" ref="V45" ca="1">INDIRECT(CONCATENATE("'",$A$3,"'!s",B45),1)</f>
        <v>Цымбалюк А.Е.</v>
      </c>
      <c r="W45" s="1" cm="1">
        <f t="array" aca="1" ref="W45" ca="1">INDIRECT(CONCATENATE("'",$A$3,"'!t",B45),1)</f>
        <v>60</v>
      </c>
      <c r="X45" s="1" cm="1">
        <f t="array" aca="1" ref="X45" ca="1">INDIRECT(CONCATENATE("'",$A$3,"'!u",B45),1)</f>
        <v>0</v>
      </c>
      <c r="Y45" s="1" cm="1">
        <f t="array" aca="1" ref="Y45" ca="1">INDIRECT(CONCATENATE("'",$A$3,"'!v",B45),1)</f>
        <v>0</v>
      </c>
    </row>
    <row r="46" spans="1:25" customFormat="1" ht="45" hidden="1" x14ac:dyDescent="0.25">
      <c r="A46" s="15"/>
      <c r="B46" s="24">
        <f t="shared" si="1"/>
        <v>45</v>
      </c>
      <c r="C46" s="1" t="str" cm="1">
        <f t="array" aca="1" ref="C46" ca="1">INDIRECT(CONCATENATE("'",$A$3,"'!A",B46),1)</f>
        <v>Основы программирования микроконтроллеров и ПЛИС</v>
      </c>
      <c r="D46" s="1" t="str" cm="1">
        <f t="array" aca="1" ref="D46" ca="1">INDIRECT(CONCATENATE("'",$A$3,"'!B",B46),1)</f>
        <v xml:space="preserve">09.03.01(09) </v>
      </c>
      <c r="E46" s="1" t="str" cm="1">
        <f t="array" aca="1" ref="E46" ca="1">INDIRECT(CONCATENATE("'",$A$3,"'!c",B46),1)</f>
        <v>3091
3092</v>
      </c>
      <c r="F46" s="1" cm="1">
        <f t="array" aca="1" ref="F46" ca="1">INDIRECT(CONCATENATE("'",$A$3,"'!d",B46),1)</f>
        <v>6</v>
      </c>
      <c r="G46" s="1" cm="1">
        <f t="array" aca="1" ref="G46" ca="1">INDIRECT(CONCATENATE("'",$A$3,"'!e",B46),1)</f>
        <v>2</v>
      </c>
      <c r="H46" s="1" cm="1">
        <f t="array" aca="1" ref="H46" ca="1">INDIRECT(CONCATENATE("'",$A$3,"'!f",B46),1)</f>
        <v>37</v>
      </c>
      <c r="I46" s="1" t="str" cm="1">
        <f t="array" aca="1" ref="I46" ca="1">INDIRECT(CONCATENATE("'",$A$3,"'!g",B46),1)</f>
        <v>ДЗ</v>
      </c>
      <c r="J46" s="1" cm="1">
        <f t="array" aca="1" ref="J46" ca="1">INDIRECT(CONCATENATE("'",$A$3,"'!h",B46),1)</f>
        <v>4</v>
      </c>
      <c r="K46" s="1" cm="1">
        <f t="array" aca="1" ref="K46" ca="1">INDIRECT(CONCATENATE("'",$A$3,"'!i",B46),1)</f>
        <v>14</v>
      </c>
      <c r="L46" s="1" cm="1">
        <f t="array" aca="1" ref="L46" ca="1">INDIRECT(CONCATENATE("'",$A$3,"'!j",B46),1)</f>
        <v>0</v>
      </c>
      <c r="M46" s="1" cm="1">
        <f t="array" aca="1" ref="M46" ca="1">INDIRECT(CONCATENATE("'",$A$3,"'!k",B46),1)</f>
        <v>84</v>
      </c>
      <c r="N46" s="1" t="str" cm="1">
        <f t="array" aca="1" ref="N46" ca="1">INDIRECT(CONCATENATE("'",$A$3,"'!l",B46),1)</f>
        <v>Килиба Ю.В.</v>
      </c>
      <c r="O46" s="1" cm="1">
        <f t="array" aca="1" ref="O46" ca="1">INDIRECT(CONCATENATE("'",$A$3,"'!m",B46),1)</f>
        <v>3312</v>
      </c>
      <c r="P46" s="1" t="str" cm="1">
        <f t="array" aca="1" ref="P46" ca="1">INDIRECT(CONCATENATE("'",$A$3,"'!n",B46),1)</f>
        <v>лр * 1п</v>
      </c>
      <c r="Q46" s="1" cm="1">
        <f t="array" aca="1" ref="Q46" ca="1">INDIRECT(CONCATENATE("'",$A$3,"'!o",B46),1)</f>
        <v>22.2</v>
      </c>
      <c r="R46" s="1" cm="1">
        <f t="array" aca="1" ref="R46" ca="1">INDIRECT(CONCATENATE("'",$A$3,"'!p",B46),1)</f>
        <v>0</v>
      </c>
      <c r="S46" s="1">
        <f t="shared" ca="1" si="0"/>
        <v>0</v>
      </c>
      <c r="T46" s="1" t="str" cm="1">
        <f t="array" aca="1" ref="T46" ca="1">INDIRECT(CONCATENATE("'",$A$3,"'!q",B46),1)</f>
        <v>Килиба Ю.В.</v>
      </c>
      <c r="U46" s="1" cm="1">
        <f t="array" aca="1" ref="U46" ca="1">INDIRECT(CONCATENATE("'",$A$3,"'!r",B46),1)</f>
        <v>120.2</v>
      </c>
      <c r="V46" s="1" cm="1">
        <f t="array" aca="1" ref="V46" ca="1">INDIRECT(CONCATENATE("'",$A$3,"'!s",B46),1)</f>
        <v>0</v>
      </c>
      <c r="W46" s="1" cm="1">
        <f t="array" aca="1" ref="W46" ca="1">INDIRECT(CONCATENATE("'",$A$3,"'!t",B46),1)</f>
        <v>0</v>
      </c>
      <c r="X46" s="1" cm="1">
        <f t="array" aca="1" ref="X46" ca="1">INDIRECT(CONCATENATE("'",$A$3,"'!u",B46),1)</f>
        <v>0</v>
      </c>
      <c r="Y46" s="1" cm="1">
        <f t="array" aca="1" ref="Y46" ca="1">INDIRECT(CONCATENATE("'",$A$3,"'!v",B46),1)</f>
        <v>0</v>
      </c>
    </row>
    <row r="47" spans="1:25" customFormat="1" ht="33.75" hidden="1" x14ac:dyDescent="0.25">
      <c r="A47" s="15"/>
      <c r="B47" s="24">
        <f t="shared" si="1"/>
        <v>46</v>
      </c>
      <c r="C47" s="1" t="str" cm="1">
        <f t="array" aca="1" ref="C47" ca="1">INDIRECT(CONCATENATE("'",$A$3,"'!A",B47),1)</f>
        <v>Технология разработки программного обеспечения</v>
      </c>
      <c r="D47" s="1" t="str" cm="1">
        <f t="array" aca="1" ref="D47" ca="1">INDIRECT(CONCATENATE("'",$A$3,"'!B",B47),1)</f>
        <v xml:space="preserve">09.03.01(09) </v>
      </c>
      <c r="E47" s="1" t="str" cm="1">
        <f t="array" aca="1" ref="E47" ca="1">INDIRECT(CONCATENATE("'",$A$3,"'!c",B47),1)</f>
        <v>3091
3092
3093</v>
      </c>
      <c r="F47" s="1" cm="1">
        <f t="array" aca="1" ref="F47" ca="1">INDIRECT(CONCATENATE("'",$A$3,"'!d",B47),1)</f>
        <v>6</v>
      </c>
      <c r="G47" s="1" cm="1">
        <f t="array" aca="1" ref="G47" ca="1">INDIRECT(CONCATENATE("'",$A$3,"'!e",B47),1)</f>
        <v>2</v>
      </c>
      <c r="H47" s="1" cm="1">
        <f t="array" aca="1" ref="H47" ca="1">INDIRECT(CONCATENATE("'",$A$3,"'!f",B47),1)</f>
        <v>29</v>
      </c>
      <c r="I47" s="1" t="str" cm="1">
        <f t="array" aca="1" ref="I47" ca="1">INDIRECT(CONCATENATE("'",$A$3,"'!g",B47),1)</f>
        <v>ДЗ</v>
      </c>
      <c r="J47" s="1" cm="1">
        <f t="array" aca="1" ref="J47" ca="1">INDIRECT(CONCATENATE("'",$A$3,"'!h",B47),1)</f>
        <v>4</v>
      </c>
      <c r="K47" s="1" cm="1">
        <f t="array" aca="1" ref="K47" ca="1">INDIRECT(CONCATENATE("'",$A$3,"'!i",B47),1)</f>
        <v>14</v>
      </c>
      <c r="L47" s="1" cm="1">
        <f t="array" aca="1" ref="L47" ca="1">INDIRECT(CONCATENATE("'",$A$3,"'!j",B47),1)</f>
        <v>28</v>
      </c>
      <c r="M47" s="1" cm="1">
        <f t="array" aca="1" ref="M47" ca="1">INDIRECT(CONCATENATE("'",$A$3,"'!k",B47),1)</f>
        <v>28</v>
      </c>
      <c r="N47" s="1" t="str" cm="1">
        <f t="array" aca="1" ref="N47" ca="1">INDIRECT(CONCATENATE("'",$A$3,"'!l",B47),1)</f>
        <v>Алексеев П.С.</v>
      </c>
      <c r="O47" s="1" cm="1">
        <f t="array" aca="1" ref="O47" ca="1">INDIRECT(CONCATENATE("'",$A$3,"'!m",B47),1)</f>
        <v>3312</v>
      </c>
      <c r="P47" s="1" t="str" cm="1">
        <f t="array" aca="1" ref="P47" ca="1">INDIRECT(CONCATENATE("'",$A$3,"'!n",B47),1)</f>
        <v>пр * 2пп
лр * 2пп</v>
      </c>
      <c r="Q47" s="1" cm="1">
        <f t="array" aca="1" ref="Q47" ca="1">INDIRECT(CONCATENATE("'",$A$3,"'!o",B47),1)</f>
        <v>17.399999999999999</v>
      </c>
      <c r="R47" s="1" cm="1">
        <f t="array" aca="1" ref="R47" ca="1">INDIRECT(CONCATENATE("'",$A$3,"'!p",B47),1)</f>
        <v>11.6</v>
      </c>
      <c r="S47" s="1">
        <f t="shared" ca="1" si="0"/>
        <v>0</v>
      </c>
      <c r="T47" s="1" t="str" cm="1">
        <f t="array" aca="1" ref="T47" ca="1">INDIRECT(CONCATENATE("'",$A$3,"'!q",B47),1)</f>
        <v>Алексеев П.С.</v>
      </c>
      <c r="U47" s="1" cm="1">
        <f t="array" aca="1" ref="U47" ca="1">INDIRECT(CONCATENATE("'",$A$3,"'!r",B47),1)</f>
        <v>99</v>
      </c>
      <c r="V47" s="1" cm="1">
        <f t="array" aca="1" ref="V47" ca="1">INDIRECT(CONCATENATE("'",$A$3,"'!s",B47),1)</f>
        <v>0</v>
      </c>
      <c r="W47" s="1" cm="1">
        <f t="array" aca="1" ref="W47" ca="1">INDIRECT(CONCATENATE("'",$A$3,"'!t",B47),1)</f>
        <v>0</v>
      </c>
      <c r="X47" s="1" cm="1">
        <f t="array" aca="1" ref="X47" ca="1">INDIRECT(CONCATENATE("'",$A$3,"'!u",B47),1)</f>
        <v>0</v>
      </c>
      <c r="Y47" s="1" cm="1">
        <f t="array" aca="1" ref="Y47" ca="1">INDIRECT(CONCATENATE("'",$A$3,"'!v",B47),1)</f>
        <v>0</v>
      </c>
    </row>
    <row r="48" spans="1:25" customFormat="1" ht="33.75" hidden="1" x14ac:dyDescent="0.25">
      <c r="A48" s="15"/>
      <c r="B48" s="24">
        <f t="shared" si="1"/>
        <v>47</v>
      </c>
      <c r="C48" s="1" t="str" cm="1">
        <f t="array" aca="1" ref="C48" ca="1">INDIRECT(CONCATENATE("'",$A$3,"'!A",B48),1)</f>
        <v>Обработка экспериментальных данных на ЭВМ</v>
      </c>
      <c r="D48" s="1" t="str" cm="1">
        <f t="array" aca="1" ref="D48" ca="1">INDIRECT(CONCATENATE("'",$A$3,"'!B",B48),1)</f>
        <v xml:space="preserve">09.03.01(09) </v>
      </c>
      <c r="E48" s="1" t="str" cm="1">
        <f t="array" aca="1" ref="E48" ca="1">INDIRECT(CONCATENATE("'",$A$3,"'!c",B48),1)</f>
        <v>3091
3092
3093</v>
      </c>
      <c r="F48" s="1" cm="1">
        <f t="array" aca="1" ref="F48" ca="1">INDIRECT(CONCATENATE("'",$A$3,"'!d",B48),1)</f>
        <v>6</v>
      </c>
      <c r="G48" s="1" cm="1">
        <f t="array" aca="1" ref="G48" ca="1">INDIRECT(CONCATENATE("'",$A$3,"'!e",B48),1)</f>
        <v>1</v>
      </c>
      <c r="H48" s="1" cm="1">
        <f t="array" aca="1" ref="H48" ca="1">INDIRECT(CONCATENATE("'",$A$3,"'!f",B48),1)</f>
        <v>8</v>
      </c>
      <c r="I48" s="1" t="str" cm="1">
        <f t="array" aca="1" ref="I48" ca="1">INDIRECT(CONCATENATE("'",$A$3,"'!g",B48),1)</f>
        <v>ДЗ</v>
      </c>
      <c r="J48" s="1" cm="1">
        <f t="array" aca="1" ref="J48" ca="1">INDIRECT(CONCATENATE("'",$A$3,"'!h",B48),1)</f>
        <v>4</v>
      </c>
      <c r="K48" s="1" cm="1">
        <f t="array" aca="1" ref="K48" ca="1">INDIRECT(CONCATENATE("'",$A$3,"'!i",B48),1)</f>
        <v>14</v>
      </c>
      <c r="L48" s="1" cm="1">
        <f t="array" aca="1" ref="L48" ca="1">INDIRECT(CONCATENATE("'",$A$3,"'!j",B48),1)</f>
        <v>14</v>
      </c>
      <c r="M48" s="1" cm="1">
        <f t="array" aca="1" ref="M48" ca="1">INDIRECT(CONCATENATE("'",$A$3,"'!k",B48),1)</f>
        <v>14</v>
      </c>
      <c r="N48" s="1" t="str" cm="1">
        <f t="array" aca="1" ref="N48" ca="1">INDIRECT(CONCATENATE("'",$A$3,"'!l",B48),1)</f>
        <v>Эминов С.И.</v>
      </c>
      <c r="O48" s="1" cm="1">
        <f t="array" aca="1" ref="O48" ca="1">INDIRECT(CONCATENATE("'",$A$3,"'!m",B48),1)</f>
        <v>3301</v>
      </c>
      <c r="P48" s="1" t="str" cm="1">
        <f t="array" aca="1" ref="P48" ca="1">INDIRECT(CONCATENATE("'",$A$3,"'!n",B48),1)</f>
        <v>пр * 1пп
лр * 1пп</v>
      </c>
      <c r="Q48" s="1" cm="1">
        <f t="array" aca="1" ref="Q48" ca="1">INDIRECT(CONCATENATE("'",$A$3,"'!o",B48),1)</f>
        <v>4.8</v>
      </c>
      <c r="R48" s="1" cm="1">
        <f t="array" aca="1" ref="R48" ca="1">INDIRECT(CONCATENATE("'",$A$3,"'!p",B48),1)</f>
        <v>3.2</v>
      </c>
      <c r="S48" s="1">
        <f t="shared" ca="1" si="0"/>
        <v>0</v>
      </c>
      <c r="T48" s="1" t="str" cm="1">
        <f t="array" aca="1" ref="T48" ca="1">INDIRECT(CONCATENATE("'",$A$3,"'!q",B48),1)</f>
        <v>Эминов С.И.</v>
      </c>
      <c r="U48" s="1" cm="1">
        <f t="array" aca="1" ref="U48" ca="1">INDIRECT(CONCATENATE("'",$A$3,"'!r",B48),1)</f>
        <v>50</v>
      </c>
      <c r="V48" s="1" cm="1">
        <f t="array" aca="1" ref="V48" ca="1">INDIRECT(CONCATENATE("'",$A$3,"'!s",B48),1)</f>
        <v>0</v>
      </c>
      <c r="W48" s="1" cm="1">
        <f t="array" aca="1" ref="W48" ca="1">INDIRECT(CONCATENATE("'",$A$3,"'!t",B48),1)</f>
        <v>0</v>
      </c>
      <c r="X48" s="1" cm="1">
        <f t="array" aca="1" ref="X48" ca="1">INDIRECT(CONCATENATE("'",$A$3,"'!u",B48),1)</f>
        <v>0</v>
      </c>
      <c r="Y48" s="1" cm="1">
        <f t="array" aca="1" ref="Y48" ca="1">INDIRECT(CONCATENATE("'",$A$3,"'!v",B48),1)</f>
        <v>0</v>
      </c>
    </row>
    <row r="49" spans="1:25" customFormat="1" ht="45" hidden="1" x14ac:dyDescent="0.25">
      <c r="A49" s="15"/>
      <c r="B49" s="24">
        <f t="shared" si="1"/>
        <v>48</v>
      </c>
      <c r="C49" s="1" t="str" cm="1">
        <f t="array" aca="1" ref="C49" ca="1">INDIRECT(CONCATENATE("'",$A$3,"'!A",B49),1)</f>
        <v>Практика производственная: Практика проектно-технологическая</v>
      </c>
      <c r="D49" s="1" t="str" cm="1">
        <f t="array" aca="1" ref="D49" ca="1">INDIRECT(CONCATENATE("'",$A$3,"'!B",B49),1)</f>
        <v xml:space="preserve">09.03.01(09) </v>
      </c>
      <c r="E49" s="1" t="str" cm="1">
        <f t="array" aca="1" ref="E49" ca="1">INDIRECT(CONCATENATE("'",$A$3,"'!c",B49),1)</f>
        <v>3091
3092
3093</v>
      </c>
      <c r="F49" s="1" cm="1">
        <f t="array" aca="1" ref="F49" ca="1">INDIRECT(CONCATENATE("'",$A$3,"'!d",B49),1)</f>
        <v>6</v>
      </c>
      <c r="G49" s="1" cm="1">
        <f t="array" aca="1" ref="G49" ca="1">INDIRECT(CONCATENATE("'",$A$3,"'!e",B49),1)</f>
        <v>3</v>
      </c>
      <c r="H49" s="1" cm="1">
        <f t="array" aca="1" ref="H49" ca="1">INDIRECT(CONCATENATE("'",$A$3,"'!f",B49),1)</f>
        <v>57</v>
      </c>
      <c r="I49" s="1" t="str" cm="1">
        <f t="array" aca="1" ref="I49" ca="1">INDIRECT(CONCATENATE("'",$A$3,"'!g",B49),1)</f>
        <v>ДЗ</v>
      </c>
      <c r="J49" s="1" cm="1">
        <f t="array" aca="1" ref="J49" ca="1">INDIRECT(CONCATENATE("'",$A$3,"'!h",B49),1)</f>
        <v>3</v>
      </c>
      <c r="K49" s="1" cm="1">
        <f t="array" aca="1" ref="K49" ca="1">INDIRECT(CONCATENATE("'",$A$3,"'!i",B49),1)</f>
        <v>0</v>
      </c>
      <c r="L49" s="1" cm="1">
        <f t="array" aca="1" ref="L49" ca="1">INDIRECT(CONCATENATE("'",$A$3,"'!j",B49),1)</f>
        <v>2</v>
      </c>
      <c r="M49" s="1" cm="1">
        <f t="array" aca="1" ref="M49" ca="1">INDIRECT(CONCATENATE("'",$A$3,"'!k",B49),1)</f>
        <v>0</v>
      </c>
      <c r="N49" s="1" t="str" cm="1">
        <f t="array" aca="1" ref="N49" ca="1">INDIRECT(CONCATENATE("'",$A$3,"'!l",B49),1)</f>
        <v>Соколова Г.Ю.Архипова Г.А.Цымбалюк А.Е.</v>
      </c>
      <c r="O49" s="1" cm="1">
        <f t="array" aca="1" ref="O49" ca="1">INDIRECT(CONCATENATE("'",$A$3,"'!m",B49),1)</f>
        <v>2407</v>
      </c>
      <c r="P49" s="1" cm="1">
        <f t="array" aca="1" ref="P49" ca="1">INDIRECT(CONCATENATE("'",$A$3,"'!n",B49),1)</f>
        <v>0</v>
      </c>
      <c r="Q49" s="1" cm="1">
        <f t="array" aca="1" ref="Q49" ca="1">INDIRECT(CONCATENATE("'",$A$3,"'!o",B49),1)</f>
        <v>136.80000000000001</v>
      </c>
      <c r="R49" s="1" cm="1">
        <f t="array" aca="1" ref="R49" ca="1">INDIRECT(CONCATENATE("'",$A$3,"'!p",B49),1)</f>
        <v>0</v>
      </c>
      <c r="S49" s="1">
        <f t="shared" ca="1" si="0"/>
        <v>0</v>
      </c>
      <c r="T49" s="1" t="str" cm="1">
        <f t="array" aca="1" ref="T49" ca="1">INDIRECT(CONCATENATE("'",$A$3,"'!q",B49),1)</f>
        <v>Соколова Г.Ю.</v>
      </c>
      <c r="U49" s="1" cm="1">
        <f t="array" aca="1" ref="U49" ca="1">INDIRECT(CONCATENATE("'",$A$3,"'!r",B49),1)</f>
        <v>46.800000000000011</v>
      </c>
      <c r="V49" s="1" t="str" cm="1">
        <f t="array" aca="1" ref="V49" ca="1">INDIRECT(CONCATENATE("'",$A$3,"'!s",B49),1)</f>
        <v>Архипова Г.А.</v>
      </c>
      <c r="W49" s="1" cm="1">
        <f t="array" aca="1" ref="W49" ca="1">INDIRECT(CONCATENATE("'",$A$3,"'!t",B49),1)</f>
        <v>50</v>
      </c>
      <c r="X49" s="1" t="str" cm="1">
        <f t="array" aca="1" ref="X49" ca="1">INDIRECT(CONCATENATE("'",$A$3,"'!u",B49),1)</f>
        <v>Цымбалюк А.Е.</v>
      </c>
      <c r="Y49" s="1" cm="1">
        <f t="array" aca="1" ref="Y49" ca="1">INDIRECT(CONCATENATE("'",$A$3,"'!v",B49),1)</f>
        <v>40</v>
      </c>
    </row>
    <row r="50" spans="1:25" customFormat="1" ht="33.75" hidden="1" x14ac:dyDescent="0.25">
      <c r="A50" s="15"/>
      <c r="B50" s="24">
        <f t="shared" si="1"/>
        <v>49</v>
      </c>
      <c r="C50" s="1" t="str" cm="1">
        <f t="array" aca="1" ref="C50" ca="1">INDIRECT(CONCATENATE("'",$A$3,"'!A",B50),1)</f>
        <v>Практика учебная: Практика проектно-технологическая</v>
      </c>
      <c r="D50" s="1" t="str" cm="1">
        <f t="array" aca="1" ref="D50" ca="1">INDIRECT(CONCATENATE("'",$A$3,"'!B",B50),1)</f>
        <v xml:space="preserve">09.03.01(09) </v>
      </c>
      <c r="E50" s="1" t="str" cm="1">
        <f t="array" aca="1" ref="E50" ca="1">INDIRECT(CONCATENATE("'",$A$3,"'!c",B50),1)</f>
        <v>3091
3092
3093</v>
      </c>
      <c r="F50" s="1" cm="1">
        <f t="array" aca="1" ref="F50" ca="1">INDIRECT(CONCATENATE("'",$A$3,"'!d",B50),1)</f>
        <v>6</v>
      </c>
      <c r="G50" s="1" cm="1">
        <f t="array" aca="1" ref="G50" ca="1">INDIRECT(CONCATENATE("'",$A$3,"'!e",B50),1)</f>
        <v>3</v>
      </c>
      <c r="H50" s="1" cm="1">
        <f t="array" aca="1" ref="H50" ca="1">INDIRECT(CONCATENATE("'",$A$3,"'!f",B50),1)</f>
        <v>57</v>
      </c>
      <c r="I50" s="1" t="str" cm="1">
        <f t="array" aca="1" ref="I50" ca="1">INDIRECT(CONCATENATE("'",$A$3,"'!g",B50),1)</f>
        <v>ДЗ</v>
      </c>
      <c r="J50" s="1" cm="1">
        <f t="array" aca="1" ref="J50" ca="1">INDIRECT(CONCATENATE("'",$A$3,"'!h",B50),1)</f>
        <v>1</v>
      </c>
      <c r="K50" s="1" cm="1">
        <f t="array" aca="1" ref="K50" ca="1">INDIRECT(CONCATENATE("'",$A$3,"'!i",B50),1)</f>
        <v>0</v>
      </c>
      <c r="L50" s="1" cm="1">
        <f t="array" aca="1" ref="L50" ca="1">INDIRECT(CONCATENATE("'",$A$3,"'!j",B50),1)</f>
        <v>2</v>
      </c>
      <c r="M50" s="1" cm="1">
        <f t="array" aca="1" ref="M50" ca="1">INDIRECT(CONCATENATE("'",$A$3,"'!k",B50),1)</f>
        <v>0</v>
      </c>
      <c r="N50" s="1" t="str" cm="1">
        <f t="array" aca="1" ref="N50" ca="1">INDIRECT(CONCATENATE("'",$A$3,"'!l",B50),1)</f>
        <v>Моркин С.А.Архипова Г.А.</v>
      </c>
      <c r="O50" s="1" t="str" cm="1">
        <f t="array" aca="1" ref="O50" ca="1">INDIRECT(CONCATENATE("'",$A$3,"'!m",B50),1)</f>
        <v>3305, 2407</v>
      </c>
      <c r="P50" s="1" cm="1">
        <f t="array" aca="1" ref="P50" ca="1">INDIRECT(CONCATENATE("'",$A$3,"'!n",B50),1)</f>
        <v>0</v>
      </c>
      <c r="Q50" s="1" cm="1">
        <f t="array" aca="1" ref="Q50" ca="1">INDIRECT(CONCATENATE("'",$A$3,"'!o",B50),1)</f>
        <v>45.6</v>
      </c>
      <c r="R50" s="1" cm="1">
        <f t="array" aca="1" ref="R50" ca="1">INDIRECT(CONCATENATE("'",$A$3,"'!p",B50),1)</f>
        <v>0</v>
      </c>
      <c r="S50" s="1">
        <f t="shared" ca="1" si="0"/>
        <v>0</v>
      </c>
      <c r="T50" s="1" t="str" cm="1">
        <f t="array" aca="1" ref="T50" ca="1">INDIRECT(CONCATENATE("'",$A$3,"'!q",B50),1)</f>
        <v>Моркин С.А.</v>
      </c>
      <c r="U50" s="1" cm="1">
        <f t="array" aca="1" ref="U50" ca="1">INDIRECT(CONCATENATE("'",$A$3,"'!r",B50),1)</f>
        <v>41.6</v>
      </c>
      <c r="V50" s="1" cm="1">
        <f t="array" aca="1" ref="V50" ca="1">INDIRECT(CONCATENATE("'",$A$3,"'!s",B50),1)</f>
        <v>0</v>
      </c>
      <c r="W50" s="1" cm="1">
        <f t="array" aca="1" ref="W50" ca="1">INDIRECT(CONCATENATE("'",$A$3,"'!t",B50),1)</f>
        <v>0</v>
      </c>
      <c r="X50" s="1" t="str" cm="1">
        <f t="array" aca="1" ref="X50" ca="1">INDIRECT(CONCATENATE("'",$A$3,"'!u",B50),1)</f>
        <v>Архипова Г.А.</v>
      </c>
      <c r="Y50" s="1" cm="1">
        <f t="array" aca="1" ref="Y50" ca="1">INDIRECT(CONCATENATE("'",$A$3,"'!v",B50),1)</f>
        <v>4</v>
      </c>
    </row>
    <row r="51" spans="1:25" customFormat="1" hidden="1" x14ac:dyDescent="0.25">
      <c r="A51" s="15"/>
      <c r="B51" s="24">
        <f t="shared" si="1"/>
        <v>50</v>
      </c>
      <c r="C51" s="1" cm="1">
        <f t="array" aca="1" ref="C51" ca="1">INDIRECT(CONCATENATE("'",$A$3,"'!A",B51),1)</f>
        <v>0</v>
      </c>
      <c r="D51" s="1" cm="1">
        <f t="array" aca="1" ref="D51" ca="1">INDIRECT(CONCATENATE("'",$A$3,"'!B",B51),1)</f>
        <v>0</v>
      </c>
      <c r="E51" s="1" cm="1">
        <f t="array" aca="1" ref="E51" ca="1">INDIRECT(CONCATENATE("'",$A$3,"'!c",B51),1)</f>
        <v>0</v>
      </c>
      <c r="F51" s="1" cm="1">
        <f t="array" aca="1" ref="F51" ca="1">INDIRECT(CONCATENATE("'",$A$3,"'!d",B51),1)</f>
        <v>0</v>
      </c>
      <c r="G51" s="1" cm="1">
        <f t="array" aca="1" ref="G51" ca="1">INDIRECT(CONCATENATE("'",$A$3,"'!e",B51),1)</f>
        <v>0</v>
      </c>
      <c r="H51" s="1" cm="1">
        <f t="array" aca="1" ref="H51" ca="1">INDIRECT(CONCATENATE("'",$A$3,"'!f",B51),1)</f>
        <v>0</v>
      </c>
      <c r="I51" s="1" cm="1">
        <f t="array" aca="1" ref="I51" ca="1">INDIRECT(CONCATENATE("'",$A$3,"'!g",B51),1)</f>
        <v>0</v>
      </c>
      <c r="J51" s="1" cm="1">
        <f t="array" aca="1" ref="J51" ca="1">INDIRECT(CONCATENATE("'",$A$3,"'!h",B51),1)</f>
        <v>0</v>
      </c>
      <c r="K51" s="1" cm="1">
        <f t="array" aca="1" ref="K51" ca="1">INDIRECT(CONCATENATE("'",$A$3,"'!i",B51),1)</f>
        <v>0</v>
      </c>
      <c r="L51" s="1" cm="1">
        <f t="array" aca="1" ref="L51" ca="1">INDIRECT(CONCATENATE("'",$A$3,"'!j",B51),1)</f>
        <v>0</v>
      </c>
      <c r="M51" s="1" cm="1">
        <f t="array" aca="1" ref="M51" ca="1">INDIRECT(CONCATENATE("'",$A$3,"'!k",B51),1)</f>
        <v>0</v>
      </c>
      <c r="N51" s="1" t="str" cm="1">
        <f t="array" aca="1" ref="N51" ca="1">INDIRECT(CONCATENATE("'",$A$3,"'!l",B51),1)</f>
        <v/>
      </c>
      <c r="O51" s="1" cm="1">
        <f t="array" aca="1" ref="O51" ca="1">INDIRECT(CONCATENATE("'",$A$3,"'!m",B51),1)</f>
        <v>0</v>
      </c>
      <c r="P51" s="1" cm="1">
        <f t="array" aca="1" ref="P51" ca="1">INDIRECT(CONCATENATE("'",$A$3,"'!n",B51),1)</f>
        <v>0</v>
      </c>
      <c r="Q51" s="1" cm="1">
        <f t="array" aca="1" ref="Q51" ca="1">INDIRECT(CONCATENATE("'",$A$3,"'!o",B51),1)</f>
        <v>0</v>
      </c>
      <c r="R51" s="1" cm="1">
        <f t="array" aca="1" ref="R51" ca="1">INDIRECT(CONCATENATE("'",$A$3,"'!p",B51),1)</f>
        <v>0</v>
      </c>
      <c r="S51" s="1">
        <f t="shared" ca="1" si="0"/>
        <v>0</v>
      </c>
      <c r="T51" s="1" cm="1">
        <f t="array" aca="1" ref="T51" ca="1">INDIRECT(CONCATENATE("'",$A$3,"'!q",B51),1)</f>
        <v>0</v>
      </c>
      <c r="U51" s="1" cm="1">
        <f t="array" aca="1" ref="U51" ca="1">INDIRECT(CONCATENATE("'",$A$3,"'!r",B51),1)</f>
        <v>0</v>
      </c>
      <c r="V51" s="1" cm="1">
        <f t="array" aca="1" ref="V51" ca="1">INDIRECT(CONCATENATE("'",$A$3,"'!s",B51),1)</f>
        <v>0</v>
      </c>
      <c r="W51" s="1" cm="1">
        <f t="array" aca="1" ref="W51" ca="1">INDIRECT(CONCATENATE("'",$A$3,"'!t",B51),1)</f>
        <v>0</v>
      </c>
      <c r="X51" s="1" cm="1">
        <f t="array" aca="1" ref="X51" ca="1">INDIRECT(CONCATENATE("'",$A$3,"'!u",B51),1)</f>
        <v>0</v>
      </c>
      <c r="Y51" s="1" cm="1">
        <f t="array" aca="1" ref="Y51" ca="1">INDIRECT(CONCATENATE("'",$A$3,"'!v",B51),1)</f>
        <v>0</v>
      </c>
    </row>
    <row r="52" spans="1:25" customFormat="1" ht="45" hidden="1" x14ac:dyDescent="0.25">
      <c r="A52" s="15"/>
      <c r="B52" s="24">
        <f t="shared" si="1"/>
        <v>51</v>
      </c>
      <c r="C52" s="1" t="str" cm="1">
        <f t="array" aca="1" ref="C52" ca="1">INDIRECT(CONCATENATE("'",$A$3,"'!A",B52),1)</f>
        <v>Инженерная и компьютерная графика</v>
      </c>
      <c r="D52" s="1" t="str" cm="1">
        <f t="array" aca="1" ref="D52" ca="1">INDIRECT(CONCATENATE("'",$A$3,"'!B",B52),1)</f>
        <v xml:space="preserve">09.03.01(09) </v>
      </c>
      <c r="E52" s="1" t="str" cm="1">
        <f t="array" aca="1" ref="E52" ca="1">INDIRECT(CONCATENATE("'",$A$3,"'!c",B52),1)</f>
        <v>2091
2092
2093</v>
      </c>
      <c r="F52" s="1" cm="1">
        <f t="array" aca="1" ref="F52" ca="1">INDIRECT(CONCATENATE("'",$A$3,"'!d",B52),1)</f>
        <v>7</v>
      </c>
      <c r="G52" s="1" cm="1">
        <f t="array" aca="1" ref="G52" ca="1">INDIRECT(CONCATENATE("'",$A$3,"'!e",B52),1)</f>
        <v>3</v>
      </c>
      <c r="H52" s="1" cm="1">
        <f t="array" aca="1" ref="H52" ca="1">INDIRECT(CONCATENATE("'",$A$3,"'!f",B52),1)</f>
        <v>53</v>
      </c>
      <c r="I52" s="1" t="str" cm="1">
        <f t="array" aca="1" ref="I52" ca="1">INDIRECT(CONCATENATE("'",$A$3,"'!g",B52),1)</f>
        <v>ЭКЗ</v>
      </c>
      <c r="J52" s="1" cm="1">
        <f t="array" aca="1" ref="J52" ca="1">INDIRECT(CONCATENATE("'",$A$3,"'!h",B52),1)</f>
        <v>4</v>
      </c>
      <c r="K52" s="1" cm="1">
        <f t="array" aca="1" ref="K52" ca="1">INDIRECT(CONCATENATE("'",$A$3,"'!i",B52),1)</f>
        <v>14</v>
      </c>
      <c r="L52" s="1" cm="1">
        <f t="array" aca="1" ref="L52" ca="1">INDIRECT(CONCATENATE("'",$A$3,"'!j",B52),1)</f>
        <v>0</v>
      </c>
      <c r="M52" s="1" cm="1">
        <f t="array" aca="1" ref="M52" ca="1">INDIRECT(CONCATENATE("'",$A$3,"'!k",B52),1)</f>
        <v>56</v>
      </c>
      <c r="N52" s="1" t="str" cm="1">
        <f t="array" aca="1" ref="N52" ca="1">INDIRECT(CONCATENATE("'",$A$3,"'!l",B52),1)</f>
        <v>Гареева Т.Ю.</v>
      </c>
      <c r="O52" s="1" cm="1">
        <f t="array" aca="1" ref="O52" ca="1">INDIRECT(CONCATENATE("'",$A$3,"'!m",B52),1)</f>
        <v>4207</v>
      </c>
      <c r="P52" s="1" t="str" cm="1">
        <f t="array" aca="1" ref="P52" ca="1">INDIRECT(CONCATENATE("'",$A$3,"'!n",B52),1)</f>
        <v xml:space="preserve">Гареева Т.Ю. лк+пр 3п
</v>
      </c>
      <c r="Q52" s="1" cm="1">
        <f t="array" aca="1" ref="Q52" ca="1">INDIRECT(CONCATENATE("'",$A$3,"'!o",B52),1)</f>
        <v>31.8</v>
      </c>
      <c r="R52" s="1" cm="1">
        <f t="array" aca="1" ref="R52" ca="1">INDIRECT(CONCATENATE("'",$A$3,"'!p",B52),1)</f>
        <v>21.2</v>
      </c>
      <c r="S52" s="1">
        <f t="shared" ca="1" si="0"/>
        <v>0</v>
      </c>
      <c r="T52" s="1" t="str" cm="1">
        <f t="array" aca="1" ref="T52" ca="1">INDIRECT(CONCATENATE("'",$A$3,"'!q",B52),1)</f>
        <v>Гареева Т.Ю.</v>
      </c>
      <c r="U52" s="1" cm="1">
        <f t="array" aca="1" ref="U52" ca="1">INDIRECT(CONCATENATE("'",$A$3,"'!r",B52),1)</f>
        <v>123</v>
      </c>
      <c r="V52" s="1" cm="1">
        <f t="array" aca="1" ref="V52" ca="1">INDIRECT(CONCATENATE("'",$A$3,"'!s",B52),1)</f>
        <v>0</v>
      </c>
      <c r="W52" s="1" cm="1">
        <f t="array" aca="1" ref="W52" ca="1">INDIRECT(CONCATENATE("'",$A$3,"'!t",B52),1)</f>
        <v>0</v>
      </c>
      <c r="X52" s="1" cm="1">
        <f t="array" aca="1" ref="X52" ca="1">INDIRECT(CONCATENATE("'",$A$3,"'!u",B52),1)</f>
        <v>0</v>
      </c>
      <c r="Y52" s="1" cm="1">
        <f t="array" aca="1" ref="Y52" ca="1">INDIRECT(CONCATENATE("'",$A$3,"'!v",B52),1)</f>
        <v>0</v>
      </c>
    </row>
    <row r="53" spans="1:25" customFormat="1" ht="33.75" x14ac:dyDescent="0.25">
      <c r="A53" s="15"/>
      <c r="B53" s="24">
        <f t="shared" si="1"/>
        <v>52</v>
      </c>
      <c r="C53" s="1" t="str" cm="1">
        <f t="array" aca="1" ref="C53" ca="1">INDIRECT(CONCATENATE("'",$A$3,"'!A",B53),1)</f>
        <v>Технические и программные средства информатизации</v>
      </c>
      <c r="D53" s="1" t="str" cm="1">
        <f t="array" aca="1" ref="D53" ca="1">INDIRECT(CONCATENATE("'",$A$3,"'!B",B53),1)</f>
        <v xml:space="preserve">09.03.01(09) </v>
      </c>
      <c r="E53" s="1" t="str" cm="1">
        <f t="array" aca="1" ref="E53" ca="1">INDIRECT(CONCATENATE("'",$A$3,"'!c",B53),1)</f>
        <v>2091
2092</v>
      </c>
      <c r="F53" s="1" cm="1">
        <f t="array" aca="1" ref="F53" ca="1">INDIRECT(CONCATENATE("'",$A$3,"'!d",B53),1)</f>
        <v>7</v>
      </c>
      <c r="G53" s="1" cm="1">
        <f t="array" aca="1" ref="G53" ca="1">INDIRECT(CONCATENATE("'",$A$3,"'!e",B53),1)</f>
        <v>2</v>
      </c>
      <c r="H53" s="1" cm="1">
        <f t="array" aca="1" ref="H53" ca="1">INDIRECT(CONCATENATE("'",$A$3,"'!f",B53),1)</f>
        <v>13</v>
      </c>
      <c r="I53" s="1" t="str" cm="1">
        <f t="array" aca="1" ref="I53" ca="1">INDIRECT(CONCATENATE("'",$A$3,"'!g",B53),1)</f>
        <v>ДЗ</v>
      </c>
      <c r="J53" s="1" cm="1">
        <f t="array" aca="1" ref="J53" ca="1">INDIRECT(CONCATENATE("'",$A$3,"'!h",B53),1)</f>
        <v>3</v>
      </c>
      <c r="K53" s="1" cm="1">
        <f t="array" aca="1" ref="K53" ca="1">INDIRECT(CONCATENATE("'",$A$3,"'!i",B53),1)</f>
        <v>14</v>
      </c>
      <c r="L53" s="1" cm="1">
        <f t="array" aca="1" ref="L53" ca="1">INDIRECT(CONCATENATE("'",$A$3,"'!j",B53),1)</f>
        <v>0</v>
      </c>
      <c r="M53" s="1" cm="1">
        <f t="array" aca="1" ref="M53" ca="1">INDIRECT(CONCATENATE("'",$A$3,"'!k",B53),1)</f>
        <v>28</v>
      </c>
      <c r="N53" s="1" t="str" cm="1">
        <f t="array" aca="1" ref="N53" ca="1">INDIRECT(CONCATENATE("'",$A$3,"'!l",B53),1)</f>
        <v>Савинова М.А.</v>
      </c>
      <c r="O53" s="1" t="str" cm="1">
        <f t="array" aca="1" ref="O53" ca="1">INDIRECT(CONCATENATE("'",$A$3,"'!m",B53),1)</f>
        <v>Савинова 108к. ПТК</v>
      </c>
      <c r="P53" s="1" t="str" cm="1">
        <f t="array" aca="1" ref="P53" ca="1">INDIRECT(CONCATENATE("'",$A$3,"'!n",B53),1)</f>
        <v>лр * 1пп</v>
      </c>
      <c r="Q53" s="1" cm="1">
        <f t="array" aca="1" ref="Q53" ca="1">INDIRECT(CONCATENATE("'",$A$3,"'!o",B53),1)</f>
        <v>5.9</v>
      </c>
      <c r="R53" s="1" cm="1">
        <f t="array" aca="1" ref="R53" ca="1">INDIRECT(CONCATENATE("'",$A$3,"'!p",B53),1)</f>
        <v>0</v>
      </c>
      <c r="S53" s="1">
        <f t="shared" ca="1" si="0"/>
        <v>47.9</v>
      </c>
      <c r="T53" s="1" t="str" cm="1">
        <f t="array" aca="1" ref="T53" ca="1">INDIRECT(CONCATENATE("'",$A$3,"'!q",B53),1)</f>
        <v>Савинова М.А.</v>
      </c>
      <c r="U53" s="1" cm="1">
        <f t="array" aca="1" ref="U53" ca="1">INDIRECT(CONCATENATE("'",$A$3,"'!r",B53),1)</f>
        <v>47.9</v>
      </c>
      <c r="V53" s="1" cm="1">
        <f t="array" aca="1" ref="V53" ca="1">INDIRECT(CONCATENATE("'",$A$3,"'!s",B53),1)</f>
        <v>0</v>
      </c>
      <c r="W53" s="1" cm="1">
        <f t="array" aca="1" ref="W53" ca="1">INDIRECT(CONCATENATE("'",$A$3,"'!t",B53),1)</f>
        <v>0</v>
      </c>
      <c r="X53" s="1" cm="1">
        <f t="array" aca="1" ref="X53" ca="1">INDIRECT(CONCATENATE("'",$A$3,"'!u",B53),1)</f>
        <v>0</v>
      </c>
      <c r="Y53" s="1" cm="1">
        <f t="array" aca="1" ref="Y53" ca="1">INDIRECT(CONCATENATE("'",$A$3,"'!v",B53),1)</f>
        <v>0</v>
      </c>
    </row>
    <row r="54" spans="1:25" customFormat="1" ht="45" hidden="1" x14ac:dyDescent="0.25">
      <c r="A54" s="15"/>
      <c r="B54" s="24">
        <f t="shared" si="1"/>
        <v>53</v>
      </c>
      <c r="C54" s="1" t="str" cm="1">
        <f t="array" aca="1" ref="C54" ca="1">INDIRECT(CONCATENATE("'",$A$3,"'!A",B54),1)</f>
        <v>Введение в информационные технологии больших данных</v>
      </c>
      <c r="D54" s="1" t="str" cm="1">
        <f t="array" aca="1" ref="D54" ca="1">INDIRECT(CONCATENATE("'",$A$3,"'!B",B54),1)</f>
        <v xml:space="preserve">09.03.01(09) </v>
      </c>
      <c r="E54" s="1" t="str" cm="1">
        <f t="array" aca="1" ref="E54" ca="1">INDIRECT(CONCATENATE("'",$A$3,"'!c",B54),1)</f>
        <v>2091
2092</v>
      </c>
      <c r="F54" s="1" cm="1">
        <f t="array" aca="1" ref="F54" ca="1">INDIRECT(CONCATENATE("'",$A$3,"'!d",B54),1)</f>
        <v>7</v>
      </c>
      <c r="G54" s="1" cm="1">
        <f t="array" aca="1" ref="G54" ca="1">INDIRECT(CONCATENATE("'",$A$3,"'!e",B54),1)</f>
        <v>2</v>
      </c>
      <c r="H54" s="1" cm="1">
        <f t="array" aca="1" ref="H54" ca="1">INDIRECT(CONCATENATE("'",$A$3,"'!f",B54),1)</f>
        <v>23</v>
      </c>
      <c r="I54" s="1" t="str" cm="1">
        <f t="array" aca="1" ref="I54" ca="1">INDIRECT(CONCATENATE("'",$A$3,"'!g",B54),1)</f>
        <v>ДЗ</v>
      </c>
      <c r="J54" s="1" cm="1">
        <f t="array" aca="1" ref="J54" ca="1">INDIRECT(CONCATENATE("'",$A$3,"'!h",B54),1)</f>
        <v>3</v>
      </c>
      <c r="K54" s="1" cm="1">
        <f t="array" aca="1" ref="K54" ca="1">INDIRECT(CONCATENATE("'",$A$3,"'!i",B54),1)</f>
        <v>14</v>
      </c>
      <c r="L54" s="1" cm="1">
        <f t="array" aca="1" ref="L54" ca="1">INDIRECT(CONCATENATE("'",$A$3,"'!j",B54),1)</f>
        <v>0</v>
      </c>
      <c r="M54" s="1" cm="1">
        <f t="array" aca="1" ref="M54" ca="1">INDIRECT(CONCATENATE("'",$A$3,"'!k",B54),1)</f>
        <v>56</v>
      </c>
      <c r="N54" s="1" t="str" cm="1">
        <f t="array" aca="1" ref="N54" ca="1">INDIRECT(CONCATENATE("'",$A$3,"'!l",B54),1)</f>
        <v>Цымбалюк Л.Н.Иванов Д.Д.</v>
      </c>
      <c r="O54" s="1" cm="1">
        <f t="array" aca="1" ref="O54" ca="1">INDIRECT(CONCATENATE("'",$A$3,"'!m",B54),1)</f>
        <v>3317</v>
      </c>
      <c r="P54" s="1" t="str" cm="1">
        <f t="array" aca="1" ref="P54" ca="1">INDIRECT(CONCATENATE("'",$A$3,"'!n",B54),1)</f>
        <v>лр *2пп</v>
      </c>
      <c r="Q54" s="1" cm="1">
        <f t="array" aca="1" ref="Q54" ca="1">INDIRECT(CONCATENATE("'",$A$3,"'!o",B54),1)</f>
        <v>10.4</v>
      </c>
      <c r="R54" s="1" cm="1">
        <f t="array" aca="1" ref="R54" ca="1">INDIRECT(CONCATENATE("'",$A$3,"'!p",B54),1)</f>
        <v>0</v>
      </c>
      <c r="S54" s="1">
        <f t="shared" ca="1" si="0"/>
        <v>0</v>
      </c>
      <c r="T54" s="1" t="str" cm="1">
        <f t="array" aca="1" ref="T54" ca="1">INDIRECT(CONCATENATE("'",$A$3,"'!q",B54),1)</f>
        <v>Цымбалюк Л.Н.</v>
      </c>
      <c r="U54" s="1" cm="1">
        <f t="array" aca="1" ref="U54" ca="1">INDIRECT(CONCATENATE("'",$A$3,"'!r",B54),1)</f>
        <v>19.2</v>
      </c>
      <c r="V54" s="1" t="str" cm="1">
        <f t="array" aca="1" ref="V54" ca="1">INDIRECT(CONCATENATE("'",$A$3,"'!s",B54),1)</f>
        <v>Иванов Д.Д.</v>
      </c>
      <c r="W54" s="1" cm="1">
        <f t="array" aca="1" ref="W54" ca="1">INDIRECT(CONCATENATE("'",$A$3,"'!t",B54),1)</f>
        <v>61.2</v>
      </c>
      <c r="X54" s="1" cm="1">
        <f t="array" aca="1" ref="X54" ca="1">INDIRECT(CONCATENATE("'",$A$3,"'!u",B54),1)</f>
        <v>0</v>
      </c>
      <c r="Y54" s="1" cm="1">
        <f t="array" aca="1" ref="Y54" ca="1">INDIRECT(CONCATENATE("'",$A$3,"'!v",B54),1)</f>
        <v>0</v>
      </c>
    </row>
    <row r="55" spans="1:25" customFormat="1" ht="45" hidden="1" x14ac:dyDescent="0.25">
      <c r="A55" s="15"/>
      <c r="B55" s="24">
        <f t="shared" si="1"/>
        <v>54</v>
      </c>
      <c r="C55" s="1" t="str" cm="1">
        <f t="array" aca="1" ref="C55" ca="1">INDIRECT(CONCATENATE("'",$A$3,"'!A",B55),1)</f>
        <v>Информационная безопасность автоматизированных систем</v>
      </c>
      <c r="D55" s="1" t="str" cm="1">
        <f t="array" aca="1" ref="D55" ca="1">INDIRECT(CONCATENATE("'",$A$3,"'!B",B55),1)</f>
        <v xml:space="preserve">09.03.01(09) </v>
      </c>
      <c r="E55" s="1" t="str" cm="1">
        <f t="array" aca="1" ref="E55" ca="1">INDIRECT(CONCATENATE("'",$A$3,"'!c",B55),1)</f>
        <v>2091
2092</v>
      </c>
      <c r="F55" s="1" cm="1">
        <f t="array" aca="1" ref="F55" ca="1">INDIRECT(CONCATENATE("'",$A$3,"'!d",B55),1)</f>
        <v>7</v>
      </c>
      <c r="G55" s="1" cm="1">
        <f t="array" aca="1" ref="G55" ca="1">INDIRECT(CONCATENATE("'",$A$3,"'!e",B55),1)</f>
        <v>2</v>
      </c>
      <c r="H55" s="1" cm="1">
        <f t="array" aca="1" ref="H55" ca="1">INDIRECT(CONCATENATE("'",$A$3,"'!f",B55),1)</f>
        <v>37</v>
      </c>
      <c r="I55" s="1" t="str" cm="1">
        <f t="array" aca="1" ref="I55" ca="1">INDIRECT(CONCATENATE("'",$A$3,"'!g",B55),1)</f>
        <v>ЗАЧ</v>
      </c>
      <c r="J55" s="1" cm="1">
        <f t="array" aca="1" ref="J55" ca="1">INDIRECT(CONCATENATE("'",$A$3,"'!h",B55),1)</f>
        <v>3</v>
      </c>
      <c r="K55" s="1" cm="1">
        <f t="array" aca="1" ref="K55" ca="1">INDIRECT(CONCATENATE("'",$A$3,"'!i",B55),1)</f>
        <v>14</v>
      </c>
      <c r="L55" s="1" cm="1">
        <f t="array" aca="1" ref="L55" ca="1">INDIRECT(CONCATENATE("'",$A$3,"'!j",B55),1)</f>
        <v>0</v>
      </c>
      <c r="M55" s="1" cm="1">
        <f t="array" aca="1" ref="M55" ca="1">INDIRECT(CONCATENATE("'",$A$3,"'!k",B55),1)</f>
        <v>56</v>
      </c>
      <c r="N55" s="1" t="str" cm="1">
        <f t="array" aca="1" ref="N55" ca="1">INDIRECT(CONCATENATE("'",$A$3,"'!l",B55),1)</f>
        <v>Цымбалюк А.Е.</v>
      </c>
      <c r="O55" s="1" cm="1">
        <f t="array" aca="1" ref="O55" ca="1">INDIRECT(CONCATENATE("'",$A$3,"'!m",B55),1)</f>
        <v>0</v>
      </c>
      <c r="P55" s="1" t="str" cm="1">
        <f t="array" aca="1" ref="P55" ca="1">INDIRECT(CONCATENATE("'",$A$3,"'!n",B55),1)</f>
        <v>лр *2пп</v>
      </c>
      <c r="Q55" s="1" cm="1">
        <f t="array" aca="1" ref="Q55" ca="1">INDIRECT(CONCATENATE("'",$A$3,"'!o",B55),1)</f>
        <v>16.2</v>
      </c>
      <c r="R55" s="1" cm="1">
        <f t="array" aca="1" ref="R55" ca="1">INDIRECT(CONCATENATE("'",$A$3,"'!p",B55),1)</f>
        <v>0</v>
      </c>
      <c r="S55" s="1">
        <f t="shared" ca="1" si="0"/>
        <v>0</v>
      </c>
      <c r="T55" s="1" t="str" cm="1">
        <f t="array" aca="1" ref="T55" ca="1">INDIRECT(CONCATENATE("'",$A$3,"'!q",B55),1)</f>
        <v>Цымбалюк А.Е.</v>
      </c>
      <c r="U55" s="1" cm="1">
        <f t="array" aca="1" ref="U55" ca="1">INDIRECT(CONCATENATE("'",$A$3,"'!r",B55),1)</f>
        <v>86.2</v>
      </c>
      <c r="V55" s="1" cm="1">
        <f t="array" aca="1" ref="V55" ca="1">INDIRECT(CONCATENATE("'",$A$3,"'!s",B55),1)</f>
        <v>0</v>
      </c>
      <c r="W55" s="1" cm="1">
        <f t="array" aca="1" ref="W55" ca="1">INDIRECT(CONCATENATE("'",$A$3,"'!t",B55),1)</f>
        <v>0</v>
      </c>
      <c r="X55" s="1" cm="1">
        <f t="array" aca="1" ref="X55" ca="1">INDIRECT(CONCATENATE("'",$A$3,"'!u",B55),1)</f>
        <v>0</v>
      </c>
      <c r="Y55" s="1" cm="1">
        <f t="array" aca="1" ref="Y55" ca="1">INDIRECT(CONCATENATE("'",$A$3,"'!v",B55),1)</f>
        <v>0</v>
      </c>
    </row>
    <row r="56" spans="1:25" customFormat="1" ht="45" hidden="1" x14ac:dyDescent="0.25">
      <c r="A56" s="15"/>
      <c r="B56" s="24">
        <f t="shared" si="1"/>
        <v>55</v>
      </c>
      <c r="C56" s="1" t="str" cm="1">
        <f t="array" aca="1" ref="C56" ca="1">INDIRECT(CONCATENATE("'",$A$3,"'!A",B56),1)</f>
        <v>Разработка прикладного программного обеспечения для мобильных платформ</v>
      </c>
      <c r="D56" s="1" t="str" cm="1">
        <f t="array" aca="1" ref="D56" ca="1">INDIRECT(CONCATENATE("'",$A$3,"'!B",B56),1)</f>
        <v xml:space="preserve">09.03.01(09) </v>
      </c>
      <c r="E56" s="1" cm="1">
        <f t="array" aca="1" ref="E56" ca="1">INDIRECT(CONCATENATE("'",$A$3,"'!c",B56),1)</f>
        <v>2093</v>
      </c>
      <c r="F56" s="1" cm="1">
        <f t="array" aca="1" ref="F56" ca="1">INDIRECT(CONCATENATE("'",$A$3,"'!d",B56),1)</f>
        <v>7</v>
      </c>
      <c r="G56" s="1" cm="1">
        <f t="array" aca="1" ref="G56" ca="1">INDIRECT(CONCATENATE("'",$A$3,"'!e",B56),1)</f>
        <v>2</v>
      </c>
      <c r="H56" s="1" cm="1">
        <f t="array" aca="1" ref="H56" ca="1">INDIRECT(CONCATENATE("'",$A$3,"'!f",B56),1)</f>
        <v>12</v>
      </c>
      <c r="I56" s="1" t="str" cm="1">
        <f t="array" aca="1" ref="I56" ca="1">INDIRECT(CONCATENATE("'",$A$3,"'!g",B56),1)</f>
        <v>ЗАЧ</v>
      </c>
      <c r="J56" s="1" cm="1">
        <f t="array" aca="1" ref="J56" ca="1">INDIRECT(CONCATENATE("'",$A$3,"'!h",B56),1)</f>
        <v>3</v>
      </c>
      <c r="K56" s="1" cm="1">
        <f t="array" aca="1" ref="K56" ca="1">INDIRECT(CONCATENATE("'",$A$3,"'!i",B56),1)</f>
        <v>14</v>
      </c>
      <c r="L56" s="1" cm="1">
        <f t="array" aca="1" ref="L56" ca="1">INDIRECT(CONCATENATE("'",$A$3,"'!j",B56),1)</f>
        <v>0</v>
      </c>
      <c r="M56" s="1" cm="1">
        <f t="array" aca="1" ref="M56" ca="1">INDIRECT(CONCATENATE("'",$A$3,"'!k",B56),1)</f>
        <v>28</v>
      </c>
      <c r="N56" s="1" t="str" cm="1">
        <f t="array" aca="1" ref="N56" ca="1">INDIRECT(CONCATENATE("'",$A$3,"'!l",B56),1)</f>
        <v>Кулаков И.Ю.</v>
      </c>
      <c r="O56" s="1" cm="1">
        <f t="array" aca="1" ref="O56" ca="1">INDIRECT(CONCATENATE("'",$A$3,"'!m",B56),1)</f>
        <v>3315</v>
      </c>
      <c r="P56" s="1" t="str" cm="1">
        <f t="array" aca="1" ref="P56" ca="1">INDIRECT(CONCATENATE("'",$A$3,"'!n",B56),1)</f>
        <v>лр * 1пп</v>
      </c>
      <c r="Q56" s="1" cm="1">
        <f t="array" aca="1" ref="Q56" ca="1">INDIRECT(CONCATENATE("'",$A$3,"'!o",B56),1)</f>
        <v>7.7</v>
      </c>
      <c r="R56" s="1" cm="1">
        <f t="array" aca="1" ref="R56" ca="1">INDIRECT(CONCATENATE("'",$A$3,"'!p",B56),1)</f>
        <v>0</v>
      </c>
      <c r="S56" s="1">
        <f t="shared" ca="1" si="0"/>
        <v>0</v>
      </c>
      <c r="T56" s="1" t="str" cm="1">
        <f t="array" aca="1" ref="T56" ca="1">INDIRECT(CONCATENATE("'",$A$3,"'!q",B56),1)</f>
        <v>Кулаков И.Ю.</v>
      </c>
      <c r="U56" s="1" cm="1">
        <f t="array" aca="1" ref="U56" ca="1">INDIRECT(CONCATENATE("'",$A$3,"'!r",B56),1)</f>
        <v>49.7</v>
      </c>
      <c r="V56" s="1" cm="1">
        <f t="array" aca="1" ref="V56" ca="1">INDIRECT(CONCATENATE("'",$A$3,"'!s",B56),1)</f>
        <v>0</v>
      </c>
      <c r="W56" s="1" cm="1">
        <f t="array" aca="1" ref="W56" ca="1">INDIRECT(CONCATENATE("'",$A$3,"'!t",B56),1)</f>
        <v>0</v>
      </c>
      <c r="X56" s="1" cm="1">
        <f t="array" aca="1" ref="X56" ca="1">INDIRECT(CONCATENATE("'",$A$3,"'!u",B56),1)</f>
        <v>0</v>
      </c>
      <c r="Y56" s="1" cm="1">
        <f t="array" aca="1" ref="Y56" ca="1">INDIRECT(CONCATENATE("'",$A$3,"'!v",B56),1)</f>
        <v>0</v>
      </c>
    </row>
    <row r="57" spans="1:25" customFormat="1" ht="22.5" hidden="1" x14ac:dyDescent="0.25">
      <c r="A57" s="15"/>
      <c r="B57" s="24">
        <f t="shared" si="1"/>
        <v>56</v>
      </c>
      <c r="C57" s="1" t="str" cm="1">
        <f t="array" aca="1" ref="C57" ca="1">INDIRECT(CONCATENATE("'",$A$3,"'!A",B57),1)</f>
        <v>Искусственный интеллект в инженерии</v>
      </c>
      <c r="D57" s="1" t="str" cm="1">
        <f t="array" aca="1" ref="D57" ca="1">INDIRECT(CONCATENATE("'",$A$3,"'!B",B57),1)</f>
        <v xml:space="preserve">09.03.01(09) </v>
      </c>
      <c r="E57" s="1" cm="1">
        <f t="array" aca="1" ref="E57" ca="1">INDIRECT(CONCATENATE("'",$A$3,"'!c",B57),1)</f>
        <v>2093</v>
      </c>
      <c r="F57" s="1" cm="1">
        <f t="array" aca="1" ref="F57" ca="1">INDIRECT(CONCATENATE("'",$A$3,"'!d",B57),1)</f>
        <v>7</v>
      </c>
      <c r="G57" s="1" cm="1">
        <f t="array" aca="1" ref="G57" ca="1">INDIRECT(CONCATENATE("'",$A$3,"'!e",B57),1)</f>
        <v>2</v>
      </c>
      <c r="H57" s="1" cm="1">
        <f t="array" aca="1" ref="H57" ca="1">INDIRECT(CONCATENATE("'",$A$3,"'!f",B57),1)</f>
        <v>12</v>
      </c>
      <c r="I57" s="1" t="str" cm="1">
        <f t="array" aca="1" ref="I57" ca="1">INDIRECT(CONCATENATE("'",$A$3,"'!g",B57),1)</f>
        <v>ЗАЧ</v>
      </c>
      <c r="J57" s="1" cm="1">
        <f t="array" aca="1" ref="J57" ca="1">INDIRECT(CONCATENATE("'",$A$3,"'!h",B57),1)</f>
        <v>3</v>
      </c>
      <c r="K57" s="1" cm="1">
        <f t="array" aca="1" ref="K57" ca="1">INDIRECT(CONCATENATE("'",$A$3,"'!i",B57),1)</f>
        <v>14</v>
      </c>
      <c r="L57" s="1" cm="1">
        <f t="array" aca="1" ref="L57" ca="1">INDIRECT(CONCATENATE("'",$A$3,"'!j",B57),1)</f>
        <v>0</v>
      </c>
      <c r="M57" s="1" cm="1">
        <f t="array" aca="1" ref="M57" ca="1">INDIRECT(CONCATENATE("'",$A$3,"'!k",B57),1)</f>
        <v>28</v>
      </c>
      <c r="N57" s="1" t="str" cm="1">
        <f t="array" aca="1" ref="N57" ca="1">INDIRECT(CONCATENATE("'",$A$3,"'!l",B57),1)</f>
        <v>Кулаков И.Ю.</v>
      </c>
      <c r="O57" s="1" cm="1">
        <f t="array" aca="1" ref="O57" ca="1">INDIRECT(CONCATENATE("'",$A$3,"'!m",B57),1)</f>
        <v>3315</v>
      </c>
      <c r="P57" s="1" t="str" cm="1">
        <f t="array" aca="1" ref="P57" ca="1">INDIRECT(CONCATENATE("'",$A$3,"'!n",B57),1)</f>
        <v>лр * 1пп</v>
      </c>
      <c r="Q57" s="1" cm="1">
        <f t="array" aca="1" ref="Q57" ca="1">INDIRECT(CONCATENATE("'",$A$3,"'!o",B57),1)</f>
        <v>7.7</v>
      </c>
      <c r="R57" s="1" cm="1">
        <f t="array" aca="1" ref="R57" ca="1">INDIRECT(CONCATENATE("'",$A$3,"'!p",B57),1)</f>
        <v>0</v>
      </c>
      <c r="S57" s="1">
        <f t="shared" ca="1" si="0"/>
        <v>0</v>
      </c>
      <c r="T57" s="1" t="str" cm="1">
        <f t="array" aca="1" ref="T57" ca="1">INDIRECT(CONCATENATE("'",$A$3,"'!q",B57),1)</f>
        <v>Кулаков И.Ю.</v>
      </c>
      <c r="U57" s="1" cm="1">
        <f t="array" aca="1" ref="U57" ca="1">INDIRECT(CONCATENATE("'",$A$3,"'!r",B57),1)</f>
        <v>49.7</v>
      </c>
      <c r="V57" s="1" cm="1">
        <f t="array" aca="1" ref="V57" ca="1">INDIRECT(CONCATENATE("'",$A$3,"'!s",B57),1)</f>
        <v>0</v>
      </c>
      <c r="W57" s="1" cm="1">
        <f t="array" aca="1" ref="W57" ca="1">INDIRECT(CONCATENATE("'",$A$3,"'!t",B57),1)</f>
        <v>0</v>
      </c>
      <c r="X57" s="1" cm="1">
        <f t="array" aca="1" ref="X57" ca="1">INDIRECT(CONCATENATE("'",$A$3,"'!u",B57),1)</f>
        <v>0</v>
      </c>
      <c r="Y57" s="1" cm="1">
        <f t="array" aca="1" ref="Y57" ca="1">INDIRECT(CONCATENATE("'",$A$3,"'!v",B57),1)</f>
        <v>0</v>
      </c>
    </row>
    <row r="58" spans="1:25" customFormat="1" ht="22.5" hidden="1" x14ac:dyDescent="0.25">
      <c r="A58" s="15"/>
      <c r="B58" s="24">
        <f t="shared" si="1"/>
        <v>57</v>
      </c>
      <c r="C58" s="1" t="str" cm="1">
        <f t="array" aca="1" ref="C58" ca="1">INDIRECT(CONCATENATE("'",$A$3,"'!A",B58),1)</f>
        <v>Программирование на языке Java</v>
      </c>
      <c r="D58" s="1" t="str" cm="1">
        <f t="array" aca="1" ref="D58" ca="1">INDIRECT(CONCATENATE("'",$A$3,"'!B",B58),1)</f>
        <v xml:space="preserve">09.03.01(09) </v>
      </c>
      <c r="E58" s="1" cm="1">
        <f t="array" aca="1" ref="E58" ca="1">INDIRECT(CONCATENATE("'",$A$3,"'!c",B58),1)</f>
        <v>2093</v>
      </c>
      <c r="F58" s="1" cm="1">
        <f t="array" aca="1" ref="F58" ca="1">INDIRECT(CONCATENATE("'",$A$3,"'!d",B58),1)</f>
        <v>7</v>
      </c>
      <c r="G58" s="1" cm="1">
        <f t="array" aca="1" ref="G58" ca="1">INDIRECT(CONCATENATE("'",$A$3,"'!e",B58),1)</f>
        <v>2</v>
      </c>
      <c r="H58" s="1" cm="1">
        <f t="array" aca="1" ref="H58" ca="1">INDIRECT(CONCATENATE("'",$A$3,"'!f",B58),1)</f>
        <v>12</v>
      </c>
      <c r="I58" s="1" t="str" cm="1">
        <f t="array" aca="1" ref="I58" ca="1">INDIRECT(CONCATENATE("'",$A$3,"'!g",B58),1)</f>
        <v>ЗАЧ</v>
      </c>
      <c r="J58" s="1" cm="1">
        <f t="array" aca="1" ref="J58" ca="1">INDIRECT(CONCATENATE("'",$A$3,"'!h",B58),1)</f>
        <v>3</v>
      </c>
      <c r="K58" s="1" cm="1">
        <f t="array" aca="1" ref="K58" ca="1">INDIRECT(CONCATENATE("'",$A$3,"'!i",B58),1)</f>
        <v>14</v>
      </c>
      <c r="L58" s="1" cm="1">
        <f t="array" aca="1" ref="L58" ca="1">INDIRECT(CONCATENATE("'",$A$3,"'!j",B58),1)</f>
        <v>0</v>
      </c>
      <c r="M58" s="1" cm="1">
        <f t="array" aca="1" ref="M58" ca="1">INDIRECT(CONCATENATE("'",$A$3,"'!k",B58),1)</f>
        <v>28</v>
      </c>
      <c r="N58" s="1" t="str" cm="1">
        <f t="array" aca="1" ref="N58" ca="1">INDIRECT(CONCATENATE("'",$A$3,"'!l",B58),1)</f>
        <v>Кулаков И.Ю.</v>
      </c>
      <c r="O58" s="1" cm="1">
        <f t="array" aca="1" ref="O58" ca="1">INDIRECT(CONCATENATE("'",$A$3,"'!m",B58),1)</f>
        <v>3315</v>
      </c>
      <c r="P58" s="1" t="str" cm="1">
        <f t="array" aca="1" ref="P58" ca="1">INDIRECT(CONCATENATE("'",$A$3,"'!n",B58),1)</f>
        <v>лр * 1пп</v>
      </c>
      <c r="Q58" s="1" cm="1">
        <f t="array" aca="1" ref="Q58" ca="1">INDIRECT(CONCATENATE("'",$A$3,"'!o",B58),1)</f>
        <v>7.7</v>
      </c>
      <c r="R58" s="1" cm="1">
        <f t="array" aca="1" ref="R58" ca="1">INDIRECT(CONCATENATE("'",$A$3,"'!p",B58),1)</f>
        <v>0</v>
      </c>
      <c r="S58" s="1">
        <f t="shared" ca="1" si="0"/>
        <v>0</v>
      </c>
      <c r="T58" s="1" t="str" cm="1">
        <f t="array" aca="1" ref="T58" ca="1">INDIRECT(CONCATENATE("'",$A$3,"'!q",B58),1)</f>
        <v>Кулаков И.Ю.</v>
      </c>
      <c r="U58" s="1" cm="1">
        <f t="array" aca="1" ref="U58" ca="1">INDIRECT(CONCATENATE("'",$A$3,"'!r",B58),1)</f>
        <v>49.7</v>
      </c>
      <c r="V58" s="1" cm="1">
        <f t="array" aca="1" ref="V58" ca="1">INDIRECT(CONCATENATE("'",$A$3,"'!s",B58),1)</f>
        <v>0</v>
      </c>
      <c r="W58" s="1" cm="1">
        <f t="array" aca="1" ref="W58" ca="1">INDIRECT(CONCATENATE("'",$A$3,"'!t",B58),1)</f>
        <v>0</v>
      </c>
      <c r="X58" s="1" cm="1">
        <f t="array" aca="1" ref="X58" ca="1">INDIRECT(CONCATENATE("'",$A$3,"'!u",B58),1)</f>
        <v>0</v>
      </c>
      <c r="Y58" s="1" cm="1">
        <f t="array" aca="1" ref="Y58" ca="1">INDIRECT(CONCATENATE("'",$A$3,"'!v",B58),1)</f>
        <v>0</v>
      </c>
    </row>
    <row r="59" spans="1:25" customFormat="1" ht="33.75" hidden="1" x14ac:dyDescent="0.25">
      <c r="A59" s="15"/>
      <c r="B59" s="24">
        <f t="shared" si="1"/>
        <v>58</v>
      </c>
      <c r="C59" s="1" t="str" cm="1">
        <f t="array" aca="1" ref="C59" ca="1">INDIRECT(CONCATENATE("'",$A$3,"'!A",B59),1)</f>
        <v>Функциональное и логическое программирование</v>
      </c>
      <c r="D59" s="1" t="str" cm="1">
        <f t="array" aca="1" ref="D59" ca="1">INDIRECT(CONCATENATE("'",$A$3,"'!B",B59),1)</f>
        <v xml:space="preserve">09.03.01(09) </v>
      </c>
      <c r="E59" s="1" t="str" cm="1">
        <f t="array" aca="1" ref="E59" ca="1">INDIRECT(CONCATENATE("'",$A$3,"'!c",B59),1)</f>
        <v>2091
2092</v>
      </c>
      <c r="F59" s="1" cm="1">
        <f t="array" aca="1" ref="F59" ca="1">INDIRECT(CONCATENATE("'",$A$3,"'!d",B59),1)</f>
        <v>7</v>
      </c>
      <c r="G59" s="1" cm="1">
        <f t="array" aca="1" ref="G59" ca="1">INDIRECT(CONCATENATE("'",$A$3,"'!e",B59),1)</f>
        <v>2</v>
      </c>
      <c r="H59" s="1" cm="1">
        <f t="array" aca="1" ref="H59" ca="1">INDIRECT(CONCATENATE("'",$A$3,"'!f",B59),1)</f>
        <v>37</v>
      </c>
      <c r="I59" s="1" t="str" cm="1">
        <f t="array" aca="1" ref="I59" ca="1">INDIRECT(CONCATENATE("'",$A$3,"'!g",B59),1)</f>
        <v>ЗАЧ</v>
      </c>
      <c r="J59" s="1" cm="1">
        <f t="array" aca="1" ref="J59" ca="1">INDIRECT(CONCATENATE("'",$A$3,"'!h",B59),1)</f>
        <v>3</v>
      </c>
      <c r="K59" s="1" cm="1">
        <f t="array" aca="1" ref="K59" ca="1">INDIRECT(CONCATENATE("'",$A$3,"'!i",B59),1)</f>
        <v>14</v>
      </c>
      <c r="L59" s="1" cm="1">
        <f t="array" aca="1" ref="L59" ca="1">INDIRECT(CONCATENATE("'",$A$3,"'!j",B59),1)</f>
        <v>28</v>
      </c>
      <c r="M59" s="1" cm="1">
        <f t="array" aca="1" ref="M59" ca="1">INDIRECT(CONCATENATE("'",$A$3,"'!k",B59),1)</f>
        <v>28</v>
      </c>
      <c r="N59" s="1" t="str" cm="1">
        <f t="array" aca="1" ref="N59" ca="1">INDIRECT(CONCATENATE("'",$A$3,"'!l",B59),1)</f>
        <v>Михайлов Д.В.</v>
      </c>
      <c r="O59" s="1" cm="1">
        <f t="array" aca="1" ref="O59" ca="1">INDIRECT(CONCATENATE("'",$A$3,"'!m",B59),1)</f>
        <v>0</v>
      </c>
      <c r="P59" s="1" t="str" cm="1">
        <f t="array" aca="1" ref="P59" ca="1">INDIRECT(CONCATENATE("'",$A$3,"'!n",B59),1)</f>
        <v>лр *2пп</v>
      </c>
      <c r="Q59" s="1" cm="1">
        <f t="array" aca="1" ref="Q59" ca="1">INDIRECT(CONCATENATE("'",$A$3,"'!o",B59),1)</f>
        <v>16.2</v>
      </c>
      <c r="R59" s="1" cm="1">
        <f t="array" aca="1" ref="R59" ca="1">INDIRECT(CONCATENATE("'",$A$3,"'!p",B59),1)</f>
        <v>0</v>
      </c>
      <c r="S59" s="1">
        <f t="shared" ca="1" si="0"/>
        <v>0</v>
      </c>
      <c r="T59" s="1" t="str" cm="1">
        <f t="array" aca="1" ref="T59" ca="1">INDIRECT(CONCATENATE("'",$A$3,"'!q",B59),1)</f>
        <v>Михайлов Д.В.</v>
      </c>
      <c r="U59" s="1" cm="1">
        <f t="array" aca="1" ref="U59" ca="1">INDIRECT(CONCATENATE("'",$A$3,"'!r",B59),1)</f>
        <v>86.2</v>
      </c>
      <c r="V59" s="1" cm="1">
        <f t="array" aca="1" ref="V59" ca="1">INDIRECT(CONCATENATE("'",$A$3,"'!s",B59),1)</f>
        <v>0</v>
      </c>
      <c r="W59" s="1" cm="1">
        <f t="array" aca="1" ref="W59" ca="1">INDIRECT(CONCATENATE("'",$A$3,"'!t",B59),1)</f>
        <v>0</v>
      </c>
      <c r="X59" s="1" cm="1">
        <f t="array" aca="1" ref="X59" ca="1">INDIRECT(CONCATENATE("'",$A$3,"'!u",B59),1)</f>
        <v>0</v>
      </c>
      <c r="Y59" s="1" cm="1">
        <f t="array" aca="1" ref="Y59" ca="1">INDIRECT(CONCATENATE("'",$A$3,"'!v",B59),1)</f>
        <v>0</v>
      </c>
    </row>
    <row r="60" spans="1:25" customFormat="1" ht="56.25" hidden="1" x14ac:dyDescent="0.25">
      <c r="A60" s="15"/>
      <c r="B60" s="24">
        <f t="shared" si="1"/>
        <v>59</v>
      </c>
      <c r="C60" s="1" t="str" cm="1">
        <f t="array" aca="1" ref="C60" ca="1">INDIRECT(CONCATENATE("'",$A$3,"'!A",B60),1)</f>
        <v>Основы автоматизированных информационных систем управления предприятием</v>
      </c>
      <c r="D60" s="1" t="str" cm="1">
        <f t="array" aca="1" ref="D60" ca="1">INDIRECT(CONCATENATE("'",$A$3,"'!B",B60),1)</f>
        <v xml:space="preserve">09.03.01(09) </v>
      </c>
      <c r="E60" s="1" t="str" cm="1">
        <f t="array" aca="1" ref="E60" ca="1">INDIRECT(CONCATENATE("'",$A$3,"'!c",B60),1)</f>
        <v>2091
2092
2093</v>
      </c>
      <c r="F60" s="1" cm="1">
        <f t="array" aca="1" ref="F60" ca="1">INDIRECT(CONCATENATE("'",$A$3,"'!d",B60),1)</f>
        <v>7</v>
      </c>
      <c r="G60" s="1" cm="1">
        <f t="array" aca="1" ref="G60" ca="1">INDIRECT(CONCATENATE("'",$A$3,"'!e",B60),1)</f>
        <v>3</v>
      </c>
      <c r="H60" s="1" cm="1">
        <f t="array" aca="1" ref="H60" ca="1">INDIRECT(CONCATENATE("'",$A$3,"'!f",B60),1)</f>
        <v>49</v>
      </c>
      <c r="I60" s="1" t="str" cm="1">
        <f t="array" aca="1" ref="I60" ca="1">INDIRECT(CONCATENATE("'",$A$3,"'!g",B60),1)</f>
        <v>ЭКЗ</v>
      </c>
      <c r="J60" s="1" cm="1">
        <f t="array" aca="1" ref="J60" ca="1">INDIRECT(CONCATENATE("'",$A$3,"'!h",B60),1)</f>
        <v>6</v>
      </c>
      <c r="K60" s="1" cm="1">
        <f t="array" aca="1" ref="K60" ca="1">INDIRECT(CONCATENATE("'",$A$3,"'!i",B60),1)</f>
        <v>28</v>
      </c>
      <c r="L60" s="1" cm="1">
        <f t="array" aca="1" ref="L60" ca="1">INDIRECT(CONCATENATE("'",$A$3,"'!j",B60),1)</f>
        <v>0</v>
      </c>
      <c r="M60" s="1" cm="1">
        <f t="array" aca="1" ref="M60" ca="1">INDIRECT(CONCATENATE("'",$A$3,"'!k",B60),1)</f>
        <v>126</v>
      </c>
      <c r="N60" s="1" t="str" cm="1">
        <f t="array" aca="1" ref="N60" ca="1">INDIRECT(CONCATENATE("'",$A$3,"'!l",B60),1)</f>
        <v>Соколова Г.Ю.</v>
      </c>
      <c r="O60" s="1" t="str" cm="1">
        <f t="array" aca="1" ref="O60" ca="1">INDIRECT(CONCATENATE("'",$A$3,"'!m",B60),1)</f>
        <v>3300 лр</v>
      </c>
      <c r="P60" s="1" t="str" cm="1">
        <f t="array" aca="1" ref="P60" ca="1">INDIRECT(CONCATENATE("'",$A$3,"'!n",B60),1)</f>
        <v>лр *3пп</v>
      </c>
      <c r="Q60" s="1" cm="1">
        <f t="array" aca="1" ref="Q60" ca="1">INDIRECT(CONCATENATE("'",$A$3,"'!o",B60),1)</f>
        <v>47.7</v>
      </c>
      <c r="R60" s="1" cm="1">
        <f t="array" aca="1" ref="R60" ca="1">INDIRECT(CONCATENATE("'",$A$3,"'!p",B60),1)</f>
        <v>31.8</v>
      </c>
      <c r="S60" s="1">
        <f t="shared" ca="1" si="0"/>
        <v>0</v>
      </c>
      <c r="T60" s="1" t="str" cm="1">
        <f t="array" aca="1" ref="T60" ca="1">INDIRECT(CONCATENATE("'",$A$3,"'!q",B60),1)</f>
        <v>Соколова Г.Ю.</v>
      </c>
      <c r="U60" s="1" cm="1">
        <f t="array" aca="1" ref="U60" ca="1">INDIRECT(CONCATENATE("'",$A$3,"'!r",B60),1)</f>
        <v>233.5</v>
      </c>
      <c r="V60" s="1" cm="1">
        <f t="array" aca="1" ref="V60" ca="1">INDIRECT(CONCATENATE("'",$A$3,"'!s",B60),1)</f>
        <v>0</v>
      </c>
      <c r="W60" s="1" cm="1">
        <f t="array" aca="1" ref="W60" ca="1">INDIRECT(CONCATENATE("'",$A$3,"'!t",B60),1)</f>
        <v>0</v>
      </c>
      <c r="X60" s="1" cm="1">
        <f t="array" aca="1" ref="X60" ca="1">INDIRECT(CONCATENATE("'",$A$3,"'!u",B60),1)</f>
        <v>0</v>
      </c>
      <c r="Y60" s="1" cm="1">
        <f t="array" aca="1" ref="Y60" ca="1">INDIRECT(CONCATENATE("'",$A$3,"'!v",B60),1)</f>
        <v>0</v>
      </c>
    </row>
    <row r="61" spans="1:25" customFormat="1" ht="45" hidden="1" x14ac:dyDescent="0.25">
      <c r="A61" s="15"/>
      <c r="B61" s="24">
        <f t="shared" si="1"/>
        <v>60</v>
      </c>
      <c r="C61" s="1" t="str" cm="1">
        <f t="array" aca="1" ref="C61" ca="1">INDIRECT(CONCATENATE("'",$A$3,"'!A",B61),1)</f>
        <v>Практика производственная: Практика эксплуатационная</v>
      </c>
      <c r="D61" s="1" t="str" cm="1">
        <f t="array" aca="1" ref="D61" ca="1">INDIRECT(CONCATENATE("'",$A$3,"'!B",B61),1)</f>
        <v xml:space="preserve">09.03.01(09) </v>
      </c>
      <c r="E61" s="1" t="str" cm="1">
        <f t="array" aca="1" ref="E61" ca="1">INDIRECT(CONCATENATE("'",$A$3,"'!c",B61),1)</f>
        <v>2091
2092
2093</v>
      </c>
      <c r="F61" s="1" cm="1">
        <f t="array" aca="1" ref="F61" ca="1">INDIRECT(CONCATENATE("'",$A$3,"'!d",B61),1)</f>
        <v>7</v>
      </c>
      <c r="G61" s="1" cm="1">
        <f t="array" aca="1" ref="G61" ca="1">INDIRECT(CONCATENATE("'",$A$3,"'!e",B61),1)</f>
        <v>3</v>
      </c>
      <c r="H61" s="1" cm="1">
        <f t="array" aca="1" ref="H61" ca="1">INDIRECT(CONCATENATE("'",$A$3,"'!f",B61),1)</f>
        <v>49</v>
      </c>
      <c r="I61" s="1" t="str" cm="1">
        <f t="array" aca="1" ref="I61" ca="1">INDIRECT(CONCATENATE("'",$A$3,"'!g",B61),1)</f>
        <v>ДЗ</v>
      </c>
      <c r="J61" s="1" cm="1">
        <f t="array" aca="1" ref="J61" ca="1">INDIRECT(CONCATENATE("'",$A$3,"'!h",B61),1)</f>
        <v>3</v>
      </c>
      <c r="K61" s="1" cm="1">
        <f t="array" aca="1" ref="K61" ca="1">INDIRECT(CONCATENATE("'",$A$3,"'!i",B61),1)</f>
        <v>0</v>
      </c>
      <c r="L61" s="1" cm="1">
        <f t="array" aca="1" ref="L61" ca="1">INDIRECT(CONCATENATE("'",$A$3,"'!j",B61),1)</f>
        <v>2</v>
      </c>
      <c r="M61" s="1" cm="1">
        <f t="array" aca="1" ref="M61" ca="1">INDIRECT(CONCATENATE("'",$A$3,"'!k",B61),1)</f>
        <v>0</v>
      </c>
      <c r="N61" s="1" t="str" cm="1">
        <f t="array" aca="1" ref="N61" ca="1">INDIRECT(CONCATENATE("'",$A$3,"'!l",B61),1)</f>
        <v>Соколова Г.Ю.Архипова Г.А.</v>
      </c>
      <c r="O61" s="1" cm="1">
        <f t="array" aca="1" ref="O61" ca="1">INDIRECT(CONCATENATE("'",$A$3,"'!m",B61),1)</f>
        <v>3300</v>
      </c>
      <c r="P61" s="1" cm="1">
        <f t="array" aca="1" ref="P61" ca="1">INDIRECT(CONCATENATE("'",$A$3,"'!n",B61),1)</f>
        <v>0</v>
      </c>
      <c r="Q61" s="1" cm="1">
        <f t="array" aca="1" ref="Q61" ca="1">INDIRECT(CONCATENATE("'",$A$3,"'!o",B61),1)</f>
        <v>127.2</v>
      </c>
      <c r="R61" s="1" cm="1">
        <f t="array" aca="1" ref="R61" ca="1">INDIRECT(CONCATENATE("'",$A$3,"'!p",B61),1)</f>
        <v>0</v>
      </c>
      <c r="S61" s="1">
        <f t="shared" ca="1" si="0"/>
        <v>0</v>
      </c>
      <c r="T61" s="1" t="str" cm="1">
        <f t="array" aca="1" ref="T61" ca="1">INDIRECT(CONCATENATE("'",$A$3,"'!q",B61),1)</f>
        <v>Соколова Г.Ю.</v>
      </c>
      <c r="U61" s="1" cm="1">
        <f t="array" aca="1" ref="U61" ca="1">INDIRECT(CONCATENATE("'",$A$3,"'!r",B61),1)</f>
        <v>65.199999999999989</v>
      </c>
      <c r="V61" s="1" t="str" cm="1">
        <f t="array" aca="1" ref="V61" ca="1">INDIRECT(CONCATENATE("'",$A$3,"'!s",B61),1)</f>
        <v>Архипова Г.А.</v>
      </c>
      <c r="W61" s="1" cm="1">
        <f t="array" aca="1" ref="W61" ca="1">INDIRECT(CONCATENATE("'",$A$3,"'!t",B61),1)</f>
        <v>62</v>
      </c>
      <c r="X61" s="1" cm="1">
        <f t="array" aca="1" ref="X61" ca="1">INDIRECT(CONCATENATE("'",$A$3,"'!u",B61),1)</f>
        <v>0</v>
      </c>
      <c r="Y61" s="1" cm="1">
        <f t="array" aca="1" ref="Y61" ca="1">INDIRECT(CONCATENATE("'",$A$3,"'!v",B61),1)</f>
        <v>0</v>
      </c>
    </row>
    <row r="62" spans="1:25" customFormat="1" ht="45" hidden="1" x14ac:dyDescent="0.25">
      <c r="A62" s="15"/>
      <c r="B62" s="24">
        <f t="shared" si="1"/>
        <v>61</v>
      </c>
      <c r="C62" s="1" t="str" cm="1">
        <f t="array" aca="1" ref="C62" ca="1">INDIRECT(CONCATENATE("'",$A$3,"'!A",B62),1)</f>
        <v>Практика учебная: Практика эксплуатационная</v>
      </c>
      <c r="D62" s="1" t="str" cm="1">
        <f t="array" aca="1" ref="D62" ca="1">INDIRECT(CONCATENATE("'",$A$3,"'!B",B62),1)</f>
        <v xml:space="preserve">09.03.01(09) </v>
      </c>
      <c r="E62" s="1" t="str" cm="1">
        <f t="array" aca="1" ref="E62" ca="1">INDIRECT(CONCATENATE("'",$A$3,"'!c",B62),1)</f>
        <v>2091
2092
2093</v>
      </c>
      <c r="F62" s="1" cm="1">
        <f t="array" aca="1" ref="F62" ca="1">INDIRECT(CONCATENATE("'",$A$3,"'!d",B62),1)</f>
        <v>7</v>
      </c>
      <c r="G62" s="1" cm="1">
        <f t="array" aca="1" ref="G62" ca="1">INDIRECT(CONCATENATE("'",$A$3,"'!e",B62),1)</f>
        <v>3</v>
      </c>
      <c r="H62" s="1" cm="1">
        <f t="array" aca="1" ref="H62" ca="1">INDIRECT(CONCATENATE("'",$A$3,"'!f",B62),1)</f>
        <v>49</v>
      </c>
      <c r="I62" s="1" t="str" cm="1">
        <f t="array" aca="1" ref="I62" ca="1">INDIRECT(CONCATENATE("'",$A$3,"'!g",B62),1)</f>
        <v>ДЗ</v>
      </c>
      <c r="J62" s="1" cm="1">
        <f t="array" aca="1" ref="J62" ca="1">INDIRECT(CONCATENATE("'",$A$3,"'!h",B62),1)</f>
        <v>3</v>
      </c>
      <c r="K62" s="1" cm="1">
        <f t="array" aca="1" ref="K62" ca="1">INDIRECT(CONCATENATE("'",$A$3,"'!i",B62),1)</f>
        <v>0</v>
      </c>
      <c r="L62" s="1" cm="1">
        <f t="array" aca="1" ref="L62" ca="1">INDIRECT(CONCATENATE("'",$A$3,"'!j",B62),1)</f>
        <v>2</v>
      </c>
      <c r="M62" s="1" cm="1">
        <f t="array" aca="1" ref="M62" ca="1">INDIRECT(CONCATENATE("'",$A$3,"'!k",B62),1)</f>
        <v>0</v>
      </c>
      <c r="N62" s="1" t="str" cm="1">
        <f t="array" aca="1" ref="N62" ca="1">INDIRECT(CONCATENATE("'",$A$3,"'!l",B62),1)</f>
        <v>Цымбалюк Л.Н.Архипова Г.А.Моркин С.А.</v>
      </c>
      <c r="O62" s="1" cm="1">
        <f t="array" aca="1" ref="O62" ca="1">INDIRECT(CONCATENATE("'",$A$3,"'!m",B62),1)</f>
        <v>2407</v>
      </c>
      <c r="P62" s="1" cm="1">
        <f t="array" aca="1" ref="P62" ca="1">INDIRECT(CONCATENATE("'",$A$3,"'!n",B62),1)</f>
        <v>0</v>
      </c>
      <c r="Q62" s="1" cm="1">
        <f t="array" aca="1" ref="Q62" ca="1">INDIRECT(CONCATENATE("'",$A$3,"'!o",B62),1)</f>
        <v>127.2</v>
      </c>
      <c r="R62" s="1" cm="1">
        <f t="array" aca="1" ref="R62" ca="1">INDIRECT(CONCATENATE("'",$A$3,"'!p",B62),1)</f>
        <v>0</v>
      </c>
      <c r="S62" s="1">
        <f t="shared" ca="1" si="0"/>
        <v>0</v>
      </c>
      <c r="T62" s="1" t="str" cm="1">
        <f t="array" aca="1" ref="T62" ca="1">INDIRECT(CONCATENATE("'",$A$3,"'!q",B62),1)</f>
        <v>Цымбалюк Л.Н.</v>
      </c>
      <c r="U62" s="1" cm="1">
        <f t="array" aca="1" ref="U62" ca="1">INDIRECT(CONCATENATE("'",$A$3,"'!r",B62),1)</f>
        <v>23.199999999999989</v>
      </c>
      <c r="V62" s="1" t="str" cm="1">
        <f t="array" aca="1" ref="V62" ca="1">INDIRECT(CONCATENATE("'",$A$3,"'!s",B62),1)</f>
        <v>Архипова Г.А.</v>
      </c>
      <c r="W62" s="1" cm="1">
        <f t="array" aca="1" ref="W62" ca="1">INDIRECT(CONCATENATE("'",$A$3,"'!t",B62),1)</f>
        <v>4</v>
      </c>
      <c r="X62" s="1" t="str" cm="1">
        <f t="array" aca="1" ref="X62" ca="1">INDIRECT(CONCATENATE("'",$A$3,"'!u",B62),1)</f>
        <v>Моркин С.А.</v>
      </c>
      <c r="Y62" s="1" cm="1">
        <f t="array" aca="1" ref="Y62" ca="1">INDIRECT(CONCATENATE("'",$A$3,"'!v",B62),1)</f>
        <v>100</v>
      </c>
    </row>
    <row r="63" spans="1:25" customFormat="1" hidden="1" x14ac:dyDescent="0.25">
      <c r="A63" s="15"/>
      <c r="B63" s="24">
        <f t="shared" si="1"/>
        <v>62</v>
      </c>
      <c r="C63" s="1" cm="1">
        <f t="array" aca="1" ref="C63" ca="1">INDIRECT(CONCATENATE("'",$A$3,"'!A",B63),1)</f>
        <v>0</v>
      </c>
      <c r="D63" s="1" cm="1">
        <f t="array" aca="1" ref="D63" ca="1">INDIRECT(CONCATENATE("'",$A$3,"'!B",B63),1)</f>
        <v>0</v>
      </c>
      <c r="E63" s="1" cm="1">
        <f t="array" aca="1" ref="E63" ca="1">INDIRECT(CONCATENATE("'",$A$3,"'!c",B63),1)</f>
        <v>0</v>
      </c>
      <c r="F63" s="1" cm="1">
        <f t="array" aca="1" ref="F63" ca="1">INDIRECT(CONCATENATE("'",$A$3,"'!d",B63),1)</f>
        <v>0</v>
      </c>
      <c r="G63" s="1" cm="1">
        <f t="array" aca="1" ref="G63" ca="1">INDIRECT(CONCATENATE("'",$A$3,"'!e",B63),1)</f>
        <v>0</v>
      </c>
      <c r="H63" s="1" cm="1">
        <f t="array" aca="1" ref="H63" ca="1">INDIRECT(CONCATENATE("'",$A$3,"'!f",B63),1)</f>
        <v>0</v>
      </c>
      <c r="I63" s="1" cm="1">
        <f t="array" aca="1" ref="I63" ca="1">INDIRECT(CONCATENATE("'",$A$3,"'!g",B63),1)</f>
        <v>0</v>
      </c>
      <c r="J63" s="1" cm="1">
        <f t="array" aca="1" ref="J63" ca="1">INDIRECT(CONCATENATE("'",$A$3,"'!h",B63),1)</f>
        <v>0</v>
      </c>
      <c r="K63" s="1" cm="1">
        <f t="array" aca="1" ref="K63" ca="1">INDIRECT(CONCATENATE("'",$A$3,"'!i",B63),1)</f>
        <v>0</v>
      </c>
      <c r="L63" s="1" cm="1">
        <f t="array" aca="1" ref="L63" ca="1">INDIRECT(CONCATENATE("'",$A$3,"'!j",B63),1)</f>
        <v>0</v>
      </c>
      <c r="M63" s="1" cm="1">
        <f t="array" aca="1" ref="M63" ca="1">INDIRECT(CONCATENATE("'",$A$3,"'!k",B63),1)</f>
        <v>0</v>
      </c>
      <c r="N63" s="1" t="str" cm="1">
        <f t="array" aca="1" ref="N63" ca="1">INDIRECT(CONCATENATE("'",$A$3,"'!l",B63),1)</f>
        <v/>
      </c>
      <c r="O63" s="1" cm="1">
        <f t="array" aca="1" ref="O63" ca="1">INDIRECT(CONCATENATE("'",$A$3,"'!m",B63),1)</f>
        <v>0</v>
      </c>
      <c r="P63" s="1" cm="1">
        <f t="array" aca="1" ref="P63" ca="1">INDIRECT(CONCATENATE("'",$A$3,"'!n",B63),1)</f>
        <v>0</v>
      </c>
      <c r="Q63" s="1" cm="1">
        <f t="array" aca="1" ref="Q63" ca="1">INDIRECT(CONCATENATE("'",$A$3,"'!o",B63),1)</f>
        <v>0</v>
      </c>
      <c r="R63" s="1" cm="1">
        <f t="array" aca="1" ref="R63" ca="1">INDIRECT(CONCATENATE("'",$A$3,"'!p",B63),1)</f>
        <v>0</v>
      </c>
      <c r="S63" s="1">
        <f t="shared" ca="1" si="0"/>
        <v>0</v>
      </c>
      <c r="T63" s="1" cm="1">
        <f t="array" aca="1" ref="T63" ca="1">INDIRECT(CONCATENATE("'",$A$3,"'!q",B63),1)</f>
        <v>0</v>
      </c>
      <c r="U63" s="1" cm="1">
        <f t="array" aca="1" ref="U63" ca="1">INDIRECT(CONCATENATE("'",$A$3,"'!r",B63),1)</f>
        <v>0</v>
      </c>
      <c r="V63" s="1" cm="1">
        <f t="array" aca="1" ref="V63" ca="1">INDIRECT(CONCATENATE("'",$A$3,"'!s",B63),1)</f>
        <v>0</v>
      </c>
      <c r="W63" s="1" cm="1">
        <f t="array" aca="1" ref="W63" ca="1">INDIRECT(CONCATENATE("'",$A$3,"'!t",B63),1)</f>
        <v>0</v>
      </c>
      <c r="X63" s="1" cm="1">
        <f t="array" aca="1" ref="X63" ca="1">INDIRECT(CONCATENATE("'",$A$3,"'!u",B63),1)</f>
        <v>0</v>
      </c>
      <c r="Y63" s="1" cm="1">
        <f t="array" aca="1" ref="Y63" ca="1">INDIRECT(CONCATENATE("'",$A$3,"'!v",B63),1)</f>
        <v>0</v>
      </c>
    </row>
    <row r="64" spans="1:25" customFormat="1" ht="22.5" hidden="1" x14ac:dyDescent="0.25">
      <c r="A64" s="15"/>
      <c r="B64" s="24">
        <f t="shared" si="1"/>
        <v>63</v>
      </c>
      <c r="C64" s="1" t="str" cm="1">
        <f t="array" aca="1" ref="C64" ca="1">INDIRECT(CONCATENATE("'",$A$3,"'!A",B64),1)</f>
        <v>Распознавание образов и обработка изображений</v>
      </c>
      <c r="D64" s="1" t="str" cm="1">
        <f t="array" aca="1" ref="D64" ca="1">INDIRECT(CONCATENATE("'",$A$3,"'!B",B64),1)</f>
        <v xml:space="preserve">09.03.01(09) </v>
      </c>
      <c r="E64" s="1" t="str" cm="1">
        <f t="array" aca="1" ref="E64" ca="1">INDIRECT(CONCATENATE("'",$A$3,"'!c",B64),1)</f>
        <v>2091
2092</v>
      </c>
      <c r="F64" s="1" cm="1">
        <f t="array" aca="1" ref="F64" ca="1">INDIRECT(CONCATENATE("'",$A$3,"'!d",B64),1)</f>
        <v>8</v>
      </c>
      <c r="G64" s="1" cm="1">
        <f t="array" aca="1" ref="G64" ca="1">INDIRECT(CONCATENATE("'",$A$3,"'!e",B64),1)</f>
        <v>2</v>
      </c>
      <c r="H64" s="1" cm="1">
        <f t="array" aca="1" ref="H64" ca="1">INDIRECT(CONCATENATE("'",$A$3,"'!f",B64),1)</f>
        <v>36</v>
      </c>
      <c r="I64" s="1" t="str" cm="1">
        <f t="array" aca="1" ref="I64" ca="1">INDIRECT(CONCATENATE("'",$A$3,"'!g",B64),1)</f>
        <v>ЭКЗ</v>
      </c>
      <c r="J64" s="1" cm="1">
        <f t="array" aca="1" ref="J64" ca="1">INDIRECT(CONCATENATE("'",$A$3,"'!h",B64),1)</f>
        <v>5</v>
      </c>
      <c r="K64" s="1" cm="1">
        <f t="array" aca="1" ref="K64" ca="1">INDIRECT(CONCATENATE("'",$A$3,"'!i",B64),1)</f>
        <v>21</v>
      </c>
      <c r="L64" s="1" cm="1">
        <f t="array" aca="1" ref="L64" ca="1">INDIRECT(CONCATENATE("'",$A$3,"'!j",B64),1)</f>
        <v>70</v>
      </c>
      <c r="M64" s="1" cm="1">
        <f t="array" aca="1" ref="M64" ca="1">INDIRECT(CONCATENATE("'",$A$3,"'!k",B64),1)</f>
        <v>0</v>
      </c>
      <c r="N64" s="1" t="str" cm="1">
        <f t="array" aca="1" ref="N64" ca="1">INDIRECT(CONCATENATE("'",$A$3,"'!l",B64),1)</f>
        <v>Корнышев Н.П.</v>
      </c>
      <c r="O64" s="1" t="str" cm="1">
        <f t="array" aca="1" ref="O64" ca="1">INDIRECT(CONCATENATE("'",$A$3,"'!m",B64),1)</f>
        <v>3312 лк+ пр</v>
      </c>
      <c r="P64" s="1" t="str" cm="1">
        <f t="array" aca="1" ref="P64" ca="1">INDIRECT(CONCATENATE("'",$A$3,"'!n",B64),1)</f>
        <v>пр * 2пп</v>
      </c>
      <c r="Q64" s="1" cm="1">
        <f t="array" aca="1" ref="Q64" ca="1">INDIRECT(CONCATENATE("'",$A$3,"'!o",B64),1)</f>
        <v>27</v>
      </c>
      <c r="R64" s="1" cm="1">
        <f t="array" aca="1" ref="R64" ca="1">INDIRECT(CONCATENATE("'",$A$3,"'!p",B64),1)</f>
        <v>18</v>
      </c>
      <c r="S64" s="1">
        <f t="shared" ca="1" si="0"/>
        <v>0</v>
      </c>
      <c r="T64" s="1" t="str" cm="1">
        <f t="array" aca="1" ref="T64" ca="1">INDIRECT(CONCATENATE("'",$A$3,"'!q",B64),1)</f>
        <v>Корнышев Н.П.</v>
      </c>
      <c r="U64" s="1" cm="1">
        <f t="array" aca="1" ref="U64" ca="1">INDIRECT(CONCATENATE("'",$A$3,"'!r",B64),1)</f>
        <v>136</v>
      </c>
      <c r="V64" s="1" cm="1">
        <f t="array" aca="1" ref="V64" ca="1">INDIRECT(CONCATENATE("'",$A$3,"'!s",B64),1)</f>
        <v>0</v>
      </c>
      <c r="W64" s="1" cm="1">
        <f t="array" aca="1" ref="W64" ca="1">INDIRECT(CONCATENATE("'",$A$3,"'!t",B64),1)</f>
        <v>0</v>
      </c>
      <c r="X64" s="1" cm="1">
        <f t="array" aca="1" ref="X64" ca="1">INDIRECT(CONCATENATE("'",$A$3,"'!u",B64),1)</f>
        <v>0</v>
      </c>
      <c r="Y64" s="1" cm="1">
        <f t="array" aca="1" ref="Y64" ca="1">INDIRECT(CONCATENATE("'",$A$3,"'!v",B64),1)</f>
        <v>0</v>
      </c>
    </row>
    <row r="65" spans="1:25" customFormat="1" ht="33.75" hidden="1" x14ac:dyDescent="0.25">
      <c r="A65" s="15"/>
      <c r="B65" s="24">
        <f t="shared" si="1"/>
        <v>64</v>
      </c>
      <c r="C65" s="1" t="str" cm="1">
        <f t="array" aca="1" ref="C65" ca="1">INDIRECT(CONCATENATE("'",$A$3,"'!A",B65),1)</f>
        <v>Интеллектуальный анализ данных</v>
      </c>
      <c r="D65" s="1" t="str" cm="1">
        <f t="array" aca="1" ref="D65" ca="1">INDIRECT(CONCATENATE("'",$A$3,"'!B",B65),1)</f>
        <v xml:space="preserve">09.03.01(09) </v>
      </c>
      <c r="E65" s="1" t="str" cm="1">
        <f t="array" aca="1" ref="E65" ca="1">INDIRECT(CONCATENATE("'",$A$3,"'!c",B65),1)</f>
        <v>2091
2092
2093</v>
      </c>
      <c r="F65" s="1" cm="1">
        <f t="array" aca="1" ref="F65" ca="1">INDIRECT(CONCATENATE("'",$A$3,"'!d",B65),1)</f>
        <v>8</v>
      </c>
      <c r="G65" s="1" cm="1">
        <f t="array" aca="1" ref="G65" ca="1">INDIRECT(CONCATENATE("'",$A$3,"'!e",B65),1)</f>
        <v>3</v>
      </c>
      <c r="H65" s="1" cm="1">
        <f t="array" aca="1" ref="H65" ca="1">INDIRECT(CONCATENATE("'",$A$3,"'!f",B65),1)</f>
        <v>53</v>
      </c>
      <c r="I65" s="1" t="str" cm="1">
        <f t="array" aca="1" ref="I65" ca="1">INDIRECT(CONCATENATE("'",$A$3,"'!g",B65),1)</f>
        <v>ЗАЧ</v>
      </c>
      <c r="J65" s="1" cm="1">
        <f t="array" aca="1" ref="J65" ca="1">INDIRECT(CONCATENATE("'",$A$3,"'!h",B65),1)</f>
        <v>3</v>
      </c>
      <c r="K65" s="1" cm="1">
        <f t="array" aca="1" ref="K65" ca="1">INDIRECT(CONCATENATE("'",$A$3,"'!i",B65),1)</f>
        <v>14</v>
      </c>
      <c r="L65" s="1" cm="1">
        <f t="array" aca="1" ref="L65" ca="1">INDIRECT(CONCATENATE("'",$A$3,"'!j",B65),1)</f>
        <v>28</v>
      </c>
      <c r="M65" s="1" cm="1">
        <f t="array" aca="1" ref="M65" ca="1">INDIRECT(CONCATENATE("'",$A$3,"'!k",B65),1)</f>
        <v>0</v>
      </c>
      <c r="N65" s="1" t="str" cm="1">
        <f t="array" aca="1" ref="N65" ca="1">INDIRECT(CONCATENATE("'",$A$3,"'!l",B65),1)</f>
        <v>Телина И.С.Филиппов И.И.</v>
      </c>
      <c r="O65" s="1" cm="1">
        <f t="array" aca="1" ref="O65" ca="1">INDIRECT(CONCATENATE("'",$A$3,"'!m",B65),1)</f>
        <v>0</v>
      </c>
      <c r="P65" s="1" t="str" cm="1">
        <f t="array" aca="1" ref="P65" ca="1">INDIRECT(CONCATENATE("'",$A$3,"'!n",B65),1)</f>
        <v>пр * 3пп</v>
      </c>
      <c r="Q65" s="1" cm="1">
        <f t="array" aca="1" ref="Q65" ca="1">INDIRECT(CONCATENATE("'",$A$3,"'!o",B65),1)</f>
        <v>23.9</v>
      </c>
      <c r="R65" s="1" cm="1">
        <f t="array" aca="1" ref="R65" ca="1">INDIRECT(CONCATENATE("'",$A$3,"'!p",B65),1)</f>
        <v>0</v>
      </c>
      <c r="S65" s="1">
        <f t="shared" ca="1" si="0"/>
        <v>0</v>
      </c>
      <c r="T65" s="1" t="str" cm="1">
        <f t="array" aca="1" ref="T65" ca="1">INDIRECT(CONCATENATE("'",$A$3,"'!q",B65),1)</f>
        <v>Телина И.С.</v>
      </c>
      <c r="U65" s="1" cm="1">
        <f t="array" aca="1" ref="U65" ca="1">INDIRECT(CONCATENATE("'",$A$3,"'!r",B65),1)</f>
        <v>14</v>
      </c>
      <c r="V65" s="1" t="str" cm="1">
        <f t="array" aca="1" ref="V65" ca="1">INDIRECT(CONCATENATE("'",$A$3,"'!s",B65),1)</f>
        <v>Филиппов И.И.</v>
      </c>
      <c r="W65" s="1" cm="1">
        <f t="array" aca="1" ref="W65" ca="1">INDIRECT(CONCATENATE("'",$A$3,"'!t",B65),1)</f>
        <v>107.9</v>
      </c>
      <c r="X65" s="1" cm="1">
        <f t="array" aca="1" ref="X65" ca="1">INDIRECT(CONCATENATE("'",$A$3,"'!u",B65),1)</f>
        <v>0</v>
      </c>
      <c r="Y65" s="1" cm="1">
        <f t="array" aca="1" ref="Y65" ca="1">INDIRECT(CONCATENATE("'",$A$3,"'!v",B65),1)</f>
        <v>0</v>
      </c>
    </row>
    <row r="66" spans="1:25" customFormat="1" ht="22.5" hidden="1" x14ac:dyDescent="0.25">
      <c r="A66" s="15"/>
      <c r="B66" s="24">
        <f t="shared" si="1"/>
        <v>65</v>
      </c>
      <c r="C66" s="1" t="str" cm="1">
        <f t="array" aca="1" ref="C66" ca="1">INDIRECT(CONCATENATE("'",$A$3,"'!A",B66),1)</f>
        <v>Тестирование программных продуктов</v>
      </c>
      <c r="D66" s="1" t="str" cm="1">
        <f t="array" aca="1" ref="D66" ca="1">INDIRECT(CONCATENATE("'",$A$3,"'!B",B66),1)</f>
        <v xml:space="preserve">09.03.01(09) </v>
      </c>
      <c r="E66" s="1" cm="1">
        <f t="array" aca="1" ref="E66" ca="1">INDIRECT(CONCATENATE("'",$A$3,"'!c",B66),1)</f>
        <v>2093</v>
      </c>
      <c r="F66" s="1" cm="1">
        <f t="array" aca="1" ref="F66" ca="1">INDIRECT(CONCATENATE("'",$A$3,"'!d",B66),1)</f>
        <v>8</v>
      </c>
      <c r="G66" s="1" cm="1">
        <f t="array" aca="1" ref="G66" ca="1">INDIRECT(CONCATENATE("'",$A$3,"'!e",B66),1)</f>
        <v>1</v>
      </c>
      <c r="H66" s="1" cm="1">
        <f t="array" aca="1" ref="H66" ca="1">INDIRECT(CONCATENATE("'",$A$3,"'!f",B66),1)</f>
        <v>12</v>
      </c>
      <c r="I66" s="1" t="str" cm="1">
        <f t="array" aca="1" ref="I66" ca="1">INDIRECT(CONCATENATE("'",$A$3,"'!g",B66),1)</f>
        <v>ЭКЗ</v>
      </c>
      <c r="J66" s="1" cm="1">
        <f t="array" aca="1" ref="J66" ca="1">INDIRECT(CONCATENATE("'",$A$3,"'!h",B66),1)</f>
        <v>5</v>
      </c>
      <c r="K66" s="1" cm="1">
        <f t="array" aca="1" ref="K66" ca="1">INDIRECT(CONCATENATE("'",$A$3,"'!i",B66),1)</f>
        <v>21</v>
      </c>
      <c r="L66" s="1" cm="1">
        <f t="array" aca="1" ref="L66" ca="1">INDIRECT(CONCATENATE("'",$A$3,"'!j",B66),1)</f>
        <v>35</v>
      </c>
      <c r="M66" s="1" cm="1">
        <f t="array" aca="1" ref="M66" ca="1">INDIRECT(CONCATENATE("'",$A$3,"'!k",B66),1)</f>
        <v>0</v>
      </c>
      <c r="N66" s="1" t="str" cm="1">
        <f t="array" aca="1" ref="N66" ca="1">INDIRECT(CONCATENATE("'",$A$3,"'!l",B66),1)</f>
        <v>Кулаков И.Ю.</v>
      </c>
      <c r="O66" s="1" cm="1">
        <f t="array" aca="1" ref="O66" ca="1">INDIRECT(CONCATENATE("'",$A$3,"'!m",B66),1)</f>
        <v>0</v>
      </c>
      <c r="P66" s="1" t="str" cm="1">
        <f t="array" aca="1" ref="P66" ca="1">INDIRECT(CONCATENATE("'",$A$3,"'!n",B66),1)</f>
        <v>пр * 3пп</v>
      </c>
      <c r="Q66" s="1" cm="1">
        <f t="array" aca="1" ref="Q66" ca="1">INDIRECT(CONCATENATE("'",$A$3,"'!o",B66),1)</f>
        <v>12.75</v>
      </c>
      <c r="R66" s="1" cm="1">
        <f t="array" aca="1" ref="R66" ca="1">INDIRECT(CONCATENATE("'",$A$3,"'!p",B66),1)</f>
        <v>8.5</v>
      </c>
      <c r="S66" s="1">
        <f t="shared" ca="1" si="0"/>
        <v>0</v>
      </c>
      <c r="T66" s="1" t="str" cm="1">
        <f t="array" aca="1" ref="T66" ca="1">INDIRECT(CONCATENATE("'",$A$3,"'!q",B66),1)</f>
        <v>Кулаков И.Ю.</v>
      </c>
      <c r="U66" s="1" cm="1">
        <f t="array" aca="1" ref="U66" ca="1">INDIRECT(CONCATENATE("'",$A$3,"'!r",B66),1)</f>
        <v>77.25</v>
      </c>
      <c r="V66" s="1" cm="1">
        <f t="array" aca="1" ref="V66" ca="1">INDIRECT(CONCATENATE("'",$A$3,"'!s",B66),1)</f>
        <v>0</v>
      </c>
      <c r="W66" s="1" cm="1">
        <f t="array" aca="1" ref="W66" ca="1">INDIRECT(CONCATENATE("'",$A$3,"'!t",B66),1)</f>
        <v>0</v>
      </c>
      <c r="X66" s="1" cm="1">
        <f t="array" aca="1" ref="X66" ca="1">INDIRECT(CONCATENATE("'",$A$3,"'!u",B66),1)</f>
        <v>0</v>
      </c>
      <c r="Y66" s="1" cm="1">
        <f t="array" aca="1" ref="Y66" ca="1">INDIRECT(CONCATENATE("'",$A$3,"'!v",B66),1)</f>
        <v>0</v>
      </c>
    </row>
    <row r="67" spans="1:25" customFormat="1" ht="56.25" hidden="1" x14ac:dyDescent="0.25">
      <c r="A67" s="15"/>
      <c r="B67" s="24">
        <f t="shared" si="1"/>
        <v>66</v>
      </c>
      <c r="C67" s="1" t="str" cm="1">
        <f t="array" aca="1" ref="C67" ca="1">INDIRECT(CONCATENATE("'",$A$3,"'!A",B67),1)</f>
        <v>Практика производственная: Практика преддипломная</v>
      </c>
      <c r="D67" s="1" t="str" cm="1">
        <f t="array" aca="1" ref="D67" ca="1">INDIRECT(CONCATENATE("'",$A$3,"'!B",B67),1)</f>
        <v xml:space="preserve">09.03.01(09) </v>
      </c>
      <c r="E67" s="1" t="str" cm="1">
        <f t="array" aca="1" ref="E67" ca="1">INDIRECT(CONCATENATE("'",$A$3,"'!c",B67),1)</f>
        <v>2091
2092
2093</v>
      </c>
      <c r="F67" s="1" cm="1">
        <f t="array" aca="1" ref="F67" ca="1">INDIRECT(CONCATENATE("'",$A$3,"'!d",B67),1)</f>
        <v>8</v>
      </c>
      <c r="G67" s="1" cm="1">
        <f t="array" aca="1" ref="G67" ca="1">INDIRECT(CONCATENATE("'",$A$3,"'!e",B67),1)</f>
        <v>3</v>
      </c>
      <c r="H67" s="1" cm="1">
        <f t="array" aca="1" ref="H67" ca="1">INDIRECT(CONCATENATE("'",$A$3,"'!f",B67),1)</f>
        <v>53</v>
      </c>
      <c r="I67" s="1" t="str" cm="1">
        <f t="array" aca="1" ref="I67" ca="1">INDIRECT(CONCATENATE("'",$A$3,"'!g",B67),1)</f>
        <v>ДЗ</v>
      </c>
      <c r="J67" s="1" cm="1">
        <f t="array" aca="1" ref="J67" ca="1">INDIRECT(CONCATENATE("'",$A$3,"'!h",B67),1)</f>
        <v>12</v>
      </c>
      <c r="K67" s="1" cm="1">
        <f t="array" aca="1" ref="K67" ca="1">INDIRECT(CONCATENATE("'",$A$3,"'!i",B67),1)</f>
        <v>0</v>
      </c>
      <c r="L67" s="1" cm="1">
        <f t="array" aca="1" ref="L67" ca="1">INDIRECT(CONCATENATE("'",$A$3,"'!j",B67),1)</f>
        <v>2</v>
      </c>
      <c r="M67" s="1" cm="1">
        <f t="array" aca="1" ref="M67" ca="1">INDIRECT(CONCATENATE("'",$A$3,"'!k",B67),1)</f>
        <v>0</v>
      </c>
      <c r="N67" s="1" t="str" cm="1">
        <f t="array" aca="1" ref="N67" ca="1">INDIRECT(CONCATENATE("'",$A$3,"'!l",B67),1)</f>
        <v>Соколова Г.Ю.Архипова Г.А.Моркин С.А.</v>
      </c>
      <c r="O67" s="1" cm="1">
        <f t="array" aca="1" ref="O67" ca="1">INDIRECT(CONCATENATE("'",$A$3,"'!m",B67),1)</f>
        <v>0</v>
      </c>
      <c r="P67" s="1" t="str" cm="1">
        <f t="array" aca="1" ref="P67" ca="1">INDIRECT(CONCATENATE("'",$A$3,"'!n",B67),1)</f>
        <v>сопровождение, защита отчётов, нормокортроль</v>
      </c>
      <c r="Q67" s="1" cm="1">
        <f t="array" aca="1" ref="Q67" ca="1">INDIRECT(CONCATENATE("'",$A$3,"'!o",B67),1)</f>
        <v>158.80000000000001</v>
      </c>
      <c r="R67" s="1" cm="1">
        <f t="array" aca="1" ref="R67" ca="1">INDIRECT(CONCATENATE("'",$A$3,"'!p",B67),1)</f>
        <v>0</v>
      </c>
      <c r="S67" s="1">
        <f t="shared" ca="1" si="0"/>
        <v>0</v>
      </c>
      <c r="T67" s="1" t="str" cm="1">
        <f t="array" aca="1" ref="T67" ca="1">INDIRECT(CONCATENATE("'",$A$3,"'!q",B67),1)</f>
        <v>Соколова Г.Ю.</v>
      </c>
      <c r="U67" s="1" cm="1">
        <f t="array" aca="1" ref="U67" ca="1">INDIRECT(CONCATENATE("'",$A$3,"'!r",B67),1)</f>
        <v>58.8</v>
      </c>
      <c r="V67" s="1" t="str" cm="1">
        <f t="array" aca="1" ref="V67" ca="1">INDIRECT(CONCATENATE("'",$A$3,"'!s",B67),1)</f>
        <v>Архипова Г.А.</v>
      </c>
      <c r="W67" s="1" cm="1">
        <f t="array" aca="1" ref="W67" ca="1">INDIRECT(CONCATENATE("'",$A$3,"'!t",B67),1)</f>
        <v>50</v>
      </c>
      <c r="X67" s="1" t="str" cm="1">
        <f t="array" aca="1" ref="X67" ca="1">INDIRECT(CONCATENATE("'",$A$3,"'!u",B67),1)</f>
        <v>Моркин С.А.</v>
      </c>
      <c r="Y67" s="1" cm="1">
        <f t="array" aca="1" ref="Y67" ca="1">INDIRECT(CONCATENATE("'",$A$3,"'!v",B67),1)</f>
        <v>50</v>
      </c>
    </row>
    <row r="68" spans="1:25" customFormat="1" ht="56.25" hidden="1" x14ac:dyDescent="0.25">
      <c r="A68" s="15"/>
      <c r="B68" s="24">
        <f t="shared" si="1"/>
        <v>67</v>
      </c>
      <c r="C68" s="1" t="str" cm="1">
        <f t="array" aca="1" ref="C68" ca="1">INDIRECT(CONCATENATE("'",$A$3,"'!A",B68),1)</f>
        <v>Практика производственная: Практика преддипломная</v>
      </c>
      <c r="D68" s="1" t="str" cm="1">
        <f t="array" aca="1" ref="D68" ca="1">INDIRECT(CONCATENATE("'",$A$3,"'!B",B68),1)</f>
        <v xml:space="preserve">09.03.01(09) </v>
      </c>
      <c r="E68" s="1" t="str" cm="1">
        <f t="array" aca="1" ref="E68" ca="1">INDIRECT(CONCATENATE("'",$A$3,"'!c",B68),1)</f>
        <v>2091
2092
2093</v>
      </c>
      <c r="F68" s="1" cm="1">
        <f t="array" aca="1" ref="F68" ca="1">INDIRECT(CONCATENATE("'",$A$3,"'!d",B68),1)</f>
        <v>8</v>
      </c>
      <c r="G68" s="1" cm="1">
        <f t="array" aca="1" ref="G68" ca="1">INDIRECT(CONCATENATE("'",$A$3,"'!e",B68),1)</f>
        <v>3</v>
      </c>
      <c r="H68" s="1" cm="1">
        <f t="array" aca="1" ref="H68" ca="1">INDIRECT(CONCATENATE("'",$A$3,"'!f",B68),1)</f>
        <v>53</v>
      </c>
      <c r="I68" s="1" t="str" cm="1">
        <f t="array" aca="1" ref="I68" ca="1">INDIRECT(CONCATENATE("'",$A$3,"'!g",B68),1)</f>
        <v>ДЗ</v>
      </c>
      <c r="J68" s="1" cm="1">
        <f t="array" aca="1" ref="J68" ca="1">INDIRECT(CONCATENATE("'",$A$3,"'!h",B68),1)</f>
        <v>12</v>
      </c>
      <c r="K68" s="1" cm="1">
        <f t="array" aca="1" ref="K68" ca="1">INDIRECT(CONCATENATE("'",$A$3,"'!i",B68),1)</f>
        <v>0</v>
      </c>
      <c r="L68" s="1" cm="1">
        <f t="array" aca="1" ref="L68" ca="1">INDIRECT(CONCATENATE("'",$A$3,"'!j",B68),1)</f>
        <v>0</v>
      </c>
      <c r="M68" s="1" cm="1">
        <f t="array" aca="1" ref="M68" ca="1">INDIRECT(CONCATENATE("'",$A$3,"'!k",B68),1)</f>
        <v>0</v>
      </c>
      <c r="N68" s="1" t="str" cm="1">
        <f t="array" aca="1" ref="N68" ca="1">INDIRECT(CONCATENATE("'",$A$3,"'!l",B68),1)</f>
        <v>Моркин С.А.Архипова Г.А.</v>
      </c>
      <c r="O68" s="1" cm="1">
        <f t="array" aca="1" ref="O68" ca="1">INDIRECT(CONCATENATE("'",$A$3,"'!m",B68),1)</f>
        <v>0</v>
      </c>
      <c r="P68" s="1" t="str" cm="1">
        <f t="array" aca="1" ref="P68" ca="1">INDIRECT(CONCATENATE("'",$A$3,"'!n",B68),1)</f>
        <v>сопровождение, защита отчётов, нормокортроль</v>
      </c>
      <c r="Q68" s="1" cm="1">
        <f t="array" aca="1" ref="Q68" ca="1">INDIRECT(CONCATENATE("'",$A$3,"'!o",B68),1)</f>
        <v>200</v>
      </c>
      <c r="R68" s="1" cm="1">
        <f t="array" aca="1" ref="R68" ca="1">INDIRECT(CONCATENATE("'",$A$3,"'!p",B68),1)</f>
        <v>0</v>
      </c>
      <c r="S68" s="1">
        <f t="shared" ref="S68:S95" ca="1" si="2">SUMIFS(U68,T68,$N$1)+SUMIFS(W68,V68,$N$1)+SUMIFS(Y68,X68,$N$1)</f>
        <v>0</v>
      </c>
      <c r="T68" s="1" t="str" cm="1">
        <f t="array" aca="1" ref="T68" ca="1">INDIRECT(CONCATENATE("'",$A$3,"'!q",B68),1)</f>
        <v>Моркин С.А.</v>
      </c>
      <c r="U68" s="1" cm="1">
        <f t="array" aca="1" ref="U68" ca="1">INDIRECT(CONCATENATE("'",$A$3,"'!r",B68),1)</f>
        <v>150</v>
      </c>
      <c r="V68" s="1" t="str" cm="1">
        <f t="array" aca="1" ref="V68" ca="1">INDIRECT(CONCATENATE("'",$A$3,"'!s",B68),1)</f>
        <v>Архипова Г.А.</v>
      </c>
      <c r="W68" s="1" cm="1">
        <f t="array" aca="1" ref="W68" ca="1">INDIRECT(CONCATENATE("'",$A$3,"'!t",B68),1)</f>
        <v>50</v>
      </c>
      <c r="X68" s="1" cm="1">
        <f t="array" aca="1" ref="X68" ca="1">INDIRECT(CONCATENATE("'",$A$3,"'!u",B68),1)</f>
        <v>0</v>
      </c>
      <c r="Y68" s="1" cm="1">
        <f t="array" aca="1" ref="Y68" ca="1">INDIRECT(CONCATENATE("'",$A$3,"'!v",B68),1)</f>
        <v>0</v>
      </c>
    </row>
    <row r="69" spans="1:25" customFormat="1" ht="56.25" hidden="1" x14ac:dyDescent="0.25">
      <c r="A69" s="15"/>
      <c r="B69" s="24">
        <f t="shared" si="1"/>
        <v>68</v>
      </c>
      <c r="C69" s="1" t="str" cm="1">
        <f t="array" aca="1" ref="C69" ca="1">INDIRECT(CONCATENATE("'",$A$3,"'!A",B69),1)</f>
        <v>Практика производственная: Практика преддипломная</v>
      </c>
      <c r="D69" s="1" t="str" cm="1">
        <f t="array" aca="1" ref="D69" ca="1">INDIRECT(CONCATENATE("'",$A$3,"'!B",B69),1)</f>
        <v xml:space="preserve">09.03.01(09) </v>
      </c>
      <c r="E69" s="1" t="str" cm="1">
        <f t="array" aca="1" ref="E69" ca="1">INDIRECT(CONCATENATE("'",$A$3,"'!c",B69),1)</f>
        <v>2091
2092
2093</v>
      </c>
      <c r="F69" s="1" cm="1">
        <f t="array" aca="1" ref="F69" ca="1">INDIRECT(CONCATENATE("'",$A$3,"'!d",B69),1)</f>
        <v>8</v>
      </c>
      <c r="G69" s="1" cm="1">
        <f t="array" aca="1" ref="G69" ca="1">INDIRECT(CONCATENATE("'",$A$3,"'!e",B69),1)</f>
        <v>3</v>
      </c>
      <c r="H69" s="1" cm="1">
        <f t="array" aca="1" ref="H69" ca="1">INDIRECT(CONCATENATE("'",$A$3,"'!f",B69),1)</f>
        <v>53</v>
      </c>
      <c r="I69" s="1" t="str" cm="1">
        <f t="array" aca="1" ref="I69" ca="1">INDIRECT(CONCATENATE("'",$A$3,"'!g",B69),1)</f>
        <v>ДЗ</v>
      </c>
      <c r="J69" s="1" cm="1">
        <f t="array" aca="1" ref="J69" ca="1">INDIRECT(CONCATENATE("'",$A$3,"'!h",B69),1)</f>
        <v>12</v>
      </c>
      <c r="K69" s="1" cm="1">
        <f t="array" aca="1" ref="K69" ca="1">INDIRECT(CONCATENATE("'",$A$3,"'!i",B69),1)</f>
        <v>0</v>
      </c>
      <c r="L69" s="1" cm="1">
        <f t="array" aca="1" ref="L69" ca="1">INDIRECT(CONCATENATE("'",$A$3,"'!j",B69),1)</f>
        <v>0</v>
      </c>
      <c r="M69" s="1" cm="1">
        <f t="array" aca="1" ref="M69" ca="1">INDIRECT(CONCATENATE("'",$A$3,"'!k",B69),1)</f>
        <v>0</v>
      </c>
      <c r="N69" s="1" t="str" cm="1">
        <f t="array" aca="1" ref="N69" ca="1">INDIRECT(CONCATENATE("'",$A$3,"'!l",B69),1)</f>
        <v>Соколова Г.Ю.Архипова Г.А.Винник Л.И.</v>
      </c>
      <c r="O69" s="1" cm="1">
        <f t="array" aca="1" ref="O69" ca="1">INDIRECT(CONCATENATE("'",$A$3,"'!m",B69),1)</f>
        <v>0</v>
      </c>
      <c r="P69" s="1" t="str" cm="1">
        <f t="array" aca="1" ref="P69" ca="1">INDIRECT(CONCATENATE("'",$A$3,"'!n",B69),1)</f>
        <v>сопровождение, защита отчётов, нормокортроль</v>
      </c>
      <c r="Q69" s="1" cm="1">
        <f t="array" aca="1" ref="Q69" ca="1">INDIRECT(CONCATENATE("'",$A$3,"'!o",B69),1)</f>
        <v>150</v>
      </c>
      <c r="R69" s="1" cm="1">
        <f t="array" aca="1" ref="R69" ca="1">INDIRECT(CONCATENATE("'",$A$3,"'!p",B69),1)</f>
        <v>0</v>
      </c>
      <c r="S69" s="1">
        <f t="shared" ca="1" si="2"/>
        <v>0</v>
      </c>
      <c r="T69" s="1" t="str" cm="1">
        <f t="array" aca="1" ref="T69" ca="1">INDIRECT(CONCATENATE("'",$A$3,"'!q",B69),1)</f>
        <v>Соколова Г.Ю.</v>
      </c>
      <c r="U69" s="1" cm="1">
        <f t="array" aca="1" ref="U69" ca="1">INDIRECT(CONCATENATE("'",$A$3,"'!r",B69),1)</f>
        <v>50</v>
      </c>
      <c r="V69" s="1" t="str" cm="1">
        <f t="array" aca="1" ref="V69" ca="1">INDIRECT(CONCATENATE("'",$A$3,"'!s",B69),1)</f>
        <v>Архипова Г.А.</v>
      </c>
      <c r="W69" s="1" cm="1">
        <f t="array" aca="1" ref="W69" ca="1">INDIRECT(CONCATENATE("'",$A$3,"'!t",B69),1)</f>
        <v>50</v>
      </c>
      <c r="X69" s="1" t="str" cm="1">
        <f t="array" aca="1" ref="X69" ca="1">INDIRECT(CONCATENATE("'",$A$3,"'!u",B69),1)</f>
        <v>Винник Л.И.</v>
      </c>
      <c r="Y69" s="1" cm="1">
        <f t="array" aca="1" ref="Y69" ca="1">INDIRECT(CONCATENATE("'",$A$3,"'!v",B69),1)</f>
        <v>50</v>
      </c>
    </row>
    <row r="70" spans="1:25" customFormat="1" ht="45" hidden="1" x14ac:dyDescent="0.25">
      <c r="A70" s="15"/>
      <c r="B70" s="24">
        <f t="shared" si="1"/>
        <v>69</v>
      </c>
      <c r="C70" s="1" t="str" cm="1">
        <f t="array" aca="1" ref="C70" ca="1">INDIRECT(CONCATENATE("'",$A$3,"'!A",B70),1)</f>
        <v>Выполнение и защита выпускной квалификационной работы</v>
      </c>
      <c r="D70" s="1" t="str" cm="1">
        <f t="array" aca="1" ref="D70" ca="1">INDIRECT(CONCATENATE("'",$A$3,"'!B",B70),1)</f>
        <v xml:space="preserve">09.03.01(09у) </v>
      </c>
      <c r="E70" s="1" t="str" cm="1">
        <f t="array" aca="1" ref="E70" ca="1">INDIRECT(CONCATENATE("'",$A$3,"'!c",B70),1)</f>
        <v>2091
2092
2093</v>
      </c>
      <c r="F70" s="1" cm="1">
        <f t="array" aca="1" ref="F70" ca="1">INDIRECT(CONCATENATE("'",$A$3,"'!d",B70),1)</f>
        <v>8</v>
      </c>
      <c r="G70" s="1" cm="1">
        <f t="array" aca="1" ref="G70" ca="1">INDIRECT(CONCATENATE("'",$A$3,"'!e",B70),1)</f>
        <v>3</v>
      </c>
      <c r="H70" s="1" cm="1">
        <f t="array" aca="1" ref="H70" ca="1">INDIRECT(CONCATENATE("'",$A$3,"'!f",B70),1)</f>
        <v>53</v>
      </c>
      <c r="I70" s="1" t="str" cm="1">
        <f t="array" aca="1" ref="I70" ca="1">INDIRECT(CONCATENATE("'",$A$3,"'!g",B70),1)</f>
        <v>ДЗ</v>
      </c>
      <c r="J70" s="1" cm="1">
        <f t="array" aca="1" ref="J70" ca="1">INDIRECT(CONCATENATE("'",$A$3,"'!h",B70),1)</f>
        <v>9</v>
      </c>
      <c r="K70" s="1" cm="1">
        <f t="array" aca="1" ref="K70" ca="1">INDIRECT(CONCATENATE("'",$A$3,"'!i",B70),1)</f>
        <v>0</v>
      </c>
      <c r="L70" s="1" cm="1">
        <f t="array" aca="1" ref="L70" ca="1">INDIRECT(CONCATENATE("'",$A$3,"'!j",B70),1)</f>
        <v>2</v>
      </c>
      <c r="M70" s="1" cm="1">
        <f t="array" aca="1" ref="M70" ca="1">INDIRECT(CONCATENATE("'",$A$3,"'!k",B70),1)</f>
        <v>0</v>
      </c>
      <c r="N70" s="1" t="str" cm="1">
        <f t="array" aca="1" ref="N70" ca="1">INDIRECT(CONCATENATE("'",$A$3,"'!l",B70),1)</f>
        <v>Эминов С.И.Соколова Г.Ю.Архипова Г.А.</v>
      </c>
      <c r="O70" s="1" cm="1">
        <f t="array" aca="1" ref="O70" ca="1">INDIRECT(CONCATENATE("'",$A$3,"'!m",B70),1)</f>
        <v>3300</v>
      </c>
      <c r="P70" s="1" t="str" cm="1">
        <f t="array" aca="1" ref="P70" ca="1">INDIRECT(CONCATENATE("'",$A$3,"'!n",B70),1)</f>
        <v>Предзащита</v>
      </c>
      <c r="Q70" s="1" cm="1">
        <f t="array" aca="1" ref="Q70" ca="1">INDIRECT(CONCATENATE("'",$A$3,"'!o",B70),1)</f>
        <v>540.6</v>
      </c>
      <c r="R70" s="1" cm="1">
        <f t="array" aca="1" ref="R70" ca="1">INDIRECT(CONCATENATE("'",$A$3,"'!p",B70),1)</f>
        <v>0</v>
      </c>
      <c r="S70" s="1">
        <f t="shared" ca="1" si="2"/>
        <v>0</v>
      </c>
      <c r="T70" s="1" t="str" cm="1">
        <f t="array" aca="1" ref="T70" ca="1">INDIRECT(CONCATENATE("'",$A$3,"'!q",B70),1)</f>
        <v>Эминов С.И.</v>
      </c>
      <c r="U70" s="1" cm="1">
        <f t="array" aca="1" ref="U70" ca="1">INDIRECT(CONCATENATE("'",$A$3,"'!r",B70),1)</f>
        <v>6</v>
      </c>
      <c r="V70" s="1" t="str" cm="1">
        <f t="array" aca="1" ref="V70" ca="1">INDIRECT(CONCATENATE("'",$A$3,"'!s",B70),1)</f>
        <v>Соколова Г.Ю.</v>
      </c>
      <c r="W70" s="1" cm="1">
        <f t="array" aca="1" ref="W70" ca="1">INDIRECT(CONCATENATE("'",$A$3,"'!t",B70),1)</f>
        <v>6.6</v>
      </c>
      <c r="X70" s="1" t="str" cm="1">
        <f t="array" aca="1" ref="X70" ca="1">INDIRECT(CONCATENATE("'",$A$3,"'!u",B70),1)</f>
        <v>Архипова Г.А.</v>
      </c>
      <c r="Y70" s="1" cm="1">
        <f t="array" aca="1" ref="Y70" ca="1">INDIRECT(CONCATENATE("'",$A$3,"'!v",B70),1)</f>
        <v>6</v>
      </c>
    </row>
    <row r="71" spans="1:25" customFormat="1" ht="45" hidden="1" x14ac:dyDescent="0.25">
      <c r="A71" s="15"/>
      <c r="B71" s="24">
        <f t="shared" si="1"/>
        <v>70</v>
      </c>
      <c r="C71" s="1" t="str" cm="1">
        <f t="array" aca="1" ref="C71" ca="1">INDIRECT(CONCATENATE("'",$A$3,"'!A",B71),1)</f>
        <v>Выполнение и защита выпускной квалификационной работы</v>
      </c>
      <c r="D71" s="1" t="str" cm="1">
        <f t="array" aca="1" ref="D71" ca="1">INDIRECT(CONCATENATE("'",$A$3,"'!B",B71),1)</f>
        <v xml:space="preserve">09.03.01(09у) </v>
      </c>
      <c r="E71" s="1" t="str" cm="1">
        <f t="array" aca="1" ref="E71" ca="1">INDIRECT(CONCATENATE("'",$A$3,"'!c",B71),1)</f>
        <v>2091
2092
2093</v>
      </c>
      <c r="F71" s="1" cm="1">
        <f t="array" aca="1" ref="F71" ca="1">INDIRECT(CONCATENATE("'",$A$3,"'!d",B71),1)</f>
        <v>8</v>
      </c>
      <c r="G71" s="1" cm="1">
        <f t="array" aca="1" ref="G71" ca="1">INDIRECT(CONCATENATE("'",$A$3,"'!e",B71),1)</f>
        <v>3</v>
      </c>
      <c r="H71" s="1" cm="1">
        <f t="array" aca="1" ref="H71" ca="1">INDIRECT(CONCATENATE("'",$A$3,"'!f",B71),1)</f>
        <v>53</v>
      </c>
      <c r="I71" s="1" t="str" cm="1">
        <f t="array" aca="1" ref="I71" ca="1">INDIRECT(CONCATENATE("'",$A$3,"'!g",B71),1)</f>
        <v>ДЗ</v>
      </c>
      <c r="J71" s="1" cm="1">
        <f t="array" aca="1" ref="J71" ca="1">INDIRECT(CONCATENATE("'",$A$3,"'!h",B71),1)</f>
        <v>9</v>
      </c>
      <c r="K71" s="1" cm="1">
        <f t="array" aca="1" ref="K71" ca="1">INDIRECT(CONCATENATE("'",$A$3,"'!i",B71),1)</f>
        <v>0</v>
      </c>
      <c r="L71" s="1" cm="1">
        <f t="array" aca="1" ref="L71" ca="1">INDIRECT(CONCATENATE("'",$A$3,"'!j",B71),1)</f>
        <v>2</v>
      </c>
      <c r="M71" s="1" cm="1">
        <f t="array" aca="1" ref="M71" ca="1">INDIRECT(CONCATENATE("'",$A$3,"'!k",B71),1)</f>
        <v>0</v>
      </c>
      <c r="N71" s="1" t="str" cm="1">
        <f t="array" aca="1" ref="N71" ca="1">INDIRECT(CONCATENATE("'",$A$3,"'!l",B71),1)</f>
        <v>ЧленКомиссииЧленКомиссииЧленКомиссии</v>
      </c>
      <c r="O71" s="1" cm="1">
        <f t="array" aca="1" ref="O71" ca="1">INDIRECT(CONCATENATE("'",$A$3,"'!m",B71),1)</f>
        <v>3300</v>
      </c>
      <c r="P71" s="1" t="str" cm="1">
        <f t="array" aca="1" ref="P71" ca="1">INDIRECT(CONCATENATE("'",$A$3,"'!n",B71),1)</f>
        <v>Защита</v>
      </c>
      <c r="Q71" s="1" cm="1">
        <f t="array" aca="1" ref="Q71" ca="1">INDIRECT(CONCATENATE("'",$A$3,"'!o",B71),1)</f>
        <v>540.6</v>
      </c>
      <c r="R71" s="1" cm="1">
        <f t="array" aca="1" ref="R71" ca="1">INDIRECT(CONCATENATE("'",$A$3,"'!p",B71),1)</f>
        <v>0</v>
      </c>
      <c r="S71" s="1">
        <f t="shared" ca="1" si="2"/>
        <v>0</v>
      </c>
      <c r="T71" s="1" t="str" cm="1">
        <f t="array" aca="1" ref="T71" ca="1">INDIRECT(CONCATENATE("'",$A$3,"'!q",B71),1)</f>
        <v>ЧленКомиссии</v>
      </c>
      <c r="U71" s="1" cm="1">
        <f t="array" aca="1" ref="U71" ca="1">INDIRECT(CONCATENATE("'",$A$3,"'!r",B71),1)</f>
        <v>6</v>
      </c>
      <c r="V71" s="1" t="str" cm="1">
        <f t="array" aca="1" ref="V71" ca="1">INDIRECT(CONCATENATE("'",$A$3,"'!s",B71),1)</f>
        <v>ЧленКомиссии</v>
      </c>
      <c r="W71" s="1" cm="1">
        <f t="array" aca="1" ref="W71" ca="1">INDIRECT(CONCATENATE("'",$A$3,"'!t",B71),1)</f>
        <v>6</v>
      </c>
      <c r="X71" s="1" t="str" cm="1">
        <f t="array" aca="1" ref="X71" ca="1">INDIRECT(CONCATENATE("'",$A$3,"'!u",B71),1)</f>
        <v>ЧленКомиссии</v>
      </c>
      <c r="Y71" s="1" cm="1">
        <f t="array" aca="1" ref="Y71" ca="1">INDIRECT(CONCATENATE("'",$A$3,"'!v",B71),1)</f>
        <v>6</v>
      </c>
    </row>
    <row r="72" spans="1:25" customFormat="1" ht="38.1" hidden="1" customHeight="1" x14ac:dyDescent="0.25">
      <c r="A72" s="15"/>
      <c r="B72" s="24">
        <f t="shared" si="1"/>
        <v>71</v>
      </c>
      <c r="C72" s="1" t="str" cm="1">
        <f t="array" aca="1" ref="C72" ca="1">INDIRECT(CONCATENATE("'",$A$3,"'!A",B72),1)</f>
        <v>Выполнение и защита выпускной квалификационной работы</v>
      </c>
      <c r="D72" s="1" t="str" cm="1">
        <f t="array" aca="1" ref="D72" ca="1">INDIRECT(CONCATENATE("'",$A$3,"'!B",B72),1)</f>
        <v xml:space="preserve">09.03.01(09у) </v>
      </c>
      <c r="E72" s="1" t="str" cm="1">
        <f t="array" aca="1" ref="E72" ca="1">INDIRECT(CONCATENATE("'",$A$3,"'!c",B72),1)</f>
        <v>2091
2092
2093</v>
      </c>
      <c r="F72" s="1" cm="1">
        <f t="array" aca="1" ref="F72" ca="1">INDIRECT(CONCATENATE("'",$A$3,"'!d",B72),1)</f>
        <v>8</v>
      </c>
      <c r="G72" s="1" cm="1">
        <f t="array" aca="1" ref="G72" ca="1">INDIRECT(CONCATENATE("'",$A$3,"'!e",B72),1)</f>
        <v>3</v>
      </c>
      <c r="H72" s="1" cm="1">
        <f t="array" aca="1" ref="H72" ca="1">INDIRECT(CONCATENATE("'",$A$3,"'!f",B72),1)</f>
        <v>53</v>
      </c>
      <c r="I72" s="1" t="str" cm="1">
        <f t="array" aca="1" ref="I72" ca="1">INDIRECT(CONCATENATE("'",$A$3,"'!g",B72),1)</f>
        <v>ДЗ</v>
      </c>
      <c r="J72" s="1" cm="1">
        <f t="array" aca="1" ref="J72" ca="1">INDIRECT(CONCATENATE("'",$A$3,"'!h",B72),1)</f>
        <v>9</v>
      </c>
      <c r="K72" s="1" cm="1">
        <f t="array" aca="1" ref="K72" ca="1">INDIRECT(CONCATENATE("'",$A$3,"'!i",B72),1)</f>
        <v>0</v>
      </c>
      <c r="L72" s="1" cm="1">
        <f t="array" aca="1" ref="L72" ca="1">INDIRECT(CONCATENATE("'",$A$3,"'!j",B72),1)</f>
        <v>0</v>
      </c>
      <c r="M72" s="1" cm="1">
        <f t="array" aca="1" ref="M72" ca="1">INDIRECT(CONCATENATE("'",$A$3,"'!k",B72),1)</f>
        <v>0</v>
      </c>
      <c r="N72" s="1" t="str" cm="1">
        <f t="array" aca="1" ref="N72" ca="1">INDIRECT(CONCATENATE("'",$A$3,"'!l",B72),1)</f>
        <v>Попов В.С.Петров Р.В.Эрштейн Л.Б.</v>
      </c>
      <c r="O72" s="1" cm="1">
        <f t="array" aca="1" ref="O72" ca="1">INDIRECT(CONCATENATE("'",$A$3,"'!m",B72),1)</f>
        <v>3300</v>
      </c>
      <c r="P72" s="1" t="str" cm="1">
        <f t="array" aca="1" ref="P72" ca="1">INDIRECT(CONCATENATE("'",$A$3,"'!n",B72),1)</f>
        <v>руководство ДП 6 человек</v>
      </c>
      <c r="Q72" s="1" cm="1">
        <f t="array" aca="1" ref="Q72" ca="1">INDIRECT(CONCATENATE("'",$A$3,"'!o",B72),1)</f>
        <v>72</v>
      </c>
      <c r="R72" s="1" cm="1">
        <f t="array" aca="1" ref="R72" ca="1">INDIRECT(CONCATENATE("'",$A$3,"'!p",B72),1)</f>
        <v>0</v>
      </c>
      <c r="S72" s="1">
        <f t="shared" ca="1" si="2"/>
        <v>0</v>
      </c>
      <c r="T72" s="1" t="str" cm="1">
        <f t="array" aca="1" ref="T72" ca="1">INDIRECT(CONCATENATE("'",$A$3,"'!q",B72),1)</f>
        <v>Попов В.С.</v>
      </c>
      <c r="U72" s="1" cm="1">
        <f t="array" aca="1" ref="U72" ca="1">INDIRECT(CONCATENATE("'",$A$3,"'!r",B72),1)</f>
        <v>24</v>
      </c>
      <c r="V72" s="1" t="str" cm="1">
        <f t="array" aca="1" ref="V72" ca="1">INDIRECT(CONCATENATE("'",$A$3,"'!s",B72),1)</f>
        <v>Петров Р.В.</v>
      </c>
      <c r="W72" s="1" cm="1">
        <f t="array" aca="1" ref="W72" ca="1">INDIRECT(CONCATENATE("'",$A$3,"'!t",B72),1)</f>
        <v>24</v>
      </c>
      <c r="X72" s="1" t="str" cm="1">
        <f t="array" aca="1" ref="X72" ca="1">INDIRECT(CONCATENATE("'",$A$3,"'!u",B72),1)</f>
        <v>Эрштейн Л.Б.</v>
      </c>
      <c r="Y72" s="1" cm="1">
        <f t="array" aca="1" ref="Y72" ca="1">INDIRECT(CONCATENATE("'",$A$3,"'!v",B72),1)</f>
        <v>24</v>
      </c>
    </row>
    <row r="73" spans="1:25" customFormat="1" ht="35.450000000000003" hidden="1" customHeight="1" x14ac:dyDescent="0.25">
      <c r="A73" s="15"/>
      <c r="B73" s="24">
        <f t="shared" si="1"/>
        <v>72</v>
      </c>
      <c r="C73" s="1" t="str" cm="1">
        <f t="array" aca="1" ref="C73" ca="1">INDIRECT(CONCATENATE("'",$A$3,"'!A",B73),1)</f>
        <v>Выполнение и защита выпускной квалификационной работы</v>
      </c>
      <c r="D73" s="1" t="str" cm="1">
        <f t="array" aca="1" ref="D73" ca="1">INDIRECT(CONCATENATE("'",$A$3,"'!B",B73),1)</f>
        <v xml:space="preserve">09.03.01(09у) </v>
      </c>
      <c r="E73" s="1" t="str" cm="1">
        <f t="array" aca="1" ref="E73" ca="1">INDIRECT(CONCATENATE("'",$A$3,"'!c",B73),1)</f>
        <v>2091
2092
2093</v>
      </c>
      <c r="F73" s="1" cm="1">
        <f t="array" aca="1" ref="F73" ca="1">INDIRECT(CONCATENATE("'",$A$3,"'!d",B73),1)</f>
        <v>8</v>
      </c>
      <c r="G73" s="1" cm="1">
        <f t="array" aca="1" ref="G73" ca="1">INDIRECT(CONCATENATE("'",$A$3,"'!e",B73),1)</f>
        <v>3</v>
      </c>
      <c r="H73" s="1" cm="1">
        <f t="array" aca="1" ref="H73" ca="1">INDIRECT(CONCATENATE("'",$A$3,"'!f",B73),1)</f>
        <v>53</v>
      </c>
      <c r="I73" s="1" t="str" cm="1">
        <f t="array" aca="1" ref="I73" ca="1">INDIRECT(CONCATENATE("'",$A$3,"'!g",B73),1)</f>
        <v>ДЗ</v>
      </c>
      <c r="J73" s="1" cm="1">
        <f t="array" aca="1" ref="J73" ca="1">INDIRECT(CONCATENATE("'",$A$3,"'!h",B73),1)</f>
        <v>9</v>
      </c>
      <c r="K73" s="1" cm="1">
        <f t="array" aca="1" ref="K73" ca="1">INDIRECT(CONCATENATE("'",$A$3,"'!i",B73),1)</f>
        <v>0</v>
      </c>
      <c r="L73" s="1" cm="1">
        <f t="array" aca="1" ref="L73" ca="1">INDIRECT(CONCATENATE("'",$A$3,"'!j",B73),1)</f>
        <v>0</v>
      </c>
      <c r="M73" s="1" cm="1">
        <f t="array" aca="1" ref="M73" ca="1">INDIRECT(CONCATENATE("'",$A$3,"'!k",B73),1)</f>
        <v>0</v>
      </c>
      <c r="N73" s="1" t="str" cm="1">
        <f t="array" aca="1" ref="N73" ca="1">INDIRECT(CONCATENATE("'",$A$3,"'!l",B73),1)</f>
        <v>Михайлов Д.В.Цымбалюк Л.Н.Довгалюк П.М.</v>
      </c>
      <c r="O73" s="1" cm="1">
        <f t="array" aca="1" ref="O73" ca="1">INDIRECT(CONCATENATE("'",$A$3,"'!m",B73),1)</f>
        <v>3300</v>
      </c>
      <c r="P73" s="1" t="str" cm="1">
        <f t="array" aca="1" ref="P73" ca="1">INDIRECT(CONCATENATE("'",$A$3,"'!n",B73),1)</f>
        <v>руководство ДП 6 человек</v>
      </c>
      <c r="Q73" s="1" cm="1">
        <f t="array" aca="1" ref="Q73" ca="1">INDIRECT(CONCATENATE("'",$A$3,"'!o",B73),1)</f>
        <v>54</v>
      </c>
      <c r="R73" s="1" cm="1">
        <f t="array" aca="1" ref="R73" ca="1">INDIRECT(CONCATENATE("'",$A$3,"'!p",B73),1)</f>
        <v>0</v>
      </c>
      <c r="S73" s="1">
        <f t="shared" ca="1" si="2"/>
        <v>0</v>
      </c>
      <c r="T73" s="1" t="str" cm="1">
        <f t="array" aca="1" ref="T73" ca="1">INDIRECT(CONCATENATE("'",$A$3,"'!q",B73),1)</f>
        <v>Михайлов Д.В.</v>
      </c>
      <c r="U73" s="1" cm="1">
        <f t="array" aca="1" ref="U73" ca="1">INDIRECT(CONCATENATE("'",$A$3,"'!r",B73),1)</f>
        <v>18</v>
      </c>
      <c r="V73" s="1" t="str" cm="1">
        <f t="array" aca="1" ref="V73" ca="1">INDIRECT(CONCATENATE("'",$A$3,"'!s",B73),1)</f>
        <v>Цымбалюк Л.Н.</v>
      </c>
      <c r="W73" s="1" cm="1">
        <f t="array" aca="1" ref="W73" ca="1">INDIRECT(CONCATENATE("'",$A$3,"'!t",B73),1)</f>
        <v>18</v>
      </c>
      <c r="X73" s="1" t="str" cm="1">
        <f t="array" aca="1" ref="X73" ca="1">INDIRECT(CONCATENATE("'",$A$3,"'!u",B73),1)</f>
        <v>Довгалюк П.М.</v>
      </c>
      <c r="Y73" s="1" cm="1">
        <f t="array" aca="1" ref="Y73" ca="1">INDIRECT(CONCATENATE("'",$A$3,"'!v",B73),1)</f>
        <v>18</v>
      </c>
    </row>
    <row r="74" spans="1:25" customFormat="1" ht="45" hidden="1" x14ac:dyDescent="0.25">
      <c r="A74" s="15"/>
      <c r="B74" s="24">
        <f t="shared" si="1"/>
        <v>73</v>
      </c>
      <c r="C74" s="1" t="str" cm="1">
        <f t="array" aca="1" ref="C74" ca="1">INDIRECT(CONCATENATE("'",$A$3,"'!A",B74),1)</f>
        <v>Выполнение и защита выпускной квалификационной работы</v>
      </c>
      <c r="D74" s="1" t="str" cm="1">
        <f t="array" aca="1" ref="D74" ca="1">INDIRECT(CONCATENATE("'",$A$3,"'!B",B74),1)</f>
        <v xml:space="preserve">09.03.01(09у) </v>
      </c>
      <c r="E74" s="1" t="str" cm="1">
        <f t="array" aca="1" ref="E74" ca="1">INDIRECT(CONCATENATE("'",$A$3,"'!c",B74),1)</f>
        <v>2091
2092
2093</v>
      </c>
      <c r="F74" s="1" cm="1">
        <f t="array" aca="1" ref="F74" ca="1">INDIRECT(CONCATENATE("'",$A$3,"'!d",B74),1)</f>
        <v>8</v>
      </c>
      <c r="G74" s="1" cm="1">
        <f t="array" aca="1" ref="G74" ca="1">INDIRECT(CONCATENATE("'",$A$3,"'!e",B74),1)</f>
        <v>3</v>
      </c>
      <c r="H74" s="1" cm="1">
        <f t="array" aca="1" ref="H74" ca="1">INDIRECT(CONCATENATE("'",$A$3,"'!f",B74),1)</f>
        <v>53</v>
      </c>
      <c r="I74" s="1" t="str" cm="1">
        <f t="array" aca="1" ref="I74" ca="1">INDIRECT(CONCATENATE("'",$A$3,"'!g",B74),1)</f>
        <v>ДЗ</v>
      </c>
      <c r="J74" s="1" cm="1">
        <f t="array" aca="1" ref="J74" ca="1">INDIRECT(CONCATENATE("'",$A$3,"'!h",B74),1)</f>
        <v>9</v>
      </c>
      <c r="K74" s="1" cm="1">
        <f t="array" aca="1" ref="K74" ca="1">INDIRECT(CONCATENATE("'",$A$3,"'!i",B74),1)</f>
        <v>0</v>
      </c>
      <c r="L74" s="1" cm="1">
        <f t="array" aca="1" ref="L74" ca="1">INDIRECT(CONCATENATE("'",$A$3,"'!j",B74),1)</f>
        <v>0</v>
      </c>
      <c r="M74" s="1" cm="1">
        <f t="array" aca="1" ref="M74" ca="1">INDIRECT(CONCATENATE("'",$A$3,"'!k",B74),1)</f>
        <v>0</v>
      </c>
      <c r="N74" s="1" t="str" cm="1">
        <f t="array" aca="1" ref="N74" ca="1">INDIRECT(CONCATENATE("'",$A$3,"'!l",B74),1)</f>
        <v>Журавлева М.П.Сазонова Н.В.Телина И.С.</v>
      </c>
      <c r="O74" s="1" cm="1">
        <f t="array" aca="1" ref="O74" ca="1">INDIRECT(CONCATENATE("'",$A$3,"'!m",B74),1)</f>
        <v>3300</v>
      </c>
      <c r="P74" s="1" t="str" cm="1">
        <f t="array" aca="1" ref="P74" ca="1">INDIRECT(CONCATENATE("'",$A$3,"'!n",B74),1)</f>
        <v>руководство ДП 6 человек</v>
      </c>
      <c r="Q74" s="1" cm="1">
        <f t="array" aca="1" ref="Q74" ca="1">INDIRECT(CONCATENATE("'",$A$3,"'!o",B74),1)</f>
        <v>108</v>
      </c>
      <c r="R74" s="1" cm="1">
        <f t="array" aca="1" ref="R74" ca="1">INDIRECT(CONCATENATE("'",$A$3,"'!p",B74),1)</f>
        <v>0</v>
      </c>
      <c r="S74" s="1">
        <f t="shared" ca="1" si="2"/>
        <v>0</v>
      </c>
      <c r="T74" s="1" t="str" cm="1">
        <f t="array" aca="1" ref="T74" ca="1">INDIRECT(CONCATENATE("'",$A$3,"'!q",B74),1)</f>
        <v>Журавлева М.П.</v>
      </c>
      <c r="U74" s="1" cm="1">
        <f t="array" aca="1" ref="U74" ca="1">INDIRECT(CONCATENATE("'",$A$3,"'!r",B74),1)</f>
        <v>36</v>
      </c>
      <c r="V74" s="1" t="str" cm="1">
        <f t="array" aca="1" ref="V74" ca="1">INDIRECT(CONCATENATE("'",$A$3,"'!s",B74),1)</f>
        <v>Сазонова Н.В.</v>
      </c>
      <c r="W74" s="1" cm="1">
        <f t="array" aca="1" ref="W74" ca="1">INDIRECT(CONCATENATE("'",$A$3,"'!t",B74),1)</f>
        <v>36</v>
      </c>
      <c r="X74" s="1" t="str" cm="1">
        <f t="array" aca="1" ref="X74" ca="1">INDIRECT(CONCATENATE("'",$A$3,"'!u",B74),1)</f>
        <v>Телина И.С.</v>
      </c>
      <c r="Y74" s="1" cm="1">
        <f t="array" aca="1" ref="Y74" ca="1">INDIRECT(CONCATENATE("'",$A$3,"'!v",B74),1)</f>
        <v>36</v>
      </c>
    </row>
    <row r="75" spans="1:25" customFormat="1" ht="41.1" hidden="1" customHeight="1" x14ac:dyDescent="0.25">
      <c r="A75" s="15"/>
      <c r="B75" s="24">
        <f t="shared" si="1"/>
        <v>74</v>
      </c>
      <c r="C75" s="1" t="str" cm="1">
        <f t="array" aca="1" ref="C75" ca="1">INDIRECT(CONCATENATE("'",$A$3,"'!A",B75),1)</f>
        <v>Выполнение и защита выпускной квалификационной работы</v>
      </c>
      <c r="D75" s="1" t="str" cm="1">
        <f t="array" aca="1" ref="D75" ca="1">INDIRECT(CONCATENATE("'",$A$3,"'!B",B75),1)</f>
        <v xml:space="preserve">09.03.01(09у) </v>
      </c>
      <c r="E75" s="1" t="str" cm="1">
        <f t="array" aca="1" ref="E75" ca="1">INDIRECT(CONCATENATE("'",$A$3,"'!c",B75),1)</f>
        <v>2091
2092
2093</v>
      </c>
      <c r="F75" s="1" cm="1">
        <f t="array" aca="1" ref="F75" ca="1">INDIRECT(CONCATENATE("'",$A$3,"'!d",B75),1)</f>
        <v>8</v>
      </c>
      <c r="G75" s="1" cm="1">
        <f t="array" aca="1" ref="G75" ca="1">INDIRECT(CONCATENATE("'",$A$3,"'!e",B75),1)</f>
        <v>3</v>
      </c>
      <c r="H75" s="1" cm="1">
        <f t="array" aca="1" ref="H75" ca="1">INDIRECT(CONCATENATE("'",$A$3,"'!f",B75),1)</f>
        <v>53</v>
      </c>
      <c r="I75" s="1" t="str" cm="1">
        <f t="array" aca="1" ref="I75" ca="1">INDIRECT(CONCATENATE("'",$A$3,"'!g",B75),1)</f>
        <v>ДЗ</v>
      </c>
      <c r="J75" s="1" cm="1">
        <f t="array" aca="1" ref="J75" ca="1">INDIRECT(CONCATENATE("'",$A$3,"'!h",B75),1)</f>
        <v>9</v>
      </c>
      <c r="K75" s="1" cm="1">
        <f t="array" aca="1" ref="K75" ca="1">INDIRECT(CONCATENATE("'",$A$3,"'!i",B75),1)</f>
        <v>0</v>
      </c>
      <c r="L75" s="1" cm="1">
        <f t="array" aca="1" ref="L75" ca="1">INDIRECT(CONCATENATE("'",$A$3,"'!j",B75),1)</f>
        <v>0</v>
      </c>
      <c r="M75" s="1" cm="1">
        <f t="array" aca="1" ref="M75" ca="1">INDIRECT(CONCATENATE("'",$A$3,"'!k",B75),1)</f>
        <v>0</v>
      </c>
      <c r="N75" s="1" t="str" cm="1">
        <f t="array" aca="1" ref="N75" ca="1">INDIRECT(CONCATENATE("'",$A$3,"'!l",B75),1)</f>
        <v>Соколова Г.Ю.Иванов Д.Д.Иванов И.</v>
      </c>
      <c r="O75" s="1" cm="1">
        <f t="array" aca="1" ref="O75" ca="1">INDIRECT(CONCATENATE("'",$A$3,"'!m",B75),1)</f>
        <v>3300</v>
      </c>
      <c r="P75" s="1" t="str" cm="1">
        <f t="array" aca="1" ref="P75" ca="1">INDIRECT(CONCATENATE("'",$A$3,"'!n",B75),1)</f>
        <v>руководство ДП 6 человек</v>
      </c>
      <c r="Q75" s="1" cm="1">
        <f t="array" aca="1" ref="Q75" ca="1">INDIRECT(CONCATENATE("'",$A$3,"'!o",B75),1)</f>
        <v>54</v>
      </c>
      <c r="R75" s="1" cm="1">
        <f t="array" aca="1" ref="R75" ca="1">INDIRECT(CONCATENATE("'",$A$3,"'!p",B75),1)</f>
        <v>0</v>
      </c>
      <c r="S75" s="1">
        <f t="shared" ca="1" si="2"/>
        <v>0</v>
      </c>
      <c r="T75" s="1" t="str" cm="1">
        <f t="array" aca="1" ref="T75" ca="1">INDIRECT(CONCATENATE("'",$A$3,"'!q",B75),1)</f>
        <v>Соколова Г.Ю.</v>
      </c>
      <c r="U75" s="1" cm="1">
        <f t="array" aca="1" ref="U75" ca="1">INDIRECT(CONCATENATE("'",$A$3,"'!r",B75),1)</f>
        <v>18</v>
      </c>
      <c r="V75" s="1" t="str" cm="1">
        <f t="array" aca="1" ref="V75" ca="1">INDIRECT(CONCATENATE("'",$A$3,"'!s",B75),1)</f>
        <v>Иванов Д.Д.</v>
      </c>
      <c r="W75" s="1" cm="1">
        <f t="array" aca="1" ref="W75" ca="1">INDIRECT(CONCATENATE("'",$A$3,"'!t",B75),1)</f>
        <v>18</v>
      </c>
      <c r="X75" s="1" t="str" cm="1">
        <f t="array" aca="1" ref="X75" ca="1">INDIRECT(CONCATENATE("'",$A$3,"'!u",B75),1)</f>
        <v>Иванов И.</v>
      </c>
      <c r="Y75" s="1" cm="1">
        <f t="array" aca="1" ref="Y75" ca="1">INDIRECT(CONCATENATE("'",$A$3,"'!v",B75),1)</f>
        <v>18</v>
      </c>
    </row>
    <row r="76" spans="1:25" customFormat="1" ht="36" hidden="1" customHeight="1" x14ac:dyDescent="0.25">
      <c r="A76" s="15"/>
      <c r="B76" s="24">
        <f t="shared" si="1"/>
        <v>75</v>
      </c>
      <c r="C76" s="1" t="str" cm="1">
        <f t="array" aca="1" ref="C76" ca="1">INDIRECT(CONCATENATE("'",$A$3,"'!A",B76),1)</f>
        <v>Выполнение и защита выпускной квалификационной работы</v>
      </c>
      <c r="D76" s="1" t="str" cm="1">
        <f t="array" aca="1" ref="D76" ca="1">INDIRECT(CONCATENATE("'",$A$3,"'!B",B76),1)</f>
        <v xml:space="preserve">09.03.01(09у) </v>
      </c>
      <c r="E76" s="1" t="str" cm="1">
        <f t="array" aca="1" ref="E76" ca="1">INDIRECT(CONCATENATE("'",$A$3,"'!c",B76),1)</f>
        <v>2091
2092
2093</v>
      </c>
      <c r="F76" s="1" cm="1">
        <f t="array" aca="1" ref="F76" ca="1">INDIRECT(CONCATENATE("'",$A$3,"'!d",B76),1)</f>
        <v>8</v>
      </c>
      <c r="G76" s="1" cm="1">
        <f t="array" aca="1" ref="G76" ca="1">INDIRECT(CONCATENATE("'",$A$3,"'!e",B76),1)</f>
        <v>3</v>
      </c>
      <c r="H76" s="1" cm="1">
        <f t="array" aca="1" ref="H76" ca="1">INDIRECT(CONCATENATE("'",$A$3,"'!f",B76),1)</f>
        <v>53</v>
      </c>
      <c r="I76" s="1" t="str" cm="1">
        <f t="array" aca="1" ref="I76" ca="1">INDIRECT(CONCATENATE("'",$A$3,"'!g",B76),1)</f>
        <v>ДЗ</v>
      </c>
      <c r="J76" s="1" cm="1">
        <f t="array" aca="1" ref="J76" ca="1">INDIRECT(CONCATENATE("'",$A$3,"'!h",B76),1)</f>
        <v>9</v>
      </c>
      <c r="K76" s="1" cm="1">
        <f t="array" aca="1" ref="K76" ca="1">INDIRECT(CONCATENATE("'",$A$3,"'!i",B76),1)</f>
        <v>0</v>
      </c>
      <c r="L76" s="1" cm="1">
        <f t="array" aca="1" ref="L76" ca="1">INDIRECT(CONCATENATE("'",$A$3,"'!j",B76),1)</f>
        <v>0</v>
      </c>
      <c r="M76" s="1" cm="1">
        <f t="array" aca="1" ref="M76" ca="1">INDIRECT(CONCATENATE("'",$A$3,"'!k",B76),1)</f>
        <v>0</v>
      </c>
      <c r="N76" s="1" t="str" cm="1">
        <f t="array" aca="1" ref="N76" ca="1">INDIRECT(CONCATENATE("'",$A$3,"'!l",B76),1)</f>
        <v>Цымбалюк А.Е.Кулаков И.Ю.Моркин С.А.</v>
      </c>
      <c r="O76" s="1" cm="1">
        <f t="array" aca="1" ref="O76" ca="1">INDIRECT(CONCATENATE("'",$A$3,"'!m",B76),1)</f>
        <v>3300</v>
      </c>
      <c r="P76" s="1" t="str" cm="1">
        <f t="array" aca="1" ref="P76" ca="1">INDIRECT(CONCATENATE("'",$A$3,"'!n",B76),1)</f>
        <v>руководство ДП 6 человек</v>
      </c>
      <c r="Q76" s="1" cm="1">
        <f t="array" aca="1" ref="Q76" ca="1">INDIRECT(CONCATENATE("'",$A$3,"'!o",B76),1)</f>
        <v>108</v>
      </c>
      <c r="R76" s="1" cm="1">
        <f t="array" aca="1" ref="R76" ca="1">INDIRECT(CONCATENATE("'",$A$3,"'!p",B76),1)</f>
        <v>0</v>
      </c>
      <c r="S76" s="1">
        <f t="shared" ca="1" si="2"/>
        <v>0</v>
      </c>
      <c r="T76" s="1" t="str" cm="1">
        <f t="array" aca="1" ref="T76" ca="1">INDIRECT(CONCATENATE("'",$A$3,"'!q",B76),1)</f>
        <v>Цымбалюк А.Е.</v>
      </c>
      <c r="U76" s="1" cm="1">
        <f t="array" aca="1" ref="U76" ca="1">INDIRECT(CONCATENATE("'",$A$3,"'!r",B76),1)</f>
        <v>36</v>
      </c>
      <c r="V76" s="1" t="str" cm="1">
        <f t="array" aca="1" ref="V76" ca="1">INDIRECT(CONCATENATE("'",$A$3,"'!s",B76),1)</f>
        <v>Кулаков И.Ю.</v>
      </c>
      <c r="W76" s="1" cm="1">
        <f t="array" aca="1" ref="W76" ca="1">INDIRECT(CONCATENATE("'",$A$3,"'!t",B76),1)</f>
        <v>36</v>
      </c>
      <c r="X76" s="1" t="str" cm="1">
        <f t="array" aca="1" ref="X76" ca="1">INDIRECT(CONCATENATE("'",$A$3,"'!u",B76),1)</f>
        <v>Моркин С.А.</v>
      </c>
      <c r="Y76" s="1" cm="1">
        <f t="array" aca="1" ref="Y76" ca="1">INDIRECT(CONCATENATE("'",$A$3,"'!v",B76),1)</f>
        <v>36</v>
      </c>
    </row>
    <row r="77" spans="1:25" customFormat="1" ht="45" hidden="1" x14ac:dyDescent="0.25">
      <c r="A77" s="15"/>
      <c r="B77" s="24">
        <f t="shared" si="1"/>
        <v>76</v>
      </c>
      <c r="C77" s="1" t="str" cm="1">
        <f t="array" aca="1" ref="C77" ca="1">INDIRECT(CONCATENATE("'",$A$3,"'!A",B77),1)</f>
        <v>Выполнение и защита выпускной квалификационной работы</v>
      </c>
      <c r="D77" s="1" t="str" cm="1">
        <f t="array" aca="1" ref="D77" ca="1">INDIRECT(CONCATENATE("'",$A$3,"'!B",B77),1)</f>
        <v xml:space="preserve">09.03.01(09у) </v>
      </c>
      <c r="E77" s="1" t="str" cm="1">
        <f t="array" aca="1" ref="E77" ca="1">INDIRECT(CONCATENATE("'",$A$3,"'!c",B77),1)</f>
        <v>2091
2092
2093</v>
      </c>
      <c r="F77" s="1" cm="1">
        <f t="array" aca="1" ref="F77" ca="1">INDIRECT(CONCATENATE("'",$A$3,"'!d",B77),1)</f>
        <v>8</v>
      </c>
      <c r="G77" s="1" cm="1">
        <f t="array" aca="1" ref="G77" ca="1">INDIRECT(CONCATENATE("'",$A$3,"'!e",B77),1)</f>
        <v>3</v>
      </c>
      <c r="H77" s="1" cm="1">
        <f t="array" aca="1" ref="H77" ca="1">INDIRECT(CONCATENATE("'",$A$3,"'!f",B77),1)</f>
        <v>53</v>
      </c>
      <c r="I77" s="1" t="str" cm="1">
        <f t="array" aca="1" ref="I77" ca="1">INDIRECT(CONCATENATE("'",$A$3,"'!g",B77),1)</f>
        <v>ДЗ</v>
      </c>
      <c r="J77" s="1" cm="1">
        <f t="array" aca="1" ref="J77" ca="1">INDIRECT(CONCATENATE("'",$A$3,"'!h",B77),1)</f>
        <v>9</v>
      </c>
      <c r="K77" s="1" cm="1">
        <f t="array" aca="1" ref="K77" ca="1">INDIRECT(CONCATENATE("'",$A$3,"'!i",B77),1)</f>
        <v>0</v>
      </c>
      <c r="L77" s="1" cm="1">
        <f t="array" aca="1" ref="L77" ca="1">INDIRECT(CONCATENATE("'",$A$3,"'!j",B77),1)</f>
        <v>0</v>
      </c>
      <c r="M77" s="1" cm="1">
        <f t="array" aca="1" ref="M77" ca="1">INDIRECT(CONCATENATE("'",$A$3,"'!k",B77),1)</f>
        <v>0</v>
      </c>
      <c r="N77" s="1" t="str" cm="1">
        <f t="array" aca="1" ref="N77" ca="1">INDIRECT(CONCATENATE("'",$A$3,"'!l",B77),1)</f>
        <v>Залилов Р.Ю.Сазонова Н.В.Эминов С.И.</v>
      </c>
      <c r="O77" s="1" cm="1">
        <f t="array" aca="1" ref="O77" ca="1">INDIRECT(CONCATENATE("'",$A$3,"'!m",B77),1)</f>
        <v>3300</v>
      </c>
      <c r="P77" s="1" t="str" cm="1">
        <f t="array" aca="1" ref="P77" ca="1">INDIRECT(CONCATENATE("'",$A$3,"'!n",B77),1)</f>
        <v>руководство ДП 6 человек</v>
      </c>
      <c r="Q77" s="1" cm="1">
        <f t="array" aca="1" ref="Q77" ca="1">INDIRECT(CONCATENATE("'",$A$3,"'!o",B77),1)</f>
        <v>108</v>
      </c>
      <c r="R77" s="1" cm="1">
        <f t="array" aca="1" ref="R77" ca="1">INDIRECT(CONCATENATE("'",$A$3,"'!p",B77),1)</f>
        <v>50.4</v>
      </c>
      <c r="S77" s="1">
        <f t="shared" ca="1" si="2"/>
        <v>0</v>
      </c>
      <c r="T77" s="1" t="str" cm="1">
        <f t="array" aca="1" ref="T77" ca="1">INDIRECT(CONCATENATE("'",$A$3,"'!q",B77),1)</f>
        <v>Залилов Р.Ю.</v>
      </c>
      <c r="U77" s="1" cm="1">
        <f t="array" aca="1" ref="U77" ca="1">INDIRECT(CONCATENATE("'",$A$3,"'!r",B77),1)</f>
        <v>36</v>
      </c>
      <c r="V77" s="1" t="str" cm="1">
        <f t="array" aca="1" ref="V77" ca="1">INDIRECT(CONCATENATE("'",$A$3,"'!s",B77),1)</f>
        <v>Сазонова Н.В.</v>
      </c>
      <c r="W77" s="1" cm="1">
        <f t="array" aca="1" ref="W77" ca="1">INDIRECT(CONCATENATE("'",$A$3,"'!t",B77),1)</f>
        <v>36</v>
      </c>
      <c r="X77" s="1" t="str" cm="1">
        <f t="array" aca="1" ref="X77" ca="1">INDIRECT(CONCATENATE("'",$A$3,"'!u",B77),1)</f>
        <v>Эминов С.И.</v>
      </c>
      <c r="Y77" s="1" cm="1">
        <f t="array" aca="1" ref="Y77" ca="1">INDIRECT(CONCATENATE("'",$A$3,"'!v",B77),1)</f>
        <v>36</v>
      </c>
    </row>
    <row r="78" spans="1:25" customFormat="1" hidden="1" x14ac:dyDescent="0.25">
      <c r="A78" s="15"/>
      <c r="B78" s="24">
        <f t="shared" si="1"/>
        <v>77</v>
      </c>
      <c r="C78" s="1" cm="1">
        <f t="array" aca="1" ref="C78" ca="1">INDIRECT(CONCATENATE("'",$A$3,"'!A",B78),1)</f>
        <v>0</v>
      </c>
      <c r="D78" s="1" cm="1">
        <f t="array" aca="1" ref="D78" ca="1">INDIRECT(CONCATENATE("'",$A$3,"'!B",B78),1)</f>
        <v>0</v>
      </c>
      <c r="E78" s="1" cm="1">
        <f t="array" aca="1" ref="E78" ca="1">INDIRECT(CONCATENATE("'",$A$3,"'!c",B78),1)</f>
        <v>0</v>
      </c>
      <c r="F78" s="1" cm="1">
        <f t="array" aca="1" ref="F78" ca="1">INDIRECT(CONCATENATE("'",$A$3,"'!d",B78),1)</f>
        <v>0</v>
      </c>
      <c r="G78" s="1" cm="1">
        <f t="array" aca="1" ref="G78" ca="1">INDIRECT(CONCATENATE("'",$A$3,"'!e",B78),1)</f>
        <v>0</v>
      </c>
      <c r="H78" s="1" cm="1">
        <f t="array" aca="1" ref="H78" ca="1">INDIRECT(CONCATENATE("'",$A$3,"'!f",B78),1)</f>
        <v>0</v>
      </c>
      <c r="I78" s="1" cm="1">
        <f t="array" aca="1" ref="I78" ca="1">INDIRECT(CONCATENATE("'",$A$3,"'!g",B78),1)</f>
        <v>0</v>
      </c>
      <c r="J78" s="1" cm="1">
        <f t="array" aca="1" ref="J78" ca="1">INDIRECT(CONCATENATE("'",$A$3,"'!h",B78),1)</f>
        <v>0</v>
      </c>
      <c r="K78" s="1" cm="1">
        <f t="array" aca="1" ref="K78" ca="1">INDIRECT(CONCATENATE("'",$A$3,"'!i",B78),1)</f>
        <v>0</v>
      </c>
      <c r="L78" s="1" cm="1">
        <f t="array" aca="1" ref="L78" ca="1">INDIRECT(CONCATENATE("'",$A$3,"'!j",B78),1)</f>
        <v>0</v>
      </c>
      <c r="M78" s="1" cm="1">
        <f t="array" aca="1" ref="M78" ca="1">INDIRECT(CONCATENATE("'",$A$3,"'!k",B78),1)</f>
        <v>0</v>
      </c>
      <c r="N78" s="1" cm="1">
        <f t="array" aca="1" ref="N78" ca="1">INDIRECT(CONCATENATE("'",$A$3,"'!l",B78),1)</f>
        <v>0</v>
      </c>
      <c r="O78" s="1" cm="1">
        <f t="array" aca="1" ref="O78" ca="1">INDIRECT(CONCATENATE("'",$A$3,"'!m",B78),1)</f>
        <v>0</v>
      </c>
      <c r="P78" s="1" cm="1">
        <f t="array" aca="1" ref="P78" ca="1">INDIRECT(CONCATENATE("'",$A$3,"'!n",B78),1)</f>
        <v>0</v>
      </c>
      <c r="Q78" s="1" cm="1">
        <f t="array" aca="1" ref="Q78" ca="1">INDIRECT(CONCATENATE("'",$A$3,"'!o",B78),1)</f>
        <v>0</v>
      </c>
      <c r="R78" s="1" cm="1">
        <f t="array" aca="1" ref="R78" ca="1">INDIRECT(CONCATENATE("'",$A$3,"'!p",B78),1)</f>
        <v>0</v>
      </c>
      <c r="S78" s="1">
        <f t="shared" ca="1" si="2"/>
        <v>0</v>
      </c>
      <c r="T78" s="1" cm="1">
        <f t="array" aca="1" ref="T78" ca="1">INDIRECT(CONCATENATE("'",$A$3,"'!q",B78),1)</f>
        <v>0</v>
      </c>
      <c r="U78" s="1" cm="1">
        <f t="array" aca="1" ref="U78" ca="1">INDIRECT(CONCATENATE("'",$A$3,"'!r",B78),1)</f>
        <v>0</v>
      </c>
      <c r="V78" s="1" cm="1">
        <f t="array" aca="1" ref="V78" ca="1">INDIRECT(CONCATENATE("'",$A$3,"'!s",B78),1)</f>
        <v>0</v>
      </c>
      <c r="W78" s="1" cm="1">
        <f t="array" aca="1" ref="W78" ca="1">INDIRECT(CONCATENATE("'",$A$3,"'!t",B78),1)</f>
        <v>0</v>
      </c>
      <c r="X78" s="1" cm="1">
        <f t="array" aca="1" ref="X78" ca="1">INDIRECT(CONCATENATE("'",$A$3,"'!u",B78),1)</f>
        <v>0</v>
      </c>
      <c r="Y78" s="1" cm="1">
        <f t="array" aca="1" ref="Y78" ca="1">INDIRECT(CONCATENATE("'",$A$3,"'!v",B78),1)</f>
        <v>0</v>
      </c>
    </row>
    <row r="79" spans="1:25" customFormat="1" hidden="1" x14ac:dyDescent="0.25">
      <c r="A79" s="15"/>
      <c r="B79" s="24">
        <f t="shared" si="1"/>
        <v>78</v>
      </c>
      <c r="C79" s="1" cm="1">
        <f t="array" aca="1" ref="C79" ca="1">INDIRECT(CONCATENATE("'",$A$3,"'!A",B79),1)</f>
        <v>0</v>
      </c>
      <c r="D79" s="1" cm="1">
        <f t="array" aca="1" ref="D79" ca="1">INDIRECT(CONCATENATE("'",$A$3,"'!B",B79),1)</f>
        <v>0</v>
      </c>
      <c r="E79" s="1" cm="1">
        <f t="array" aca="1" ref="E79" ca="1">INDIRECT(CONCATENATE("'",$A$3,"'!c",B79),1)</f>
        <v>0</v>
      </c>
      <c r="F79" s="1" cm="1">
        <f t="array" aca="1" ref="F79" ca="1">INDIRECT(CONCATENATE("'",$A$3,"'!d",B79),1)</f>
        <v>0</v>
      </c>
      <c r="G79" s="1" cm="1">
        <f t="array" aca="1" ref="G79" ca="1">INDIRECT(CONCATENATE("'",$A$3,"'!e",B79),1)</f>
        <v>0</v>
      </c>
      <c r="H79" s="1" cm="1">
        <f t="array" aca="1" ref="H79" ca="1">INDIRECT(CONCATENATE("'",$A$3,"'!f",B79),1)</f>
        <v>0</v>
      </c>
      <c r="I79" s="1" cm="1">
        <f t="array" aca="1" ref="I79" ca="1">INDIRECT(CONCATENATE("'",$A$3,"'!g",B79),1)</f>
        <v>0</v>
      </c>
      <c r="J79" s="1" cm="1">
        <f t="array" aca="1" ref="J79" ca="1">INDIRECT(CONCATENATE("'",$A$3,"'!h",B79),1)</f>
        <v>0</v>
      </c>
      <c r="K79" s="1" cm="1">
        <f t="array" aca="1" ref="K79" ca="1">INDIRECT(CONCATENATE("'",$A$3,"'!i",B79),1)</f>
        <v>0</v>
      </c>
      <c r="L79" s="1" cm="1">
        <f t="array" aca="1" ref="L79" ca="1">INDIRECT(CONCATENATE("'",$A$3,"'!j",B79),1)</f>
        <v>0</v>
      </c>
      <c r="M79" s="1" cm="1">
        <f t="array" aca="1" ref="M79" ca="1">INDIRECT(CONCATENATE("'",$A$3,"'!k",B79),1)</f>
        <v>0</v>
      </c>
      <c r="N79" s="1" cm="1">
        <f t="array" aca="1" ref="N79" ca="1">INDIRECT(CONCATENATE("'",$A$3,"'!l",B79),1)</f>
        <v>0</v>
      </c>
      <c r="O79" s="1" cm="1">
        <f t="array" aca="1" ref="O79" ca="1">INDIRECT(CONCATENATE("'",$A$3,"'!m",B79),1)</f>
        <v>0</v>
      </c>
      <c r="P79" s="1" cm="1">
        <f t="array" aca="1" ref="P79" ca="1">INDIRECT(CONCATENATE("'",$A$3,"'!n",B79),1)</f>
        <v>0</v>
      </c>
      <c r="Q79" s="1" cm="1">
        <f t="array" aca="1" ref="Q79" ca="1">INDIRECT(CONCATENATE("'",$A$3,"'!o",B79),1)</f>
        <v>0</v>
      </c>
      <c r="R79" s="1" cm="1">
        <f t="array" aca="1" ref="R79" ca="1">INDIRECT(CONCATENATE("'",$A$3,"'!p",B79),1)</f>
        <v>0</v>
      </c>
      <c r="S79" s="1">
        <f t="shared" ca="1" si="2"/>
        <v>0</v>
      </c>
      <c r="T79" s="1" cm="1">
        <f t="array" aca="1" ref="T79" ca="1">INDIRECT(CONCATENATE("'",$A$3,"'!q",B79),1)</f>
        <v>0</v>
      </c>
      <c r="U79" s="1" cm="1">
        <f t="array" aca="1" ref="U79" ca="1">INDIRECT(CONCATENATE("'",$A$3,"'!r",B79),1)</f>
        <v>0</v>
      </c>
      <c r="V79" s="1" cm="1">
        <f t="array" aca="1" ref="V79" ca="1">INDIRECT(CONCATENATE("'",$A$3,"'!s",B79),1)</f>
        <v>0</v>
      </c>
      <c r="W79" s="1" cm="1">
        <f t="array" aca="1" ref="W79" ca="1">INDIRECT(CONCATENATE("'",$A$3,"'!t",B79),1)</f>
        <v>0</v>
      </c>
      <c r="X79" s="1" cm="1">
        <f t="array" aca="1" ref="X79" ca="1">INDIRECT(CONCATENATE("'",$A$3,"'!u",B79),1)</f>
        <v>0</v>
      </c>
      <c r="Y79" s="1" cm="1">
        <f t="array" aca="1" ref="Y79" ca="1">INDIRECT(CONCATENATE("'",$A$3,"'!v",B79),1)</f>
        <v>0</v>
      </c>
    </row>
    <row r="80" spans="1:25" customFormat="1" hidden="1" x14ac:dyDescent="0.25">
      <c r="A80" s="15"/>
      <c r="B80" s="24">
        <f t="shared" ref="B80:B99" si="3">B79+1</f>
        <v>79</v>
      </c>
      <c r="C80" s="1" cm="1">
        <f t="array" aca="1" ref="C80" ca="1">INDIRECT(CONCATENATE("'",$A$3,"'!A",B80),1)</f>
        <v>0</v>
      </c>
      <c r="D80" s="1" cm="1">
        <f t="array" aca="1" ref="D80" ca="1">INDIRECT(CONCATENATE("'",$A$3,"'!B",B80),1)</f>
        <v>0</v>
      </c>
      <c r="E80" s="1" cm="1">
        <f t="array" aca="1" ref="E80" ca="1">INDIRECT(CONCATENATE("'",$A$3,"'!c",B80),1)</f>
        <v>0</v>
      </c>
      <c r="F80" s="1" cm="1">
        <f t="array" aca="1" ref="F80" ca="1">INDIRECT(CONCATENATE("'",$A$3,"'!d",B80),1)</f>
        <v>0</v>
      </c>
      <c r="G80" s="1" cm="1">
        <f t="array" aca="1" ref="G80" ca="1">INDIRECT(CONCATENATE("'",$A$3,"'!e",B80),1)</f>
        <v>0</v>
      </c>
      <c r="H80" s="1" cm="1">
        <f t="array" aca="1" ref="H80" ca="1">INDIRECT(CONCATENATE("'",$A$3,"'!f",B80),1)</f>
        <v>0</v>
      </c>
      <c r="I80" s="1" cm="1">
        <f t="array" aca="1" ref="I80" ca="1">INDIRECT(CONCATENATE("'",$A$3,"'!g",B80),1)</f>
        <v>0</v>
      </c>
      <c r="J80" s="1" cm="1">
        <f t="array" aca="1" ref="J80" ca="1">INDIRECT(CONCATENATE("'",$A$3,"'!h",B80),1)</f>
        <v>0</v>
      </c>
      <c r="K80" s="1" cm="1">
        <f t="array" aca="1" ref="K80" ca="1">INDIRECT(CONCATENATE("'",$A$3,"'!i",B80),1)</f>
        <v>0</v>
      </c>
      <c r="L80" s="1" cm="1">
        <f t="array" aca="1" ref="L80" ca="1">INDIRECT(CONCATENATE("'",$A$3,"'!j",B80),1)</f>
        <v>0</v>
      </c>
      <c r="M80" s="1" cm="1">
        <f t="array" aca="1" ref="M80" ca="1">INDIRECT(CONCATENATE("'",$A$3,"'!k",B80),1)</f>
        <v>0</v>
      </c>
      <c r="N80" s="1" cm="1">
        <f t="array" aca="1" ref="N80" ca="1">INDIRECT(CONCATENATE("'",$A$3,"'!l",B80),1)</f>
        <v>0</v>
      </c>
      <c r="O80" s="1" cm="1">
        <f t="array" aca="1" ref="O80" ca="1">INDIRECT(CONCATENATE("'",$A$3,"'!m",B80),1)</f>
        <v>0</v>
      </c>
      <c r="P80" s="1" cm="1">
        <f t="array" aca="1" ref="P80" ca="1">INDIRECT(CONCATENATE("'",$A$3,"'!n",B80),1)</f>
        <v>0</v>
      </c>
      <c r="Q80" s="1" cm="1">
        <f t="array" aca="1" ref="Q80" ca="1">INDIRECT(CONCATENATE("'",$A$3,"'!o",B80),1)</f>
        <v>0</v>
      </c>
      <c r="R80" s="1" cm="1">
        <f t="array" aca="1" ref="R80" ca="1">INDIRECT(CONCATENATE("'",$A$3,"'!p",B80),1)</f>
        <v>0</v>
      </c>
      <c r="S80" s="1">
        <f t="shared" ca="1" si="2"/>
        <v>0</v>
      </c>
      <c r="T80" s="1" cm="1">
        <f t="array" aca="1" ref="T80" ca="1">INDIRECT(CONCATENATE("'",$A$3,"'!q",B80),1)</f>
        <v>0</v>
      </c>
      <c r="U80" s="1" cm="1">
        <f t="array" aca="1" ref="U80" ca="1">INDIRECT(CONCATENATE("'",$A$3,"'!r",B80),1)</f>
        <v>0</v>
      </c>
      <c r="V80" s="1" cm="1">
        <f t="array" aca="1" ref="V80" ca="1">INDIRECT(CONCATENATE("'",$A$3,"'!s",B80),1)</f>
        <v>0</v>
      </c>
      <c r="W80" s="1" cm="1">
        <f t="array" aca="1" ref="W80" ca="1">INDIRECT(CONCATENATE("'",$A$3,"'!t",B80),1)</f>
        <v>0</v>
      </c>
      <c r="X80" s="1" cm="1">
        <f t="array" aca="1" ref="X80" ca="1">INDIRECT(CONCATENATE("'",$A$3,"'!u",B80),1)</f>
        <v>0</v>
      </c>
      <c r="Y80" s="1" cm="1">
        <f t="array" aca="1" ref="Y80" ca="1">INDIRECT(CONCATENATE("'",$A$3,"'!v",B80),1)</f>
        <v>0</v>
      </c>
    </row>
    <row r="81" spans="1:25" customFormat="1" hidden="1" x14ac:dyDescent="0.25">
      <c r="A81" s="15"/>
      <c r="B81" s="24">
        <f t="shared" si="3"/>
        <v>80</v>
      </c>
      <c r="C81" s="1" cm="1">
        <f t="array" aca="1" ref="C81" ca="1">INDIRECT(CONCATENATE("'",$A$3,"'!A",B81),1)</f>
        <v>0</v>
      </c>
      <c r="D81" s="1" cm="1">
        <f t="array" aca="1" ref="D81" ca="1">INDIRECT(CONCATENATE("'",$A$3,"'!B",B81),1)</f>
        <v>0</v>
      </c>
      <c r="E81" s="1" cm="1">
        <f t="array" aca="1" ref="E81" ca="1">INDIRECT(CONCATENATE("'",$A$3,"'!c",B81),1)</f>
        <v>0</v>
      </c>
      <c r="F81" s="1" cm="1">
        <f t="array" aca="1" ref="F81" ca="1">INDIRECT(CONCATENATE("'",$A$3,"'!d",B81),1)</f>
        <v>0</v>
      </c>
      <c r="G81" s="1" cm="1">
        <f t="array" aca="1" ref="G81" ca="1">INDIRECT(CONCATENATE("'",$A$3,"'!e",B81),1)</f>
        <v>0</v>
      </c>
      <c r="H81" s="1" cm="1">
        <f t="array" aca="1" ref="H81" ca="1">INDIRECT(CONCATENATE("'",$A$3,"'!f",B81),1)</f>
        <v>0</v>
      </c>
      <c r="I81" s="1" cm="1">
        <f t="array" aca="1" ref="I81" ca="1">INDIRECT(CONCATENATE("'",$A$3,"'!g",B81),1)</f>
        <v>0</v>
      </c>
      <c r="J81" s="1" cm="1">
        <f t="array" aca="1" ref="J81" ca="1">INDIRECT(CONCATENATE("'",$A$3,"'!h",B81),1)</f>
        <v>0</v>
      </c>
      <c r="K81" s="1" cm="1">
        <f t="array" aca="1" ref="K81" ca="1">INDIRECT(CONCATENATE("'",$A$3,"'!i",B81),1)</f>
        <v>0</v>
      </c>
      <c r="L81" s="1" cm="1">
        <f t="array" aca="1" ref="L81" ca="1">INDIRECT(CONCATENATE("'",$A$3,"'!j",B81),1)</f>
        <v>0</v>
      </c>
      <c r="M81" s="1" cm="1">
        <f t="array" aca="1" ref="M81" ca="1">INDIRECT(CONCATENATE("'",$A$3,"'!k",B81),1)</f>
        <v>0</v>
      </c>
      <c r="N81" s="1" cm="1">
        <f t="array" aca="1" ref="N81" ca="1">INDIRECT(CONCATENATE("'",$A$3,"'!l",B81),1)</f>
        <v>0</v>
      </c>
      <c r="O81" s="1" cm="1">
        <f t="array" aca="1" ref="O81" ca="1">INDIRECT(CONCATENATE("'",$A$3,"'!m",B81),1)</f>
        <v>0</v>
      </c>
      <c r="P81" s="1" cm="1">
        <f t="array" aca="1" ref="P81" ca="1">INDIRECT(CONCATENATE("'",$A$3,"'!n",B81),1)</f>
        <v>0</v>
      </c>
      <c r="Q81" s="1" cm="1">
        <f t="array" aca="1" ref="Q81" ca="1">INDIRECT(CONCATENATE("'",$A$3,"'!o",B81),1)</f>
        <v>0</v>
      </c>
      <c r="R81" s="1" cm="1">
        <f t="array" aca="1" ref="R81" ca="1">INDIRECT(CONCATENATE("'",$A$3,"'!p",B81),1)</f>
        <v>0</v>
      </c>
      <c r="S81" s="1">
        <f t="shared" ca="1" si="2"/>
        <v>0</v>
      </c>
      <c r="T81" s="1" cm="1">
        <f t="array" aca="1" ref="T81" ca="1">INDIRECT(CONCATENATE("'",$A$3,"'!q",B81),1)</f>
        <v>0</v>
      </c>
      <c r="U81" s="1" cm="1">
        <f t="array" aca="1" ref="U81" ca="1">INDIRECT(CONCATENATE("'",$A$3,"'!r",B81),1)</f>
        <v>0</v>
      </c>
      <c r="V81" s="1" cm="1">
        <f t="array" aca="1" ref="V81" ca="1">INDIRECT(CONCATENATE("'",$A$3,"'!s",B81),1)</f>
        <v>0</v>
      </c>
      <c r="W81" s="1" cm="1">
        <f t="array" aca="1" ref="W81" ca="1">INDIRECT(CONCATENATE("'",$A$3,"'!t",B81),1)</f>
        <v>0</v>
      </c>
      <c r="X81" s="1" cm="1">
        <f t="array" aca="1" ref="X81" ca="1">INDIRECT(CONCATENATE("'",$A$3,"'!u",B81),1)</f>
        <v>0</v>
      </c>
      <c r="Y81" s="1" cm="1">
        <f t="array" aca="1" ref="Y81" ca="1">INDIRECT(CONCATENATE("'",$A$3,"'!v",B81),1)</f>
        <v>0</v>
      </c>
    </row>
    <row r="82" spans="1:25" customFormat="1" hidden="1" x14ac:dyDescent="0.25">
      <c r="A82" s="15"/>
      <c r="B82" s="24">
        <f t="shared" si="3"/>
        <v>81</v>
      </c>
      <c r="C82" s="1" cm="1">
        <f t="array" aca="1" ref="C82" ca="1">INDIRECT(CONCATENATE("'",$A$3,"'!A",B82),1)</f>
        <v>0</v>
      </c>
      <c r="D82" s="1" cm="1">
        <f t="array" aca="1" ref="D82" ca="1">INDIRECT(CONCATENATE("'",$A$3,"'!B",B82),1)</f>
        <v>0</v>
      </c>
      <c r="E82" s="1" cm="1">
        <f t="array" aca="1" ref="E82" ca="1">INDIRECT(CONCATENATE("'",$A$3,"'!c",B82),1)</f>
        <v>0</v>
      </c>
      <c r="F82" s="1" cm="1">
        <f t="array" aca="1" ref="F82" ca="1">INDIRECT(CONCATENATE("'",$A$3,"'!d",B82),1)</f>
        <v>0</v>
      </c>
      <c r="G82" s="1" cm="1">
        <f t="array" aca="1" ref="G82" ca="1">INDIRECT(CONCATENATE("'",$A$3,"'!e",B82),1)</f>
        <v>0</v>
      </c>
      <c r="H82" s="1" cm="1">
        <f t="array" aca="1" ref="H82" ca="1">INDIRECT(CONCATENATE("'",$A$3,"'!f",B82),1)</f>
        <v>0</v>
      </c>
      <c r="I82" s="1" cm="1">
        <f t="array" aca="1" ref="I82" ca="1">INDIRECT(CONCATENATE("'",$A$3,"'!g",B82),1)</f>
        <v>0</v>
      </c>
      <c r="J82" s="1" cm="1">
        <f t="array" aca="1" ref="J82" ca="1">INDIRECT(CONCATENATE("'",$A$3,"'!h",B82),1)</f>
        <v>0</v>
      </c>
      <c r="K82" s="1" cm="1">
        <f t="array" aca="1" ref="K82" ca="1">INDIRECT(CONCATENATE("'",$A$3,"'!i",B82),1)</f>
        <v>0</v>
      </c>
      <c r="L82" s="1" cm="1">
        <f t="array" aca="1" ref="L82" ca="1">INDIRECT(CONCATENATE("'",$A$3,"'!j",B82),1)</f>
        <v>0</v>
      </c>
      <c r="M82" s="1" cm="1">
        <f t="array" aca="1" ref="M82" ca="1">INDIRECT(CONCATENATE("'",$A$3,"'!k",B82),1)</f>
        <v>0</v>
      </c>
      <c r="N82" s="1" cm="1">
        <f t="array" aca="1" ref="N82" ca="1">INDIRECT(CONCATENATE("'",$A$3,"'!l",B82),1)</f>
        <v>0</v>
      </c>
      <c r="O82" s="1" cm="1">
        <f t="array" aca="1" ref="O82" ca="1">INDIRECT(CONCATENATE("'",$A$3,"'!m",B82),1)</f>
        <v>0</v>
      </c>
      <c r="P82" s="1" cm="1">
        <f t="array" aca="1" ref="P82" ca="1">INDIRECT(CONCATENATE("'",$A$3,"'!n",B82),1)</f>
        <v>0</v>
      </c>
      <c r="Q82" s="1" cm="1">
        <f t="array" aca="1" ref="Q82" ca="1">INDIRECT(CONCATENATE("'",$A$3,"'!o",B82),1)</f>
        <v>0</v>
      </c>
      <c r="R82" s="1" cm="1">
        <f t="array" aca="1" ref="R82" ca="1">INDIRECT(CONCATENATE("'",$A$3,"'!p",B82),1)</f>
        <v>0</v>
      </c>
      <c r="S82" s="1">
        <f t="shared" ca="1" si="2"/>
        <v>0</v>
      </c>
      <c r="T82" s="1" cm="1">
        <f t="array" aca="1" ref="T82" ca="1">INDIRECT(CONCATENATE("'",$A$3,"'!q",B82),1)</f>
        <v>0</v>
      </c>
      <c r="U82" s="1" cm="1">
        <f t="array" aca="1" ref="U82" ca="1">INDIRECT(CONCATENATE("'",$A$3,"'!r",B82),1)</f>
        <v>0</v>
      </c>
      <c r="V82" s="1" cm="1">
        <f t="array" aca="1" ref="V82" ca="1">INDIRECT(CONCATENATE("'",$A$3,"'!s",B82),1)</f>
        <v>0</v>
      </c>
      <c r="W82" s="1" cm="1">
        <f t="array" aca="1" ref="W82" ca="1">INDIRECT(CONCATENATE("'",$A$3,"'!t",B82),1)</f>
        <v>0</v>
      </c>
      <c r="X82" s="1" cm="1">
        <f t="array" aca="1" ref="X82" ca="1">INDIRECT(CONCATENATE("'",$A$3,"'!u",B82),1)</f>
        <v>0</v>
      </c>
      <c r="Y82" s="1" cm="1">
        <f t="array" aca="1" ref="Y82" ca="1">INDIRECT(CONCATENATE("'",$A$3,"'!v",B82),1)</f>
        <v>0</v>
      </c>
    </row>
    <row r="83" spans="1:25" customFormat="1" hidden="1" x14ac:dyDescent="0.25">
      <c r="A83" s="15"/>
      <c r="B83" s="24">
        <f t="shared" si="3"/>
        <v>82</v>
      </c>
      <c r="C83" s="1" cm="1">
        <f t="array" aca="1" ref="C83" ca="1">INDIRECT(CONCATENATE("'",$A$3,"'!A",B83),1)</f>
        <v>0</v>
      </c>
      <c r="D83" s="1" cm="1">
        <f t="array" aca="1" ref="D83" ca="1">INDIRECT(CONCATENATE("'",$A$3,"'!B",B83),1)</f>
        <v>0</v>
      </c>
      <c r="E83" s="1" cm="1">
        <f t="array" aca="1" ref="E83" ca="1">INDIRECT(CONCATENATE("'",$A$3,"'!c",B83),1)</f>
        <v>0</v>
      </c>
      <c r="F83" s="1" cm="1">
        <f t="array" aca="1" ref="F83" ca="1">INDIRECT(CONCATENATE("'",$A$3,"'!d",B83),1)</f>
        <v>0</v>
      </c>
      <c r="G83" s="1" cm="1">
        <f t="array" aca="1" ref="G83" ca="1">INDIRECT(CONCATENATE("'",$A$3,"'!e",B83),1)</f>
        <v>0</v>
      </c>
      <c r="H83" s="1" cm="1">
        <f t="array" aca="1" ref="H83" ca="1">INDIRECT(CONCATENATE("'",$A$3,"'!f",B83),1)</f>
        <v>0</v>
      </c>
      <c r="I83" s="1" cm="1">
        <f t="array" aca="1" ref="I83" ca="1">INDIRECT(CONCATENATE("'",$A$3,"'!g",B83),1)</f>
        <v>0</v>
      </c>
      <c r="J83" s="1" cm="1">
        <f t="array" aca="1" ref="J83" ca="1">INDIRECT(CONCATENATE("'",$A$3,"'!h",B83),1)</f>
        <v>0</v>
      </c>
      <c r="K83" s="1" cm="1">
        <f t="array" aca="1" ref="K83" ca="1">INDIRECT(CONCATENATE("'",$A$3,"'!i",B83),1)</f>
        <v>0</v>
      </c>
      <c r="L83" s="1" cm="1">
        <f t="array" aca="1" ref="L83" ca="1">INDIRECT(CONCATENATE("'",$A$3,"'!j",B83),1)</f>
        <v>0</v>
      </c>
      <c r="M83" s="1" cm="1">
        <f t="array" aca="1" ref="M83" ca="1">INDIRECT(CONCATENATE("'",$A$3,"'!k",B83),1)</f>
        <v>0</v>
      </c>
      <c r="N83" s="1" cm="1">
        <f t="array" aca="1" ref="N83" ca="1">INDIRECT(CONCATENATE("'",$A$3,"'!l",B83),1)</f>
        <v>0</v>
      </c>
      <c r="O83" s="1" cm="1">
        <f t="array" aca="1" ref="O83" ca="1">INDIRECT(CONCATENATE("'",$A$3,"'!m",B83),1)</f>
        <v>0</v>
      </c>
      <c r="P83" s="1" cm="1">
        <f t="array" aca="1" ref="P83" ca="1">INDIRECT(CONCATENATE("'",$A$3,"'!n",B83),1)</f>
        <v>0</v>
      </c>
      <c r="Q83" s="1" cm="1">
        <f t="array" aca="1" ref="Q83" ca="1">INDIRECT(CONCATENATE("'",$A$3,"'!o",B83),1)</f>
        <v>0</v>
      </c>
      <c r="R83" s="1" cm="1">
        <f t="array" aca="1" ref="R83" ca="1">INDIRECT(CONCATENATE("'",$A$3,"'!p",B83),1)</f>
        <v>0</v>
      </c>
      <c r="S83" s="1">
        <f t="shared" ca="1" si="2"/>
        <v>0</v>
      </c>
      <c r="T83" s="1" cm="1">
        <f t="array" aca="1" ref="T83" ca="1">INDIRECT(CONCATENATE("'",$A$3,"'!q",B83),1)</f>
        <v>0</v>
      </c>
      <c r="U83" s="1" cm="1">
        <f t="array" aca="1" ref="U83" ca="1">INDIRECT(CONCATENATE("'",$A$3,"'!r",B83),1)</f>
        <v>0</v>
      </c>
      <c r="V83" s="1" cm="1">
        <f t="array" aca="1" ref="V83" ca="1">INDIRECT(CONCATENATE("'",$A$3,"'!s",B83),1)</f>
        <v>0</v>
      </c>
      <c r="W83" s="1" cm="1">
        <f t="array" aca="1" ref="W83" ca="1">INDIRECT(CONCATENATE("'",$A$3,"'!t",B83),1)</f>
        <v>0</v>
      </c>
      <c r="X83" s="1" cm="1">
        <f t="array" aca="1" ref="X83" ca="1">INDIRECT(CONCATENATE("'",$A$3,"'!u",B83),1)</f>
        <v>0</v>
      </c>
      <c r="Y83" s="1" cm="1">
        <f t="array" aca="1" ref="Y83" ca="1">INDIRECT(CONCATENATE("'",$A$3,"'!v",B83),1)</f>
        <v>0</v>
      </c>
    </row>
    <row r="84" spans="1:25" customFormat="1" hidden="1" x14ac:dyDescent="0.25">
      <c r="A84" s="15"/>
      <c r="B84" s="24">
        <f t="shared" si="3"/>
        <v>83</v>
      </c>
      <c r="C84" s="1" cm="1">
        <f t="array" aca="1" ref="C84" ca="1">INDIRECT(CONCATENATE("'",$A$3,"'!A",B84),1)</f>
        <v>0</v>
      </c>
      <c r="D84" s="1" cm="1">
        <f t="array" aca="1" ref="D84" ca="1">INDIRECT(CONCATENATE("'",$A$3,"'!B",B84),1)</f>
        <v>0</v>
      </c>
      <c r="E84" s="1" cm="1">
        <f t="array" aca="1" ref="E84" ca="1">INDIRECT(CONCATENATE("'",$A$3,"'!c",B84),1)</f>
        <v>0</v>
      </c>
      <c r="F84" s="1" cm="1">
        <f t="array" aca="1" ref="F84" ca="1">INDIRECT(CONCATENATE("'",$A$3,"'!d",B84),1)</f>
        <v>0</v>
      </c>
      <c r="G84" s="1" cm="1">
        <f t="array" aca="1" ref="G84" ca="1">INDIRECT(CONCATENATE("'",$A$3,"'!e",B84),1)</f>
        <v>0</v>
      </c>
      <c r="H84" s="1" cm="1">
        <f t="array" aca="1" ref="H84" ca="1">INDIRECT(CONCATENATE("'",$A$3,"'!f",B84),1)</f>
        <v>0</v>
      </c>
      <c r="I84" s="1" cm="1">
        <f t="array" aca="1" ref="I84" ca="1">INDIRECT(CONCATENATE("'",$A$3,"'!g",B84),1)</f>
        <v>0</v>
      </c>
      <c r="J84" s="1" cm="1">
        <f t="array" aca="1" ref="J84" ca="1">INDIRECT(CONCATENATE("'",$A$3,"'!h",B84),1)</f>
        <v>0</v>
      </c>
      <c r="K84" s="1" cm="1">
        <f t="array" aca="1" ref="K84" ca="1">INDIRECT(CONCATENATE("'",$A$3,"'!i",B84),1)</f>
        <v>0</v>
      </c>
      <c r="L84" s="1" cm="1">
        <f t="array" aca="1" ref="L84" ca="1">INDIRECT(CONCATENATE("'",$A$3,"'!j",B84),1)</f>
        <v>0</v>
      </c>
      <c r="M84" s="1" cm="1">
        <f t="array" aca="1" ref="M84" ca="1">INDIRECT(CONCATENATE("'",$A$3,"'!k",B84),1)</f>
        <v>0</v>
      </c>
      <c r="N84" s="1" cm="1">
        <f t="array" aca="1" ref="N84" ca="1">INDIRECT(CONCATENATE("'",$A$3,"'!l",B84),1)</f>
        <v>0</v>
      </c>
      <c r="O84" s="1" cm="1">
        <f t="array" aca="1" ref="O84" ca="1">INDIRECT(CONCATENATE("'",$A$3,"'!m",B84),1)</f>
        <v>0</v>
      </c>
      <c r="P84" s="1" cm="1">
        <f t="array" aca="1" ref="P84" ca="1">INDIRECT(CONCATENATE("'",$A$3,"'!n",B84),1)</f>
        <v>0</v>
      </c>
      <c r="Q84" s="1" cm="1">
        <f t="array" aca="1" ref="Q84" ca="1">INDIRECT(CONCATENATE("'",$A$3,"'!o",B84),1)</f>
        <v>0</v>
      </c>
      <c r="R84" s="1" cm="1">
        <f t="array" aca="1" ref="R84" ca="1">INDIRECT(CONCATENATE("'",$A$3,"'!p",B84),1)</f>
        <v>0</v>
      </c>
      <c r="S84" s="1">
        <f t="shared" ca="1" si="2"/>
        <v>0</v>
      </c>
      <c r="T84" s="1" cm="1">
        <f t="array" aca="1" ref="T84" ca="1">INDIRECT(CONCATENATE("'",$A$3,"'!q",B84),1)</f>
        <v>0</v>
      </c>
      <c r="U84" s="1" cm="1">
        <f t="array" aca="1" ref="U84" ca="1">INDIRECT(CONCATENATE("'",$A$3,"'!r",B84),1)</f>
        <v>0</v>
      </c>
      <c r="V84" s="1" cm="1">
        <f t="array" aca="1" ref="V84" ca="1">INDIRECT(CONCATENATE("'",$A$3,"'!s",B84),1)</f>
        <v>0</v>
      </c>
      <c r="W84" s="1" cm="1">
        <f t="array" aca="1" ref="W84" ca="1">INDIRECT(CONCATENATE("'",$A$3,"'!t",B84),1)</f>
        <v>0</v>
      </c>
      <c r="X84" s="1" cm="1">
        <f t="array" aca="1" ref="X84" ca="1">INDIRECT(CONCATENATE("'",$A$3,"'!u",B84),1)</f>
        <v>0</v>
      </c>
      <c r="Y84" s="1" cm="1">
        <f t="array" aca="1" ref="Y84" ca="1">INDIRECT(CONCATENATE("'",$A$3,"'!v",B84),1)</f>
        <v>0</v>
      </c>
    </row>
    <row r="85" spans="1:25" customFormat="1" hidden="1" x14ac:dyDescent="0.25">
      <c r="A85" s="15"/>
      <c r="B85" s="24">
        <f t="shared" si="3"/>
        <v>84</v>
      </c>
      <c r="C85" s="1" cm="1">
        <f t="array" aca="1" ref="C85" ca="1">INDIRECT(CONCATENATE("'",$A$3,"'!A",B85),1)</f>
        <v>0</v>
      </c>
      <c r="D85" s="1" cm="1">
        <f t="array" aca="1" ref="D85" ca="1">INDIRECT(CONCATENATE("'",$A$3,"'!B",B85),1)</f>
        <v>0</v>
      </c>
      <c r="E85" s="1" cm="1">
        <f t="array" aca="1" ref="E85" ca="1">INDIRECT(CONCATENATE("'",$A$3,"'!c",B85),1)</f>
        <v>0</v>
      </c>
      <c r="F85" s="1" cm="1">
        <f t="array" aca="1" ref="F85" ca="1">INDIRECT(CONCATENATE("'",$A$3,"'!d",B85),1)</f>
        <v>0</v>
      </c>
      <c r="G85" s="1" cm="1">
        <f t="array" aca="1" ref="G85" ca="1">INDIRECT(CONCATENATE("'",$A$3,"'!e",B85),1)</f>
        <v>0</v>
      </c>
      <c r="H85" s="1" cm="1">
        <f t="array" aca="1" ref="H85" ca="1">INDIRECT(CONCATENATE("'",$A$3,"'!f",B85),1)</f>
        <v>0</v>
      </c>
      <c r="I85" s="1" cm="1">
        <f t="array" aca="1" ref="I85" ca="1">INDIRECT(CONCATENATE("'",$A$3,"'!g",B85),1)</f>
        <v>0</v>
      </c>
      <c r="J85" s="1" cm="1">
        <f t="array" aca="1" ref="J85" ca="1">INDIRECT(CONCATENATE("'",$A$3,"'!h",B85),1)</f>
        <v>0</v>
      </c>
      <c r="K85" s="1" cm="1">
        <f t="array" aca="1" ref="K85" ca="1">INDIRECT(CONCATENATE("'",$A$3,"'!i",B85),1)</f>
        <v>0</v>
      </c>
      <c r="L85" s="1" cm="1">
        <f t="array" aca="1" ref="L85" ca="1">INDIRECT(CONCATENATE("'",$A$3,"'!j",B85),1)</f>
        <v>0</v>
      </c>
      <c r="M85" s="1" cm="1">
        <f t="array" aca="1" ref="M85" ca="1">INDIRECT(CONCATENATE("'",$A$3,"'!k",B85),1)</f>
        <v>0</v>
      </c>
      <c r="N85" s="1" cm="1">
        <f t="array" aca="1" ref="N85" ca="1">INDIRECT(CONCATENATE("'",$A$3,"'!l",B85),1)</f>
        <v>0</v>
      </c>
      <c r="O85" s="1" cm="1">
        <f t="array" aca="1" ref="O85" ca="1">INDIRECT(CONCATENATE("'",$A$3,"'!m",B85),1)</f>
        <v>0</v>
      </c>
      <c r="P85" s="1" cm="1">
        <f t="array" aca="1" ref="P85" ca="1">INDIRECT(CONCATENATE("'",$A$3,"'!n",B85),1)</f>
        <v>0</v>
      </c>
      <c r="Q85" s="1" cm="1">
        <f t="array" aca="1" ref="Q85" ca="1">INDIRECT(CONCATENATE("'",$A$3,"'!o",B85),1)</f>
        <v>0</v>
      </c>
      <c r="R85" s="1" cm="1">
        <f t="array" aca="1" ref="R85" ca="1">INDIRECT(CONCATENATE("'",$A$3,"'!p",B85),1)</f>
        <v>0</v>
      </c>
      <c r="S85" s="1">
        <f t="shared" ca="1" si="2"/>
        <v>0</v>
      </c>
      <c r="T85" s="1" cm="1">
        <f t="array" aca="1" ref="T85" ca="1">INDIRECT(CONCATENATE("'",$A$3,"'!q",B85),1)</f>
        <v>0</v>
      </c>
      <c r="U85" s="1" cm="1">
        <f t="array" aca="1" ref="U85" ca="1">INDIRECT(CONCATENATE("'",$A$3,"'!r",B85),1)</f>
        <v>0</v>
      </c>
      <c r="V85" s="1" cm="1">
        <f t="array" aca="1" ref="V85" ca="1">INDIRECT(CONCATENATE("'",$A$3,"'!s",B85),1)</f>
        <v>0</v>
      </c>
      <c r="W85" s="1" cm="1">
        <f t="array" aca="1" ref="W85" ca="1">INDIRECT(CONCATENATE("'",$A$3,"'!t",B85),1)</f>
        <v>0</v>
      </c>
      <c r="X85" s="1" cm="1">
        <f t="array" aca="1" ref="X85" ca="1">INDIRECT(CONCATENATE("'",$A$3,"'!u",B85),1)</f>
        <v>0</v>
      </c>
      <c r="Y85" s="1" cm="1">
        <f t="array" aca="1" ref="Y85" ca="1">INDIRECT(CONCATENATE("'",$A$3,"'!v",B85),1)</f>
        <v>0</v>
      </c>
    </row>
    <row r="86" spans="1:25" customFormat="1" hidden="1" x14ac:dyDescent="0.25">
      <c r="A86" s="15"/>
      <c r="B86" s="24">
        <f t="shared" si="3"/>
        <v>85</v>
      </c>
      <c r="C86" s="1" cm="1">
        <f t="array" aca="1" ref="C86" ca="1">INDIRECT(CONCATENATE("'",$A$3,"'!A",B86),1)</f>
        <v>0</v>
      </c>
      <c r="D86" s="1" cm="1">
        <f t="array" aca="1" ref="D86" ca="1">INDIRECT(CONCATENATE("'",$A$3,"'!B",B86),1)</f>
        <v>0</v>
      </c>
      <c r="E86" s="1" cm="1">
        <f t="array" aca="1" ref="E86" ca="1">INDIRECT(CONCATENATE("'",$A$3,"'!c",B86),1)</f>
        <v>0</v>
      </c>
      <c r="F86" s="1" cm="1">
        <f t="array" aca="1" ref="F86" ca="1">INDIRECT(CONCATENATE("'",$A$3,"'!d",B86),1)</f>
        <v>0</v>
      </c>
      <c r="G86" s="1" cm="1">
        <f t="array" aca="1" ref="G86" ca="1">INDIRECT(CONCATENATE("'",$A$3,"'!e",B86),1)</f>
        <v>0</v>
      </c>
      <c r="H86" s="1" cm="1">
        <f t="array" aca="1" ref="H86" ca="1">INDIRECT(CONCATENATE("'",$A$3,"'!f",B86),1)</f>
        <v>0</v>
      </c>
      <c r="I86" s="1" cm="1">
        <f t="array" aca="1" ref="I86" ca="1">INDIRECT(CONCATENATE("'",$A$3,"'!g",B86),1)</f>
        <v>0</v>
      </c>
      <c r="J86" s="1" cm="1">
        <f t="array" aca="1" ref="J86" ca="1">INDIRECT(CONCATENATE("'",$A$3,"'!h",B86),1)</f>
        <v>0</v>
      </c>
      <c r="K86" s="1" cm="1">
        <f t="array" aca="1" ref="K86" ca="1">INDIRECT(CONCATENATE("'",$A$3,"'!i",B86),1)</f>
        <v>0</v>
      </c>
      <c r="L86" s="1" cm="1">
        <f t="array" aca="1" ref="L86" ca="1">INDIRECT(CONCATENATE("'",$A$3,"'!j",B86),1)</f>
        <v>0</v>
      </c>
      <c r="M86" s="1" cm="1">
        <f t="array" aca="1" ref="M86" ca="1">INDIRECT(CONCATENATE("'",$A$3,"'!k",B86),1)</f>
        <v>0</v>
      </c>
      <c r="N86" s="1" cm="1">
        <f t="array" aca="1" ref="N86" ca="1">INDIRECT(CONCATENATE("'",$A$3,"'!l",B86),1)</f>
        <v>0</v>
      </c>
      <c r="O86" s="1" cm="1">
        <f t="array" aca="1" ref="O86" ca="1">INDIRECT(CONCATENATE("'",$A$3,"'!m",B86),1)</f>
        <v>0</v>
      </c>
      <c r="P86" s="1" cm="1">
        <f t="array" aca="1" ref="P86" ca="1">INDIRECT(CONCATENATE("'",$A$3,"'!n",B86),1)</f>
        <v>0</v>
      </c>
      <c r="Q86" s="1" cm="1">
        <f t="array" aca="1" ref="Q86" ca="1">INDIRECT(CONCATENATE("'",$A$3,"'!o",B86),1)</f>
        <v>0</v>
      </c>
      <c r="R86" s="1" cm="1">
        <f t="array" aca="1" ref="R86" ca="1">INDIRECT(CONCATENATE("'",$A$3,"'!p",B86),1)</f>
        <v>0</v>
      </c>
      <c r="S86" s="1">
        <f t="shared" ca="1" si="2"/>
        <v>0</v>
      </c>
      <c r="T86" s="1" cm="1">
        <f t="array" aca="1" ref="T86" ca="1">INDIRECT(CONCATENATE("'",$A$3,"'!q",B86),1)</f>
        <v>0</v>
      </c>
      <c r="U86" s="1" cm="1">
        <f t="array" aca="1" ref="U86" ca="1">INDIRECT(CONCATENATE("'",$A$3,"'!r",B86),1)</f>
        <v>0</v>
      </c>
      <c r="V86" s="1" cm="1">
        <f t="array" aca="1" ref="V86" ca="1">INDIRECT(CONCATENATE("'",$A$3,"'!s",B86),1)</f>
        <v>0</v>
      </c>
      <c r="W86" s="1" cm="1">
        <f t="array" aca="1" ref="W86" ca="1">INDIRECT(CONCATENATE("'",$A$3,"'!t",B86),1)</f>
        <v>0</v>
      </c>
      <c r="X86" s="1" cm="1">
        <f t="array" aca="1" ref="X86" ca="1">INDIRECT(CONCATENATE("'",$A$3,"'!u",B86),1)</f>
        <v>0</v>
      </c>
      <c r="Y86" s="1" cm="1">
        <f t="array" aca="1" ref="Y86" ca="1">INDIRECT(CONCATENATE("'",$A$3,"'!v",B86),1)</f>
        <v>0</v>
      </c>
    </row>
    <row r="87" spans="1:25" customFormat="1" hidden="1" x14ac:dyDescent="0.25">
      <c r="A87" s="15"/>
      <c r="B87" s="24">
        <f t="shared" si="3"/>
        <v>86</v>
      </c>
      <c r="C87" s="1" cm="1">
        <f t="array" aca="1" ref="C87" ca="1">INDIRECT(CONCATENATE("'",$A$3,"'!A",B87),1)</f>
        <v>0</v>
      </c>
      <c r="D87" s="1" cm="1">
        <f t="array" aca="1" ref="D87" ca="1">INDIRECT(CONCATENATE("'",$A$3,"'!B",B87),1)</f>
        <v>0</v>
      </c>
      <c r="E87" s="1" cm="1">
        <f t="array" aca="1" ref="E87" ca="1">INDIRECT(CONCATENATE("'",$A$3,"'!c",B87),1)</f>
        <v>0</v>
      </c>
      <c r="F87" s="1" cm="1">
        <f t="array" aca="1" ref="F87" ca="1">INDIRECT(CONCATENATE("'",$A$3,"'!d",B87),1)</f>
        <v>0</v>
      </c>
      <c r="G87" s="1" cm="1">
        <f t="array" aca="1" ref="G87" ca="1">INDIRECT(CONCATENATE("'",$A$3,"'!e",B87),1)</f>
        <v>0</v>
      </c>
      <c r="H87" s="1" cm="1">
        <f t="array" aca="1" ref="H87" ca="1">INDIRECT(CONCATENATE("'",$A$3,"'!f",B87),1)</f>
        <v>0</v>
      </c>
      <c r="I87" s="1" cm="1">
        <f t="array" aca="1" ref="I87" ca="1">INDIRECT(CONCATENATE("'",$A$3,"'!g",B87),1)</f>
        <v>0</v>
      </c>
      <c r="J87" s="1" cm="1">
        <f t="array" aca="1" ref="J87" ca="1">INDIRECT(CONCATENATE("'",$A$3,"'!h",B87),1)</f>
        <v>0</v>
      </c>
      <c r="K87" s="1" cm="1">
        <f t="array" aca="1" ref="K87" ca="1">INDIRECT(CONCATENATE("'",$A$3,"'!i",B87),1)</f>
        <v>0</v>
      </c>
      <c r="L87" s="1" cm="1">
        <f t="array" aca="1" ref="L87" ca="1">INDIRECT(CONCATENATE("'",$A$3,"'!j",B87),1)</f>
        <v>0</v>
      </c>
      <c r="M87" s="1" cm="1">
        <f t="array" aca="1" ref="M87" ca="1">INDIRECT(CONCATENATE("'",$A$3,"'!k",B87),1)</f>
        <v>0</v>
      </c>
      <c r="N87" s="1" cm="1">
        <f t="array" aca="1" ref="N87" ca="1">INDIRECT(CONCATENATE("'",$A$3,"'!l",B87),1)</f>
        <v>0</v>
      </c>
      <c r="O87" s="1" cm="1">
        <f t="array" aca="1" ref="O87" ca="1">INDIRECT(CONCATENATE("'",$A$3,"'!m",B87),1)</f>
        <v>0</v>
      </c>
      <c r="P87" s="1" cm="1">
        <f t="array" aca="1" ref="P87" ca="1">INDIRECT(CONCATENATE("'",$A$3,"'!n",B87),1)</f>
        <v>0</v>
      </c>
      <c r="Q87" s="1" cm="1">
        <f t="array" aca="1" ref="Q87" ca="1">INDIRECT(CONCATENATE("'",$A$3,"'!o",B87),1)</f>
        <v>0</v>
      </c>
      <c r="R87" s="1" cm="1">
        <f t="array" aca="1" ref="R87" ca="1">INDIRECT(CONCATENATE("'",$A$3,"'!p",B87),1)</f>
        <v>0</v>
      </c>
      <c r="S87" s="1">
        <f t="shared" ca="1" si="2"/>
        <v>0</v>
      </c>
      <c r="T87" s="1" cm="1">
        <f t="array" aca="1" ref="T87" ca="1">INDIRECT(CONCATENATE("'",$A$3,"'!q",B87),1)</f>
        <v>0</v>
      </c>
      <c r="U87" s="1" cm="1">
        <f t="array" aca="1" ref="U87" ca="1">INDIRECT(CONCATENATE("'",$A$3,"'!r",B87),1)</f>
        <v>0</v>
      </c>
      <c r="V87" s="1" cm="1">
        <f t="array" aca="1" ref="V87" ca="1">INDIRECT(CONCATENATE("'",$A$3,"'!s",B87),1)</f>
        <v>0</v>
      </c>
      <c r="W87" s="1" cm="1">
        <f t="array" aca="1" ref="W87" ca="1">INDIRECT(CONCATENATE("'",$A$3,"'!t",B87),1)</f>
        <v>0</v>
      </c>
      <c r="X87" s="1" cm="1">
        <f t="array" aca="1" ref="X87" ca="1">INDIRECT(CONCATENATE("'",$A$3,"'!u",B87),1)</f>
        <v>0</v>
      </c>
      <c r="Y87" s="1" cm="1">
        <f t="array" aca="1" ref="Y87" ca="1">INDIRECT(CONCATENATE("'",$A$3,"'!v",B87),1)</f>
        <v>0</v>
      </c>
    </row>
    <row r="88" spans="1:25" customFormat="1" hidden="1" x14ac:dyDescent="0.25">
      <c r="A88" s="15"/>
      <c r="B88" s="24">
        <f t="shared" si="3"/>
        <v>87</v>
      </c>
      <c r="C88" s="1" cm="1">
        <f t="array" aca="1" ref="C88" ca="1">INDIRECT(CONCATENATE("'",$A$3,"'!A",B88),1)</f>
        <v>0</v>
      </c>
      <c r="D88" s="1" cm="1">
        <f t="array" aca="1" ref="D88" ca="1">INDIRECT(CONCATENATE("'",$A$3,"'!B",B88),1)</f>
        <v>0</v>
      </c>
      <c r="E88" s="1" cm="1">
        <f t="array" aca="1" ref="E88" ca="1">INDIRECT(CONCATENATE("'",$A$3,"'!c",B88),1)</f>
        <v>0</v>
      </c>
      <c r="F88" s="1" cm="1">
        <f t="array" aca="1" ref="F88" ca="1">INDIRECT(CONCATENATE("'",$A$3,"'!d",B88),1)</f>
        <v>0</v>
      </c>
      <c r="G88" s="1" cm="1">
        <f t="array" aca="1" ref="G88" ca="1">INDIRECT(CONCATENATE("'",$A$3,"'!e",B88),1)</f>
        <v>0</v>
      </c>
      <c r="H88" s="1" cm="1">
        <f t="array" aca="1" ref="H88" ca="1">INDIRECT(CONCATENATE("'",$A$3,"'!f",B88),1)</f>
        <v>0</v>
      </c>
      <c r="I88" s="1" cm="1">
        <f t="array" aca="1" ref="I88" ca="1">INDIRECT(CONCATENATE("'",$A$3,"'!g",B88),1)</f>
        <v>0</v>
      </c>
      <c r="J88" s="1" cm="1">
        <f t="array" aca="1" ref="J88" ca="1">INDIRECT(CONCATENATE("'",$A$3,"'!h",B88),1)</f>
        <v>0</v>
      </c>
      <c r="K88" s="1" cm="1">
        <f t="array" aca="1" ref="K88" ca="1">INDIRECT(CONCATENATE("'",$A$3,"'!i",B88),1)</f>
        <v>0</v>
      </c>
      <c r="L88" s="1" cm="1">
        <f t="array" aca="1" ref="L88" ca="1">INDIRECT(CONCATENATE("'",$A$3,"'!j",B88),1)</f>
        <v>0</v>
      </c>
      <c r="M88" s="1" cm="1">
        <f t="array" aca="1" ref="M88" ca="1">INDIRECT(CONCATENATE("'",$A$3,"'!k",B88),1)</f>
        <v>0</v>
      </c>
      <c r="N88" s="1" cm="1">
        <f t="array" aca="1" ref="N88" ca="1">INDIRECT(CONCATENATE("'",$A$3,"'!l",B88),1)</f>
        <v>0</v>
      </c>
      <c r="O88" s="1" cm="1">
        <f t="array" aca="1" ref="O88" ca="1">INDIRECT(CONCATENATE("'",$A$3,"'!m",B88),1)</f>
        <v>0</v>
      </c>
      <c r="P88" s="1" cm="1">
        <f t="array" aca="1" ref="P88" ca="1">INDIRECT(CONCATENATE("'",$A$3,"'!n",B88),1)</f>
        <v>0</v>
      </c>
      <c r="Q88" s="1" cm="1">
        <f t="array" aca="1" ref="Q88" ca="1">INDIRECT(CONCATENATE("'",$A$3,"'!o",B88),1)</f>
        <v>0</v>
      </c>
      <c r="R88" s="1" cm="1">
        <f t="array" aca="1" ref="R88" ca="1">INDIRECT(CONCATENATE("'",$A$3,"'!p",B88),1)</f>
        <v>0</v>
      </c>
      <c r="S88" s="1">
        <f t="shared" ca="1" si="2"/>
        <v>0</v>
      </c>
      <c r="T88" s="1" cm="1">
        <f t="array" aca="1" ref="T88" ca="1">INDIRECT(CONCATENATE("'",$A$3,"'!q",B88),1)</f>
        <v>0</v>
      </c>
      <c r="U88" s="1" cm="1">
        <f t="array" aca="1" ref="U88" ca="1">INDIRECT(CONCATENATE("'",$A$3,"'!r",B88),1)</f>
        <v>0</v>
      </c>
      <c r="V88" s="1" cm="1">
        <f t="array" aca="1" ref="V88" ca="1">INDIRECT(CONCATENATE("'",$A$3,"'!s",B88),1)</f>
        <v>0</v>
      </c>
      <c r="W88" s="1" cm="1">
        <f t="array" aca="1" ref="W88" ca="1">INDIRECT(CONCATENATE("'",$A$3,"'!t",B88),1)</f>
        <v>0</v>
      </c>
      <c r="X88" s="1" cm="1">
        <f t="array" aca="1" ref="X88" ca="1">INDIRECT(CONCATENATE("'",$A$3,"'!u",B88),1)</f>
        <v>0</v>
      </c>
      <c r="Y88" s="1" cm="1">
        <f t="array" aca="1" ref="Y88" ca="1">INDIRECT(CONCATENATE("'",$A$3,"'!v",B88),1)</f>
        <v>0</v>
      </c>
    </row>
    <row r="89" spans="1:25" customFormat="1" hidden="1" x14ac:dyDescent="0.25">
      <c r="A89" s="15"/>
      <c r="B89" s="24">
        <f t="shared" si="3"/>
        <v>88</v>
      </c>
      <c r="C89" s="1" cm="1">
        <f t="array" aca="1" ref="C89" ca="1">INDIRECT(CONCATENATE("'",$A$3,"'!A",B89),1)</f>
        <v>0</v>
      </c>
      <c r="D89" s="1" cm="1">
        <f t="array" aca="1" ref="D89" ca="1">INDIRECT(CONCATENATE("'",$A$3,"'!B",B89),1)</f>
        <v>0</v>
      </c>
      <c r="E89" s="1" cm="1">
        <f t="array" aca="1" ref="E89" ca="1">INDIRECT(CONCATENATE("'",$A$3,"'!c",B89),1)</f>
        <v>0</v>
      </c>
      <c r="F89" s="1" cm="1">
        <f t="array" aca="1" ref="F89" ca="1">INDIRECT(CONCATENATE("'",$A$3,"'!d",B89),1)</f>
        <v>0</v>
      </c>
      <c r="G89" s="1" cm="1">
        <f t="array" aca="1" ref="G89" ca="1">INDIRECT(CONCATENATE("'",$A$3,"'!e",B89),1)</f>
        <v>0</v>
      </c>
      <c r="H89" s="1" cm="1">
        <f t="array" aca="1" ref="H89" ca="1">INDIRECT(CONCATENATE("'",$A$3,"'!f",B89),1)</f>
        <v>0</v>
      </c>
      <c r="I89" s="1" cm="1">
        <f t="array" aca="1" ref="I89" ca="1">INDIRECT(CONCATENATE("'",$A$3,"'!g",B89),1)</f>
        <v>0</v>
      </c>
      <c r="J89" s="1" cm="1">
        <f t="array" aca="1" ref="J89" ca="1">INDIRECT(CONCATENATE("'",$A$3,"'!h",B89),1)</f>
        <v>0</v>
      </c>
      <c r="K89" s="1" cm="1">
        <f t="array" aca="1" ref="K89" ca="1">INDIRECT(CONCATENATE("'",$A$3,"'!i",B89),1)</f>
        <v>0</v>
      </c>
      <c r="L89" s="1" cm="1">
        <f t="array" aca="1" ref="L89" ca="1">INDIRECT(CONCATENATE("'",$A$3,"'!j",B89),1)</f>
        <v>0</v>
      </c>
      <c r="M89" s="1" cm="1">
        <f t="array" aca="1" ref="M89" ca="1">INDIRECT(CONCATENATE("'",$A$3,"'!k",B89),1)</f>
        <v>0</v>
      </c>
      <c r="N89" s="1" cm="1">
        <f t="array" aca="1" ref="N89" ca="1">INDIRECT(CONCATENATE("'",$A$3,"'!l",B89),1)</f>
        <v>0</v>
      </c>
      <c r="O89" s="1" cm="1">
        <f t="array" aca="1" ref="O89" ca="1">INDIRECT(CONCATENATE("'",$A$3,"'!m",B89),1)</f>
        <v>0</v>
      </c>
      <c r="P89" s="1" cm="1">
        <f t="array" aca="1" ref="P89" ca="1">INDIRECT(CONCATENATE("'",$A$3,"'!n",B89),1)</f>
        <v>0</v>
      </c>
      <c r="Q89" s="1" cm="1">
        <f t="array" aca="1" ref="Q89" ca="1">INDIRECT(CONCATENATE("'",$A$3,"'!o",B89),1)</f>
        <v>0</v>
      </c>
      <c r="R89" s="1" cm="1">
        <f t="array" aca="1" ref="R89" ca="1">INDIRECT(CONCATENATE("'",$A$3,"'!p",B89),1)</f>
        <v>0</v>
      </c>
      <c r="S89" s="1">
        <f t="shared" ca="1" si="2"/>
        <v>0</v>
      </c>
      <c r="T89" s="1" cm="1">
        <f t="array" aca="1" ref="T89" ca="1">INDIRECT(CONCATENATE("'",$A$3,"'!q",B89),1)</f>
        <v>0</v>
      </c>
      <c r="U89" s="1" cm="1">
        <f t="array" aca="1" ref="U89" ca="1">INDIRECT(CONCATENATE("'",$A$3,"'!r",B89),1)</f>
        <v>0</v>
      </c>
      <c r="V89" s="1" cm="1">
        <f t="array" aca="1" ref="V89" ca="1">INDIRECT(CONCATENATE("'",$A$3,"'!s",B89),1)</f>
        <v>0</v>
      </c>
      <c r="W89" s="1" cm="1">
        <f t="array" aca="1" ref="W89" ca="1">INDIRECT(CONCATENATE("'",$A$3,"'!t",B89),1)</f>
        <v>0</v>
      </c>
      <c r="X89" s="1" cm="1">
        <f t="array" aca="1" ref="X89" ca="1">INDIRECT(CONCATENATE("'",$A$3,"'!u",B89),1)</f>
        <v>0</v>
      </c>
      <c r="Y89" s="1" cm="1">
        <f t="array" aca="1" ref="Y89" ca="1">INDIRECT(CONCATENATE("'",$A$3,"'!v",B89),1)</f>
        <v>0</v>
      </c>
    </row>
    <row r="90" spans="1:25" customFormat="1" hidden="1" x14ac:dyDescent="0.25">
      <c r="A90" s="15"/>
      <c r="B90" s="24">
        <f t="shared" si="3"/>
        <v>89</v>
      </c>
      <c r="C90" s="1" cm="1">
        <f t="array" aca="1" ref="C90" ca="1">INDIRECT(CONCATENATE("'",$A$3,"'!A",B90),1)</f>
        <v>0</v>
      </c>
      <c r="D90" s="1" cm="1">
        <f t="array" aca="1" ref="D90" ca="1">INDIRECT(CONCATENATE("'",$A$3,"'!B",B90),1)</f>
        <v>0</v>
      </c>
      <c r="E90" s="1" cm="1">
        <f t="array" aca="1" ref="E90" ca="1">INDIRECT(CONCATENATE("'",$A$3,"'!c",B90),1)</f>
        <v>0</v>
      </c>
      <c r="F90" s="1" cm="1">
        <f t="array" aca="1" ref="F90" ca="1">INDIRECT(CONCATENATE("'",$A$3,"'!d",B90),1)</f>
        <v>0</v>
      </c>
      <c r="G90" s="1" cm="1">
        <f t="array" aca="1" ref="G90" ca="1">INDIRECT(CONCATENATE("'",$A$3,"'!e",B90),1)</f>
        <v>0</v>
      </c>
      <c r="H90" s="1" cm="1">
        <f t="array" aca="1" ref="H90" ca="1">INDIRECT(CONCATENATE("'",$A$3,"'!f",B90),1)</f>
        <v>0</v>
      </c>
      <c r="I90" s="1" cm="1">
        <f t="array" aca="1" ref="I90" ca="1">INDIRECT(CONCATENATE("'",$A$3,"'!g",B90),1)</f>
        <v>0</v>
      </c>
      <c r="J90" s="1" cm="1">
        <f t="array" aca="1" ref="J90" ca="1">INDIRECT(CONCATENATE("'",$A$3,"'!h",B90),1)</f>
        <v>0</v>
      </c>
      <c r="K90" s="1" cm="1">
        <f t="array" aca="1" ref="K90" ca="1">INDIRECT(CONCATENATE("'",$A$3,"'!i",B90),1)</f>
        <v>0</v>
      </c>
      <c r="L90" s="1" cm="1">
        <f t="array" aca="1" ref="L90" ca="1">INDIRECT(CONCATENATE("'",$A$3,"'!j",B90),1)</f>
        <v>0</v>
      </c>
      <c r="M90" s="1" cm="1">
        <f t="array" aca="1" ref="M90" ca="1">INDIRECT(CONCATENATE("'",$A$3,"'!k",B90),1)</f>
        <v>0</v>
      </c>
      <c r="N90" s="1" cm="1">
        <f t="array" aca="1" ref="N90" ca="1">INDIRECT(CONCATENATE("'",$A$3,"'!l",B90),1)</f>
        <v>0</v>
      </c>
      <c r="O90" s="1" cm="1">
        <f t="array" aca="1" ref="O90" ca="1">INDIRECT(CONCATENATE("'",$A$3,"'!m",B90),1)</f>
        <v>0</v>
      </c>
      <c r="P90" s="1" cm="1">
        <f t="array" aca="1" ref="P90" ca="1">INDIRECT(CONCATENATE("'",$A$3,"'!n",B90),1)</f>
        <v>0</v>
      </c>
      <c r="Q90" s="1" cm="1">
        <f t="array" aca="1" ref="Q90" ca="1">INDIRECT(CONCATENATE("'",$A$3,"'!o",B90),1)</f>
        <v>0</v>
      </c>
      <c r="R90" s="1" cm="1">
        <f t="array" aca="1" ref="R90" ca="1">INDIRECT(CONCATENATE("'",$A$3,"'!p",B90),1)</f>
        <v>0</v>
      </c>
      <c r="S90" s="1">
        <f t="shared" ca="1" si="2"/>
        <v>0</v>
      </c>
      <c r="T90" s="1" cm="1">
        <f t="array" aca="1" ref="T90" ca="1">INDIRECT(CONCATENATE("'",$A$3,"'!q",B90),1)</f>
        <v>0</v>
      </c>
      <c r="U90" s="1" cm="1">
        <f t="array" aca="1" ref="U90" ca="1">INDIRECT(CONCATENATE("'",$A$3,"'!r",B90),1)</f>
        <v>0</v>
      </c>
      <c r="V90" s="1" cm="1">
        <f t="array" aca="1" ref="V90" ca="1">INDIRECT(CONCATENATE("'",$A$3,"'!s",B90),1)</f>
        <v>0</v>
      </c>
      <c r="W90" s="1" cm="1">
        <f t="array" aca="1" ref="W90" ca="1">INDIRECT(CONCATENATE("'",$A$3,"'!t",B90),1)</f>
        <v>0</v>
      </c>
      <c r="X90" s="1" cm="1">
        <f t="array" aca="1" ref="X90" ca="1">INDIRECT(CONCATENATE("'",$A$3,"'!u",B90),1)</f>
        <v>0</v>
      </c>
      <c r="Y90" s="1" cm="1">
        <f t="array" aca="1" ref="Y90" ca="1">INDIRECT(CONCATENATE("'",$A$3,"'!v",B90),1)</f>
        <v>0</v>
      </c>
    </row>
    <row r="91" spans="1:25" customFormat="1" hidden="1" x14ac:dyDescent="0.25">
      <c r="A91" s="15"/>
      <c r="B91" s="24">
        <f t="shared" si="3"/>
        <v>90</v>
      </c>
      <c r="C91" s="1" cm="1">
        <f t="array" aca="1" ref="C91" ca="1">INDIRECT(CONCATENATE("'",$A$3,"'!A",B91),1)</f>
        <v>0</v>
      </c>
      <c r="D91" s="1" cm="1">
        <f t="array" aca="1" ref="D91" ca="1">INDIRECT(CONCATENATE("'",$A$3,"'!B",B91),1)</f>
        <v>0</v>
      </c>
      <c r="E91" s="1" cm="1">
        <f t="array" aca="1" ref="E91" ca="1">INDIRECT(CONCATENATE("'",$A$3,"'!c",B91),1)</f>
        <v>0</v>
      </c>
      <c r="F91" s="1" cm="1">
        <f t="array" aca="1" ref="F91" ca="1">INDIRECT(CONCATENATE("'",$A$3,"'!d",B91),1)</f>
        <v>0</v>
      </c>
      <c r="G91" s="1" cm="1">
        <f t="array" aca="1" ref="G91" ca="1">INDIRECT(CONCATENATE("'",$A$3,"'!e",B91),1)</f>
        <v>0</v>
      </c>
      <c r="H91" s="1" cm="1">
        <f t="array" aca="1" ref="H91" ca="1">INDIRECT(CONCATENATE("'",$A$3,"'!f",B91),1)</f>
        <v>0</v>
      </c>
      <c r="I91" s="1" cm="1">
        <f t="array" aca="1" ref="I91" ca="1">INDIRECT(CONCATENATE("'",$A$3,"'!g",B91),1)</f>
        <v>0</v>
      </c>
      <c r="J91" s="1" cm="1">
        <f t="array" aca="1" ref="J91" ca="1">INDIRECT(CONCATENATE("'",$A$3,"'!h",B91),1)</f>
        <v>0</v>
      </c>
      <c r="K91" s="1" cm="1">
        <f t="array" aca="1" ref="K91" ca="1">INDIRECT(CONCATENATE("'",$A$3,"'!i",B91),1)</f>
        <v>0</v>
      </c>
      <c r="L91" s="1" cm="1">
        <f t="array" aca="1" ref="L91" ca="1">INDIRECT(CONCATENATE("'",$A$3,"'!j",B91),1)</f>
        <v>0</v>
      </c>
      <c r="M91" s="1" cm="1">
        <f t="array" aca="1" ref="M91" ca="1">INDIRECT(CONCATENATE("'",$A$3,"'!k",B91),1)</f>
        <v>0</v>
      </c>
      <c r="N91" s="1" cm="1">
        <f t="array" aca="1" ref="N91" ca="1">INDIRECT(CONCATENATE("'",$A$3,"'!l",B91),1)</f>
        <v>0</v>
      </c>
      <c r="O91" s="1" cm="1">
        <f t="array" aca="1" ref="O91" ca="1">INDIRECT(CONCATENATE("'",$A$3,"'!m",B91),1)</f>
        <v>0</v>
      </c>
      <c r="P91" s="1" cm="1">
        <f t="array" aca="1" ref="P91" ca="1">INDIRECT(CONCATENATE("'",$A$3,"'!n",B91),1)</f>
        <v>0</v>
      </c>
      <c r="Q91" s="1" cm="1">
        <f t="array" aca="1" ref="Q91" ca="1">INDIRECT(CONCATENATE("'",$A$3,"'!o",B91),1)</f>
        <v>0</v>
      </c>
      <c r="R91" s="1" cm="1">
        <f t="array" aca="1" ref="R91" ca="1">INDIRECT(CONCATENATE("'",$A$3,"'!p",B91),1)</f>
        <v>0</v>
      </c>
      <c r="S91" s="1">
        <f t="shared" ca="1" si="2"/>
        <v>0</v>
      </c>
      <c r="T91" s="1" cm="1">
        <f t="array" aca="1" ref="T91" ca="1">INDIRECT(CONCATENATE("'",$A$3,"'!q",B91),1)</f>
        <v>0</v>
      </c>
      <c r="U91" s="1" cm="1">
        <f t="array" aca="1" ref="U91" ca="1">INDIRECT(CONCATENATE("'",$A$3,"'!r",B91),1)</f>
        <v>0</v>
      </c>
      <c r="V91" s="1" cm="1">
        <f t="array" aca="1" ref="V91" ca="1">INDIRECT(CONCATENATE("'",$A$3,"'!s",B91),1)</f>
        <v>0</v>
      </c>
      <c r="W91" s="1" cm="1">
        <f t="array" aca="1" ref="W91" ca="1">INDIRECT(CONCATENATE("'",$A$3,"'!t",B91),1)</f>
        <v>0</v>
      </c>
      <c r="X91" s="1" cm="1">
        <f t="array" aca="1" ref="X91" ca="1">INDIRECT(CONCATENATE("'",$A$3,"'!u",B91),1)</f>
        <v>0</v>
      </c>
      <c r="Y91" s="1" cm="1">
        <f t="array" aca="1" ref="Y91" ca="1">INDIRECT(CONCATENATE("'",$A$3,"'!v",B91),1)</f>
        <v>0</v>
      </c>
    </row>
    <row r="92" spans="1:25" customFormat="1" hidden="1" x14ac:dyDescent="0.25">
      <c r="A92" s="15"/>
      <c r="B92" s="24">
        <f t="shared" si="3"/>
        <v>91</v>
      </c>
      <c r="C92" s="1" cm="1">
        <f t="array" aca="1" ref="C92" ca="1">INDIRECT(CONCATENATE("'",$A$3,"'!A",B92),1)</f>
        <v>0</v>
      </c>
      <c r="D92" s="1" cm="1">
        <f t="array" aca="1" ref="D92" ca="1">INDIRECT(CONCATENATE("'",$A$3,"'!B",B92),1)</f>
        <v>0</v>
      </c>
      <c r="E92" s="1" cm="1">
        <f t="array" aca="1" ref="E92" ca="1">INDIRECT(CONCATENATE("'",$A$3,"'!c",B92),1)</f>
        <v>0</v>
      </c>
      <c r="F92" s="1" cm="1">
        <f t="array" aca="1" ref="F92" ca="1">INDIRECT(CONCATENATE("'",$A$3,"'!d",B92),1)</f>
        <v>0</v>
      </c>
      <c r="G92" s="1" cm="1">
        <f t="array" aca="1" ref="G92" ca="1">INDIRECT(CONCATENATE("'",$A$3,"'!e",B92),1)</f>
        <v>0</v>
      </c>
      <c r="H92" s="1" cm="1">
        <f t="array" aca="1" ref="H92" ca="1">INDIRECT(CONCATENATE("'",$A$3,"'!f",B92),1)</f>
        <v>0</v>
      </c>
      <c r="I92" s="1" cm="1">
        <f t="array" aca="1" ref="I92" ca="1">INDIRECT(CONCATENATE("'",$A$3,"'!g",B92),1)</f>
        <v>0</v>
      </c>
      <c r="J92" s="1" cm="1">
        <f t="array" aca="1" ref="J92" ca="1">INDIRECT(CONCATENATE("'",$A$3,"'!h",B92),1)</f>
        <v>0</v>
      </c>
      <c r="K92" s="1" cm="1">
        <f t="array" aca="1" ref="K92" ca="1">INDIRECT(CONCATENATE("'",$A$3,"'!i",B92),1)</f>
        <v>0</v>
      </c>
      <c r="L92" s="1" cm="1">
        <f t="array" aca="1" ref="L92" ca="1">INDIRECT(CONCATENATE("'",$A$3,"'!j",B92),1)</f>
        <v>0</v>
      </c>
      <c r="M92" s="1" cm="1">
        <f t="array" aca="1" ref="M92" ca="1">INDIRECT(CONCATENATE("'",$A$3,"'!k",B92),1)</f>
        <v>0</v>
      </c>
      <c r="N92" s="1" cm="1">
        <f t="array" aca="1" ref="N92" ca="1">INDIRECT(CONCATENATE("'",$A$3,"'!l",B92),1)</f>
        <v>0</v>
      </c>
      <c r="O92" s="1" cm="1">
        <f t="array" aca="1" ref="O92" ca="1">INDIRECT(CONCATENATE("'",$A$3,"'!m",B92),1)</f>
        <v>0</v>
      </c>
      <c r="P92" s="1" cm="1">
        <f t="array" aca="1" ref="P92" ca="1">INDIRECT(CONCATENATE("'",$A$3,"'!n",B92),1)</f>
        <v>0</v>
      </c>
      <c r="Q92" s="1" cm="1">
        <f t="array" aca="1" ref="Q92" ca="1">INDIRECT(CONCATENATE("'",$A$3,"'!o",B92),1)</f>
        <v>0</v>
      </c>
      <c r="R92" s="1" cm="1">
        <f t="array" aca="1" ref="R92" ca="1">INDIRECT(CONCATENATE("'",$A$3,"'!p",B92),1)</f>
        <v>0</v>
      </c>
      <c r="S92" s="1">
        <f t="shared" ca="1" si="2"/>
        <v>0</v>
      </c>
      <c r="T92" s="1" cm="1">
        <f t="array" aca="1" ref="T92" ca="1">INDIRECT(CONCATENATE("'",$A$3,"'!q",B92),1)</f>
        <v>0</v>
      </c>
      <c r="U92" s="1" cm="1">
        <f t="array" aca="1" ref="U92" ca="1">INDIRECT(CONCATENATE("'",$A$3,"'!r",B92),1)</f>
        <v>0</v>
      </c>
      <c r="V92" s="1" cm="1">
        <f t="array" aca="1" ref="V92" ca="1">INDIRECT(CONCATENATE("'",$A$3,"'!s",B92),1)</f>
        <v>0</v>
      </c>
      <c r="W92" s="1" cm="1">
        <f t="array" aca="1" ref="W92" ca="1">INDIRECT(CONCATENATE("'",$A$3,"'!t",B92),1)</f>
        <v>0</v>
      </c>
      <c r="X92" s="1" cm="1">
        <f t="array" aca="1" ref="X92" ca="1">INDIRECT(CONCATENATE("'",$A$3,"'!u",B92),1)</f>
        <v>0</v>
      </c>
      <c r="Y92" s="1" cm="1">
        <f t="array" aca="1" ref="Y92" ca="1">INDIRECT(CONCATENATE("'",$A$3,"'!v",B92),1)</f>
        <v>0</v>
      </c>
    </row>
    <row r="93" spans="1:25" customFormat="1" hidden="1" x14ac:dyDescent="0.25">
      <c r="A93" s="15"/>
      <c r="B93" s="24">
        <f t="shared" si="3"/>
        <v>92</v>
      </c>
      <c r="C93" s="1" cm="1">
        <f t="array" aca="1" ref="C93" ca="1">INDIRECT(CONCATENATE("'",$A$3,"'!A",B93),1)</f>
        <v>0</v>
      </c>
      <c r="D93" s="1" cm="1">
        <f t="array" aca="1" ref="D93" ca="1">INDIRECT(CONCATENATE("'",$A$3,"'!B",B93),1)</f>
        <v>0</v>
      </c>
      <c r="E93" s="1" cm="1">
        <f t="array" aca="1" ref="E93" ca="1">INDIRECT(CONCATENATE("'",$A$3,"'!c",B93),1)</f>
        <v>0</v>
      </c>
      <c r="F93" s="1" cm="1">
        <f t="array" aca="1" ref="F93" ca="1">INDIRECT(CONCATENATE("'",$A$3,"'!d",B93),1)</f>
        <v>0</v>
      </c>
      <c r="G93" s="1" cm="1">
        <f t="array" aca="1" ref="G93" ca="1">INDIRECT(CONCATENATE("'",$A$3,"'!e",B93),1)</f>
        <v>0</v>
      </c>
      <c r="H93" s="1" cm="1">
        <f t="array" aca="1" ref="H93" ca="1">INDIRECT(CONCATENATE("'",$A$3,"'!f",B93),1)</f>
        <v>0</v>
      </c>
      <c r="I93" s="1" cm="1">
        <f t="array" aca="1" ref="I93" ca="1">INDIRECT(CONCATENATE("'",$A$3,"'!g",B93),1)</f>
        <v>0</v>
      </c>
      <c r="J93" s="1" cm="1">
        <f t="array" aca="1" ref="J93" ca="1">INDIRECT(CONCATENATE("'",$A$3,"'!h",B93),1)</f>
        <v>0</v>
      </c>
      <c r="K93" s="1" cm="1">
        <f t="array" aca="1" ref="K93" ca="1">INDIRECT(CONCATENATE("'",$A$3,"'!i",B93),1)</f>
        <v>0</v>
      </c>
      <c r="L93" s="1" cm="1">
        <f t="array" aca="1" ref="L93" ca="1">INDIRECT(CONCATENATE("'",$A$3,"'!j",B93),1)</f>
        <v>0</v>
      </c>
      <c r="M93" s="1" cm="1">
        <f t="array" aca="1" ref="M93" ca="1">INDIRECT(CONCATENATE("'",$A$3,"'!k",B93),1)</f>
        <v>0</v>
      </c>
      <c r="N93" s="1" cm="1">
        <f t="array" aca="1" ref="N93" ca="1">INDIRECT(CONCATENATE("'",$A$3,"'!l",B93),1)</f>
        <v>0</v>
      </c>
      <c r="O93" s="1" cm="1">
        <f t="array" aca="1" ref="O93" ca="1">INDIRECT(CONCATENATE("'",$A$3,"'!m",B93),1)</f>
        <v>0</v>
      </c>
      <c r="P93" s="1" cm="1">
        <f t="array" aca="1" ref="P93" ca="1">INDIRECT(CONCATENATE("'",$A$3,"'!n",B93),1)</f>
        <v>0</v>
      </c>
      <c r="Q93" s="1" cm="1">
        <f t="array" aca="1" ref="Q93" ca="1">INDIRECT(CONCATENATE("'",$A$3,"'!o",B93),1)</f>
        <v>0</v>
      </c>
      <c r="R93" s="1" cm="1">
        <f t="array" aca="1" ref="R93" ca="1">INDIRECT(CONCATENATE("'",$A$3,"'!p",B93),1)</f>
        <v>0</v>
      </c>
      <c r="S93" s="1">
        <f t="shared" ca="1" si="2"/>
        <v>0</v>
      </c>
      <c r="T93" s="1" cm="1">
        <f t="array" aca="1" ref="T93" ca="1">INDIRECT(CONCATENATE("'",$A$3,"'!q",B93),1)</f>
        <v>0</v>
      </c>
      <c r="U93" s="1" cm="1">
        <f t="array" aca="1" ref="U93" ca="1">INDIRECT(CONCATENATE("'",$A$3,"'!r",B93),1)</f>
        <v>0</v>
      </c>
      <c r="V93" s="1" cm="1">
        <f t="array" aca="1" ref="V93" ca="1">INDIRECT(CONCATENATE("'",$A$3,"'!s",B93),1)</f>
        <v>0</v>
      </c>
      <c r="W93" s="1" cm="1">
        <f t="array" aca="1" ref="W93" ca="1">INDIRECT(CONCATENATE("'",$A$3,"'!t",B93),1)</f>
        <v>0</v>
      </c>
      <c r="X93" s="1" cm="1">
        <f t="array" aca="1" ref="X93" ca="1">INDIRECT(CONCATENATE("'",$A$3,"'!u",B93),1)</f>
        <v>0</v>
      </c>
      <c r="Y93" s="1" cm="1">
        <f t="array" aca="1" ref="Y93" ca="1">INDIRECT(CONCATENATE("'",$A$3,"'!v",B93),1)</f>
        <v>0</v>
      </c>
    </row>
    <row r="94" spans="1:25" customFormat="1" hidden="1" x14ac:dyDescent="0.25">
      <c r="A94" s="15"/>
      <c r="B94" s="24">
        <f t="shared" si="3"/>
        <v>93</v>
      </c>
      <c r="C94" s="1" cm="1">
        <f t="array" aca="1" ref="C94" ca="1">INDIRECT(CONCATENATE("'",$A$3,"'!A",B94),1)</f>
        <v>0</v>
      </c>
      <c r="D94" s="1" cm="1">
        <f t="array" aca="1" ref="D94" ca="1">INDIRECT(CONCATENATE("'",$A$3,"'!B",B94),1)</f>
        <v>0</v>
      </c>
      <c r="E94" s="1" cm="1">
        <f t="array" aca="1" ref="E94" ca="1">INDIRECT(CONCATENATE("'",$A$3,"'!c",B94),1)</f>
        <v>0</v>
      </c>
      <c r="F94" s="1" cm="1">
        <f t="array" aca="1" ref="F94" ca="1">INDIRECT(CONCATENATE("'",$A$3,"'!d",B94),1)</f>
        <v>0</v>
      </c>
      <c r="G94" s="1" cm="1">
        <f t="array" aca="1" ref="G94" ca="1">INDIRECT(CONCATENATE("'",$A$3,"'!e",B94),1)</f>
        <v>0</v>
      </c>
      <c r="H94" s="1" cm="1">
        <f t="array" aca="1" ref="H94" ca="1">INDIRECT(CONCATENATE("'",$A$3,"'!f",B94),1)</f>
        <v>0</v>
      </c>
      <c r="I94" s="1" cm="1">
        <f t="array" aca="1" ref="I94" ca="1">INDIRECT(CONCATENATE("'",$A$3,"'!g",B94),1)</f>
        <v>0</v>
      </c>
      <c r="J94" s="1" cm="1">
        <f t="array" aca="1" ref="J94" ca="1">INDIRECT(CONCATENATE("'",$A$3,"'!h",B94),1)</f>
        <v>0</v>
      </c>
      <c r="K94" s="1" cm="1">
        <f t="array" aca="1" ref="K94" ca="1">INDIRECT(CONCATENATE("'",$A$3,"'!i",B94),1)</f>
        <v>0</v>
      </c>
      <c r="L94" s="1" cm="1">
        <f t="array" aca="1" ref="L94" ca="1">INDIRECT(CONCATENATE("'",$A$3,"'!j",B94),1)</f>
        <v>0</v>
      </c>
      <c r="M94" s="1" cm="1">
        <f t="array" aca="1" ref="M94" ca="1">INDIRECT(CONCATENATE("'",$A$3,"'!k",B94),1)</f>
        <v>0</v>
      </c>
      <c r="N94" s="1" cm="1">
        <f t="array" aca="1" ref="N94" ca="1">INDIRECT(CONCATENATE("'",$A$3,"'!l",B94),1)</f>
        <v>0</v>
      </c>
      <c r="O94" s="1" cm="1">
        <f t="array" aca="1" ref="O94" ca="1">INDIRECT(CONCATENATE("'",$A$3,"'!m",B94),1)</f>
        <v>0</v>
      </c>
      <c r="P94" s="1" cm="1">
        <f t="array" aca="1" ref="P94" ca="1">INDIRECT(CONCATENATE("'",$A$3,"'!n",B94),1)</f>
        <v>0</v>
      </c>
      <c r="Q94" s="1" cm="1">
        <f t="array" aca="1" ref="Q94" ca="1">INDIRECT(CONCATENATE("'",$A$3,"'!o",B94),1)</f>
        <v>0</v>
      </c>
      <c r="R94" s="1" cm="1">
        <f t="array" aca="1" ref="R94" ca="1">INDIRECT(CONCATENATE("'",$A$3,"'!p",B94),1)</f>
        <v>0</v>
      </c>
      <c r="S94" s="1">
        <f t="shared" ca="1" si="2"/>
        <v>0</v>
      </c>
      <c r="T94" s="1" cm="1">
        <f t="array" aca="1" ref="T94" ca="1">INDIRECT(CONCATENATE("'",$A$3,"'!q",B94),1)</f>
        <v>0</v>
      </c>
      <c r="U94" s="1" cm="1">
        <f t="array" aca="1" ref="U94" ca="1">INDIRECT(CONCATENATE("'",$A$3,"'!r",B94),1)</f>
        <v>0</v>
      </c>
      <c r="V94" s="1" cm="1">
        <f t="array" aca="1" ref="V94" ca="1">INDIRECT(CONCATENATE("'",$A$3,"'!s",B94),1)</f>
        <v>0</v>
      </c>
      <c r="W94" s="1" cm="1">
        <f t="array" aca="1" ref="W94" ca="1">INDIRECT(CONCATENATE("'",$A$3,"'!t",B94),1)</f>
        <v>0</v>
      </c>
      <c r="X94" s="1" cm="1">
        <f t="array" aca="1" ref="X94" ca="1">INDIRECT(CONCATENATE("'",$A$3,"'!u",B94),1)</f>
        <v>0</v>
      </c>
      <c r="Y94" s="1" cm="1">
        <f t="array" aca="1" ref="Y94" ca="1">INDIRECT(CONCATENATE("'",$A$3,"'!v",B94),1)</f>
        <v>0</v>
      </c>
    </row>
    <row r="95" spans="1:25" customFormat="1" hidden="1" x14ac:dyDescent="0.25">
      <c r="A95" s="15"/>
      <c r="B95" s="24">
        <f t="shared" si="3"/>
        <v>94</v>
      </c>
      <c r="C95" s="1" cm="1">
        <f t="array" aca="1" ref="C95" ca="1">INDIRECT(CONCATENATE("'",$A$3,"'!A",B95),1)</f>
        <v>0</v>
      </c>
      <c r="D95" s="1" cm="1">
        <f t="array" aca="1" ref="D95" ca="1">INDIRECT(CONCATENATE("'",$A$3,"'!B",B95),1)</f>
        <v>0</v>
      </c>
      <c r="E95" s="1" cm="1">
        <f t="array" aca="1" ref="E95" ca="1">INDIRECT(CONCATENATE("'",$A$3,"'!c",B95),1)</f>
        <v>0</v>
      </c>
      <c r="F95" s="1" cm="1">
        <f t="array" aca="1" ref="F95" ca="1">INDIRECT(CONCATENATE("'",$A$3,"'!d",B95),1)</f>
        <v>0</v>
      </c>
      <c r="G95" s="1" cm="1">
        <f t="array" aca="1" ref="G95" ca="1">INDIRECT(CONCATENATE("'",$A$3,"'!e",B95),1)</f>
        <v>0</v>
      </c>
      <c r="H95" s="1" cm="1">
        <f t="array" aca="1" ref="H95" ca="1">INDIRECT(CONCATENATE("'",$A$3,"'!f",B95),1)</f>
        <v>0</v>
      </c>
      <c r="I95" s="1" cm="1">
        <f t="array" aca="1" ref="I95" ca="1">INDIRECT(CONCATENATE("'",$A$3,"'!g",B95),1)</f>
        <v>0</v>
      </c>
      <c r="J95" s="1" cm="1">
        <f t="array" aca="1" ref="J95" ca="1">INDIRECT(CONCATENATE("'",$A$3,"'!h",B95),1)</f>
        <v>0</v>
      </c>
      <c r="K95" s="1" cm="1">
        <f t="array" aca="1" ref="K95" ca="1">INDIRECT(CONCATENATE("'",$A$3,"'!i",B95),1)</f>
        <v>0</v>
      </c>
      <c r="L95" s="1" cm="1">
        <f t="array" aca="1" ref="L95" ca="1">INDIRECT(CONCATENATE("'",$A$3,"'!j",B95),1)</f>
        <v>0</v>
      </c>
      <c r="M95" s="1" cm="1">
        <f t="array" aca="1" ref="M95" ca="1">INDIRECT(CONCATENATE("'",$A$3,"'!k",B95),1)</f>
        <v>0</v>
      </c>
      <c r="N95" s="1" cm="1">
        <f t="array" aca="1" ref="N95" ca="1">INDIRECT(CONCATENATE("'",$A$3,"'!l",B95),1)</f>
        <v>0</v>
      </c>
      <c r="O95" s="1" cm="1">
        <f t="array" aca="1" ref="O95" ca="1">INDIRECT(CONCATENATE("'",$A$3,"'!m",B95),1)</f>
        <v>0</v>
      </c>
      <c r="P95" s="1" cm="1">
        <f t="array" aca="1" ref="P95" ca="1">INDIRECT(CONCATENATE("'",$A$3,"'!n",B95),1)</f>
        <v>0</v>
      </c>
      <c r="Q95" s="1" cm="1">
        <f t="array" aca="1" ref="Q95" ca="1">INDIRECT(CONCATENATE("'",$A$3,"'!o",B95),1)</f>
        <v>0</v>
      </c>
      <c r="R95" s="1" cm="1">
        <f t="array" aca="1" ref="R95" ca="1">INDIRECT(CONCATENATE("'",$A$3,"'!p",B95),1)</f>
        <v>0</v>
      </c>
      <c r="S95" s="1">
        <f t="shared" ca="1" si="2"/>
        <v>0</v>
      </c>
      <c r="T95" s="1" cm="1">
        <f t="array" aca="1" ref="T95" ca="1">INDIRECT(CONCATENATE("'",$A$3,"'!q",B95),1)</f>
        <v>0</v>
      </c>
      <c r="U95" s="1" cm="1">
        <f t="array" aca="1" ref="U95" ca="1">INDIRECT(CONCATENATE("'",$A$3,"'!r",B95),1)</f>
        <v>0</v>
      </c>
      <c r="V95" s="1" cm="1">
        <f t="array" aca="1" ref="V95" ca="1">INDIRECT(CONCATENATE("'",$A$3,"'!s",B95),1)</f>
        <v>0</v>
      </c>
      <c r="W95" s="1" cm="1">
        <f t="array" aca="1" ref="W95" ca="1">INDIRECT(CONCATENATE("'",$A$3,"'!t",B95),1)</f>
        <v>0</v>
      </c>
      <c r="X95" s="1" cm="1">
        <f t="array" aca="1" ref="X95" ca="1">INDIRECT(CONCATENATE("'",$A$3,"'!u",B95),1)</f>
        <v>0</v>
      </c>
      <c r="Y95" s="1" cm="1">
        <f t="array" aca="1" ref="Y95" ca="1">INDIRECT(CONCATENATE("'",$A$3,"'!v",B95),1)</f>
        <v>0</v>
      </c>
    </row>
    <row r="96" spans="1:25" customFormat="1" hidden="1" x14ac:dyDescent="0.25">
      <c r="A96" s="15"/>
      <c r="B96" s="24">
        <f t="shared" si="3"/>
        <v>95</v>
      </c>
      <c r="C96" s="1" cm="1">
        <f t="array" aca="1" ref="C96" ca="1">INDIRECT(CONCATENATE("'",$A$3,"'!A",B96),1)</f>
        <v>0</v>
      </c>
      <c r="D96" s="1" cm="1">
        <f t="array" aca="1" ref="D96" ca="1">INDIRECT(CONCATENATE("'",$A$3,"'!B",B96),1)</f>
        <v>0</v>
      </c>
      <c r="E96" s="1" cm="1">
        <f t="array" aca="1" ref="E96" ca="1">INDIRECT(CONCATENATE("'",$A$3,"'!c",B96),1)</f>
        <v>0</v>
      </c>
      <c r="F96" s="1" cm="1">
        <f t="array" aca="1" ref="F96" ca="1">INDIRECT(CONCATENATE("'",$A$3,"'!d",B96),1)</f>
        <v>0</v>
      </c>
      <c r="G96" s="1" cm="1">
        <f t="array" aca="1" ref="G96" ca="1">INDIRECT(CONCATENATE("'",$A$3,"'!e",B96),1)</f>
        <v>0</v>
      </c>
      <c r="H96" s="1" cm="1">
        <f t="array" aca="1" ref="H96" ca="1">INDIRECT(CONCATENATE("'",$A$3,"'!f",B96),1)</f>
        <v>0</v>
      </c>
      <c r="I96" s="1" cm="1">
        <f t="array" aca="1" ref="I96" ca="1">INDIRECT(CONCATENATE("'",$A$3,"'!g",B96),1)</f>
        <v>0</v>
      </c>
      <c r="J96" s="1" cm="1">
        <f t="array" aca="1" ref="J96" ca="1">INDIRECT(CONCATENATE("'",$A$3,"'!h",B96),1)</f>
        <v>0</v>
      </c>
      <c r="K96" s="1" cm="1">
        <f t="array" aca="1" ref="K96" ca="1">INDIRECT(CONCATENATE("'",$A$3,"'!i",B96),1)</f>
        <v>0</v>
      </c>
      <c r="L96" s="1" cm="1">
        <f t="array" aca="1" ref="L96" ca="1">INDIRECT(CONCATENATE("'",$A$3,"'!j",B96),1)</f>
        <v>0</v>
      </c>
      <c r="M96" s="1" cm="1">
        <f t="array" aca="1" ref="M96" ca="1">INDIRECT(CONCATENATE("'",$A$3,"'!k",B96),1)</f>
        <v>0</v>
      </c>
      <c r="N96" s="1" cm="1">
        <f t="array" aca="1" ref="N96" ca="1">INDIRECT(CONCATENATE("'",$A$3,"'!l",B96),1)</f>
        <v>0</v>
      </c>
      <c r="O96" s="1" cm="1">
        <f t="array" aca="1" ref="O96" ca="1">INDIRECT(CONCATENATE("'",$A$3,"'!m",B96),1)</f>
        <v>0</v>
      </c>
      <c r="P96" s="1" cm="1">
        <f t="array" aca="1" ref="P96" ca="1">INDIRECT(CONCATENATE("'",$A$3,"'!n",B96),1)</f>
        <v>0</v>
      </c>
      <c r="Q96" s="1" cm="1">
        <f t="array" aca="1" ref="Q96" ca="1">INDIRECT(CONCATENATE("'",$A$3,"'!o",B96),1)</f>
        <v>0</v>
      </c>
      <c r="R96" s="1" cm="1">
        <f t="array" aca="1" ref="R96" ca="1">INDIRECT(CONCATENATE("'",$A$3,"'!p",B96),1)</f>
        <v>0</v>
      </c>
      <c r="S96" s="1">
        <f t="shared" ref="S96" ca="1" si="4">SUMIFS(U96,T96,$N$1)+SUMIFS(W96,V96,$N$1)+SUMIFS(Y96,X96,$N$1)</f>
        <v>0</v>
      </c>
      <c r="T96" s="1" cm="1">
        <f t="array" aca="1" ref="T96" ca="1">INDIRECT(CONCATENATE("'",$A$3,"'!q",B96),1)</f>
        <v>0</v>
      </c>
      <c r="U96" s="1" cm="1">
        <f t="array" aca="1" ref="U96" ca="1">INDIRECT(CONCATENATE("'",$A$3,"'!r",B96),1)</f>
        <v>0</v>
      </c>
      <c r="V96" s="1" cm="1">
        <f t="array" aca="1" ref="V96" ca="1">INDIRECT(CONCATENATE("'",$A$3,"'!s",B96),1)</f>
        <v>0</v>
      </c>
      <c r="W96" s="1" cm="1">
        <f t="array" aca="1" ref="W96" ca="1">INDIRECT(CONCATENATE("'",$A$3,"'!t",B96),1)</f>
        <v>0</v>
      </c>
      <c r="X96" s="1" cm="1">
        <f t="array" aca="1" ref="X96" ca="1">INDIRECT(CONCATENATE("'",$A$3,"'!u",B96),1)</f>
        <v>0</v>
      </c>
      <c r="Y96" s="1" cm="1">
        <f t="array" aca="1" ref="Y96" ca="1">INDIRECT(CONCATENATE("'",$A$3,"'!v",B96),1)</f>
        <v>0</v>
      </c>
    </row>
    <row r="97" spans="1:25" customFormat="1" hidden="1" x14ac:dyDescent="0.25">
      <c r="A97" s="15"/>
      <c r="B97" s="24">
        <f t="shared" si="3"/>
        <v>96</v>
      </c>
      <c r="C97" s="1" cm="1">
        <f t="array" aca="1" ref="C97" ca="1">INDIRECT(CONCATENATE("'",$A$3,"'!A",B97),1)</f>
        <v>0</v>
      </c>
      <c r="D97" s="1" cm="1">
        <f t="array" aca="1" ref="D97" ca="1">INDIRECT(CONCATENATE("'",$A$3,"'!B",B97),1)</f>
        <v>0</v>
      </c>
      <c r="E97" s="1" cm="1">
        <f t="array" aca="1" ref="E97" ca="1">INDIRECT(CONCATENATE("'",$A$3,"'!c",B97),1)</f>
        <v>0</v>
      </c>
      <c r="F97" s="1" cm="1">
        <f t="array" aca="1" ref="F97" ca="1">INDIRECT(CONCATENATE("'",$A$3,"'!d",B97),1)</f>
        <v>0</v>
      </c>
      <c r="G97" s="1" cm="1">
        <f t="array" aca="1" ref="G97" ca="1">INDIRECT(CONCATENATE("'",$A$3,"'!e",B97),1)</f>
        <v>0</v>
      </c>
      <c r="H97" s="1" cm="1">
        <f t="array" aca="1" ref="H97" ca="1">INDIRECT(CONCATENATE("'",$A$3,"'!f",B97),1)</f>
        <v>0</v>
      </c>
      <c r="I97" s="1" cm="1">
        <f t="array" aca="1" ref="I97" ca="1">INDIRECT(CONCATENATE("'",$A$3,"'!g",B97),1)</f>
        <v>0</v>
      </c>
      <c r="J97" s="1" cm="1">
        <f t="array" aca="1" ref="J97" ca="1">INDIRECT(CONCATENATE("'",$A$3,"'!h",B97),1)</f>
        <v>0</v>
      </c>
      <c r="K97" s="1" cm="1">
        <f t="array" aca="1" ref="K97" ca="1">INDIRECT(CONCATENATE("'",$A$3,"'!i",B97),1)</f>
        <v>0</v>
      </c>
      <c r="L97" s="1" cm="1">
        <f t="array" aca="1" ref="L97" ca="1">INDIRECT(CONCATENATE("'",$A$3,"'!j",B97),1)</f>
        <v>0</v>
      </c>
      <c r="M97" s="1" cm="1">
        <f t="array" aca="1" ref="M97" ca="1">INDIRECT(CONCATENATE("'",$A$3,"'!k",B97),1)</f>
        <v>0</v>
      </c>
      <c r="N97" s="1" cm="1">
        <f t="array" aca="1" ref="N97" ca="1">INDIRECT(CONCATENATE("'",$A$3,"'!l",B97),1)</f>
        <v>0</v>
      </c>
      <c r="O97" s="1" cm="1">
        <f t="array" aca="1" ref="O97" ca="1">INDIRECT(CONCATENATE("'",$A$3,"'!m",B97),1)</f>
        <v>0</v>
      </c>
      <c r="P97" s="1" cm="1">
        <f t="array" aca="1" ref="P97" ca="1">INDIRECT(CONCATENATE("'",$A$3,"'!n",B97),1)</f>
        <v>0</v>
      </c>
      <c r="Q97" s="1" cm="1">
        <f t="array" aca="1" ref="Q97" ca="1">INDIRECT(CONCATENATE("'",$A$3,"'!o",B97),1)</f>
        <v>0</v>
      </c>
      <c r="R97" s="1" cm="1">
        <f t="array" aca="1" ref="R97" ca="1">INDIRECT(CONCATENATE("'",$A$3,"'!p",B97),1)</f>
        <v>0</v>
      </c>
      <c r="S97" s="1">
        <f t="shared" ref="S97:S99" ca="1" si="5">SUMIFS(U97,T97,$N$1)+SUMIFS(W97,V97,$N$1)+SUMIFS(Y97,X97,$N$1)</f>
        <v>0</v>
      </c>
      <c r="T97" s="1" cm="1">
        <f t="array" aca="1" ref="T97" ca="1">INDIRECT(CONCATENATE("'",$A$3,"'!q",B97),1)</f>
        <v>0</v>
      </c>
      <c r="U97" s="1" cm="1">
        <f t="array" aca="1" ref="U97" ca="1">INDIRECT(CONCATENATE("'",$A$3,"'!r",B97),1)</f>
        <v>0</v>
      </c>
      <c r="V97" s="1" cm="1">
        <f t="array" aca="1" ref="V97" ca="1">INDIRECT(CONCATENATE("'",$A$3,"'!s",B97),1)</f>
        <v>0</v>
      </c>
      <c r="W97" s="1" cm="1">
        <f t="array" aca="1" ref="W97" ca="1">INDIRECT(CONCATENATE("'",$A$3,"'!t",B97),1)</f>
        <v>0</v>
      </c>
      <c r="X97" s="1" cm="1">
        <f t="array" aca="1" ref="X97" ca="1">INDIRECT(CONCATENATE("'",$A$3,"'!u",B97),1)</f>
        <v>0</v>
      </c>
      <c r="Y97" s="1" cm="1">
        <f t="array" aca="1" ref="Y97" ca="1">INDIRECT(CONCATENATE("'",$A$3,"'!v",B97),1)</f>
        <v>0</v>
      </c>
    </row>
    <row r="98" spans="1:25" customFormat="1" hidden="1" x14ac:dyDescent="0.25">
      <c r="A98" s="15"/>
      <c r="B98" s="24">
        <f t="shared" si="3"/>
        <v>97</v>
      </c>
      <c r="C98" s="1" cm="1">
        <f t="array" aca="1" ref="C98" ca="1">INDIRECT(CONCATENATE("'",$A$3,"'!A",B98),1)</f>
        <v>0</v>
      </c>
      <c r="D98" s="1" cm="1">
        <f t="array" aca="1" ref="D98" ca="1">INDIRECT(CONCATENATE("'",$A$3,"'!B",B98),1)</f>
        <v>0</v>
      </c>
      <c r="E98" s="1" cm="1">
        <f t="array" aca="1" ref="E98" ca="1">INDIRECT(CONCATENATE("'",$A$3,"'!c",B98),1)</f>
        <v>0</v>
      </c>
      <c r="F98" s="1" cm="1">
        <f t="array" aca="1" ref="F98" ca="1">INDIRECT(CONCATENATE("'",$A$3,"'!d",B98),1)</f>
        <v>0</v>
      </c>
      <c r="G98" s="1" cm="1">
        <f t="array" aca="1" ref="G98" ca="1">INDIRECT(CONCATENATE("'",$A$3,"'!e",B98),1)</f>
        <v>0</v>
      </c>
      <c r="H98" s="1" cm="1">
        <f t="array" aca="1" ref="H98" ca="1">INDIRECT(CONCATENATE("'",$A$3,"'!f",B98),1)</f>
        <v>0</v>
      </c>
      <c r="I98" s="1" cm="1">
        <f t="array" aca="1" ref="I98" ca="1">INDIRECT(CONCATENATE("'",$A$3,"'!g",B98),1)</f>
        <v>0</v>
      </c>
      <c r="J98" s="1" cm="1">
        <f t="array" aca="1" ref="J98" ca="1">INDIRECT(CONCATENATE("'",$A$3,"'!h",B98),1)</f>
        <v>0</v>
      </c>
      <c r="K98" s="1" cm="1">
        <f t="array" aca="1" ref="K98" ca="1">INDIRECT(CONCATENATE("'",$A$3,"'!i",B98),1)</f>
        <v>0</v>
      </c>
      <c r="L98" s="1" cm="1">
        <f t="array" aca="1" ref="L98" ca="1">INDIRECT(CONCATENATE("'",$A$3,"'!j",B98),1)</f>
        <v>0</v>
      </c>
      <c r="M98" s="1" cm="1">
        <f t="array" aca="1" ref="M98" ca="1">INDIRECT(CONCATENATE("'",$A$3,"'!k",B98),1)</f>
        <v>0</v>
      </c>
      <c r="N98" s="1" cm="1">
        <f t="array" aca="1" ref="N98" ca="1">INDIRECT(CONCATENATE("'",$A$3,"'!l",B98),1)</f>
        <v>0</v>
      </c>
      <c r="O98" s="1" cm="1">
        <f t="array" aca="1" ref="O98" ca="1">INDIRECT(CONCATENATE("'",$A$3,"'!m",B98),1)</f>
        <v>0</v>
      </c>
      <c r="P98" s="1" cm="1">
        <f t="array" aca="1" ref="P98" ca="1">INDIRECT(CONCATENATE("'",$A$3,"'!n",B98),1)</f>
        <v>0</v>
      </c>
      <c r="Q98" s="1" cm="1">
        <f t="array" aca="1" ref="Q98" ca="1">INDIRECT(CONCATENATE("'",$A$3,"'!o",B98),1)</f>
        <v>0</v>
      </c>
      <c r="R98" s="1" cm="1">
        <f t="array" aca="1" ref="R98" ca="1">INDIRECT(CONCATENATE("'",$A$3,"'!p",B98),1)</f>
        <v>0</v>
      </c>
      <c r="S98" s="1">
        <f t="shared" ca="1" si="5"/>
        <v>0</v>
      </c>
      <c r="T98" s="1" cm="1">
        <f t="array" aca="1" ref="T98" ca="1">INDIRECT(CONCATENATE("'",$A$3,"'!q",B98),1)</f>
        <v>0</v>
      </c>
      <c r="U98" s="1" cm="1">
        <f t="array" aca="1" ref="U98" ca="1">INDIRECT(CONCATENATE("'",$A$3,"'!r",B98),1)</f>
        <v>0</v>
      </c>
      <c r="V98" s="1" cm="1">
        <f t="array" aca="1" ref="V98" ca="1">INDIRECT(CONCATENATE("'",$A$3,"'!s",B98),1)</f>
        <v>0</v>
      </c>
      <c r="W98" s="1" cm="1">
        <f t="array" aca="1" ref="W98" ca="1">INDIRECT(CONCATENATE("'",$A$3,"'!t",B98),1)</f>
        <v>0</v>
      </c>
      <c r="X98" s="1" cm="1">
        <f t="array" aca="1" ref="X98" ca="1">INDIRECT(CONCATENATE("'",$A$3,"'!u",B98),1)</f>
        <v>0</v>
      </c>
      <c r="Y98" s="1" cm="1">
        <f t="array" aca="1" ref="Y98" ca="1">INDIRECT(CONCATENATE("'",$A$3,"'!v",B98),1)</f>
        <v>0</v>
      </c>
    </row>
    <row r="99" spans="1:25" customFormat="1" hidden="1" x14ac:dyDescent="0.25">
      <c r="A99" s="15"/>
      <c r="B99" s="24">
        <f t="shared" si="3"/>
        <v>98</v>
      </c>
      <c r="C99" s="1" cm="1">
        <f t="array" aca="1" ref="C99" ca="1">INDIRECT(CONCATENATE("'",$A$3,"'!A",B99),1)</f>
        <v>0</v>
      </c>
      <c r="D99" s="1" cm="1">
        <f t="array" aca="1" ref="D99" ca="1">INDIRECT(CONCATENATE("'",$A$3,"'!B",B99),1)</f>
        <v>0</v>
      </c>
      <c r="E99" s="1" cm="1">
        <f t="array" aca="1" ref="E99" ca="1">INDIRECT(CONCATENATE("'",$A$3,"'!c",B99),1)</f>
        <v>0</v>
      </c>
      <c r="F99" s="1" cm="1">
        <f t="array" aca="1" ref="F99" ca="1">INDIRECT(CONCATENATE("'",$A$3,"'!d",B99),1)</f>
        <v>0</v>
      </c>
      <c r="G99" s="1" cm="1">
        <f t="array" aca="1" ref="G99" ca="1">INDIRECT(CONCATENATE("'",$A$3,"'!e",B99),1)</f>
        <v>0</v>
      </c>
      <c r="H99" s="1" cm="1">
        <f t="array" aca="1" ref="H99" ca="1">INDIRECT(CONCATENATE("'",$A$3,"'!f",B99),1)</f>
        <v>0</v>
      </c>
      <c r="I99" s="1" cm="1">
        <f t="array" aca="1" ref="I99" ca="1">INDIRECT(CONCATENATE("'",$A$3,"'!g",B99),1)</f>
        <v>0</v>
      </c>
      <c r="J99" s="1" cm="1">
        <f t="array" aca="1" ref="J99" ca="1">INDIRECT(CONCATENATE("'",$A$3,"'!h",B99),1)</f>
        <v>0</v>
      </c>
      <c r="K99" s="1" cm="1">
        <f t="array" aca="1" ref="K99" ca="1">INDIRECT(CONCATENATE("'",$A$3,"'!i",B99),1)</f>
        <v>0</v>
      </c>
      <c r="L99" s="1" cm="1">
        <f t="array" aca="1" ref="L99" ca="1">INDIRECT(CONCATENATE("'",$A$3,"'!j",B99),1)</f>
        <v>0</v>
      </c>
      <c r="M99" s="1" cm="1">
        <f t="array" aca="1" ref="M99" ca="1">INDIRECT(CONCATENATE("'",$A$3,"'!k",B99),1)</f>
        <v>0</v>
      </c>
      <c r="N99" s="1" cm="1">
        <f t="array" aca="1" ref="N99" ca="1">INDIRECT(CONCATENATE("'",$A$3,"'!l",B99),1)</f>
        <v>0</v>
      </c>
      <c r="O99" s="1" cm="1">
        <f t="array" aca="1" ref="O99" ca="1">INDIRECT(CONCATENATE("'",$A$3,"'!m",B99),1)</f>
        <v>0</v>
      </c>
      <c r="P99" s="1" cm="1">
        <f t="array" aca="1" ref="P99" ca="1">INDIRECT(CONCATENATE("'",$A$3,"'!n",B99),1)</f>
        <v>0</v>
      </c>
      <c r="Q99" s="1" cm="1">
        <f t="array" aca="1" ref="Q99" ca="1">INDIRECT(CONCATENATE("'",$A$3,"'!o",B99),1)</f>
        <v>0</v>
      </c>
      <c r="R99" s="1" cm="1">
        <f t="array" aca="1" ref="R99" ca="1">INDIRECT(CONCATENATE("'",$A$3,"'!p",B99),1)</f>
        <v>0</v>
      </c>
      <c r="S99" s="1">
        <f t="shared" ca="1" si="5"/>
        <v>0</v>
      </c>
      <c r="T99" s="1" cm="1">
        <f t="array" aca="1" ref="T99" ca="1">INDIRECT(CONCATENATE("'",$A$3,"'!q",B99),1)</f>
        <v>0</v>
      </c>
      <c r="U99" s="1" cm="1">
        <f t="array" aca="1" ref="U99" ca="1">INDIRECT(CONCATENATE("'",$A$3,"'!r",B99),1)</f>
        <v>0</v>
      </c>
      <c r="V99" s="1" cm="1">
        <f t="array" aca="1" ref="V99" ca="1">INDIRECT(CONCATENATE("'",$A$3,"'!s",B99),1)</f>
        <v>0</v>
      </c>
      <c r="W99" s="1" cm="1">
        <f t="array" aca="1" ref="W99" ca="1">INDIRECT(CONCATENATE("'",$A$3,"'!t",B99),1)</f>
        <v>0</v>
      </c>
      <c r="X99" s="1" cm="1">
        <f t="array" aca="1" ref="X99" ca="1">INDIRECT(CONCATENATE("'",$A$3,"'!u",B99),1)</f>
        <v>0</v>
      </c>
      <c r="Y99" s="1" cm="1">
        <f t="array" aca="1" ref="Y99" ca="1">INDIRECT(CONCATENATE("'",$A$3,"'!v",B99),1)</f>
        <v>0</v>
      </c>
    </row>
    <row r="100" spans="1:25" ht="33.75" x14ac:dyDescent="0.25">
      <c r="A100" s="24" t="s">
        <v>264</v>
      </c>
      <c r="B100" s="24">
        <v>2</v>
      </c>
      <c r="C100" s="1" t="str" cm="1">
        <f t="array" aca="1" ref="C100" ca="1">INDIRECT(CONCATENATE("'",$A$100,"'!A",B100),1)</f>
        <v>Архитектура ЭВМ и периферийных устройств</v>
      </c>
      <c r="D100" s="1" t="str" cm="1">
        <f t="array" aca="1" ref="D100" ca="1">INDIRECT(CONCATENATE("'",$A$100,"'!B",B100),1)</f>
        <v xml:space="preserve">09.03.01(09у) </v>
      </c>
      <c r="E100" s="1" cm="1">
        <f t="array" aca="1" ref="E100" ca="1">INDIRECT(CONCATENATE("'",$A$100,"'!c",B100),1)</f>
        <v>5097</v>
      </c>
      <c r="F100" s="1" cm="1">
        <f t="array" aca="1" ref="F100" ca="1">INDIRECT(CONCATENATE("'",$A$100,"'!d",B100),1)</f>
        <v>1</v>
      </c>
      <c r="G100" s="1" cm="1">
        <f t="array" aca="1" ref="G100" ca="1">INDIRECT(CONCATENATE("'",$A$100,"'!e",B100),1)</f>
        <v>1</v>
      </c>
      <c r="H100" s="1" cm="1">
        <f t="array" aca="1" ref="H100" ca="1">INDIRECT(CONCATENATE("'",$A$100,"'!f",B100),1)</f>
        <v>15</v>
      </c>
      <c r="I100" s="1" t="str" cm="1">
        <f t="array" aca="1" ref="I100" ca="1">INDIRECT(CONCATENATE("'",$A$100,"'!g",B100),1)</f>
        <v>зач</v>
      </c>
      <c r="J100" s="1" cm="1">
        <f t="array" aca="1" ref="J100" ca="1">INDIRECT(CONCATENATE("'",$A$100,"'!h",B100),1)</f>
        <v>2</v>
      </c>
      <c r="K100" s="1" cm="1">
        <f t="array" aca="1" ref="K100" ca="1">INDIRECT(CONCATENATE("'",$A$100,"'!i",B100),1)</f>
        <v>14</v>
      </c>
      <c r="L100" s="1" cm="1">
        <f t="array" aca="1" ref="L100" ca="1">INDIRECT(CONCATENATE("'",$A$100,"'!j",B100),1)</f>
        <v>0</v>
      </c>
      <c r="M100" s="1" cm="1">
        <f t="array" aca="1" ref="M100" ca="1">INDIRECT(CONCATENATE("'",$A$100,"'!k",B100),1)</f>
        <v>14</v>
      </c>
      <c r="N100" s="1" t="str" cm="1">
        <f t="array" aca="1" ref="N100" ca="1">INDIRECT(CONCATENATE("'",$A$100,"'!l",B100),1)</f>
        <v>Савинова М.А.</v>
      </c>
      <c r="O100" s="1" cm="1">
        <f t="array" aca="1" ref="O100" ca="1">INDIRECT(CONCATENATE("'",$A$100,"'!m",B100),1)</f>
        <v>108</v>
      </c>
      <c r="P100" s="1" cm="1">
        <f t="array" aca="1" ref="P100" ca="1">INDIRECT(CONCATENATE("'",$A$100,"'!n",B100),1)</f>
        <v>1</v>
      </c>
      <c r="Q100" s="1" cm="1">
        <f t="array" aca="1" ref="Q100" ca="1">INDIRECT(CONCATENATE("'",$A$100,"'!o",B100),1)</f>
        <v>4.5</v>
      </c>
      <c r="R100" s="1" cm="1">
        <f t="array" aca="1" ref="R100" ca="1">INDIRECT(CONCATENATE("'",$A$100,"'!p",B100),1)</f>
        <v>0</v>
      </c>
      <c r="S100" s="1">
        <f t="shared" ref="S100" ca="1" si="6">SUMIFS(U100,T100,$N$1)+SUMIFS(W100,V100,$N$1)+SUMIFS(Y100,X100,$N$1)</f>
        <v>32.5</v>
      </c>
      <c r="T100" s="1" t="str" cm="1">
        <f t="array" aca="1" ref="T100" ca="1">INDIRECT(CONCATENATE("'",$A$100,"'!q",B100),1)</f>
        <v>Савинова М.А.</v>
      </c>
      <c r="U100" s="1" cm="1">
        <f t="array" aca="1" ref="U100" ca="1">INDIRECT(CONCATENATE("'",$A$100,"'!r",B100),1)</f>
        <v>32.5</v>
      </c>
      <c r="V100" s="1" cm="1">
        <f t="array" aca="1" ref="V100" ca="1">INDIRECT(CONCATENATE("'",$A$100,"'!s",B100),1)</f>
        <v>0</v>
      </c>
      <c r="W100" s="1" cm="1">
        <f t="array" aca="1" ref="W100" ca="1">INDIRECT(CONCATENATE("'",$A$100,"'!t",B100),1)</f>
        <v>0</v>
      </c>
      <c r="X100" s="1" cm="1">
        <f t="array" aca="1" ref="X100" ca="1">INDIRECT(CONCATENATE("'",$A$100,"'!u",B100),1)</f>
        <v>0</v>
      </c>
      <c r="Y100" s="1" cm="1">
        <f t="array" aca="1" ref="Y100" ca="1">INDIRECT(CONCATENATE("'",$A$100,"'!v",B100),1)</f>
        <v>0</v>
      </c>
    </row>
    <row r="101" spans="1:25" customFormat="1" ht="45" hidden="1" x14ac:dyDescent="0.25">
      <c r="A101" s="15"/>
      <c r="B101" s="24">
        <f>B100+1</f>
        <v>3</v>
      </c>
      <c r="C101" s="1" t="str" cm="1">
        <f t="array" aca="1" ref="C101" ca="1">INDIRECT(CONCATENATE("'",$A$100,"'!A",B101),1)</f>
        <v>Основы программирования: Структуры данных и алгоритмы</v>
      </c>
      <c r="D101" s="1" t="str" cm="1">
        <f t="array" aca="1" ref="D101" ca="1">INDIRECT(CONCATENATE("'",$A$100,"'!B",B101),1)</f>
        <v xml:space="preserve">09.03.01(09у) </v>
      </c>
      <c r="E101" s="1" cm="1">
        <f t="array" aca="1" ref="E101" ca="1">INDIRECT(CONCATENATE("'",$A$100,"'!c",B101),1)</f>
        <v>5097</v>
      </c>
      <c r="F101" s="1" cm="1">
        <f t="array" aca="1" ref="F101" ca="1">INDIRECT(CONCATENATE("'",$A$100,"'!d",B101),1)</f>
        <v>1</v>
      </c>
      <c r="G101" s="1" cm="1">
        <f t="array" aca="1" ref="G101" ca="1">INDIRECT(CONCATENATE("'",$A$100,"'!e",B101),1)</f>
        <v>1</v>
      </c>
      <c r="H101" s="1" cm="1">
        <f t="array" aca="1" ref="H101" ca="1">INDIRECT(CONCATENATE("'",$A$100,"'!f",B101),1)</f>
        <v>15</v>
      </c>
      <c r="I101" s="1" t="str" cm="1">
        <f t="array" aca="1" ref="I101" ca="1">INDIRECT(CONCATENATE("'",$A$100,"'!g",B101),1)</f>
        <v>ЭКЗ</v>
      </c>
      <c r="J101" s="1" cm="1">
        <f t="array" aca="1" ref="J101" ca="1">INDIRECT(CONCATENATE("'",$A$100,"'!h",B101),1)</f>
        <v>8</v>
      </c>
      <c r="K101" s="1" cm="1">
        <f t="array" aca="1" ref="K101" ca="1">INDIRECT(CONCATENATE("'",$A$100,"'!i",B101),1)</f>
        <v>28</v>
      </c>
      <c r="L101" s="1" cm="1">
        <f t="array" aca="1" ref="L101" ca="1">INDIRECT(CONCATENATE("'",$A$100,"'!j",B101),1)</f>
        <v>35</v>
      </c>
      <c r="M101" s="1" cm="1">
        <f t="array" aca="1" ref="M101" ca="1">INDIRECT(CONCATENATE("'",$A$100,"'!k",B101),1)</f>
        <v>35</v>
      </c>
      <c r="N101" s="1" t="str" cm="1">
        <f t="array" aca="1" ref="N101" ca="1">INDIRECT(CONCATENATE("'",$A$100,"'!l",B101),1)</f>
        <v>Довгалюк П.М.Кулаков И.Ю.</v>
      </c>
      <c r="O101" s="1" cm="1">
        <f t="array" aca="1" ref="O101" ca="1">INDIRECT(CONCATENATE("'",$A$100,"'!m",B101),1)</f>
        <v>0</v>
      </c>
      <c r="P101" s="1" t="str" cm="1">
        <f t="array" aca="1" ref="P101" ca="1">INDIRECT(CONCATENATE("'",$A$100,"'!n",B101),1)</f>
        <v>1п</v>
      </c>
      <c r="Q101" s="1" cm="1">
        <f t="array" aca="1" ref="Q101" ca="1">INDIRECT(CONCATENATE("'",$A$100,"'!o",B101),1)</f>
        <v>18</v>
      </c>
      <c r="R101" s="1" cm="1">
        <f t="array" aca="1" ref="R101" ca="1">INDIRECT(CONCATENATE("'",$A$100,"'!p",B101),1)</f>
        <v>12</v>
      </c>
      <c r="S101" s="1">
        <f t="shared" ref="S101:S145" ca="1" si="7">SUMIFS(U101,T101,$N$1)+SUMIFS(W101,V101,$N$1)+SUMIFS(Y101,X101,$N$1)</f>
        <v>0</v>
      </c>
      <c r="T101" s="1" t="str" cm="1">
        <f t="array" aca="1" ref="T101" ca="1">INDIRECT(CONCATENATE("'",$A$100,"'!q",B101),1)</f>
        <v>Довгалюк П.М.</v>
      </c>
      <c r="U101" s="1" cm="1">
        <f t="array" aca="1" ref="U101" ca="1">INDIRECT(CONCATENATE("'",$A$100,"'!r",B101),1)</f>
        <v>52</v>
      </c>
      <c r="V101" s="1" t="str" cm="1">
        <f t="array" aca="1" ref="V101" ca="1">INDIRECT(CONCATENATE("'",$A$100,"'!s",B101),1)</f>
        <v>Кулаков И.Ю.</v>
      </c>
      <c r="W101" s="1" cm="1">
        <f t="array" aca="1" ref="W101" ca="1">INDIRECT(CONCATENATE("'",$A$100,"'!t",B101),1)</f>
        <v>76</v>
      </c>
      <c r="X101" s="1" cm="1">
        <f t="array" aca="1" ref="X101" ca="1">INDIRECT(CONCATENATE("'",$A$100,"'!u",B101),1)</f>
        <v>0</v>
      </c>
      <c r="Y101" s="1" cm="1">
        <f t="array" aca="1" ref="Y101" ca="1">INDIRECT(CONCATENATE("'",$A$100,"'!v",B101),1)</f>
        <v>0</v>
      </c>
    </row>
    <row r="102" spans="1:25" customFormat="1" ht="22.5" hidden="1" x14ac:dyDescent="0.25">
      <c r="A102" s="15"/>
      <c r="B102" s="24">
        <f t="shared" ref="B102:B107" si="8">B101+1</f>
        <v>4</v>
      </c>
      <c r="C102" s="1" t="str" cm="1">
        <f t="array" aca="1" ref="C102" ca="1">INDIRECT(CONCATENATE("'",$A$100,"'!A",B102),1)</f>
        <v>Инженерная и компьютерная графика</v>
      </c>
      <c r="D102" s="1" t="str" cm="1">
        <f t="array" aca="1" ref="D102" ca="1">INDIRECT(CONCATENATE("'",$A$100,"'!B",B102),1)</f>
        <v xml:space="preserve">09.03.01(09у) </v>
      </c>
      <c r="E102" s="1" cm="1">
        <f t="array" aca="1" ref="E102" ca="1">INDIRECT(CONCATENATE("'",$A$100,"'!c",B102),1)</f>
        <v>5097</v>
      </c>
      <c r="F102" s="1" cm="1">
        <f t="array" aca="1" ref="F102" ca="1">INDIRECT(CONCATENATE("'",$A$100,"'!d",B102),1)</f>
        <v>1</v>
      </c>
      <c r="G102" s="1" cm="1">
        <f t="array" aca="1" ref="G102" ca="1">INDIRECT(CONCATENATE("'",$A$100,"'!e",B102),1)</f>
        <v>1</v>
      </c>
      <c r="H102" s="1" cm="1">
        <f t="array" aca="1" ref="H102" ca="1">INDIRECT(CONCATENATE("'",$A$100,"'!f",B102),1)</f>
        <v>15</v>
      </c>
      <c r="I102" s="1" t="str" cm="1">
        <f t="array" aca="1" ref="I102" ca="1">INDIRECT(CONCATENATE("'",$A$100,"'!g",B102),1)</f>
        <v>ДЗ</v>
      </c>
      <c r="J102" s="1" cm="1">
        <f t="array" aca="1" ref="J102" ca="1">INDIRECT(CONCATENATE("'",$A$100,"'!h",B102),1)</f>
        <v>2</v>
      </c>
      <c r="K102" s="1" cm="1">
        <f t="array" aca="1" ref="K102" ca="1">INDIRECT(CONCATENATE("'",$A$100,"'!i",B102),1)</f>
        <v>0</v>
      </c>
      <c r="L102" s="1" cm="1">
        <f t="array" aca="1" ref="L102" ca="1">INDIRECT(CONCATENATE("'",$A$100,"'!j",B102),1)</f>
        <v>14</v>
      </c>
      <c r="M102" s="1" cm="1">
        <f t="array" aca="1" ref="M102" ca="1">INDIRECT(CONCATENATE("'",$A$100,"'!k",B102),1)</f>
        <v>14</v>
      </c>
      <c r="N102" s="1" t="str" cm="1">
        <f t="array" aca="1" ref="N102" ca="1">INDIRECT(CONCATENATE("'",$A$100,"'!l",B102),1)</f>
        <v>Гареева Т.Ю.</v>
      </c>
      <c r="O102" s="1" cm="1">
        <f t="array" aca="1" ref="O102" ca="1">INDIRECT(CONCATENATE("'",$A$100,"'!m",B102),1)</f>
        <v>0</v>
      </c>
      <c r="P102" s="1" cm="1">
        <f t="array" aca="1" ref="P102" ca="1">INDIRECT(CONCATENATE("'",$A$100,"'!n",B102),1)</f>
        <v>1</v>
      </c>
      <c r="Q102" s="1" cm="1">
        <f t="array" aca="1" ref="Q102" ca="1">INDIRECT(CONCATENATE("'",$A$100,"'!o",B102),1)</f>
        <v>4.5</v>
      </c>
      <c r="R102" s="1" cm="1">
        <f t="array" aca="1" ref="R102" ca="1">INDIRECT(CONCATENATE("'",$A$100,"'!p",B102),1)</f>
        <v>0</v>
      </c>
      <c r="S102" s="1">
        <f t="shared" ca="1" si="7"/>
        <v>0</v>
      </c>
      <c r="T102" s="1" t="str" cm="1">
        <f t="array" aca="1" ref="T102" ca="1">INDIRECT(CONCATENATE("'",$A$100,"'!q",B102),1)</f>
        <v>Гареева Т.Ю.</v>
      </c>
      <c r="U102" s="1" cm="1">
        <f t="array" aca="1" ref="U102" ca="1">INDIRECT(CONCATENATE("'",$A$100,"'!r",B102),1)</f>
        <v>32.5</v>
      </c>
      <c r="V102" s="1" cm="1">
        <f t="array" aca="1" ref="V102" ca="1">INDIRECT(CONCATENATE("'",$A$100,"'!s",B102),1)</f>
        <v>0</v>
      </c>
      <c r="W102" s="1" cm="1">
        <f t="array" aca="1" ref="W102" ca="1">INDIRECT(CONCATENATE("'",$A$100,"'!t",B102),1)</f>
        <v>0</v>
      </c>
      <c r="X102" s="1" cm="1">
        <f t="array" aca="1" ref="X102" ca="1">INDIRECT(CONCATENATE("'",$A$100,"'!u",B102),1)</f>
        <v>0</v>
      </c>
      <c r="Y102" s="1" cm="1">
        <f t="array" aca="1" ref="Y102" ca="1">INDIRECT(CONCATENATE("'",$A$100,"'!v",B102),1)</f>
        <v>0</v>
      </c>
    </row>
    <row r="103" spans="1:25" customFormat="1" ht="33.75" hidden="1" x14ac:dyDescent="0.25">
      <c r="A103" s="15"/>
      <c r="B103" s="24">
        <f t="shared" si="8"/>
        <v>5</v>
      </c>
      <c r="C103" s="1" t="str" cm="1">
        <f t="array" aca="1" ref="C103" ca="1">INDIRECT(CONCATENATE("'",$A$100,"'!A",B103),1)</f>
        <v>Объектно-ориентированное программирование</v>
      </c>
      <c r="D103" s="1" t="str" cm="1">
        <f t="array" aca="1" ref="D103" ca="1">INDIRECT(CONCATENATE("'",$A$100,"'!B",B103),1)</f>
        <v xml:space="preserve">09.03.01(09у) </v>
      </c>
      <c r="E103" s="1" cm="1">
        <f t="array" aca="1" ref="E103" ca="1">INDIRECT(CONCATENATE("'",$A$100,"'!c",B103),1)</f>
        <v>5097</v>
      </c>
      <c r="F103" s="1" cm="1">
        <f t="array" aca="1" ref="F103" ca="1">INDIRECT(CONCATENATE("'",$A$100,"'!d",B103),1)</f>
        <v>2</v>
      </c>
      <c r="G103" s="1" cm="1">
        <f t="array" aca="1" ref="G103" ca="1">INDIRECT(CONCATENATE("'",$A$100,"'!e",B103),1)</f>
        <v>1</v>
      </c>
      <c r="H103" s="1" cm="1">
        <f t="array" aca="1" ref="H103" ca="1">INDIRECT(CONCATENATE("'",$A$100,"'!f",B103),1)</f>
        <v>15</v>
      </c>
      <c r="I103" s="1" t="str" cm="1">
        <f t="array" aca="1" ref="I103" ca="1">INDIRECT(CONCATENATE("'",$A$100,"'!g",B103),1)</f>
        <v>ЭКЗ</v>
      </c>
      <c r="J103" s="1" cm="1">
        <f t="array" aca="1" ref="J103" ca="1">INDIRECT(CONCATENATE("'",$A$100,"'!h",B103),1)</f>
        <v>4</v>
      </c>
      <c r="K103" s="1" cm="1">
        <f t="array" aca="1" ref="K103" ca="1">INDIRECT(CONCATENATE("'",$A$100,"'!i",B103),1)</f>
        <v>14</v>
      </c>
      <c r="L103" s="1" cm="1">
        <f t="array" aca="1" ref="L103" ca="1">INDIRECT(CONCATENATE("'",$A$100,"'!j",B103),1)</f>
        <v>14</v>
      </c>
      <c r="M103" s="1" cm="1">
        <f t="array" aca="1" ref="M103" ca="1">INDIRECT(CONCATENATE("'",$A$100,"'!k",B103),1)</f>
        <v>28</v>
      </c>
      <c r="N103" s="1" t="str" cm="1">
        <f t="array" aca="1" ref="N103" ca="1">INDIRECT(CONCATENATE("'",$A$100,"'!l",B103),1)</f>
        <v>Кулаков И.Ю.</v>
      </c>
      <c r="O103" s="1" t="str" cm="1">
        <f t="array" aca="1" ref="O103" ca="1">INDIRECT(CONCATENATE("'",$A$100,"'!m",B103),1)</f>
        <v>Кулаков 3315</v>
      </c>
      <c r="P103" s="1" t="str" cm="1">
        <f t="array" aca="1" ref="P103" ca="1">INDIRECT(CONCATENATE("'",$A$100,"'!n",B103),1)</f>
        <v>лр * 1п</v>
      </c>
      <c r="Q103" s="1" cm="1">
        <f t="array" aca="1" ref="Q103" ca="1">INDIRECT(CONCATENATE("'",$A$100,"'!o",B103),1)</f>
        <v>11.3</v>
      </c>
      <c r="R103" s="1" cm="1">
        <f t="array" aca="1" ref="R103" ca="1">INDIRECT(CONCATENATE("'",$A$100,"'!p",B103),1)</f>
        <v>7.5</v>
      </c>
      <c r="S103" s="1">
        <f t="shared" ca="1" si="7"/>
        <v>0</v>
      </c>
      <c r="T103" s="1" t="str" cm="1">
        <f t="array" aca="1" ref="T103" ca="1">INDIRECT(CONCATENATE("'",$A$100,"'!q",B103),1)</f>
        <v>Кулаков И.Ю.</v>
      </c>
      <c r="U103" s="1" cm="1">
        <f t="array" aca="1" ref="U103" ca="1">INDIRECT(CONCATENATE("'",$A$100,"'!r",B103),1)</f>
        <v>74.8</v>
      </c>
      <c r="V103" s="1" cm="1">
        <f t="array" aca="1" ref="V103" ca="1">INDIRECT(CONCATENATE("'",$A$100,"'!s",B103),1)</f>
        <v>0</v>
      </c>
      <c r="W103" s="1" cm="1">
        <f t="array" aca="1" ref="W103" ca="1">INDIRECT(CONCATENATE("'",$A$100,"'!t",B103),1)</f>
        <v>0</v>
      </c>
      <c r="X103" s="1" cm="1">
        <f t="array" aca="1" ref="X103" ca="1">INDIRECT(CONCATENATE("'",$A$100,"'!u",B103),1)</f>
        <v>0</v>
      </c>
      <c r="Y103" s="1" cm="1">
        <f t="array" aca="1" ref="Y103" ca="1">INDIRECT(CONCATENATE("'",$A$100,"'!v",B103),1)</f>
        <v>0</v>
      </c>
    </row>
    <row r="104" spans="1:25" customFormat="1" hidden="1" x14ac:dyDescent="0.25">
      <c r="A104" s="15"/>
      <c r="B104" s="24">
        <f t="shared" si="8"/>
        <v>6</v>
      </c>
      <c r="C104" s="1" cm="1">
        <f t="array" aca="1" ref="C104" ca="1">INDIRECT(CONCATENATE("'",$A$100,"'!A",B104),1)</f>
        <v>0</v>
      </c>
      <c r="D104" s="1" cm="1">
        <f t="array" aca="1" ref="D104" ca="1">INDIRECT(CONCATENATE("'",$A$100,"'!B",B104),1)</f>
        <v>0</v>
      </c>
      <c r="E104" s="1" cm="1">
        <f t="array" aca="1" ref="E104" ca="1">INDIRECT(CONCATENATE("'",$A$100,"'!c",B104),1)</f>
        <v>0</v>
      </c>
      <c r="F104" s="1" cm="1">
        <f t="array" aca="1" ref="F104" ca="1">INDIRECT(CONCATENATE("'",$A$100,"'!d",B104),1)</f>
        <v>0</v>
      </c>
      <c r="G104" s="1" cm="1">
        <f t="array" aca="1" ref="G104" ca="1">INDIRECT(CONCATENATE("'",$A$100,"'!e",B104),1)</f>
        <v>0</v>
      </c>
      <c r="H104" s="1" cm="1">
        <f t="array" aca="1" ref="H104" ca="1">INDIRECT(CONCATENATE("'",$A$100,"'!f",B104),1)</f>
        <v>0</v>
      </c>
      <c r="I104" s="1" cm="1">
        <f t="array" aca="1" ref="I104" ca="1">INDIRECT(CONCATENATE("'",$A$100,"'!g",B104),1)</f>
        <v>0</v>
      </c>
      <c r="J104" s="1" cm="1">
        <f t="array" aca="1" ref="J104" ca="1">INDIRECT(CONCATENATE("'",$A$100,"'!h",B104),1)</f>
        <v>0</v>
      </c>
      <c r="K104" s="1" cm="1">
        <f t="array" aca="1" ref="K104" ca="1">INDIRECT(CONCATENATE("'",$A$100,"'!i",B104),1)</f>
        <v>0</v>
      </c>
      <c r="L104" s="1" cm="1">
        <f t="array" aca="1" ref="L104" ca="1">INDIRECT(CONCATENATE("'",$A$100,"'!j",B104),1)</f>
        <v>0</v>
      </c>
      <c r="M104" s="1" cm="1">
        <f t="array" aca="1" ref="M104" ca="1">INDIRECT(CONCATENATE("'",$A$100,"'!k",B104),1)</f>
        <v>0</v>
      </c>
      <c r="N104" s="1" t="str" cm="1">
        <f t="array" aca="1" ref="N104" ca="1">INDIRECT(CONCATENATE("'",$A$100,"'!l",B104),1)</f>
        <v/>
      </c>
      <c r="O104" s="1" cm="1">
        <f t="array" aca="1" ref="O104" ca="1">INDIRECT(CONCATENATE("'",$A$100,"'!m",B104),1)</f>
        <v>0</v>
      </c>
      <c r="P104" s="1" cm="1">
        <f t="array" aca="1" ref="P104" ca="1">INDIRECT(CONCATENATE("'",$A$100,"'!n",B104),1)</f>
        <v>0</v>
      </c>
      <c r="Q104" s="1" cm="1">
        <f t="array" aca="1" ref="Q104" ca="1">INDIRECT(CONCATENATE("'",$A$100,"'!o",B104),1)</f>
        <v>0</v>
      </c>
      <c r="R104" s="1" cm="1">
        <f t="array" aca="1" ref="R104" ca="1">INDIRECT(CONCATENATE("'",$A$100,"'!p",B104),1)</f>
        <v>0</v>
      </c>
      <c r="S104" s="1">
        <f t="shared" ca="1" si="7"/>
        <v>0</v>
      </c>
      <c r="T104" s="1" cm="1">
        <f t="array" aca="1" ref="T104" ca="1">INDIRECT(CONCATENATE("'",$A$100,"'!q",B104),1)</f>
        <v>0</v>
      </c>
      <c r="U104" s="1" cm="1">
        <f t="array" aca="1" ref="U104" ca="1">INDIRECT(CONCATENATE("'",$A$100,"'!r",B104),1)</f>
        <v>0</v>
      </c>
      <c r="V104" s="1" cm="1">
        <f t="array" aca="1" ref="V104" ca="1">INDIRECT(CONCATENATE("'",$A$100,"'!s",B104),1)</f>
        <v>0</v>
      </c>
      <c r="W104" s="1" cm="1">
        <f t="array" aca="1" ref="W104" ca="1">INDIRECT(CONCATENATE("'",$A$100,"'!t",B104),1)</f>
        <v>0</v>
      </c>
      <c r="X104" s="1" cm="1">
        <f t="array" aca="1" ref="X104" ca="1">INDIRECT(CONCATENATE("'",$A$100,"'!u",B104),1)</f>
        <v>0</v>
      </c>
      <c r="Y104" s="1" cm="1">
        <f t="array" aca="1" ref="Y104" ca="1">INDIRECT(CONCATENATE("'",$A$100,"'!v",B104),1)</f>
        <v>0</v>
      </c>
    </row>
    <row r="105" spans="1:25" customFormat="1" ht="22.5" hidden="1" x14ac:dyDescent="0.25">
      <c r="A105" s="15"/>
      <c r="B105" s="24">
        <f t="shared" si="8"/>
        <v>7</v>
      </c>
      <c r="C105" s="1" t="str" cm="1">
        <f t="array" aca="1" ref="C105" ca="1">INDIRECT(CONCATENATE("'",$A$100,"'!A",B105),1)</f>
        <v>Методы защиты информации</v>
      </c>
      <c r="D105" s="1" t="str" cm="1">
        <f t="array" aca="1" ref="D105" ca="1">INDIRECT(CONCATENATE("'",$A$100,"'!B",B105),1)</f>
        <v xml:space="preserve">09.03.01(09у) </v>
      </c>
      <c r="E105" s="1" cm="1">
        <f t="array" aca="1" ref="E105" ca="1">INDIRECT(CONCATENATE("'",$A$100,"'!c",B105),1)</f>
        <v>5097</v>
      </c>
      <c r="F105" s="1" cm="1">
        <f t="array" aca="1" ref="F105" ca="1">INDIRECT(CONCATENATE("'",$A$100,"'!d",B105),1)</f>
        <v>2</v>
      </c>
      <c r="G105" s="1" cm="1">
        <f t="array" aca="1" ref="G105" ca="1">INDIRECT(CONCATENATE("'",$A$100,"'!e",B105),1)</f>
        <v>1</v>
      </c>
      <c r="H105" s="1" cm="1">
        <f t="array" aca="1" ref="H105" ca="1">INDIRECT(CONCATENATE("'",$A$100,"'!f",B105),1)</f>
        <v>15</v>
      </c>
      <c r="I105" s="1" t="str" cm="1">
        <f t="array" aca="1" ref="I105" ca="1">INDIRECT(CONCATENATE("'",$A$100,"'!g",B105),1)</f>
        <v>ДЗ</v>
      </c>
      <c r="J105" s="1" cm="1">
        <f t="array" aca="1" ref="J105" ca="1">INDIRECT(CONCATENATE("'",$A$100,"'!h",B105),1)</f>
        <v>4</v>
      </c>
      <c r="K105" s="1" cm="1">
        <f t="array" aca="1" ref="K105" ca="1">INDIRECT(CONCATENATE("'",$A$100,"'!i",B105),1)</f>
        <v>14</v>
      </c>
      <c r="L105" s="1" cm="1">
        <f t="array" aca="1" ref="L105" ca="1">INDIRECT(CONCATENATE("'",$A$100,"'!j",B105),1)</f>
        <v>0</v>
      </c>
      <c r="M105" s="1" cm="1">
        <f t="array" aca="1" ref="M105" ca="1">INDIRECT(CONCATENATE("'",$A$100,"'!k",B105),1)</f>
        <v>42</v>
      </c>
      <c r="N105" s="1" t="str" cm="1">
        <f t="array" aca="1" ref="N105" ca="1">INDIRECT(CONCATENATE("'",$A$100,"'!l",B105),1)</f>
        <v>Жгун Т.В.</v>
      </c>
      <c r="O105" s="1" cm="1">
        <f t="array" aca="1" ref="O105" ca="1">INDIRECT(CONCATENATE("'",$A$100,"'!m",B105),1)</f>
        <v>0</v>
      </c>
      <c r="P105" s="1" cm="1">
        <f t="array" aca="1" ref="P105" ca="1">INDIRECT(CONCATENATE("'",$A$100,"'!n",B105),1)</f>
        <v>1</v>
      </c>
      <c r="Q105" s="1" cm="1">
        <f t="array" aca="1" ref="Q105" ca="1">INDIRECT(CONCATENATE("'",$A$100,"'!o",B105),1)</f>
        <v>9</v>
      </c>
      <c r="R105" s="1" cm="1">
        <f t="array" aca="1" ref="R105" ca="1">INDIRECT(CONCATENATE("'",$A$100,"'!p",B105),1)</f>
        <v>0</v>
      </c>
      <c r="S105" s="1">
        <f t="shared" ca="1" si="7"/>
        <v>0</v>
      </c>
      <c r="T105" s="1" t="str" cm="1">
        <f t="array" aca="1" ref="T105" ca="1">INDIRECT(CONCATENATE("'",$A$100,"'!q",B105),1)</f>
        <v>Жгун Т.В.</v>
      </c>
      <c r="U105" s="1" cm="1">
        <f t="array" aca="1" ref="U105" ca="1">INDIRECT(CONCATENATE("'",$A$100,"'!r",B105),1)</f>
        <v>65</v>
      </c>
      <c r="V105" s="1" cm="1">
        <f t="array" aca="1" ref="V105" ca="1">INDIRECT(CONCATENATE("'",$A$100,"'!s",B105),1)</f>
        <v>0</v>
      </c>
      <c r="W105" s="1" cm="1">
        <f t="array" aca="1" ref="W105" ca="1">INDIRECT(CONCATENATE("'",$A$100,"'!t",B105),1)</f>
        <v>0</v>
      </c>
      <c r="X105" s="1" cm="1">
        <f t="array" aca="1" ref="X105" ca="1">INDIRECT(CONCATENATE("'",$A$100,"'!u",B105),1)</f>
        <v>0</v>
      </c>
      <c r="Y105" s="1" cm="1">
        <f t="array" aca="1" ref="Y105" ca="1">INDIRECT(CONCATENATE("'",$A$100,"'!v",B105),1)</f>
        <v>0</v>
      </c>
    </row>
    <row r="106" spans="1:25" customFormat="1" ht="22.5" hidden="1" x14ac:dyDescent="0.25">
      <c r="A106" s="15"/>
      <c r="B106" s="24">
        <f t="shared" si="8"/>
        <v>8</v>
      </c>
      <c r="C106" s="1" t="str" cm="1">
        <f t="array" aca="1" ref="C106" ca="1">INDIRECT(CONCATENATE("'",$A$100,"'!A",B106),1)</f>
        <v>Операционные системы</v>
      </c>
      <c r="D106" s="1" t="str" cm="1">
        <f t="array" aca="1" ref="D106" ca="1">INDIRECT(CONCATENATE("'",$A$100,"'!B",B106),1)</f>
        <v xml:space="preserve">09.03.01(09у) </v>
      </c>
      <c r="E106" s="1" cm="1">
        <f t="array" aca="1" ref="E106" ca="1">INDIRECT(CONCATENATE("'",$A$100,"'!c",B106),1)</f>
        <v>5097</v>
      </c>
      <c r="F106" s="1" cm="1">
        <f t="array" aca="1" ref="F106" ca="1">INDIRECT(CONCATENATE("'",$A$100,"'!d",B106),1)</f>
        <v>2</v>
      </c>
      <c r="G106" s="1" cm="1">
        <f t="array" aca="1" ref="G106" ca="1">INDIRECT(CONCATENATE("'",$A$100,"'!e",B106),1)</f>
        <v>1</v>
      </c>
      <c r="H106" s="1" cm="1">
        <f t="array" aca="1" ref="H106" ca="1">INDIRECT(CONCATENATE("'",$A$100,"'!f",B106),1)</f>
        <v>15</v>
      </c>
      <c r="I106" s="1" t="str" cm="1">
        <f t="array" aca="1" ref="I106" ca="1">INDIRECT(CONCATENATE("'",$A$100,"'!g",B106),1)</f>
        <v>ЭКЗ</v>
      </c>
      <c r="J106" s="1" cm="1">
        <f t="array" aca="1" ref="J106" ca="1">INDIRECT(CONCATENATE("'",$A$100,"'!h",B106),1)</f>
        <v>2</v>
      </c>
      <c r="K106" s="1" cm="1">
        <f t="array" aca="1" ref="K106" ca="1">INDIRECT(CONCATENATE("'",$A$100,"'!i",B106),1)</f>
        <v>14</v>
      </c>
      <c r="L106" s="1" cm="1">
        <f t="array" aca="1" ref="L106" ca="1">INDIRECT(CONCATENATE("'",$A$100,"'!j",B106),1)</f>
        <v>0</v>
      </c>
      <c r="M106" s="1" cm="1">
        <f t="array" aca="1" ref="M106" ca="1">INDIRECT(CONCATENATE("'",$A$100,"'!k",B106),1)</f>
        <v>14</v>
      </c>
      <c r="N106" s="1" t="str" cm="1">
        <f t="array" aca="1" ref="N106" ca="1">INDIRECT(CONCATENATE("'",$A$100,"'!l",B106),1)</f>
        <v>Иванов А.</v>
      </c>
      <c r="O106" s="1" cm="1">
        <f t="array" aca="1" ref="O106" ca="1">INDIRECT(CONCATENATE("'",$A$100,"'!m",B106),1)</f>
        <v>0</v>
      </c>
      <c r="P106" s="1" cm="1">
        <f t="array" aca="1" ref="P106" ca="1">INDIRECT(CONCATENATE("'",$A$100,"'!n",B106),1)</f>
        <v>1</v>
      </c>
      <c r="Q106" s="1" cm="1">
        <f t="array" aca="1" ref="Q106" ca="1">INDIRECT(CONCATENATE("'",$A$100,"'!o",B106),1)</f>
        <v>4.5</v>
      </c>
      <c r="R106" s="1" cm="1">
        <f t="array" aca="1" ref="R106" ca="1">INDIRECT(CONCATENATE("'",$A$100,"'!p",B106),1)</f>
        <v>3</v>
      </c>
      <c r="S106" s="1">
        <f t="shared" ca="1" si="7"/>
        <v>0</v>
      </c>
      <c r="T106" s="1" t="str" cm="1">
        <f t="array" aca="1" ref="T106" ca="1">INDIRECT(CONCATENATE("'",$A$100,"'!q",B106),1)</f>
        <v>Иванов А.</v>
      </c>
      <c r="U106" s="1" cm="1">
        <f t="array" aca="1" ref="U106" ca="1">INDIRECT(CONCATENATE("'",$A$100,"'!r",B106),1)</f>
        <v>35.5</v>
      </c>
      <c r="V106" s="1" cm="1">
        <f t="array" aca="1" ref="V106" ca="1">INDIRECT(CONCATENATE("'",$A$100,"'!s",B106),1)</f>
        <v>0</v>
      </c>
      <c r="W106" s="1" cm="1">
        <f t="array" aca="1" ref="W106" ca="1">INDIRECT(CONCATENATE("'",$A$100,"'!t",B106),1)</f>
        <v>0</v>
      </c>
      <c r="X106" s="1" cm="1">
        <f t="array" aca="1" ref="X106" ca="1">INDIRECT(CONCATENATE("'",$A$100,"'!u",B106),1)</f>
        <v>0</v>
      </c>
      <c r="Y106" s="1" cm="1">
        <f t="array" aca="1" ref="Y106" ca="1">INDIRECT(CONCATENATE("'",$A$100,"'!v",B106),1)</f>
        <v>0</v>
      </c>
    </row>
    <row r="107" spans="1:25" customFormat="1" ht="22.5" hidden="1" x14ac:dyDescent="0.25">
      <c r="A107" s="15"/>
      <c r="B107" s="24">
        <f t="shared" si="8"/>
        <v>9</v>
      </c>
      <c r="C107" s="1" t="str" cm="1">
        <f t="array" aca="1" ref="C107" ca="1">INDIRECT(CONCATENATE("'",$A$100,"'!A",B107),1)</f>
        <v>Сети и телекоммуникации</v>
      </c>
      <c r="D107" s="1" t="str" cm="1">
        <f t="array" aca="1" ref="D107" ca="1">INDIRECT(CONCATENATE("'",$A$100,"'!B",B107),1)</f>
        <v xml:space="preserve">09.03.01(09у) </v>
      </c>
      <c r="E107" s="1" cm="1">
        <f t="array" aca="1" ref="E107" ca="1">INDIRECT(CONCATENATE("'",$A$100,"'!c",B107),1)</f>
        <v>5097</v>
      </c>
      <c r="F107" s="1" cm="1">
        <f t="array" aca="1" ref="F107" ca="1">INDIRECT(CONCATENATE("'",$A$100,"'!d",B107),1)</f>
        <v>2</v>
      </c>
      <c r="G107" s="1" cm="1">
        <f t="array" aca="1" ref="G107" ca="1">INDIRECT(CONCATENATE("'",$A$100,"'!e",B107),1)</f>
        <v>1</v>
      </c>
      <c r="H107" s="1" cm="1">
        <f t="array" aca="1" ref="H107" ca="1">INDIRECT(CONCATENATE("'",$A$100,"'!f",B107),1)</f>
        <v>15</v>
      </c>
      <c r="I107" s="1" t="str" cm="1">
        <f t="array" aca="1" ref="I107" ca="1">INDIRECT(CONCATENATE("'",$A$100,"'!g",B107),1)</f>
        <v>ДЗ</v>
      </c>
      <c r="J107" s="1" cm="1">
        <f t="array" aca="1" ref="J107" ca="1">INDIRECT(CONCATENATE("'",$A$100,"'!h",B107),1)</f>
        <v>4</v>
      </c>
      <c r="K107" s="1" cm="1">
        <f t="array" aca="1" ref="K107" ca="1">INDIRECT(CONCATENATE("'",$A$100,"'!i",B107),1)</f>
        <v>14</v>
      </c>
      <c r="L107" s="1" cm="1">
        <f t="array" aca="1" ref="L107" ca="1">INDIRECT(CONCATENATE("'",$A$100,"'!j",B107),1)</f>
        <v>14</v>
      </c>
      <c r="M107" s="1" cm="1">
        <f t="array" aca="1" ref="M107" ca="1">INDIRECT(CONCATENATE("'",$A$100,"'!k",B107),1)</f>
        <v>0</v>
      </c>
      <c r="N107" s="1" t="str" cm="1">
        <f t="array" aca="1" ref="N107" ca="1">INDIRECT(CONCATENATE("'",$A$100,"'!l",B107),1)</f>
        <v>Журавлева М.П.</v>
      </c>
      <c r="O107" s="1" cm="1">
        <f t="array" aca="1" ref="O107" ca="1">INDIRECT(CONCATENATE("'",$A$100,"'!m",B107),1)</f>
        <v>3317</v>
      </c>
      <c r="P107" s="1" t="str" cm="1">
        <f t="array" aca="1" ref="P107" ca="1">INDIRECT(CONCATENATE("'",$A$100,"'!n",B107),1)</f>
        <v>лр 1пп, 
пр 1п</v>
      </c>
      <c r="Q107" s="1" cm="1">
        <f t="array" aca="1" ref="Q107" ca="1">INDIRECT(CONCATENATE("'",$A$100,"'!o",B107),1)</f>
        <v>4.5</v>
      </c>
      <c r="R107" s="1" cm="1">
        <f t="array" aca="1" ref="R107" ca="1">INDIRECT(CONCATENATE("'",$A$100,"'!p",B107),1)</f>
        <v>0</v>
      </c>
      <c r="S107" s="1">
        <f t="shared" ca="1" si="7"/>
        <v>0</v>
      </c>
      <c r="T107" s="1" t="str" cm="1">
        <f t="array" aca="1" ref="T107" ca="1">INDIRECT(CONCATENATE("'",$A$100,"'!q",B107),1)</f>
        <v>Журавлева М.П.</v>
      </c>
      <c r="U107" s="1" cm="1">
        <f t="array" aca="1" ref="U107" ca="1">INDIRECT(CONCATENATE("'",$A$100,"'!r",B107),1)</f>
        <v>32.5</v>
      </c>
      <c r="V107" s="1" cm="1">
        <f t="array" aca="1" ref="V107" ca="1">INDIRECT(CONCATENATE("'",$A$100,"'!s",B107),1)</f>
        <v>0</v>
      </c>
      <c r="W107" s="1" cm="1">
        <f t="array" aca="1" ref="W107" ca="1">INDIRECT(CONCATENATE("'",$A$100,"'!t",B107),1)</f>
        <v>0</v>
      </c>
      <c r="X107" s="1" cm="1">
        <f t="array" aca="1" ref="X107" ca="1">INDIRECT(CONCATENATE("'",$A$100,"'!u",B107),1)</f>
        <v>0</v>
      </c>
      <c r="Y107" s="1" cm="1">
        <f t="array" aca="1" ref="Y107" ca="1">INDIRECT(CONCATENATE("'",$A$100,"'!v",B107),1)</f>
        <v>0</v>
      </c>
    </row>
    <row r="108" spans="1:25" customFormat="1" ht="33.75" hidden="1" x14ac:dyDescent="0.25">
      <c r="A108" s="15"/>
      <c r="B108" s="24">
        <f t="shared" ref="B108:B156" si="9">B107+1</f>
        <v>10</v>
      </c>
      <c r="C108" s="1" t="str" cm="1">
        <f t="array" aca="1" ref="C108" ca="1">INDIRECT(CONCATENATE("'",$A$100,"'!A",B108),1)</f>
        <v>Объектно-ориентированное программирование</v>
      </c>
      <c r="D108" s="1" t="str" cm="1">
        <f t="array" aca="1" ref="D108" ca="1">INDIRECT(CONCATENATE("'",$A$100,"'!B",B108),1)</f>
        <v xml:space="preserve">09.03.01(09у) </v>
      </c>
      <c r="E108" s="1" cm="1">
        <f t="array" aca="1" ref="E108" ca="1">INDIRECT(CONCATENATE("'",$A$100,"'!c",B108),1)</f>
        <v>5097</v>
      </c>
      <c r="F108" s="1" cm="1">
        <f t="array" aca="1" ref="F108" ca="1">INDIRECT(CONCATENATE("'",$A$100,"'!d",B108),1)</f>
        <v>2</v>
      </c>
      <c r="G108" s="1" cm="1">
        <f t="array" aca="1" ref="G108" ca="1">INDIRECT(CONCATENATE("'",$A$100,"'!e",B108),1)</f>
        <v>1</v>
      </c>
      <c r="H108" s="1" cm="1">
        <f t="array" aca="1" ref="H108" ca="1">INDIRECT(CONCATENATE("'",$A$100,"'!f",B108),1)</f>
        <v>15</v>
      </c>
      <c r="I108" s="1" t="str" cm="1">
        <f t="array" aca="1" ref="I108" ca="1">INDIRECT(CONCATENATE("'",$A$100,"'!g",B108),1)</f>
        <v>КП</v>
      </c>
      <c r="J108" s="1" cm="1">
        <f t="array" aca="1" ref="J108" ca="1">INDIRECT(CONCATENATE("'",$A$100,"'!h",B108),1)</f>
        <v>1</v>
      </c>
      <c r="K108" s="1" cm="1">
        <f t="array" aca="1" ref="K108" ca="1">INDIRECT(CONCATENATE("'",$A$100,"'!i",B108),1)</f>
        <v>0</v>
      </c>
      <c r="L108" s="1" cm="1">
        <f t="array" aca="1" ref="L108" ca="1">INDIRECT(CONCATENATE("'",$A$100,"'!j",B108),1)</f>
        <v>0</v>
      </c>
      <c r="M108" s="1" cm="1">
        <f t="array" aca="1" ref="M108" ca="1">INDIRECT(CONCATENATE("'",$A$100,"'!k",B108),1)</f>
        <v>0</v>
      </c>
      <c r="N108" s="1" t="str" cm="1">
        <f t="array" aca="1" ref="N108" ca="1">INDIRECT(CONCATENATE("'",$A$100,"'!l",B108),1)</f>
        <v>Кулаков И.Ю.Иванов Д.Д.</v>
      </c>
      <c r="O108" s="1" cm="1">
        <f t="array" aca="1" ref="O108" ca="1">INDIRECT(CONCATENATE("'",$A$100,"'!m",B108),1)</f>
        <v>3315</v>
      </c>
      <c r="P108" s="1" t="str" cm="1">
        <f t="array" aca="1" ref="P108" ca="1">INDIRECT(CONCATENATE("'",$A$100,"'!n",B108),1)</f>
        <v>кп</v>
      </c>
      <c r="Q108" s="1" cm="1">
        <f t="array" aca="1" ref="Q108" ca="1">INDIRECT(CONCATENATE("'",$A$100,"'!o",B108),1)</f>
        <v>22.5</v>
      </c>
      <c r="R108" s="1" cm="1">
        <f t="array" aca="1" ref="R108" ca="1">INDIRECT(CONCATENATE("'",$A$100,"'!p",B108),1)</f>
        <v>0</v>
      </c>
      <c r="S108" s="1">
        <f t="shared" ca="1" si="7"/>
        <v>0</v>
      </c>
      <c r="T108" s="1" t="str" cm="1">
        <f t="array" aca="1" ref="T108" ca="1">INDIRECT(CONCATENATE("'",$A$100,"'!q",B108),1)</f>
        <v>Кулаков И.Ю.</v>
      </c>
      <c r="U108" s="1" cm="1">
        <f t="array" aca="1" ref="U108" ca="1">INDIRECT(CONCATENATE("'",$A$100,"'!r",B108),1)</f>
        <v>22.5</v>
      </c>
      <c r="V108" s="1" t="str" cm="1">
        <f t="array" aca="1" ref="V108" ca="1">INDIRECT(CONCATENATE("'",$A$100,"'!s",B108),1)</f>
        <v>Иванов Д.Д.</v>
      </c>
      <c r="W108" s="1" cm="1">
        <f t="array" aca="1" ref="W108" ca="1">INDIRECT(CONCATENATE("'",$A$100,"'!t",B108),1)</f>
        <v>20</v>
      </c>
      <c r="X108" s="1" cm="1">
        <f t="array" aca="1" ref="X108" ca="1">INDIRECT(CONCATENATE("'",$A$100,"'!u",B108),1)</f>
        <v>0</v>
      </c>
      <c r="Y108" s="1" cm="1">
        <f t="array" aca="1" ref="Y108" ca="1">INDIRECT(CONCATENATE("'",$A$100,"'!v",B108),1)</f>
        <v>0</v>
      </c>
    </row>
    <row r="109" spans="1:25" customFormat="1" ht="56.25" hidden="1" x14ac:dyDescent="0.25">
      <c r="A109" s="15"/>
      <c r="B109" s="24">
        <f t="shared" si="9"/>
        <v>11</v>
      </c>
      <c r="C109" s="1" t="str" cm="1">
        <f t="array" aca="1" ref="C109" ca="1">INDIRECT(CONCATENATE("'",$A$100,"'!A",B109),1)</f>
        <v>Основы программирования и анализа данных на языке Python</v>
      </c>
      <c r="D109" s="1" t="str" cm="1">
        <f t="array" aca="1" ref="D109" ca="1">INDIRECT(CONCATENATE("'",$A$100,"'!B",B109),1)</f>
        <v xml:space="preserve">09.03.01(09у) </v>
      </c>
      <c r="E109" s="1" cm="1">
        <f t="array" aca="1" ref="E109" ca="1">INDIRECT(CONCATENATE("'",$A$100,"'!c",B109),1)</f>
        <v>5097</v>
      </c>
      <c r="F109" s="1" cm="1">
        <f t="array" aca="1" ref="F109" ca="1">INDIRECT(CONCATENATE("'",$A$100,"'!d",B109),1)</f>
        <v>2</v>
      </c>
      <c r="G109" s="1" cm="1">
        <f t="array" aca="1" ref="G109" ca="1">INDIRECT(CONCATENATE("'",$A$100,"'!e",B109),1)</f>
        <v>1</v>
      </c>
      <c r="H109" s="1" cm="1">
        <f t="array" aca="1" ref="H109" ca="1">INDIRECT(CONCATENATE("'",$A$100,"'!f",B109),1)</f>
        <v>21</v>
      </c>
      <c r="I109" s="1" t="str" cm="1">
        <f t="array" aca="1" ref="I109" ca="1">INDIRECT(CONCATENATE("'",$A$100,"'!g",B109),1)</f>
        <v>ДЗ</v>
      </c>
      <c r="J109" s="1" cm="1">
        <f t="array" aca="1" ref="J109" ca="1">INDIRECT(CONCATENATE("'",$A$100,"'!h",B109),1)</f>
        <v>4</v>
      </c>
      <c r="K109" s="1" cm="1">
        <f t="array" aca="1" ref="K109" ca="1">INDIRECT(CONCATENATE("'",$A$100,"'!i",B109),1)</f>
        <v>14</v>
      </c>
      <c r="L109" s="1" cm="1">
        <f t="array" aca="1" ref="L109" ca="1">INDIRECT(CONCATENATE("'",$A$100,"'!j",B109),1)</f>
        <v>14</v>
      </c>
      <c r="M109" s="1" cm="1">
        <f t="array" aca="1" ref="M109" ca="1">INDIRECT(CONCATENATE("'",$A$100,"'!k",B109),1)</f>
        <v>0</v>
      </c>
      <c r="N109" s="1" t="str" cm="1">
        <f t="array" aca="1" ref="N109" ca="1">INDIRECT(CONCATENATE("'",$A$100,"'!l",B109),1)</f>
        <v>Телина И.С.</v>
      </c>
      <c r="O109" s="1" t="str" cm="1">
        <f t="array" aca="1" ref="O109" ca="1">INDIRECT(CONCATENATE("'",$A$100,"'!m",B109),1)</f>
        <v>лк 3315 или 3312 по возм.
Лр 3305, 2407</v>
      </c>
      <c r="P109" s="1" cm="1">
        <f t="array" aca="1" ref="P109" ca="1">INDIRECT(CONCATENATE("'",$A$100,"'!n",B109),1)</f>
        <v>1</v>
      </c>
      <c r="Q109" s="1" cm="1">
        <f t="array" aca="1" ref="Q109" ca="1">INDIRECT(CONCATENATE("'",$A$100,"'!o",B109),1)</f>
        <v>4.5</v>
      </c>
      <c r="R109" s="1" cm="1">
        <f t="array" aca="1" ref="R109" ca="1">INDIRECT(CONCATENATE("'",$A$100,"'!p",B109),1)</f>
        <v>0</v>
      </c>
      <c r="S109" s="1">
        <f t="shared" ca="1" si="7"/>
        <v>0</v>
      </c>
      <c r="T109" s="1" t="str" cm="1">
        <f t="array" aca="1" ref="T109" ca="1">INDIRECT(CONCATENATE("'",$A$100,"'!q",B109),1)</f>
        <v>Телина И.С.</v>
      </c>
      <c r="U109" s="1" cm="1">
        <f t="array" aca="1" ref="U109" ca="1">INDIRECT(CONCATENATE("'",$A$100,"'!r",B109),1)</f>
        <v>32.5</v>
      </c>
      <c r="V109" s="1" cm="1">
        <f t="array" aca="1" ref="V109" ca="1">INDIRECT(CONCATENATE("'",$A$100,"'!s",B109),1)</f>
        <v>0</v>
      </c>
      <c r="W109" s="1" cm="1">
        <f t="array" aca="1" ref="W109" ca="1">INDIRECT(CONCATENATE("'",$A$100,"'!t",B109),1)</f>
        <v>0</v>
      </c>
      <c r="X109" s="1" cm="1">
        <f t="array" aca="1" ref="X109" ca="1">INDIRECT(CONCATENATE("'",$A$100,"'!u",B109),1)</f>
        <v>0</v>
      </c>
      <c r="Y109" s="1" cm="1">
        <f t="array" aca="1" ref="Y109" ca="1">INDIRECT(CONCATENATE("'",$A$100,"'!v",B109),1)</f>
        <v>0</v>
      </c>
    </row>
    <row r="110" spans="1:25" customFormat="1" hidden="1" x14ac:dyDescent="0.25">
      <c r="A110" s="15"/>
      <c r="B110" s="24">
        <f t="shared" si="9"/>
        <v>12</v>
      </c>
      <c r="C110" s="1" cm="1">
        <f t="array" aca="1" ref="C110" ca="1">INDIRECT(CONCATENATE("'",$A$100,"'!A",B110),1)</f>
        <v>0</v>
      </c>
      <c r="D110" s="1" cm="1">
        <f t="array" aca="1" ref="D110" ca="1">INDIRECT(CONCATENATE("'",$A$100,"'!B",B110),1)</f>
        <v>0</v>
      </c>
      <c r="E110" s="1" cm="1">
        <f t="array" aca="1" ref="E110" ca="1">INDIRECT(CONCATENATE("'",$A$100,"'!c",B110),1)</f>
        <v>0</v>
      </c>
      <c r="F110" s="1" cm="1">
        <f t="array" aca="1" ref="F110" ca="1">INDIRECT(CONCATENATE("'",$A$100,"'!d",B110),1)</f>
        <v>0</v>
      </c>
      <c r="G110" s="1" cm="1">
        <f t="array" aca="1" ref="G110" ca="1">INDIRECT(CONCATENATE("'",$A$100,"'!e",B110),1)</f>
        <v>0</v>
      </c>
      <c r="H110" s="1" cm="1">
        <f t="array" aca="1" ref="H110" ca="1">INDIRECT(CONCATENATE("'",$A$100,"'!f",B110),1)</f>
        <v>0</v>
      </c>
      <c r="I110" s="1" cm="1">
        <f t="array" aca="1" ref="I110" ca="1">INDIRECT(CONCATENATE("'",$A$100,"'!g",B110),1)</f>
        <v>0</v>
      </c>
      <c r="J110" s="1" cm="1">
        <f t="array" aca="1" ref="J110" ca="1">INDIRECT(CONCATENATE("'",$A$100,"'!h",B110),1)</f>
        <v>0</v>
      </c>
      <c r="K110" s="1" cm="1">
        <f t="array" aca="1" ref="K110" ca="1">INDIRECT(CONCATENATE("'",$A$100,"'!i",B110),1)</f>
        <v>0</v>
      </c>
      <c r="L110" s="1" cm="1">
        <f t="array" aca="1" ref="L110" ca="1">INDIRECT(CONCATENATE("'",$A$100,"'!j",B110),1)</f>
        <v>0</v>
      </c>
      <c r="M110" s="1" cm="1">
        <f t="array" aca="1" ref="M110" ca="1">INDIRECT(CONCATENATE("'",$A$100,"'!k",B110),1)</f>
        <v>0</v>
      </c>
      <c r="N110" s="1" t="str" cm="1">
        <f t="array" aca="1" ref="N110" ca="1">INDIRECT(CONCATENATE("'",$A$100,"'!l",B110),1)</f>
        <v/>
      </c>
      <c r="O110" s="1" cm="1">
        <f t="array" aca="1" ref="O110" ca="1">INDIRECT(CONCATENATE("'",$A$100,"'!m",B110),1)</f>
        <v>0</v>
      </c>
      <c r="P110" s="1" cm="1">
        <f t="array" aca="1" ref="P110" ca="1">INDIRECT(CONCATENATE("'",$A$100,"'!n",B110),1)</f>
        <v>0</v>
      </c>
      <c r="Q110" s="1" cm="1">
        <f t="array" aca="1" ref="Q110" ca="1">INDIRECT(CONCATENATE("'",$A$100,"'!o",B110),1)</f>
        <v>0</v>
      </c>
      <c r="R110" s="1" cm="1">
        <f t="array" aca="1" ref="R110" ca="1">INDIRECT(CONCATENATE("'",$A$100,"'!p",B110),1)</f>
        <v>0</v>
      </c>
      <c r="S110" s="1">
        <f t="shared" ca="1" si="7"/>
        <v>0</v>
      </c>
      <c r="T110" s="1" cm="1">
        <f t="array" aca="1" ref="T110" ca="1">INDIRECT(CONCATENATE("'",$A$100,"'!q",B110),1)</f>
        <v>0</v>
      </c>
      <c r="U110" s="1" cm="1">
        <f t="array" aca="1" ref="U110" ca="1">INDIRECT(CONCATENATE("'",$A$100,"'!r",B110),1)</f>
        <v>0</v>
      </c>
      <c r="V110" s="1" cm="1">
        <f t="array" aca="1" ref="V110" ca="1">INDIRECT(CONCATENATE("'",$A$100,"'!s",B110),1)</f>
        <v>0</v>
      </c>
      <c r="W110" s="1" cm="1">
        <f t="array" aca="1" ref="W110" ca="1">INDIRECT(CONCATENATE("'",$A$100,"'!t",B110),1)</f>
        <v>0</v>
      </c>
      <c r="X110" s="1" cm="1">
        <f t="array" aca="1" ref="X110" ca="1">INDIRECT(CONCATENATE("'",$A$100,"'!u",B110),1)</f>
        <v>0</v>
      </c>
      <c r="Y110" s="1" cm="1">
        <f t="array" aca="1" ref="Y110" ca="1">INDIRECT(CONCATENATE("'",$A$100,"'!v",B110),1)</f>
        <v>0</v>
      </c>
    </row>
    <row r="111" spans="1:25" customFormat="1" ht="22.5" hidden="1" x14ac:dyDescent="0.25">
      <c r="A111" s="15"/>
      <c r="B111" s="24">
        <f t="shared" si="9"/>
        <v>13</v>
      </c>
      <c r="C111" s="1" t="str" cm="1">
        <f t="array" aca="1" ref="C111" ca="1">INDIRECT(CONCATENATE("'",$A$100,"'!A",B111),1)</f>
        <v>Методы защиты информации</v>
      </c>
      <c r="D111" s="1" t="str" cm="1">
        <f t="array" aca="1" ref="D111" ca="1">INDIRECT(CONCATENATE("'",$A$100,"'!B",B111),1)</f>
        <v xml:space="preserve">09.03.01(09у) </v>
      </c>
      <c r="E111" s="1" cm="1">
        <f t="array" aca="1" ref="E111" ca="1">INDIRECT(CONCATENATE("'",$A$100,"'!c",B111),1)</f>
        <v>4097</v>
      </c>
      <c r="F111" s="1" cm="1">
        <f t="array" aca="1" ref="F111" ca="1">INDIRECT(CONCATENATE("'",$A$100,"'!d",B111),1)</f>
        <v>3</v>
      </c>
      <c r="G111" s="1" cm="1">
        <f t="array" aca="1" ref="G111" ca="1">INDIRECT(CONCATENATE("'",$A$100,"'!e",B111),1)</f>
        <v>1</v>
      </c>
      <c r="H111" s="1" cm="1">
        <f t="array" aca="1" ref="H111" ca="1">INDIRECT(CONCATENATE("'",$A$100,"'!f",B111),1)</f>
        <v>23</v>
      </c>
      <c r="I111" s="1" t="str" cm="1">
        <f t="array" aca="1" ref="I111" ca="1">INDIRECT(CONCATENATE("'",$A$100,"'!g",B111),1)</f>
        <v>ДЗ</v>
      </c>
      <c r="J111" s="1" cm="1">
        <f t="array" aca="1" ref="J111" ca="1">INDIRECT(CONCATENATE("'",$A$100,"'!h",B111),1)</f>
        <v>4</v>
      </c>
      <c r="K111" s="1" cm="1">
        <f t="array" aca="1" ref="K111" ca="1">INDIRECT(CONCATENATE("'",$A$100,"'!i",B111),1)</f>
        <v>14</v>
      </c>
      <c r="L111" s="1" cm="1">
        <f t="array" aca="1" ref="L111" ca="1">INDIRECT(CONCATENATE("'",$A$100,"'!j",B111),1)</f>
        <v>0</v>
      </c>
      <c r="M111" s="1" cm="1">
        <f t="array" aca="1" ref="M111" ca="1">INDIRECT(CONCATENATE("'",$A$100,"'!k",B111),1)</f>
        <v>42</v>
      </c>
      <c r="N111" s="1" t="str" cm="1">
        <f t="array" aca="1" ref="N111" ca="1">INDIRECT(CONCATENATE("'",$A$100,"'!l",B111),1)</f>
        <v>Жгун Т.В.</v>
      </c>
      <c r="O111" s="1" t="str" cm="1">
        <f t="array" aca="1" ref="O111" ca="1">INDIRECT(CONCATENATE("'",$A$100,"'!m",B111),1)</f>
        <v>лк 3315,3312
лр 3300</v>
      </c>
      <c r="P111" s="1" t="str" cm="1">
        <f t="array" aca="1" ref="P111" ca="1">INDIRECT(CONCATENATE("'",$A$100,"'!n",B111),1)</f>
        <v>лр *1п</v>
      </c>
      <c r="Q111" s="1" cm="1">
        <f t="array" aca="1" ref="Q111" ca="1">INDIRECT(CONCATENATE("'",$A$100,"'!o",B111),1)</f>
        <v>13.8</v>
      </c>
      <c r="R111" s="1" cm="1">
        <f t="array" aca="1" ref="R111" ca="1">INDIRECT(CONCATENATE("'",$A$100,"'!p",B111),1)</f>
        <v>0</v>
      </c>
      <c r="S111" s="1">
        <f t="shared" ca="1" si="7"/>
        <v>0</v>
      </c>
      <c r="T111" s="1" t="str" cm="1">
        <f t="array" aca="1" ref="T111" ca="1">INDIRECT(CONCATENATE("'",$A$100,"'!q",B111),1)</f>
        <v>Жгун Т.В.</v>
      </c>
      <c r="U111" s="1" cm="1">
        <f t="array" aca="1" ref="U111" ca="1">INDIRECT(CONCATENATE("'",$A$100,"'!r",B111),1)</f>
        <v>69.8</v>
      </c>
      <c r="V111" s="1" cm="1">
        <f t="array" aca="1" ref="V111" ca="1">INDIRECT(CONCATENATE("'",$A$100,"'!s",B111),1)</f>
        <v>0</v>
      </c>
      <c r="W111" s="1" cm="1">
        <f t="array" aca="1" ref="W111" ca="1">INDIRECT(CONCATENATE("'",$A$100,"'!t",B111),1)</f>
        <v>0</v>
      </c>
      <c r="X111" s="1" cm="1">
        <f t="array" aca="1" ref="X111" ca="1">INDIRECT(CONCATENATE("'",$A$100,"'!u",B111),1)</f>
        <v>0</v>
      </c>
      <c r="Y111" s="1" cm="1">
        <f t="array" aca="1" ref="Y111" ca="1">INDIRECT(CONCATENATE("'",$A$100,"'!v",B111),1)</f>
        <v>0</v>
      </c>
    </row>
    <row r="112" spans="1:25" customFormat="1" ht="22.5" hidden="1" x14ac:dyDescent="0.25">
      <c r="A112" s="15"/>
      <c r="B112" s="24">
        <f t="shared" si="9"/>
        <v>14</v>
      </c>
      <c r="C112" s="1" t="str" cm="1">
        <f t="array" aca="1" ref="C112" ca="1">INDIRECT(CONCATENATE("'",$A$100,"'!A",B112),1)</f>
        <v>Методы защиты информации</v>
      </c>
      <c r="D112" s="1" t="str" cm="1">
        <f t="array" aca="1" ref="D112" ca="1">INDIRECT(CONCATENATE("'",$A$100,"'!B",B112),1)</f>
        <v xml:space="preserve">09.03.01(09у) </v>
      </c>
      <c r="E112" s="1" cm="1">
        <f t="array" aca="1" ref="E112" ca="1">INDIRECT(CONCATENATE("'",$A$100,"'!c",B112),1)</f>
        <v>4097</v>
      </c>
      <c r="F112" s="1" cm="1">
        <f t="array" aca="1" ref="F112" ca="1">INDIRECT(CONCATENATE("'",$A$100,"'!d",B112),1)</f>
        <v>3</v>
      </c>
      <c r="G112" s="1" cm="1">
        <f t="array" aca="1" ref="G112" ca="1">INDIRECT(CONCATENATE("'",$A$100,"'!e",B112),1)</f>
        <v>1</v>
      </c>
      <c r="H112" s="1" cm="1">
        <f t="array" aca="1" ref="H112" ca="1">INDIRECT(CONCATENATE("'",$A$100,"'!f",B112),1)</f>
        <v>23</v>
      </c>
      <c r="I112" s="1" t="str" cm="1">
        <f t="array" aca="1" ref="I112" ca="1">INDIRECT(CONCATENATE("'",$A$100,"'!g",B112),1)</f>
        <v>ДЗ</v>
      </c>
      <c r="J112" s="1" cm="1">
        <f t="array" aca="1" ref="J112" ca="1">INDIRECT(CONCATENATE("'",$A$100,"'!h",B112),1)</f>
        <v>4</v>
      </c>
      <c r="K112" s="1" cm="1">
        <f t="array" aca="1" ref="K112" ca="1">INDIRECT(CONCATENATE("'",$A$100,"'!i",B112),1)</f>
        <v>14</v>
      </c>
      <c r="L112" s="1" cm="1">
        <f t="array" aca="1" ref="L112" ca="1">INDIRECT(CONCATENATE("'",$A$100,"'!j",B112),1)</f>
        <v>0</v>
      </c>
      <c r="M112" s="1" cm="1">
        <f t="array" aca="1" ref="M112" ca="1">INDIRECT(CONCATENATE("'",$A$100,"'!k",B112),1)</f>
        <v>42</v>
      </c>
      <c r="N112" s="1" t="str" cm="1">
        <f t="array" aca="1" ref="N112" ca="1">INDIRECT(CONCATENATE("'",$A$100,"'!l",B112),1)</f>
        <v>Цымбалюк А.Е.</v>
      </c>
      <c r="O112" s="1" t="str" cm="1">
        <f t="array" aca="1" ref="O112" ca="1">INDIRECT(CONCATENATE("'",$A$100,"'!m",B112),1)</f>
        <v>лк 3315,3312
лр 3300</v>
      </c>
      <c r="P112" s="1" t="str" cm="1">
        <f t="array" aca="1" ref="P112" ca="1">INDIRECT(CONCATENATE("'",$A$100,"'!n",B112),1)</f>
        <v>лр *1п</v>
      </c>
      <c r="Q112" s="1" cm="1">
        <f t="array" aca="1" ref="Q112" ca="1">INDIRECT(CONCATENATE("'",$A$100,"'!o",B112),1)</f>
        <v>13.8</v>
      </c>
      <c r="R112" s="1" cm="1">
        <f t="array" aca="1" ref="R112" ca="1">INDIRECT(CONCATENATE("'",$A$100,"'!p",B112),1)</f>
        <v>0</v>
      </c>
      <c r="S112" s="1">
        <f t="shared" ca="1" si="7"/>
        <v>0</v>
      </c>
      <c r="T112" s="1" t="str" cm="1">
        <f t="array" aca="1" ref="T112" ca="1">INDIRECT(CONCATENATE("'",$A$100,"'!q",B112),1)</f>
        <v>Цымбалюк А.Е.</v>
      </c>
      <c r="U112" s="1" cm="1">
        <f t="array" aca="1" ref="U112" ca="1">INDIRECT(CONCATENATE("'",$A$100,"'!r",B112),1)</f>
        <v>42</v>
      </c>
      <c r="V112" s="1" cm="1">
        <f t="array" aca="1" ref="V112" ca="1">INDIRECT(CONCATENATE("'",$A$100,"'!s",B112),1)</f>
        <v>0</v>
      </c>
      <c r="W112" s="1" cm="1">
        <f t="array" aca="1" ref="W112" ca="1">INDIRECT(CONCATENATE("'",$A$100,"'!t",B112),1)</f>
        <v>0</v>
      </c>
      <c r="X112" s="1" cm="1">
        <f t="array" aca="1" ref="X112" ca="1">INDIRECT(CONCATENATE("'",$A$100,"'!u",B112),1)</f>
        <v>0</v>
      </c>
      <c r="Y112" s="1" cm="1">
        <f t="array" aca="1" ref="Y112" ca="1">INDIRECT(CONCATENATE("'",$A$100,"'!v",B112),1)</f>
        <v>0</v>
      </c>
    </row>
    <row r="113" spans="1:25" customFormat="1" ht="33.75" hidden="1" x14ac:dyDescent="0.25">
      <c r="A113" s="15"/>
      <c r="B113" s="24">
        <f t="shared" si="9"/>
        <v>15</v>
      </c>
      <c r="C113" s="1" t="str" cm="1">
        <f t="array" aca="1" ref="C113" ca="1">INDIRECT(CONCATENATE("'",$A$100,"'!A",B113),1)</f>
        <v>Технология разработки программного обеспечения</v>
      </c>
      <c r="D113" s="1" t="str" cm="1">
        <f t="array" aca="1" ref="D113" ca="1">INDIRECT(CONCATENATE("'",$A$100,"'!B",B113),1)</f>
        <v xml:space="preserve">09.03.01(09у) </v>
      </c>
      <c r="E113" s="1" cm="1">
        <f t="array" aca="1" ref="E113" ca="1">INDIRECT(CONCATENATE("'",$A$100,"'!c",B113),1)</f>
        <v>4097</v>
      </c>
      <c r="F113" s="1" cm="1">
        <f t="array" aca="1" ref="F113" ca="1">INDIRECT(CONCATENATE("'",$A$100,"'!d",B113),1)</f>
        <v>3</v>
      </c>
      <c r="G113" s="1" cm="1">
        <f t="array" aca="1" ref="G113" ca="1">INDIRECT(CONCATENATE("'",$A$100,"'!e",B113),1)</f>
        <v>1</v>
      </c>
      <c r="H113" s="1" cm="1">
        <f t="array" aca="1" ref="H113" ca="1">INDIRECT(CONCATENATE("'",$A$100,"'!f",B113),1)</f>
        <v>23</v>
      </c>
      <c r="I113" s="1" t="str" cm="1">
        <f t="array" aca="1" ref="I113" ca="1">INDIRECT(CONCATENATE("'",$A$100,"'!g",B113),1)</f>
        <v>ДЗ</v>
      </c>
      <c r="J113" s="1" cm="1">
        <f t="array" aca="1" ref="J113" ca="1">INDIRECT(CONCATENATE("'",$A$100,"'!h",B113),1)</f>
        <v>4</v>
      </c>
      <c r="K113" s="1" cm="1">
        <f t="array" aca="1" ref="K113" ca="1">INDIRECT(CONCATENATE("'",$A$100,"'!i",B113),1)</f>
        <v>14</v>
      </c>
      <c r="L113" s="1" cm="1">
        <f t="array" aca="1" ref="L113" ca="1">INDIRECT(CONCATENATE("'",$A$100,"'!j",B113),1)</f>
        <v>21</v>
      </c>
      <c r="M113" s="1" cm="1">
        <f t="array" aca="1" ref="M113" ca="1">INDIRECT(CONCATENATE("'",$A$100,"'!k",B113),1)</f>
        <v>21</v>
      </c>
      <c r="N113" s="1" t="str" cm="1">
        <f t="array" aca="1" ref="N113" ca="1">INDIRECT(CONCATENATE("'",$A$100,"'!l",B113),1)</f>
        <v>Алексеев П.С.</v>
      </c>
      <c r="O113" s="1" cm="1">
        <f t="array" aca="1" ref="O113" ca="1">INDIRECT(CONCATENATE("'",$A$100,"'!m",B113),1)</f>
        <v>3312</v>
      </c>
      <c r="P113" s="1" t="str" cm="1">
        <f t="array" aca="1" ref="P113" ca="1">INDIRECT(CONCATENATE("'",$A$100,"'!n",B113),1)</f>
        <v>1п</v>
      </c>
      <c r="Q113" s="1" cm="1">
        <f t="array" aca="1" ref="Q113" ca="1">INDIRECT(CONCATENATE("'",$A$100,"'!o",B113),1)</f>
        <v>13.8</v>
      </c>
      <c r="R113" s="1" cm="1">
        <f t="array" aca="1" ref="R113" ca="1">INDIRECT(CONCATENATE("'",$A$100,"'!p",B113),1)</f>
        <v>9.1999999999999993</v>
      </c>
      <c r="S113" s="1">
        <f t="shared" ca="1" si="7"/>
        <v>0</v>
      </c>
      <c r="T113" s="1" t="str" cm="1">
        <f t="array" aca="1" ref="T113" ca="1">INDIRECT(CONCATENATE("'",$A$100,"'!q",B113),1)</f>
        <v>Алексеев П.С.</v>
      </c>
      <c r="U113" s="1" cm="1">
        <f t="array" aca="1" ref="U113" ca="1">INDIRECT(CONCATENATE("'",$A$100,"'!r",B113),1)</f>
        <v>79</v>
      </c>
      <c r="V113" s="1" cm="1">
        <f t="array" aca="1" ref="V113" ca="1">INDIRECT(CONCATENATE("'",$A$100,"'!s",B113),1)</f>
        <v>0</v>
      </c>
      <c r="W113" s="1" cm="1">
        <f t="array" aca="1" ref="W113" ca="1">INDIRECT(CONCATENATE("'",$A$100,"'!t",B113),1)</f>
        <v>0</v>
      </c>
      <c r="X113" s="1" cm="1">
        <f t="array" aca="1" ref="X113" ca="1">INDIRECT(CONCATENATE("'",$A$100,"'!u",B113),1)</f>
        <v>0</v>
      </c>
      <c r="Y113" s="1" cm="1">
        <f t="array" aca="1" ref="Y113" ca="1">INDIRECT(CONCATENATE("'",$A$100,"'!v",B113),1)</f>
        <v>0</v>
      </c>
    </row>
    <row r="114" spans="1:25" customFormat="1" ht="45" hidden="1" x14ac:dyDescent="0.25">
      <c r="A114" s="15"/>
      <c r="B114" s="24">
        <f t="shared" si="9"/>
        <v>16</v>
      </c>
      <c r="C114" s="1" t="str" cm="1">
        <f t="array" aca="1" ref="C114" ca="1">INDIRECT(CONCATENATE("'",$A$100,"'!A",B114),1)</f>
        <v>Проектирование информационных систем</v>
      </c>
      <c r="D114" s="1" t="str" cm="1">
        <f t="array" aca="1" ref="D114" ca="1">INDIRECT(CONCATENATE("'",$A$100,"'!B",B114),1)</f>
        <v xml:space="preserve">09.03.01(09у) </v>
      </c>
      <c r="E114" s="1" cm="1">
        <f t="array" aca="1" ref="E114" ca="1">INDIRECT(CONCATENATE("'",$A$100,"'!c",B114),1)</f>
        <v>4097</v>
      </c>
      <c r="F114" s="1" cm="1">
        <f t="array" aca="1" ref="F114" ca="1">INDIRECT(CONCATENATE("'",$A$100,"'!d",B114),1)</f>
        <v>3</v>
      </c>
      <c r="G114" s="1" cm="1">
        <f t="array" aca="1" ref="G114" ca="1">INDIRECT(CONCATENATE("'",$A$100,"'!e",B114),1)</f>
        <v>1</v>
      </c>
      <c r="H114" s="1" cm="1">
        <f t="array" aca="1" ref="H114" ca="1">INDIRECT(CONCATENATE("'",$A$100,"'!f",B114),1)</f>
        <v>23</v>
      </c>
      <c r="I114" s="1" t="str" cm="1">
        <f t="array" aca="1" ref="I114" ca="1">INDIRECT(CONCATENATE("'",$A$100,"'!g",B114),1)</f>
        <v>ЭКЗ</v>
      </c>
      <c r="J114" s="1" cm="1">
        <f t="array" aca="1" ref="J114" ca="1">INDIRECT(CONCATENATE("'",$A$100,"'!h",B114),1)</f>
        <v>5</v>
      </c>
      <c r="K114" s="1" cm="1">
        <f t="array" aca="1" ref="K114" ca="1">INDIRECT(CONCATENATE("'",$A$100,"'!i",B114),1)</f>
        <v>14</v>
      </c>
      <c r="L114" s="1" cm="1">
        <f t="array" aca="1" ref="L114" ca="1">INDIRECT(CONCATENATE("'",$A$100,"'!j",B114),1)</f>
        <v>0</v>
      </c>
      <c r="M114" s="1" cm="1">
        <f t="array" aca="1" ref="M114" ca="1">INDIRECT(CONCATENATE("'",$A$100,"'!k",B114),1)</f>
        <v>42</v>
      </c>
      <c r="N114" s="1" t="str" cm="1">
        <f t="array" aca="1" ref="N114" ca="1">INDIRECT(CONCATENATE("'",$A$100,"'!l",B114),1)</f>
        <v>Цымбалюк Л.Н.Цымбалюк А.Е.</v>
      </c>
      <c r="O114" s="1" t="str" cm="1">
        <f t="array" aca="1" ref="O114" ca="1">INDIRECT(CONCATENATE("'",$A$100,"'!m",B114),1)</f>
        <v>124 ПТК</v>
      </c>
      <c r="P114" s="1" t="str" cm="1">
        <f t="array" aca="1" ref="P114" ca="1">INDIRECT(CONCATENATE("'",$A$100,"'!n",B114),1)</f>
        <v>лр * 2п</v>
      </c>
      <c r="Q114" s="1" cm="1">
        <f t="array" aca="1" ref="Q114" ca="1">INDIRECT(CONCATENATE("'",$A$100,"'!o",B114),1)</f>
        <v>17.3</v>
      </c>
      <c r="R114" s="1" cm="1">
        <f t="array" aca="1" ref="R114" ca="1">INDIRECT(CONCATENATE("'",$A$100,"'!p",B114),1)</f>
        <v>11.5</v>
      </c>
      <c r="S114" s="1">
        <f t="shared" ca="1" si="7"/>
        <v>0</v>
      </c>
      <c r="T114" s="1" t="str" cm="1">
        <f t="array" aca="1" ref="T114" ca="1">INDIRECT(CONCATENATE("'",$A$100,"'!q",B114),1)</f>
        <v>Цымбалюк Л.Н.</v>
      </c>
      <c r="U114" s="1" cm="1">
        <f t="array" aca="1" ref="U114" ca="1">INDIRECT(CONCATENATE("'",$A$100,"'!r",B114),1)</f>
        <v>67.5</v>
      </c>
      <c r="V114" s="1" t="str" cm="1">
        <f t="array" aca="1" ref="V114" ca="1">INDIRECT(CONCATENATE("'",$A$100,"'!s",B114),1)</f>
        <v>Цымбалюк А.Е.</v>
      </c>
      <c r="W114" s="1" cm="1">
        <f t="array" aca="1" ref="W114" ca="1">INDIRECT(CONCATENATE("'",$A$100,"'!t",B114),1)</f>
        <v>59.3</v>
      </c>
      <c r="X114" s="1" cm="1">
        <f t="array" aca="1" ref="X114" ca="1">INDIRECT(CONCATENATE("'",$A$100,"'!u",B114),1)</f>
        <v>0</v>
      </c>
      <c r="Y114" s="1" cm="1">
        <f t="array" aca="1" ref="Y114" ca="1">INDIRECT(CONCATENATE("'",$A$100,"'!v",B114),1)</f>
        <v>0</v>
      </c>
    </row>
    <row r="115" spans="1:25" customFormat="1" ht="45" hidden="1" x14ac:dyDescent="0.25">
      <c r="A115" s="15"/>
      <c r="B115" s="24">
        <f t="shared" si="9"/>
        <v>17</v>
      </c>
      <c r="C115" s="1" t="str" cm="1">
        <f t="array" aca="1" ref="C115" ca="1">INDIRECT(CONCATENATE("'",$A$100,"'!A",B115),1)</f>
        <v>Проектирование информационных систем</v>
      </c>
      <c r="D115" s="1" t="str" cm="1">
        <f t="array" aca="1" ref="D115" ca="1">INDIRECT(CONCATENATE("'",$A$100,"'!B",B115),1)</f>
        <v xml:space="preserve">09.03.01(09у) </v>
      </c>
      <c r="E115" s="1" cm="1">
        <f t="array" aca="1" ref="E115" ca="1">INDIRECT(CONCATENATE("'",$A$100,"'!c",B115),1)</f>
        <v>4097</v>
      </c>
      <c r="F115" s="1" cm="1">
        <f t="array" aca="1" ref="F115" ca="1">INDIRECT(CONCATENATE("'",$A$100,"'!d",B115),1)</f>
        <v>3</v>
      </c>
      <c r="G115" s="1" cm="1">
        <f t="array" aca="1" ref="G115" ca="1">INDIRECT(CONCATENATE("'",$A$100,"'!e",B115),1)</f>
        <v>1</v>
      </c>
      <c r="H115" s="1" cm="1">
        <f t="array" aca="1" ref="H115" ca="1">INDIRECT(CONCATENATE("'",$A$100,"'!f",B115),1)</f>
        <v>11</v>
      </c>
      <c r="I115" s="1" t="str" cm="1">
        <f t="array" aca="1" ref="I115" ca="1">INDIRECT(CONCATENATE("'",$A$100,"'!g",B115),1)</f>
        <v>КП</v>
      </c>
      <c r="J115" s="1" cm="1">
        <f t="array" aca="1" ref="J115" ca="1">INDIRECT(CONCATENATE("'",$A$100,"'!h",B115),1)</f>
        <v>1</v>
      </c>
      <c r="K115" s="1" cm="1">
        <f t="array" aca="1" ref="K115" ca="1">INDIRECT(CONCATENATE("'",$A$100,"'!i",B115),1)</f>
        <v>0</v>
      </c>
      <c r="L115" s="1" cm="1">
        <f t="array" aca="1" ref="L115" ca="1">INDIRECT(CONCATENATE("'",$A$100,"'!j",B115),1)</f>
        <v>0</v>
      </c>
      <c r="M115" s="1" cm="1">
        <f t="array" aca="1" ref="M115" ca="1">INDIRECT(CONCATENATE("'",$A$100,"'!k",B115),1)</f>
        <v>0</v>
      </c>
      <c r="N115" s="1" t="str" cm="1">
        <f t="array" aca="1" ref="N115" ca="1">INDIRECT(CONCATENATE("'",$A$100,"'!l",B115),1)</f>
        <v>Цымбалюк Л.Н.Цымбалюк А.Е.</v>
      </c>
      <c r="O115" s="1" cm="1">
        <f t="array" aca="1" ref="O115" ca="1">INDIRECT(CONCATENATE("'",$A$100,"'!m",B115),1)</f>
        <v>124</v>
      </c>
      <c r="P115" s="1" t="str" cm="1">
        <f t="array" aca="1" ref="P115" ca="1">INDIRECT(CONCATENATE("'",$A$100,"'!n",B115),1)</f>
        <v>консультации, защита</v>
      </c>
      <c r="Q115" s="1" cm="1">
        <f t="array" aca="1" ref="Q115" ca="1">INDIRECT(CONCATENATE("'",$A$100,"'!o",B115),1)</f>
        <v>34.5</v>
      </c>
      <c r="R115" s="1" cm="1">
        <f t="array" aca="1" ref="R115" ca="1">INDIRECT(CONCATENATE("'",$A$100,"'!p",B115),1)</f>
        <v>0</v>
      </c>
      <c r="S115" s="1">
        <f t="shared" ca="1" si="7"/>
        <v>0</v>
      </c>
      <c r="T115" s="1" t="str" cm="1">
        <f t="array" aca="1" ref="T115" ca="1">INDIRECT(CONCATENATE("'",$A$100,"'!q",B115),1)</f>
        <v>Цымбалюк Л.Н.</v>
      </c>
      <c r="U115" s="1" cm="1">
        <f t="array" aca="1" ref="U115" ca="1">INDIRECT(CONCATENATE("'",$A$100,"'!r",B115),1)</f>
        <v>4.5</v>
      </c>
      <c r="V115" s="1" t="str" cm="1">
        <f t="array" aca="1" ref="V115" ca="1">INDIRECT(CONCATENATE("'",$A$100,"'!s",B115),1)</f>
        <v>Цымбалюк А.Е.</v>
      </c>
      <c r="W115" s="1" cm="1">
        <f t="array" aca="1" ref="W115" ca="1">INDIRECT(CONCATENATE("'",$A$100,"'!t",B115),1)</f>
        <v>30</v>
      </c>
      <c r="X115" s="1" cm="1">
        <f t="array" aca="1" ref="X115" ca="1">INDIRECT(CONCATENATE("'",$A$100,"'!u",B115),1)</f>
        <v>0</v>
      </c>
      <c r="Y115" s="1" cm="1">
        <f t="array" aca="1" ref="Y115" ca="1">INDIRECT(CONCATENATE("'",$A$100,"'!v",B115),1)</f>
        <v>0</v>
      </c>
    </row>
    <row r="116" spans="1:25" customFormat="1" ht="45" hidden="1" x14ac:dyDescent="0.25">
      <c r="A116" s="15"/>
      <c r="B116" s="24">
        <f t="shared" si="9"/>
        <v>18</v>
      </c>
      <c r="C116" s="1" t="str" cm="1">
        <f t="array" aca="1" ref="C116" ca="1">INDIRECT(CONCATENATE("'",$A$100,"'!A",B116),1)</f>
        <v>Введение в информационные технологии больших данных</v>
      </c>
      <c r="D116" s="1" t="str" cm="1">
        <f t="array" aca="1" ref="D116" ca="1">INDIRECT(CONCATENATE("'",$A$100,"'!B",B116),1)</f>
        <v xml:space="preserve">09.03.01(09у) </v>
      </c>
      <c r="E116" s="1" cm="1">
        <f t="array" aca="1" ref="E116" ca="1">INDIRECT(CONCATENATE("'",$A$100,"'!c",B116),1)</f>
        <v>4097</v>
      </c>
      <c r="F116" s="1" cm="1">
        <f t="array" aca="1" ref="F116" ca="1">INDIRECT(CONCATENATE("'",$A$100,"'!d",B116),1)</f>
        <v>3</v>
      </c>
      <c r="G116" s="1" cm="1">
        <f t="array" aca="1" ref="G116" ca="1">INDIRECT(CONCATENATE("'",$A$100,"'!e",B116),1)</f>
        <v>1</v>
      </c>
      <c r="H116" s="1" cm="1">
        <f t="array" aca="1" ref="H116" ca="1">INDIRECT(CONCATENATE("'",$A$100,"'!f",B116),1)</f>
        <v>11</v>
      </c>
      <c r="I116" s="1" t="str" cm="1">
        <f t="array" aca="1" ref="I116" ca="1">INDIRECT(CONCATENATE("'",$A$100,"'!g",B116),1)</f>
        <v>ДЗ</v>
      </c>
      <c r="J116" s="1" cm="1">
        <f t="array" aca="1" ref="J116" ca="1">INDIRECT(CONCATENATE("'",$A$100,"'!h",B116),1)</f>
        <v>3</v>
      </c>
      <c r="K116" s="1" cm="1">
        <f t="array" aca="1" ref="K116" ca="1">INDIRECT(CONCATENATE("'",$A$100,"'!i",B116),1)</f>
        <v>14</v>
      </c>
      <c r="L116" s="1" cm="1">
        <f t="array" aca="1" ref="L116" ca="1">INDIRECT(CONCATENATE("'",$A$100,"'!j",B116),1)</f>
        <v>0</v>
      </c>
      <c r="M116" s="1" cm="1">
        <f t="array" aca="1" ref="M116" ca="1">INDIRECT(CONCATENATE("'",$A$100,"'!k",B116),1)</f>
        <v>28</v>
      </c>
      <c r="N116" s="1" t="str" cm="1">
        <f t="array" aca="1" ref="N116" ca="1">INDIRECT(CONCATENATE("'",$A$100,"'!l",B116),1)</f>
        <v>Цымбалюк Л.Н.Иванов Д.Д.</v>
      </c>
      <c r="O116" s="1" cm="1">
        <f t="array" aca="1" ref="O116" ca="1">INDIRECT(CONCATENATE("'",$A$100,"'!m",B116),1)</f>
        <v>3317</v>
      </c>
      <c r="P116" s="1" t="str" cm="1">
        <f t="array" aca="1" ref="P116" ca="1">INDIRECT(CONCATENATE("'",$A$100,"'!n",B116),1)</f>
        <v>лр *2пп</v>
      </c>
      <c r="Q116" s="1" cm="1">
        <f t="array" aca="1" ref="Q116" ca="1">INDIRECT(CONCATENATE("'",$A$100,"'!o",B116),1)</f>
        <v>10.4</v>
      </c>
      <c r="R116" s="1" cm="1">
        <f t="array" aca="1" ref="R116" ca="1">INDIRECT(CONCATENATE("'",$A$100,"'!p",B116),1)</f>
        <v>0</v>
      </c>
      <c r="S116" s="1">
        <f t="shared" ca="1" si="7"/>
        <v>0</v>
      </c>
      <c r="T116" s="1" t="str" cm="1">
        <f t="array" aca="1" ref="T116" ca="1">INDIRECT(CONCATENATE("'",$A$100,"'!q",B116),1)</f>
        <v>Цымбалюк Л.Н.</v>
      </c>
      <c r="U116" s="1" cm="1">
        <f t="array" aca="1" ref="U116" ca="1">INDIRECT(CONCATENATE("'",$A$100,"'!r",B116),1)</f>
        <v>19.2</v>
      </c>
      <c r="V116" s="1" t="str" cm="1">
        <f t="array" aca="1" ref="V116" ca="1">INDIRECT(CONCATENATE("'",$A$100,"'!s",B116),1)</f>
        <v>Иванов Д.Д.</v>
      </c>
      <c r="W116" s="1" cm="1">
        <f t="array" aca="1" ref="W116" ca="1">INDIRECT(CONCATENATE("'",$A$100,"'!t",B116),1)</f>
        <v>61.2</v>
      </c>
      <c r="X116" s="1" cm="1">
        <f t="array" aca="1" ref="X116" ca="1">INDIRECT(CONCATENATE("'",$A$100,"'!u",B116),1)</f>
        <v>0</v>
      </c>
      <c r="Y116" s="1" cm="1">
        <f t="array" aca="1" ref="Y116" ca="1">INDIRECT(CONCATENATE("'",$A$100,"'!v",B116),1)</f>
        <v>0</v>
      </c>
    </row>
    <row r="117" spans="1:25" customFormat="1" ht="33.75" hidden="1" x14ac:dyDescent="0.25">
      <c r="A117" s="15"/>
      <c r="B117" s="24">
        <f t="shared" si="9"/>
        <v>19</v>
      </c>
      <c r="C117" s="1" t="str" cm="1">
        <f t="array" aca="1" ref="C117" ca="1">INDIRECT(CONCATENATE("'",$A$100,"'!A",B117),1)</f>
        <v>Системы искусственного интеллекта</v>
      </c>
      <c r="D117" s="1" t="str" cm="1">
        <f t="array" aca="1" ref="D117" ca="1">INDIRECT(CONCATENATE("'",$A$100,"'!B",B117),1)</f>
        <v xml:space="preserve">09.03.01(09у) </v>
      </c>
      <c r="E117" s="1" cm="1">
        <f t="array" aca="1" ref="E117" ca="1">INDIRECT(CONCATENATE("'",$A$100,"'!c",B117),1)</f>
        <v>4097</v>
      </c>
      <c r="F117" s="1" cm="1">
        <f t="array" aca="1" ref="F117" ca="1">INDIRECT(CONCATENATE("'",$A$100,"'!d",B117),1)</f>
        <v>4</v>
      </c>
      <c r="G117" s="1" cm="1">
        <f t="array" aca="1" ref="G117" ca="1">INDIRECT(CONCATENATE("'",$A$100,"'!e",B117),1)</f>
        <v>1</v>
      </c>
      <c r="H117" s="1" cm="1">
        <f t="array" aca="1" ref="H117" ca="1">INDIRECT(CONCATENATE("'",$A$100,"'!f",B117),1)</f>
        <v>23</v>
      </c>
      <c r="I117" s="1" t="str" cm="1">
        <f t="array" aca="1" ref="I117" ca="1">INDIRECT(CONCATENATE("'",$A$100,"'!g",B117),1)</f>
        <v>ЭКЗ</v>
      </c>
      <c r="J117" s="1" cm="1">
        <f t="array" aca="1" ref="J117" ca="1">INDIRECT(CONCATENATE("'",$A$100,"'!h",B117),1)</f>
        <v>4</v>
      </c>
      <c r="K117" s="1" cm="1">
        <f t="array" aca="1" ref="K117" ca="1">INDIRECT(CONCATENATE("'",$A$100,"'!i",B117),1)</f>
        <v>14</v>
      </c>
      <c r="L117" s="1" cm="1">
        <f t="array" aca="1" ref="L117" ca="1">INDIRECT(CONCATENATE("'",$A$100,"'!j",B117),1)</f>
        <v>0</v>
      </c>
      <c r="M117" s="1" cm="1">
        <f t="array" aca="1" ref="M117" ca="1">INDIRECT(CONCATENATE("'",$A$100,"'!k",B117),1)</f>
        <v>28</v>
      </c>
      <c r="N117" s="1" t="str" cm="1">
        <f t="array" aca="1" ref="N117" ca="1">INDIRECT(CONCATENATE("'",$A$100,"'!l",B117),1)</f>
        <v>Михайлов Д.В.</v>
      </c>
      <c r="O117" s="1" t="str" cm="1">
        <f t="array" aca="1" ref="O117" ca="1">INDIRECT(CONCATENATE("'",$A$100,"'!m",B117),1)</f>
        <v>лк 3п
3315, 3312, 1100</v>
      </c>
      <c r="P117" s="1" cm="1">
        <f t="array" aca="1" ref="P117" ca="1">INDIRECT(CONCATENATE("'",$A$100,"'!n",B117),1)</f>
        <v>0</v>
      </c>
      <c r="Q117" s="1" cm="1">
        <f t="array" aca="1" ref="Q117" ca="1">INDIRECT(CONCATENATE("'",$A$100,"'!o",B117),1)</f>
        <v>13.8</v>
      </c>
      <c r="R117" s="1" cm="1">
        <f t="array" aca="1" ref="R117" ca="1">INDIRECT(CONCATENATE("'",$A$100,"'!p",B117),1)</f>
        <v>9.1999999999999993</v>
      </c>
      <c r="S117" s="1">
        <f t="shared" ca="1" si="7"/>
        <v>0</v>
      </c>
      <c r="T117" s="1" t="str" cm="1">
        <f t="array" aca="1" ref="T117" ca="1">INDIRECT(CONCATENATE("'",$A$100,"'!q",B117),1)</f>
        <v>Михайлов Д.В.</v>
      </c>
      <c r="U117" s="1" cm="1">
        <f t="array" aca="1" ref="U117" ca="1">INDIRECT(CONCATENATE("'",$A$100,"'!r",B117),1)</f>
        <v>65</v>
      </c>
      <c r="V117" s="1" cm="1">
        <f t="array" aca="1" ref="V117" ca="1">INDIRECT(CONCATENATE("'",$A$100,"'!s",B117),1)</f>
        <v>0</v>
      </c>
      <c r="W117" s="1" cm="1">
        <f t="array" aca="1" ref="W117" ca="1">INDIRECT(CONCATENATE("'",$A$100,"'!t",B117),1)</f>
        <v>28</v>
      </c>
      <c r="X117" s="1" cm="1">
        <f t="array" aca="1" ref="X117" ca="1">INDIRECT(CONCATENATE("'",$A$100,"'!u",B117),1)</f>
        <v>0</v>
      </c>
      <c r="Y117" s="1" cm="1">
        <f t="array" aca="1" ref="Y117" ca="1">INDIRECT(CONCATENATE("'",$A$100,"'!v",B117),1)</f>
        <v>0</v>
      </c>
    </row>
    <row r="118" spans="1:25" customFormat="1" ht="33.75" hidden="1" x14ac:dyDescent="0.25">
      <c r="A118" s="15"/>
      <c r="B118" s="24">
        <f t="shared" si="9"/>
        <v>20</v>
      </c>
      <c r="C118" s="1" t="str" cm="1">
        <f t="array" aca="1" ref="C118" ca="1">INDIRECT(CONCATENATE("'",$A$100,"'!A",B118),1)</f>
        <v>Функциональное и логическое программирование</v>
      </c>
      <c r="D118" s="1" t="str" cm="1">
        <f t="array" aca="1" ref="D118" ca="1">INDIRECT(CONCATENATE("'",$A$100,"'!B",B118),1)</f>
        <v xml:space="preserve">09.03.01(09у) </v>
      </c>
      <c r="E118" s="1" cm="1">
        <f t="array" aca="1" ref="E118" ca="1">INDIRECT(CONCATENATE("'",$A$100,"'!c",B118),1)</f>
        <v>4097</v>
      </c>
      <c r="F118" s="1" cm="1">
        <f t="array" aca="1" ref="F118" ca="1">INDIRECT(CONCATENATE("'",$A$100,"'!d",B118),1)</f>
        <v>3</v>
      </c>
      <c r="G118" s="1" cm="1">
        <f t="array" aca="1" ref="G118" ca="1">INDIRECT(CONCATENATE("'",$A$100,"'!e",B118),1)</f>
        <v>1</v>
      </c>
      <c r="H118" s="1" cm="1">
        <f t="array" aca="1" ref="H118" ca="1">INDIRECT(CONCATENATE("'",$A$100,"'!f",B118),1)</f>
        <v>11</v>
      </c>
      <c r="I118" s="1" t="str" cm="1">
        <f t="array" aca="1" ref="I118" ca="1">INDIRECT(CONCATENATE("'",$A$100,"'!g",B118),1)</f>
        <v>ЗАЧ</v>
      </c>
      <c r="J118" s="1" cm="1">
        <f t="array" aca="1" ref="J118" ca="1">INDIRECT(CONCATENATE("'",$A$100,"'!h",B118),1)</f>
        <v>3</v>
      </c>
      <c r="K118" s="1" cm="1">
        <f t="array" aca="1" ref="K118" ca="1">INDIRECT(CONCATENATE("'",$A$100,"'!i",B118),1)</f>
        <v>14</v>
      </c>
      <c r="L118" s="1" cm="1">
        <f t="array" aca="1" ref="L118" ca="1">INDIRECT(CONCATENATE("'",$A$100,"'!j",B118),1)</f>
        <v>14</v>
      </c>
      <c r="M118" s="1" cm="1">
        <f t="array" aca="1" ref="M118" ca="1">INDIRECT(CONCATENATE("'",$A$100,"'!k",B118),1)</f>
        <v>14</v>
      </c>
      <c r="N118" s="1" t="str" cm="1">
        <f t="array" aca="1" ref="N118" ca="1">INDIRECT(CONCATENATE("'",$A$100,"'!l",B118),1)</f>
        <v>Михайлов Д.В.</v>
      </c>
      <c r="O118" s="1" cm="1">
        <f t="array" aca="1" ref="O118" ca="1">INDIRECT(CONCATENATE("'",$A$100,"'!m",B118),1)</f>
        <v>0</v>
      </c>
      <c r="P118" s="1" t="str" cm="1">
        <f t="array" aca="1" ref="P118" ca="1">INDIRECT(CONCATENATE("'",$A$100,"'!n",B118),1)</f>
        <v>лр *1пп</v>
      </c>
      <c r="Q118" s="1" cm="1">
        <f t="array" aca="1" ref="Q118" ca="1">INDIRECT(CONCATENATE("'",$A$100,"'!o",B118),1)</f>
        <v>10.4</v>
      </c>
      <c r="R118" s="1" cm="1">
        <f t="array" aca="1" ref="R118" ca="1">INDIRECT(CONCATENATE("'",$A$100,"'!p",B118),1)</f>
        <v>0</v>
      </c>
      <c r="S118" s="1">
        <f t="shared" ca="1" si="7"/>
        <v>0</v>
      </c>
      <c r="T118" s="1" t="str" cm="1">
        <f t="array" aca="1" ref="T118" ca="1">INDIRECT(CONCATENATE("'",$A$100,"'!q",B118),1)</f>
        <v>Михайлов Д.В.</v>
      </c>
      <c r="U118" s="1" cm="1">
        <f t="array" aca="1" ref="U118" ca="1">INDIRECT(CONCATENATE("'",$A$100,"'!r",B118),1)</f>
        <v>52.4</v>
      </c>
      <c r="V118" s="1" cm="1">
        <f t="array" aca="1" ref="V118" ca="1">INDIRECT(CONCATENATE("'",$A$100,"'!s",B118),1)</f>
        <v>0</v>
      </c>
      <c r="W118" s="1" cm="1">
        <f t="array" aca="1" ref="W118" ca="1">INDIRECT(CONCATENATE("'",$A$100,"'!t",B118),1)</f>
        <v>14</v>
      </c>
      <c r="X118" s="1" cm="1">
        <f t="array" aca="1" ref="X118" ca="1">INDIRECT(CONCATENATE("'",$A$100,"'!u",B118),1)</f>
        <v>0</v>
      </c>
      <c r="Y118" s="1" cm="1">
        <f t="array" aca="1" ref="Y118" ca="1">INDIRECT(CONCATENATE("'",$A$100,"'!v",B118),1)</f>
        <v>0</v>
      </c>
    </row>
    <row r="119" spans="1:25" customFormat="1" ht="22.5" hidden="1" x14ac:dyDescent="0.25">
      <c r="A119" s="15"/>
      <c r="B119" s="24">
        <f t="shared" si="9"/>
        <v>21</v>
      </c>
      <c r="C119" s="1" t="str" cm="1">
        <f t="array" aca="1" ref="C119" ca="1">INDIRECT(CONCATENATE("'",$A$100,"'!A",B119),1)</f>
        <v>Коммерциализация IT проектов</v>
      </c>
      <c r="D119" s="1" t="str" cm="1">
        <f t="array" aca="1" ref="D119" ca="1">INDIRECT(CONCATENATE("'",$A$100,"'!B",B119),1)</f>
        <v xml:space="preserve">09.03.01(09у) </v>
      </c>
      <c r="E119" s="1" cm="1">
        <f t="array" aca="1" ref="E119" ca="1">INDIRECT(CONCATENATE("'",$A$100,"'!c",B119),1)</f>
        <v>4097</v>
      </c>
      <c r="F119" s="1" cm="1">
        <f t="array" aca="1" ref="F119" ca="1">INDIRECT(CONCATENATE("'",$A$100,"'!d",B119),1)</f>
        <v>3</v>
      </c>
      <c r="G119" s="1" cm="1">
        <f t="array" aca="1" ref="G119" ca="1">INDIRECT(CONCATENATE("'",$A$100,"'!e",B119),1)</f>
        <v>1</v>
      </c>
      <c r="H119" s="1" cm="1">
        <f t="array" aca="1" ref="H119" ca="1">INDIRECT(CONCATENATE("'",$A$100,"'!f",B119),1)</f>
        <v>11</v>
      </c>
      <c r="I119" s="1" t="str" cm="1">
        <f t="array" aca="1" ref="I119" ca="1">INDIRECT(CONCATENATE("'",$A$100,"'!g",B119),1)</f>
        <v>ДЗ</v>
      </c>
      <c r="J119" s="1" cm="1">
        <f t="array" aca="1" ref="J119" ca="1">INDIRECT(CONCATENATE("'",$A$100,"'!h",B119),1)</f>
        <v>4</v>
      </c>
      <c r="K119" s="1" cm="1">
        <f t="array" aca="1" ref="K119" ca="1">INDIRECT(CONCATENATE("'",$A$100,"'!i",B119),1)</f>
        <v>14</v>
      </c>
      <c r="L119" s="1" cm="1">
        <f t="array" aca="1" ref="L119" ca="1">INDIRECT(CONCATENATE("'",$A$100,"'!j",B119),1)</f>
        <v>0</v>
      </c>
      <c r="M119" s="1" cm="1">
        <f t="array" aca="1" ref="M119" ca="1">INDIRECT(CONCATENATE("'",$A$100,"'!k",B119),1)</f>
        <v>28</v>
      </c>
      <c r="N119" s="1" t="str" cm="1">
        <f t="array" aca="1" ref="N119" ca="1">INDIRECT(CONCATENATE("'",$A$100,"'!l",B119),1)</f>
        <v>Макевич П.В.</v>
      </c>
      <c r="O119" s="1" cm="1">
        <f t="array" aca="1" ref="O119" ca="1">INDIRECT(CONCATENATE("'",$A$100,"'!m",B119),1)</f>
        <v>0</v>
      </c>
      <c r="P119" s="1" cm="1">
        <f t="array" aca="1" ref="P119" ca="1">INDIRECT(CONCATENATE("'",$A$100,"'!n",B119),1)</f>
        <v>0</v>
      </c>
      <c r="Q119" s="1" cm="1">
        <f t="array" aca="1" ref="Q119" ca="1">INDIRECT(CONCATENATE("'",$A$100,"'!o",B119),1)</f>
        <v>10.4</v>
      </c>
      <c r="R119" s="1" cm="1">
        <f t="array" aca="1" ref="R119" ca="1">INDIRECT(CONCATENATE("'",$A$100,"'!p",B119),1)</f>
        <v>0</v>
      </c>
      <c r="S119" s="1">
        <f t="shared" ca="1" si="7"/>
        <v>0</v>
      </c>
      <c r="T119" s="1" t="str" cm="1">
        <f t="array" aca="1" ref="T119" ca="1">INDIRECT(CONCATENATE("'",$A$100,"'!q",B119),1)</f>
        <v>Макевич П.В.</v>
      </c>
      <c r="U119" s="1" cm="1">
        <f t="array" aca="1" ref="U119" ca="1">INDIRECT(CONCATENATE("'",$A$100,"'!r",B119),1)</f>
        <v>80.400000000000006</v>
      </c>
      <c r="V119" s="1" cm="1">
        <f t="array" aca="1" ref="V119" ca="1">INDIRECT(CONCATENATE("'",$A$100,"'!s",B119),1)</f>
        <v>0</v>
      </c>
      <c r="W119" s="1" cm="1">
        <f t="array" aca="1" ref="W119" ca="1">INDIRECT(CONCATENATE("'",$A$100,"'!t",B119),1)</f>
        <v>0</v>
      </c>
      <c r="X119" s="1" cm="1">
        <f t="array" aca="1" ref="X119" ca="1">INDIRECT(CONCATENATE("'",$A$100,"'!u",B119),1)</f>
        <v>0</v>
      </c>
      <c r="Y119" s="1" cm="1">
        <f t="array" aca="1" ref="Y119" ca="1">INDIRECT(CONCATENATE("'",$A$100,"'!v",B119),1)</f>
        <v>0</v>
      </c>
    </row>
    <row r="120" spans="1:25" customFormat="1" ht="22.5" hidden="1" x14ac:dyDescent="0.25">
      <c r="A120" s="15"/>
      <c r="B120" s="24">
        <f t="shared" si="9"/>
        <v>22</v>
      </c>
      <c r="C120" s="1" t="str" cm="1">
        <f t="array" aca="1" ref="C120" ca="1">INDIRECT(CONCATENATE("'",$A$100,"'!A",B120),1)</f>
        <v>Распознавание образов и обработка изображений</v>
      </c>
      <c r="D120" s="1" t="str" cm="1">
        <f t="array" aca="1" ref="D120" ca="1">INDIRECT(CONCATENATE("'",$A$100,"'!B",B120),1)</f>
        <v xml:space="preserve">09.03.01(09у) </v>
      </c>
      <c r="E120" s="1" cm="1">
        <f t="array" aca="1" ref="E120" ca="1">INDIRECT(CONCATENATE("'",$A$100,"'!c",B120),1)</f>
        <v>4097</v>
      </c>
      <c r="F120" s="1" cm="1">
        <f t="array" aca="1" ref="F120" ca="1">INDIRECT(CONCATENATE("'",$A$100,"'!d",B120),1)</f>
        <v>3</v>
      </c>
      <c r="G120" s="1" cm="1">
        <f t="array" aca="1" ref="G120" ca="1">INDIRECT(CONCATENATE("'",$A$100,"'!e",B120),1)</f>
        <v>1</v>
      </c>
      <c r="H120" s="1" cm="1">
        <f t="array" aca="1" ref="H120" ca="1">INDIRECT(CONCATENATE("'",$A$100,"'!f",B120),1)</f>
        <v>11</v>
      </c>
      <c r="I120" s="1" t="str" cm="1">
        <f t="array" aca="1" ref="I120" ca="1">INDIRECT(CONCATENATE("'",$A$100,"'!g",B120),1)</f>
        <v>ЭКЗ</v>
      </c>
      <c r="J120" s="1" cm="1">
        <f t="array" aca="1" ref="J120" ca="1">INDIRECT(CONCATENATE("'",$A$100,"'!h",B120),1)</f>
        <v>4</v>
      </c>
      <c r="K120" s="1" cm="1">
        <f t="array" aca="1" ref="K120" ca="1">INDIRECT(CONCATENATE("'",$A$100,"'!i",B120),1)</f>
        <v>28</v>
      </c>
      <c r="L120" s="1" cm="1">
        <f t="array" aca="1" ref="L120" ca="1">INDIRECT(CONCATENATE("'",$A$100,"'!j",B120),1)</f>
        <v>28</v>
      </c>
      <c r="M120" s="1" cm="1">
        <f t="array" aca="1" ref="M120" ca="1">INDIRECT(CONCATENATE("'",$A$100,"'!k",B120),1)</f>
        <v>0</v>
      </c>
      <c r="N120" s="1" t="str" cm="1">
        <f t="array" aca="1" ref="N120" ca="1">INDIRECT(CONCATENATE("'",$A$100,"'!l",B120),1)</f>
        <v>Корнышев Н.П.</v>
      </c>
      <c r="O120" s="1" cm="1">
        <f t="array" aca="1" ref="O120" ca="1">INDIRECT(CONCATENATE("'",$A$100,"'!m",B120),1)</f>
        <v>0</v>
      </c>
      <c r="P120" s="1" cm="1">
        <f t="array" aca="1" ref="P120" ca="1">INDIRECT(CONCATENATE("'",$A$100,"'!n",B120),1)</f>
        <v>0</v>
      </c>
      <c r="Q120" s="1" cm="1">
        <f t="array" aca="1" ref="Q120" ca="1">INDIRECT(CONCATENATE("'",$A$100,"'!o",B120),1)</f>
        <v>17.3</v>
      </c>
      <c r="R120" s="1" cm="1">
        <f t="array" aca="1" ref="R120" ca="1">INDIRECT(CONCATENATE("'",$A$100,"'!p",B120),1)</f>
        <v>11.5</v>
      </c>
      <c r="S120" s="1">
        <f t="shared" ca="1" si="7"/>
        <v>0</v>
      </c>
      <c r="T120" s="1" t="str" cm="1">
        <f t="array" aca="1" ref="T120" ca="1">INDIRECT(CONCATENATE("'",$A$100,"'!q",B120),1)</f>
        <v>Корнышев Н.П.</v>
      </c>
      <c r="U120" s="1" cm="1">
        <f t="array" aca="1" ref="U120" ca="1">INDIRECT(CONCATENATE("'",$A$100,"'!r",B120),1)</f>
        <v>84.8</v>
      </c>
      <c r="V120" s="1" cm="1">
        <f t="array" aca="1" ref="V120" ca="1">INDIRECT(CONCATENATE("'",$A$100,"'!s",B120),1)</f>
        <v>0</v>
      </c>
      <c r="W120" s="1" cm="1">
        <f t="array" aca="1" ref="W120" ca="1">INDIRECT(CONCATENATE("'",$A$100,"'!t",B120),1)</f>
        <v>0</v>
      </c>
      <c r="X120" s="1" cm="1">
        <f t="array" aca="1" ref="X120" ca="1">INDIRECT(CONCATENATE("'",$A$100,"'!u",B120),1)</f>
        <v>0</v>
      </c>
      <c r="Y120" s="1" cm="1">
        <f t="array" aca="1" ref="Y120" ca="1">INDIRECT(CONCATENATE("'",$A$100,"'!v",B120),1)</f>
        <v>0</v>
      </c>
    </row>
    <row r="121" spans="1:25" customFormat="1" ht="28.35" hidden="1" customHeight="1" x14ac:dyDescent="0.25">
      <c r="A121" s="15"/>
      <c r="B121" s="24">
        <f t="shared" si="9"/>
        <v>23</v>
      </c>
      <c r="C121" s="1" t="str" cm="1">
        <f t="array" aca="1" ref="C121" ca="1">INDIRECT(CONCATENATE("'",$A$100,"'!A",B121),1)</f>
        <v>Основы программирования и анализа данных на языке Python</v>
      </c>
      <c r="D121" s="1" t="str" cm="1">
        <f t="array" aca="1" ref="D121" ca="1">INDIRECT(CONCATENATE("'",$A$100,"'!B",B121),1)</f>
        <v xml:space="preserve">09.03.01(09у) </v>
      </c>
      <c r="E121" s="1" cm="1">
        <f t="array" aca="1" ref="E121" ca="1">INDIRECT(CONCATENATE("'",$A$100,"'!c",B121),1)</f>
        <v>4097</v>
      </c>
      <c r="F121" s="1" cm="1">
        <f t="array" aca="1" ref="F121" ca="1">INDIRECT(CONCATENATE("'",$A$100,"'!d",B121),1)</f>
        <v>3</v>
      </c>
      <c r="G121" s="1" cm="1">
        <f t="array" aca="1" ref="G121" ca="1">INDIRECT(CONCATENATE("'",$A$100,"'!e",B121),1)</f>
        <v>1</v>
      </c>
      <c r="H121" s="1" cm="1">
        <f t="array" aca="1" ref="H121" ca="1">INDIRECT(CONCATENATE("'",$A$100,"'!f",B121),1)</f>
        <v>11</v>
      </c>
      <c r="I121" s="1" t="str" cm="1">
        <f t="array" aca="1" ref="I121" ca="1">INDIRECT(CONCATENATE("'",$A$100,"'!g",B121),1)</f>
        <v>ДЗ</v>
      </c>
      <c r="J121" s="1" cm="1">
        <f t="array" aca="1" ref="J121" ca="1">INDIRECT(CONCATENATE("'",$A$100,"'!h",B121),1)</f>
        <v>4</v>
      </c>
      <c r="K121" s="1" cm="1">
        <f t="array" aca="1" ref="K121" ca="1">INDIRECT(CONCATENATE("'",$A$100,"'!i",B121),1)</f>
        <v>14</v>
      </c>
      <c r="L121" s="1" cm="1">
        <f t="array" aca="1" ref="L121" ca="1">INDIRECT(CONCATENATE("'",$A$100,"'!j",B121),1)</f>
        <v>0</v>
      </c>
      <c r="M121" s="1" cm="1">
        <f t="array" aca="1" ref="M121" ca="1">INDIRECT(CONCATENATE("'",$A$100,"'!k",B121),1)</f>
        <v>28</v>
      </c>
      <c r="N121" s="1" t="str" cm="1">
        <f t="array" aca="1" ref="N121" ca="1">INDIRECT(CONCATENATE("'",$A$100,"'!l",B121),1)</f>
        <v>Телина И.С.Филиппов И.И.</v>
      </c>
      <c r="O121" s="1" cm="1">
        <f t="array" aca="1" ref="O121" ca="1">INDIRECT(CONCATENATE("'",$A$100,"'!m",B121),1)</f>
        <v>0</v>
      </c>
      <c r="P121" s="1" cm="1">
        <f t="array" aca="1" ref="P121" ca="1">INDIRECT(CONCATENATE("'",$A$100,"'!n",B121),1)</f>
        <v>0</v>
      </c>
      <c r="Q121" s="1" cm="1">
        <f t="array" aca="1" ref="Q121" ca="1">INDIRECT(CONCATENATE("'",$A$100,"'!o",B121),1)</f>
        <v>10.4</v>
      </c>
      <c r="R121" s="1" cm="1">
        <f t="array" aca="1" ref="R121" ca="1">INDIRECT(CONCATENATE("'",$A$100,"'!p",B121),1)</f>
        <v>0</v>
      </c>
      <c r="S121" s="1">
        <f t="shared" ca="1" si="7"/>
        <v>0</v>
      </c>
      <c r="T121" s="1" t="str" cm="1">
        <f t="array" aca="1" ref="T121" ca="1">INDIRECT(CONCATENATE("'",$A$100,"'!q",B121),1)</f>
        <v>Телина И.С.</v>
      </c>
      <c r="U121" s="1" cm="1">
        <f t="array" aca="1" ref="U121" ca="1">INDIRECT(CONCATENATE("'",$A$100,"'!r",B121),1)</f>
        <v>19.2</v>
      </c>
      <c r="V121" s="1" t="str" cm="1">
        <f t="array" aca="1" ref="V121" ca="1">INDIRECT(CONCATENATE("'",$A$100,"'!s",B121),1)</f>
        <v>Филиппов И.И.</v>
      </c>
      <c r="W121" s="1" cm="1">
        <f t="array" aca="1" ref="W121" ca="1">INDIRECT(CONCATENATE("'",$A$100,"'!t",B121),1)</f>
        <v>33.200000000000003</v>
      </c>
      <c r="X121" s="1" cm="1">
        <f t="array" aca="1" ref="X121" ca="1">INDIRECT(CONCATENATE("'",$A$100,"'!u",B121),1)</f>
        <v>0</v>
      </c>
      <c r="Y121" s="1" cm="1">
        <f t="array" aca="1" ref="Y121" ca="1">INDIRECT(CONCATENATE("'",$A$100,"'!v",B121),1)</f>
        <v>0</v>
      </c>
    </row>
    <row r="122" spans="1:25" customFormat="1" ht="22.5" hidden="1" x14ac:dyDescent="0.25">
      <c r="A122" s="15"/>
      <c r="B122" s="24">
        <f t="shared" si="9"/>
        <v>24</v>
      </c>
      <c r="C122" s="1" t="str" cm="1">
        <f t="array" aca="1" ref="C122" ca="1">INDIRECT(CONCATENATE("'",$A$100,"'!A",B122),1)</f>
        <v>Кибербезопасность</v>
      </c>
      <c r="D122" s="1" t="str" cm="1">
        <f t="array" aca="1" ref="D122" ca="1">INDIRECT(CONCATENATE("'",$A$100,"'!B",B122),1)</f>
        <v xml:space="preserve">09.03.01(09у) </v>
      </c>
      <c r="E122" s="1" cm="1">
        <f t="array" aca="1" ref="E122" ca="1">INDIRECT(CONCATENATE("'",$A$100,"'!c",B122),1)</f>
        <v>4097</v>
      </c>
      <c r="F122" s="1" cm="1">
        <f t="array" aca="1" ref="F122" ca="1">INDIRECT(CONCATENATE("'",$A$100,"'!d",B122),1)</f>
        <v>3</v>
      </c>
      <c r="G122" s="1" cm="1">
        <f t="array" aca="1" ref="G122" ca="1">INDIRECT(CONCATENATE("'",$A$100,"'!e",B122),1)</f>
        <v>1</v>
      </c>
      <c r="H122" s="1" cm="1">
        <f t="array" aca="1" ref="H122" ca="1">INDIRECT(CONCATENATE("'",$A$100,"'!f",B122),1)</f>
        <v>11</v>
      </c>
      <c r="I122" s="1" t="str" cm="1">
        <f t="array" aca="1" ref="I122" ca="1">INDIRECT(CONCATENATE("'",$A$100,"'!g",B122),1)</f>
        <v>ДЗ</v>
      </c>
      <c r="J122" s="1" cm="1">
        <f t="array" aca="1" ref="J122" ca="1">INDIRECT(CONCATENATE("'",$A$100,"'!h",B122),1)</f>
        <v>4</v>
      </c>
      <c r="K122" s="1" cm="1">
        <f t="array" aca="1" ref="K122" ca="1">INDIRECT(CONCATENATE("'",$A$100,"'!i",B122),1)</f>
        <v>14</v>
      </c>
      <c r="L122" s="1" cm="1">
        <f t="array" aca="1" ref="L122" ca="1">INDIRECT(CONCATENATE("'",$A$100,"'!j",B122),1)</f>
        <v>0</v>
      </c>
      <c r="M122" s="1" cm="1">
        <f t="array" aca="1" ref="M122" ca="1">INDIRECT(CONCATENATE("'",$A$100,"'!k",B122),1)</f>
        <v>28</v>
      </c>
      <c r="N122" s="1" t="str" cm="1">
        <f t="array" aca="1" ref="N122" ca="1">INDIRECT(CONCATENATE("'",$A$100,"'!l",B122),1)</f>
        <v>Цымбалюк А.Е.</v>
      </c>
      <c r="O122" s="1" cm="1">
        <f t="array" aca="1" ref="O122" ca="1">INDIRECT(CONCATENATE("'",$A$100,"'!m",B122),1)</f>
        <v>0</v>
      </c>
      <c r="P122" s="1" cm="1">
        <f t="array" aca="1" ref="P122" ca="1">INDIRECT(CONCATENATE("'",$A$100,"'!n",B122),1)</f>
        <v>0</v>
      </c>
      <c r="Q122" s="1" cm="1">
        <f t="array" aca="1" ref="Q122" ca="1">INDIRECT(CONCATENATE("'",$A$100,"'!o",B122),1)</f>
        <v>10.4</v>
      </c>
      <c r="R122" s="1" cm="1">
        <f t="array" aca="1" ref="R122" ca="1">INDIRECT(CONCATENATE("'",$A$100,"'!p",B122),1)</f>
        <v>0</v>
      </c>
      <c r="S122" s="1">
        <f t="shared" ca="1" si="7"/>
        <v>0</v>
      </c>
      <c r="T122" s="1" t="str" cm="1">
        <f t="array" aca="1" ref="T122" ca="1">INDIRECT(CONCATENATE("'",$A$100,"'!q",B122),1)</f>
        <v>Цымбалюк А.Е.</v>
      </c>
      <c r="U122" s="1" cm="1">
        <f t="array" aca="1" ref="U122" ca="1">INDIRECT(CONCATENATE("'",$A$100,"'!r",B122),1)</f>
        <v>80.400000000000006</v>
      </c>
      <c r="V122" s="1" cm="1">
        <f t="array" aca="1" ref="V122" ca="1">INDIRECT(CONCATENATE("'",$A$100,"'!s",B122),1)</f>
        <v>0</v>
      </c>
      <c r="W122" s="1" cm="1">
        <f t="array" aca="1" ref="W122" ca="1">INDIRECT(CONCATENATE("'",$A$100,"'!t",B122),1)</f>
        <v>0</v>
      </c>
      <c r="X122" s="1" cm="1">
        <f t="array" aca="1" ref="X122" ca="1">INDIRECT(CONCATENATE("'",$A$100,"'!u",B122),1)</f>
        <v>0</v>
      </c>
      <c r="Y122" s="1" cm="1">
        <f t="array" aca="1" ref="Y122" ca="1">INDIRECT(CONCATENATE("'",$A$100,"'!v",B122),1)</f>
        <v>0</v>
      </c>
    </row>
    <row r="123" spans="1:25" customFormat="1" ht="33.75" hidden="1" x14ac:dyDescent="0.25">
      <c r="A123" s="15"/>
      <c r="B123" s="24">
        <f t="shared" si="9"/>
        <v>25</v>
      </c>
      <c r="C123" s="1" t="str" cm="1">
        <f t="array" aca="1" ref="C123" ca="1">INDIRECT(CONCATENATE("'",$A$100,"'!A",B123),1)</f>
        <v>Интеллектуальный анализ данных</v>
      </c>
      <c r="D123" s="1" t="str" cm="1">
        <f t="array" aca="1" ref="D123" ca="1">INDIRECT(CONCATENATE("'",$A$100,"'!B",B123),1)</f>
        <v xml:space="preserve">09.03.01(09у) </v>
      </c>
      <c r="E123" s="1" cm="1">
        <f t="array" aca="1" ref="E123" ca="1">INDIRECT(CONCATENATE("'",$A$100,"'!c",B123),1)</f>
        <v>4097</v>
      </c>
      <c r="F123" s="1" cm="1">
        <f t="array" aca="1" ref="F123" ca="1">INDIRECT(CONCATENATE("'",$A$100,"'!d",B123),1)</f>
        <v>4</v>
      </c>
      <c r="G123" s="1" cm="1">
        <f t="array" aca="1" ref="G123" ca="1">INDIRECT(CONCATENATE("'",$A$100,"'!e",B123),1)</f>
        <v>1</v>
      </c>
      <c r="H123" s="1" cm="1">
        <f t="array" aca="1" ref="H123" ca="1">INDIRECT(CONCATENATE("'",$A$100,"'!f",B123),1)</f>
        <v>23</v>
      </c>
      <c r="I123" s="1" t="str" cm="1">
        <f t="array" aca="1" ref="I123" ca="1">INDIRECT(CONCATENATE("'",$A$100,"'!g",B123),1)</f>
        <v>ЗАЧ</v>
      </c>
      <c r="J123" s="1" cm="1">
        <f t="array" aca="1" ref="J123" ca="1">INDIRECT(CONCATENATE("'",$A$100,"'!h",B123),1)</f>
        <v>3</v>
      </c>
      <c r="K123" s="1" cm="1">
        <f t="array" aca="1" ref="K123" ca="1">INDIRECT(CONCATENATE("'",$A$100,"'!i",B123),1)</f>
        <v>14</v>
      </c>
      <c r="L123" s="1" cm="1">
        <f t="array" aca="1" ref="L123" ca="1">INDIRECT(CONCATENATE("'",$A$100,"'!j",B123),1)</f>
        <v>0</v>
      </c>
      <c r="M123" s="1" cm="1">
        <f t="array" aca="1" ref="M123" ca="1">INDIRECT(CONCATENATE("'",$A$100,"'!k",B123),1)</f>
        <v>28</v>
      </c>
      <c r="N123" s="1" t="str" cm="1">
        <f t="array" aca="1" ref="N123" ca="1">INDIRECT(CONCATENATE("'",$A$100,"'!l",B123),1)</f>
        <v>Филиппов И.И.Телина И.С.</v>
      </c>
      <c r="O123" s="1" cm="1">
        <f t="array" aca="1" ref="O123" ca="1">INDIRECT(CONCATENATE("'",$A$100,"'!m",B123),1)</f>
        <v>0</v>
      </c>
      <c r="P123" s="1" t="str" cm="1">
        <f t="array" aca="1" ref="P123" ca="1">INDIRECT(CONCATENATE("'",$A$100,"'!n",B123),1)</f>
        <v xml:space="preserve">1п </v>
      </c>
      <c r="Q123" s="1" cm="1">
        <f t="array" aca="1" ref="Q123" ca="1">INDIRECT(CONCATENATE("'",$A$100,"'!o",B123),1)</f>
        <v>10.4</v>
      </c>
      <c r="R123" s="1" cm="1">
        <f t="array" aca="1" ref="R123" ca="1">INDIRECT(CONCATENATE("'",$A$100,"'!p",B123),1)</f>
        <v>0</v>
      </c>
      <c r="S123" s="1">
        <f t="shared" ca="1" si="7"/>
        <v>0</v>
      </c>
      <c r="T123" s="1" t="str" cm="1">
        <f t="array" aca="1" ref="T123" ca="1">INDIRECT(CONCATENATE("'",$A$100,"'!q",B123),1)</f>
        <v>Филиппов И.И.</v>
      </c>
      <c r="U123" s="1" cm="1">
        <f t="array" aca="1" ref="U123" ca="1">INDIRECT(CONCATENATE("'",$A$100,"'!r",B123),1)</f>
        <v>38.4</v>
      </c>
      <c r="V123" s="1" t="str" cm="1">
        <f t="array" aca="1" ref="V123" ca="1">INDIRECT(CONCATENATE("'",$A$100,"'!s",B123),1)</f>
        <v>Телина И.С.</v>
      </c>
      <c r="W123" s="1" cm="1">
        <f t="array" aca="1" ref="W123" ca="1">INDIRECT(CONCATENATE("'",$A$100,"'!t",B123),1)</f>
        <v>14</v>
      </c>
      <c r="X123" s="1" cm="1">
        <f t="array" aca="1" ref="X123" ca="1">INDIRECT(CONCATENATE("'",$A$100,"'!u",B123),1)</f>
        <v>0</v>
      </c>
      <c r="Y123" s="1" cm="1">
        <f t="array" aca="1" ref="Y123" ca="1">INDIRECT(CONCATENATE("'",$A$100,"'!v",B123),1)</f>
        <v>0</v>
      </c>
    </row>
    <row r="124" spans="1:25" customFormat="1" hidden="1" x14ac:dyDescent="0.25">
      <c r="A124" s="15"/>
      <c r="B124" s="24">
        <f t="shared" si="9"/>
        <v>26</v>
      </c>
      <c r="C124" s="1" cm="1">
        <f t="array" aca="1" ref="C124" ca="1">INDIRECT(CONCATENATE("'",$A$100,"'!A",B124),1)</f>
        <v>0</v>
      </c>
      <c r="D124" s="1" cm="1">
        <f t="array" aca="1" ref="D124" ca="1">INDIRECT(CONCATENATE("'",$A$100,"'!B",B124),1)</f>
        <v>0</v>
      </c>
      <c r="E124" s="1" cm="1">
        <f t="array" aca="1" ref="E124" ca="1">INDIRECT(CONCATENATE("'",$A$100,"'!c",B124),1)</f>
        <v>0</v>
      </c>
      <c r="F124" s="1" cm="1">
        <f t="array" aca="1" ref="F124" ca="1">INDIRECT(CONCATENATE("'",$A$100,"'!d",B124),1)</f>
        <v>0</v>
      </c>
      <c r="G124" s="1" cm="1">
        <f t="array" aca="1" ref="G124" ca="1">INDIRECT(CONCATENATE("'",$A$100,"'!e",B124),1)</f>
        <v>0</v>
      </c>
      <c r="H124" s="1" cm="1">
        <f t="array" aca="1" ref="H124" ca="1">INDIRECT(CONCATENATE("'",$A$100,"'!f",B124),1)</f>
        <v>0</v>
      </c>
      <c r="I124" s="1" cm="1">
        <f t="array" aca="1" ref="I124" ca="1">INDIRECT(CONCATENATE("'",$A$100,"'!g",B124),1)</f>
        <v>0</v>
      </c>
      <c r="J124" s="1" cm="1">
        <f t="array" aca="1" ref="J124" ca="1">INDIRECT(CONCATENATE("'",$A$100,"'!h",B124),1)</f>
        <v>0</v>
      </c>
      <c r="K124" s="1" cm="1">
        <f t="array" aca="1" ref="K124" ca="1">INDIRECT(CONCATENATE("'",$A$100,"'!i",B124),1)</f>
        <v>0</v>
      </c>
      <c r="L124" s="1" cm="1">
        <f t="array" aca="1" ref="L124" ca="1">INDIRECT(CONCATENATE("'",$A$100,"'!j",B124),1)</f>
        <v>0</v>
      </c>
      <c r="M124" s="1" cm="1">
        <f t="array" aca="1" ref="M124" ca="1">INDIRECT(CONCATENATE("'",$A$100,"'!k",B124),1)</f>
        <v>0</v>
      </c>
      <c r="N124" s="1" t="str" cm="1">
        <f t="array" aca="1" ref="N124" ca="1">INDIRECT(CONCATENATE("'",$A$100,"'!l",B124),1)</f>
        <v/>
      </c>
      <c r="O124" s="1" cm="1">
        <f t="array" aca="1" ref="O124" ca="1">INDIRECT(CONCATENATE("'",$A$100,"'!m",B124),1)</f>
        <v>0</v>
      </c>
      <c r="P124" s="1" cm="1">
        <f t="array" aca="1" ref="P124" ca="1">INDIRECT(CONCATENATE("'",$A$100,"'!n",B124),1)</f>
        <v>0</v>
      </c>
      <c r="Q124" s="1" cm="1">
        <f t="array" aca="1" ref="Q124" ca="1">INDIRECT(CONCATENATE("'",$A$100,"'!o",B124),1)</f>
        <v>0</v>
      </c>
      <c r="R124" s="1" cm="1">
        <f t="array" aca="1" ref="R124" ca="1">INDIRECT(CONCATENATE("'",$A$100,"'!p",B124),1)</f>
        <v>0</v>
      </c>
      <c r="S124" s="1">
        <f t="shared" ca="1" si="7"/>
        <v>0</v>
      </c>
      <c r="T124" s="1" cm="1">
        <f t="array" aca="1" ref="T124" ca="1">INDIRECT(CONCATENATE("'",$A$100,"'!q",B124),1)</f>
        <v>0</v>
      </c>
      <c r="U124" s="1" cm="1">
        <f t="array" aca="1" ref="U124" ca="1">INDIRECT(CONCATENATE("'",$A$100,"'!r",B124),1)</f>
        <v>0</v>
      </c>
      <c r="V124" s="1" cm="1">
        <f t="array" aca="1" ref="V124" ca="1">INDIRECT(CONCATENATE("'",$A$100,"'!s",B124),1)</f>
        <v>0</v>
      </c>
      <c r="W124" s="1" cm="1">
        <f t="array" aca="1" ref="W124" ca="1">INDIRECT(CONCATENATE("'",$A$100,"'!t",B124),1)</f>
        <v>0</v>
      </c>
      <c r="X124" s="1" cm="1">
        <f t="array" aca="1" ref="X124" ca="1">INDIRECT(CONCATENATE("'",$A$100,"'!u",B124),1)</f>
        <v>0</v>
      </c>
      <c r="Y124" s="1" cm="1">
        <f t="array" aca="1" ref="Y124" ca="1">INDIRECT(CONCATENATE("'",$A$100,"'!v",B124),1)</f>
        <v>0</v>
      </c>
    </row>
    <row r="125" spans="1:25" customFormat="1" ht="29.1" hidden="1" customHeight="1" x14ac:dyDescent="0.25">
      <c r="A125" s="15"/>
      <c r="B125" s="24">
        <f t="shared" si="9"/>
        <v>27</v>
      </c>
      <c r="C125" s="1" t="str" cm="1">
        <f t="array" aca="1" ref="C125" ca="1">INDIRECT(CONCATENATE("'",$A$100,"'!A",B125),1)</f>
        <v>Техническое документирование</v>
      </c>
      <c r="D125" s="1" t="str" cm="1">
        <f t="array" aca="1" ref="D125" ca="1">INDIRECT(CONCATENATE("'",$A$100,"'!B",B125),1)</f>
        <v xml:space="preserve">09.03.01(09у) </v>
      </c>
      <c r="E125" s="1" cm="1">
        <f t="array" aca="1" ref="E125" ca="1">INDIRECT(CONCATENATE("'",$A$100,"'!c",B125),1)</f>
        <v>4097</v>
      </c>
      <c r="F125" s="1" cm="1">
        <f t="array" aca="1" ref="F125" ca="1">INDIRECT(CONCATENATE("'",$A$100,"'!d",B125),1)</f>
        <v>4</v>
      </c>
      <c r="G125" s="1" cm="1">
        <f t="array" aca="1" ref="G125" ca="1">INDIRECT(CONCATENATE("'",$A$100,"'!e",B125),1)</f>
        <v>1</v>
      </c>
      <c r="H125" s="1" cm="1">
        <f t="array" aca="1" ref="H125" ca="1">INDIRECT(CONCATENATE("'",$A$100,"'!f",B125),1)</f>
        <v>23</v>
      </c>
      <c r="I125" s="1" t="str" cm="1">
        <f t="array" aca="1" ref="I125" ca="1">INDIRECT(CONCATENATE("'",$A$100,"'!g",B125),1)</f>
        <v>ЭКЗ</v>
      </c>
      <c r="J125" s="1" cm="1">
        <f t="array" aca="1" ref="J125" ca="1">INDIRECT(CONCATENATE("'",$A$100,"'!h",B125),1)</f>
        <v>2</v>
      </c>
      <c r="K125" s="1" cm="1">
        <f t="array" aca="1" ref="K125" ca="1">INDIRECT(CONCATENATE("'",$A$100,"'!i",B125),1)</f>
        <v>14</v>
      </c>
      <c r="L125" s="1" cm="1">
        <f t="array" aca="1" ref="L125" ca="1">INDIRECT(CONCATENATE("'",$A$100,"'!j",B125),1)</f>
        <v>14</v>
      </c>
      <c r="M125" s="1" cm="1">
        <f t="array" aca="1" ref="M125" ca="1">INDIRECT(CONCATENATE("'",$A$100,"'!k",B125),1)</f>
        <v>0</v>
      </c>
      <c r="N125" s="1" t="str" cm="1">
        <f t="array" aca="1" ref="N125" ca="1">INDIRECT(CONCATENATE("'",$A$100,"'!l",B125),1)</f>
        <v>Винник Л.И.</v>
      </c>
      <c r="O125" s="1" t="str" cm="1">
        <f t="array" aca="1" ref="O125" ca="1">INDIRECT(CONCATENATE("'",$A$100,"'!m",B125),1)</f>
        <v>3312 лк+ пр</v>
      </c>
      <c r="P125" s="1" t="str" cm="1">
        <f t="array" aca="1" ref="P125" ca="1">INDIRECT(CONCATENATE("'",$A$100,"'!n",B125),1)</f>
        <v>1п</v>
      </c>
      <c r="Q125" s="1" cm="1">
        <f t="array" aca="1" ref="Q125" ca="1">INDIRECT(CONCATENATE("'",$A$100,"'!o",B125),1)</f>
        <v>6.9</v>
      </c>
      <c r="R125" s="1" cm="1">
        <f t="array" aca="1" ref="R125" ca="1">INDIRECT(CONCATENATE("'",$A$100,"'!p",B125),1)</f>
        <v>0</v>
      </c>
      <c r="S125" s="1">
        <f t="shared" ca="1" si="7"/>
        <v>0</v>
      </c>
      <c r="T125" s="1" t="str" cm="1">
        <f t="array" aca="1" ref="T125" ca="1">INDIRECT(CONCATENATE("'",$A$100,"'!q",B125),1)</f>
        <v>Винник Л.И.</v>
      </c>
      <c r="U125" s="1" cm="1">
        <f t="array" aca="1" ref="U125" ca="1">INDIRECT(CONCATENATE("'",$A$100,"'!r",B125),1)</f>
        <v>34.9</v>
      </c>
      <c r="V125" s="1" cm="1">
        <f t="array" aca="1" ref="V125" ca="1">INDIRECT(CONCATENATE("'",$A$100,"'!s",B125),1)</f>
        <v>0</v>
      </c>
      <c r="W125" s="1" cm="1">
        <f t="array" aca="1" ref="W125" ca="1">INDIRECT(CONCATENATE("'",$A$100,"'!t",B125),1)</f>
        <v>0</v>
      </c>
      <c r="X125" s="1" cm="1">
        <f t="array" aca="1" ref="X125" ca="1">INDIRECT(CONCATENATE("'",$A$100,"'!u",B125),1)</f>
        <v>0</v>
      </c>
      <c r="Y125" s="1" cm="1">
        <f t="array" aca="1" ref="Y125" ca="1">INDIRECT(CONCATENATE("'",$A$100,"'!v",B125),1)</f>
        <v>0</v>
      </c>
    </row>
    <row r="126" spans="1:25" customFormat="1" ht="21" hidden="1" customHeight="1" x14ac:dyDescent="0.25">
      <c r="A126" s="15"/>
      <c r="B126" s="24">
        <f t="shared" si="9"/>
        <v>28</v>
      </c>
      <c r="C126" s="1" t="str" cm="1">
        <f t="array" aca="1" ref="C126" ca="1">INDIRECT(CONCATENATE("'",$A$100,"'!A",B126),1)</f>
        <v>Внедрение и поддержка компьютерных систем</v>
      </c>
      <c r="D126" s="1" t="str" cm="1">
        <f t="array" aca="1" ref="D126" ca="1">INDIRECT(CONCATENATE("'",$A$100,"'!B",B126),1)</f>
        <v xml:space="preserve">09.03.01(09у) </v>
      </c>
      <c r="E126" s="1" cm="1">
        <f t="array" aca="1" ref="E126" ca="1">INDIRECT(CONCATENATE("'",$A$100,"'!c",B126),1)</f>
        <v>4097</v>
      </c>
      <c r="F126" s="1" cm="1">
        <f t="array" aca="1" ref="F126" ca="1">INDIRECT(CONCATENATE("'",$A$100,"'!d",B126),1)</f>
        <v>4</v>
      </c>
      <c r="G126" s="1" cm="1">
        <f t="array" aca="1" ref="G126" ca="1">INDIRECT(CONCATENATE("'",$A$100,"'!e",B126),1)</f>
        <v>1</v>
      </c>
      <c r="H126" s="1" cm="1">
        <f t="array" aca="1" ref="H126" ca="1">INDIRECT(CONCATENATE("'",$A$100,"'!f",B126),1)</f>
        <v>23</v>
      </c>
      <c r="I126" s="1" t="str" cm="1">
        <f t="array" aca="1" ref="I126" ca="1">INDIRECT(CONCATENATE("'",$A$100,"'!g",B126),1)</f>
        <v>ЗАЧ</v>
      </c>
      <c r="J126" s="1" cm="1">
        <f t="array" aca="1" ref="J126" ca="1">INDIRECT(CONCATENATE("'",$A$100,"'!h",B126),1)</f>
        <v>3</v>
      </c>
      <c r="K126" s="1" cm="1">
        <f t="array" aca="1" ref="K126" ca="1">INDIRECT(CONCATENATE("'",$A$100,"'!i",B126),1)</f>
        <v>28</v>
      </c>
      <c r="L126" s="1" cm="1">
        <f t="array" aca="1" ref="L126" ca="1">INDIRECT(CONCATENATE("'",$A$100,"'!j",B126),1)</f>
        <v>14</v>
      </c>
      <c r="M126" s="1" cm="1">
        <f t="array" aca="1" ref="M126" ca="1">INDIRECT(CONCATENATE("'",$A$100,"'!k",B126),1)</f>
        <v>0</v>
      </c>
      <c r="N126" s="1" t="str" cm="1">
        <f t="array" aca="1" ref="N126" ca="1">INDIRECT(CONCATENATE("'",$A$100,"'!l",B126),1)</f>
        <v>Цымбалюк А.Е.</v>
      </c>
      <c r="O126" s="1" t="str" cm="1">
        <f t="array" aca="1" ref="O126" ca="1">INDIRECT(CONCATENATE("'",$A$100,"'!m",B126),1)</f>
        <v>2309, 3305</v>
      </c>
      <c r="P126" s="1" t="str" cm="1">
        <f t="array" aca="1" ref="P126" ca="1">INDIRECT(CONCATENATE("'",$A$100,"'!n",B126),1)</f>
        <v>1п</v>
      </c>
      <c r="Q126" s="1" cm="1">
        <f t="array" aca="1" ref="Q126" ca="1">INDIRECT(CONCATENATE("'",$A$100,"'!o",B126),1)</f>
        <v>13.8</v>
      </c>
      <c r="R126" s="1" cm="1">
        <f t="array" aca="1" ref="R126" ca="1">INDIRECT(CONCATENATE("'",$A$100,"'!p",B126),1)</f>
        <v>9.1999999999999993</v>
      </c>
      <c r="S126" s="1">
        <f t="shared" ca="1" si="7"/>
        <v>0</v>
      </c>
      <c r="T126" s="1" t="str" cm="1">
        <f t="array" aca="1" ref="T126" ca="1">INDIRECT(CONCATENATE("'",$A$100,"'!q",B126),1)</f>
        <v>Цымбалюк А.Е.</v>
      </c>
      <c r="U126" s="1" cm="1">
        <f t="array" aca="1" ref="U126" ca="1">INDIRECT(CONCATENATE("'",$A$100,"'!r",B126),1)</f>
        <v>65</v>
      </c>
      <c r="V126" s="1" cm="1">
        <f t="array" aca="1" ref="V126" ca="1">INDIRECT(CONCATENATE("'",$A$100,"'!s",B126),1)</f>
        <v>0</v>
      </c>
      <c r="W126" s="1" cm="1">
        <f t="array" aca="1" ref="W126" ca="1">INDIRECT(CONCATENATE("'",$A$100,"'!t",B126),1)</f>
        <v>0</v>
      </c>
      <c r="X126" s="1" cm="1">
        <f t="array" aca="1" ref="X126" ca="1">INDIRECT(CONCATENATE("'",$A$100,"'!u",B126),1)</f>
        <v>0</v>
      </c>
      <c r="Y126" s="1" cm="1">
        <f t="array" aca="1" ref="Y126" ca="1">INDIRECT(CONCATENATE("'",$A$100,"'!v",B126),1)</f>
        <v>0</v>
      </c>
    </row>
    <row r="127" spans="1:25" customFormat="1" ht="33" hidden="1" customHeight="1" x14ac:dyDescent="0.25">
      <c r="A127" s="15"/>
      <c r="B127" s="24">
        <f t="shared" si="9"/>
        <v>29</v>
      </c>
      <c r="C127" s="1" t="str" cm="1">
        <f t="array" aca="1" ref="C127" ca="1">INDIRECT(CONCATENATE("'",$A$100,"'!A",B127),1)</f>
        <v>Практика производственная: Практика преддипломная</v>
      </c>
      <c r="D127" s="1" t="str" cm="1">
        <f t="array" aca="1" ref="D127" ca="1">INDIRECT(CONCATENATE("'",$A$100,"'!B",B127),1)</f>
        <v xml:space="preserve">09.03.01(09у) </v>
      </c>
      <c r="E127" s="1" cm="1">
        <f t="array" aca="1" ref="E127" ca="1">INDIRECT(CONCATENATE("'",$A$100,"'!c",B127),1)</f>
        <v>4097</v>
      </c>
      <c r="F127" s="1" cm="1">
        <f t="array" aca="1" ref="F127" ca="1">INDIRECT(CONCATENATE("'",$A$100,"'!d",B127),1)</f>
        <v>4</v>
      </c>
      <c r="G127" s="1" cm="1">
        <f t="array" aca="1" ref="G127" ca="1">INDIRECT(CONCATENATE("'",$A$100,"'!e",B127),1)</f>
        <v>1</v>
      </c>
      <c r="H127" s="1" cm="1">
        <f t="array" aca="1" ref="H127" ca="1">INDIRECT(CONCATENATE("'",$A$100,"'!f",B127),1)</f>
        <v>23</v>
      </c>
      <c r="I127" s="1" t="str" cm="1">
        <f t="array" aca="1" ref="I127" ca="1">INDIRECT(CONCATENATE("'",$A$100,"'!g",B127),1)</f>
        <v>ДЗ</v>
      </c>
      <c r="J127" s="1" cm="1">
        <f t="array" aca="1" ref="J127" ca="1">INDIRECT(CONCATENATE("'",$A$100,"'!h",B127),1)</f>
        <v>18</v>
      </c>
      <c r="K127" s="1" cm="1">
        <f t="array" aca="1" ref="K127" ca="1">INDIRECT(CONCATENATE("'",$A$100,"'!i",B127),1)</f>
        <v>0</v>
      </c>
      <c r="L127" s="1" cm="1">
        <f t="array" aca="1" ref="L127" ca="1">INDIRECT(CONCATENATE("'",$A$100,"'!j",B127),1)</f>
        <v>2</v>
      </c>
      <c r="M127" s="1" cm="1">
        <f t="array" aca="1" ref="M127" ca="1">INDIRECT(CONCATENATE("'",$A$100,"'!k",B127),1)</f>
        <v>0</v>
      </c>
      <c r="N127" s="1" t="str" cm="1">
        <f t="array" aca="1" ref="N127" ca="1">INDIRECT(CONCATENATE("'",$A$100,"'!l",B127),1)</f>
        <v>Соколова Г.Ю.Архипова Г.А.Винник Л.И.</v>
      </c>
      <c r="O127" s="1" cm="1">
        <f t="array" aca="1" ref="O127" ca="1">INDIRECT(CONCATENATE("'",$A$100,"'!m",B127),1)</f>
        <v>3300</v>
      </c>
      <c r="P127" s="1" t="str" cm="1">
        <f t="array" aca="1" ref="P127" ca="1">INDIRECT(CONCATENATE("'",$A$100,"'!n",B127),1)</f>
        <v>сопровождение, защита отчётов, нормокортроль</v>
      </c>
      <c r="Q127" s="1" cm="1">
        <f t="array" aca="1" ref="Q127" ca="1">INDIRECT(CONCATENATE("'",$A$100,"'!o",B127),1)</f>
        <v>165.6</v>
      </c>
      <c r="R127" s="1" cm="1">
        <f t="array" aca="1" ref="R127" ca="1">INDIRECT(CONCATENATE("'",$A$100,"'!p",B127),1)</f>
        <v>0</v>
      </c>
      <c r="S127" s="1">
        <f t="shared" ca="1" si="7"/>
        <v>0</v>
      </c>
      <c r="T127" s="1" t="str" cm="1">
        <f t="array" aca="1" ref="T127" ca="1">INDIRECT(CONCATENATE("'",$A$100,"'!q",B127),1)</f>
        <v>Соколова Г.Ю.</v>
      </c>
      <c r="U127" s="1" cm="1">
        <f t="array" aca="1" ref="U127" ca="1">INDIRECT(CONCATENATE("'",$A$100,"'!r",B127),1)</f>
        <v>73.599999999999994</v>
      </c>
      <c r="V127" s="1" t="str" cm="1">
        <f t="array" aca="1" ref="V127" ca="1">INDIRECT(CONCATENATE("'",$A$100,"'!s",B127),1)</f>
        <v>Архипова Г.А.</v>
      </c>
      <c r="W127" s="1" cm="1">
        <f t="array" aca="1" ref="W127" ca="1">INDIRECT(CONCATENATE("'",$A$100,"'!t",B127),1)</f>
        <v>46</v>
      </c>
      <c r="X127" s="1" t="str" cm="1">
        <f t="array" aca="1" ref="X127" ca="1">INDIRECT(CONCATENATE("'",$A$100,"'!u",B127),1)</f>
        <v>Винник Л.И.</v>
      </c>
      <c r="Y127" s="1" cm="1">
        <f t="array" aca="1" ref="Y127" ca="1">INDIRECT(CONCATENATE("'",$A$100,"'!v",B127),1)</f>
        <v>46</v>
      </c>
    </row>
    <row r="128" spans="1:25" customFormat="1" ht="45" hidden="1" x14ac:dyDescent="0.25">
      <c r="A128" s="15"/>
      <c r="B128" s="24">
        <f t="shared" si="9"/>
        <v>30</v>
      </c>
      <c r="C128" s="1" t="str" cm="1">
        <f t="array" aca="1" ref="C128" ca="1">INDIRECT(CONCATENATE("'",$A$100,"'!A",B128),1)</f>
        <v>Выполнение и защита выпускной квалификационной работы</v>
      </c>
      <c r="D128" s="1" t="str" cm="1">
        <f t="array" aca="1" ref="D128" ca="1">INDIRECT(CONCATENATE("'",$A$100,"'!B",B128),1)</f>
        <v xml:space="preserve">09.03.01(09у) </v>
      </c>
      <c r="E128" s="1" cm="1">
        <f t="array" aca="1" ref="E128" ca="1">INDIRECT(CONCATENATE("'",$A$100,"'!c",B128),1)</f>
        <v>4097</v>
      </c>
      <c r="F128" s="1" cm="1">
        <f t="array" aca="1" ref="F128" ca="1">INDIRECT(CONCATENATE("'",$A$100,"'!d",B128),1)</f>
        <v>4</v>
      </c>
      <c r="G128" s="1" cm="1">
        <f t="array" aca="1" ref="G128" ca="1">INDIRECT(CONCATENATE("'",$A$100,"'!e",B128),1)</f>
        <v>1</v>
      </c>
      <c r="H128" s="1" cm="1">
        <f t="array" aca="1" ref="H128" ca="1">INDIRECT(CONCATENATE("'",$A$100,"'!f",B128),1)</f>
        <v>23</v>
      </c>
      <c r="I128" s="1" t="str" cm="1">
        <f t="array" aca="1" ref="I128" ca="1">INDIRECT(CONCATENATE("'",$A$100,"'!g",B128),1)</f>
        <v>ДЗ</v>
      </c>
      <c r="J128" s="1" cm="1">
        <f t="array" aca="1" ref="J128" ca="1">INDIRECT(CONCATENATE("'",$A$100,"'!h",B128),1)</f>
        <v>9</v>
      </c>
      <c r="K128" s="1" cm="1">
        <f t="array" aca="1" ref="K128" ca="1">INDIRECT(CONCATENATE("'",$A$100,"'!i",B128),1)</f>
        <v>0</v>
      </c>
      <c r="L128" s="1" cm="1">
        <f t="array" aca="1" ref="L128" ca="1">INDIRECT(CONCATENATE("'",$A$100,"'!j",B128),1)</f>
        <v>2</v>
      </c>
      <c r="M128" s="1" cm="1">
        <f t="array" aca="1" ref="M128" ca="1">INDIRECT(CONCATENATE("'",$A$100,"'!k",B128),1)</f>
        <v>0</v>
      </c>
      <c r="N128" s="1" t="str" cm="1">
        <f t="array" aca="1" ref="N128" ca="1">INDIRECT(CONCATENATE("'",$A$100,"'!l",B128),1)</f>
        <v>Моркин С.А.Соколова Г.Ю.Архипова Г.А.</v>
      </c>
      <c r="O128" s="1" cm="1">
        <f t="array" aca="1" ref="O128" ca="1">INDIRECT(CONCATENATE("'",$A$100,"'!m",B128),1)</f>
        <v>3300</v>
      </c>
      <c r="P128" s="1" t="str" cm="1">
        <f t="array" aca="1" ref="P128" ca="1">INDIRECT(CONCATENATE("'",$A$100,"'!n",B128),1)</f>
        <v>Предзащита</v>
      </c>
      <c r="Q128" s="1" cm="1">
        <f t="array" aca="1" ref="Q128" ca="1">INDIRECT(CONCATENATE("'",$A$100,"'!o",B128),1)</f>
        <v>288</v>
      </c>
      <c r="R128" s="1" cm="1">
        <f t="array" aca="1" ref="R128" ca="1">INDIRECT(CONCATENATE("'",$A$100,"'!p",B128),1)</f>
        <v>0</v>
      </c>
      <c r="S128" s="1">
        <f t="shared" ca="1" si="7"/>
        <v>0</v>
      </c>
      <c r="T128" s="1" t="str" cm="1">
        <f t="array" aca="1" ref="T128" ca="1">INDIRECT(CONCATENATE("'",$A$100,"'!q",B128),1)</f>
        <v>Моркин С.А.</v>
      </c>
      <c r="U128" s="1" cm="1">
        <f t="array" aca="1" ref="U128" ca="1">INDIRECT(CONCATENATE("'",$A$100,"'!r",B128),1)</f>
        <v>4</v>
      </c>
      <c r="V128" s="1" t="str" cm="1">
        <f t="array" aca="1" ref="V128" ca="1">INDIRECT(CONCATENATE("'",$A$100,"'!s",B128),1)</f>
        <v>Соколова Г.Ю.</v>
      </c>
      <c r="W128" s="1" cm="1">
        <f t="array" aca="1" ref="W128" ca="1">INDIRECT(CONCATENATE("'",$A$100,"'!t",B128),1)</f>
        <v>4</v>
      </c>
      <c r="X128" s="1" t="str" cm="1">
        <f t="array" aca="1" ref="X128" ca="1">INDIRECT(CONCATENATE("'",$A$100,"'!u",B128),1)</f>
        <v>Архипова Г.А.</v>
      </c>
      <c r="Y128" s="1" cm="1">
        <f t="array" aca="1" ref="Y128" ca="1">INDIRECT(CONCATENATE("'",$A$100,"'!v",B128),1)</f>
        <v>4</v>
      </c>
    </row>
    <row r="129" spans="1:25" customFormat="1" ht="45" hidden="1" x14ac:dyDescent="0.25">
      <c r="A129" s="15"/>
      <c r="B129" s="24">
        <f t="shared" si="9"/>
        <v>31</v>
      </c>
      <c r="C129" s="1" t="str" cm="1">
        <f t="array" aca="1" ref="C129" ca="1">INDIRECT(CONCATENATE("'",$A$100,"'!A",B129),1)</f>
        <v>Выполнение и защита выпускной квалификационной работы</v>
      </c>
      <c r="D129" s="1" t="str" cm="1">
        <f t="array" aca="1" ref="D129" ca="1">INDIRECT(CONCATENATE("'",$A$100,"'!B",B129),1)</f>
        <v xml:space="preserve">09.03.01(09у) </v>
      </c>
      <c r="E129" s="1" cm="1">
        <f t="array" aca="1" ref="E129" ca="1">INDIRECT(CONCATENATE("'",$A$100,"'!c",B129),1)</f>
        <v>4097</v>
      </c>
      <c r="F129" s="1" cm="1">
        <f t="array" aca="1" ref="F129" ca="1">INDIRECT(CONCATENATE("'",$A$100,"'!d",B129),1)</f>
        <v>4</v>
      </c>
      <c r="G129" s="1" cm="1">
        <f t="array" aca="1" ref="G129" ca="1">INDIRECT(CONCATENATE("'",$A$100,"'!e",B129),1)</f>
        <v>1</v>
      </c>
      <c r="H129" s="1" cm="1">
        <f t="array" aca="1" ref="H129" ca="1">INDIRECT(CONCATENATE("'",$A$100,"'!f",B129),1)</f>
        <v>23</v>
      </c>
      <c r="I129" s="1" t="str" cm="1">
        <f t="array" aca="1" ref="I129" ca="1">INDIRECT(CONCATENATE("'",$A$100,"'!g",B129),1)</f>
        <v>ДЗ</v>
      </c>
      <c r="J129" s="1" cm="1">
        <f t="array" aca="1" ref="J129" ca="1">INDIRECT(CONCATENATE("'",$A$100,"'!h",B129),1)</f>
        <v>9</v>
      </c>
      <c r="K129" s="1" cm="1">
        <f t="array" aca="1" ref="K129" ca="1">INDIRECT(CONCATENATE("'",$A$100,"'!i",B129),1)</f>
        <v>0</v>
      </c>
      <c r="L129" s="1" cm="1">
        <f t="array" aca="1" ref="L129" ca="1">INDIRECT(CONCATENATE("'",$A$100,"'!j",B129),1)</f>
        <v>2</v>
      </c>
      <c r="M129" s="1" cm="1">
        <f t="array" aca="1" ref="M129" ca="1">INDIRECT(CONCATENATE("'",$A$100,"'!k",B129),1)</f>
        <v>0</v>
      </c>
      <c r="N129" s="1" t="str" cm="1">
        <f t="array" aca="1" ref="N129" ca="1">INDIRECT(CONCATENATE("'",$A$100,"'!l",B129),1)</f>
        <v>ЧленКомиссииЧленКомиссииЧленКомиссии</v>
      </c>
      <c r="O129" s="1" cm="1">
        <f t="array" aca="1" ref="O129" ca="1">INDIRECT(CONCATENATE("'",$A$100,"'!m",B129),1)</f>
        <v>3300</v>
      </c>
      <c r="P129" s="1" t="str" cm="1">
        <f t="array" aca="1" ref="P129" ca="1">INDIRECT(CONCATENATE("'",$A$100,"'!n",B129),1)</f>
        <v>Защита</v>
      </c>
      <c r="Q129" s="1" cm="1">
        <f t="array" aca="1" ref="Q129" ca="1">INDIRECT(CONCATENATE("'",$A$100,"'!o",B129),1)</f>
        <v>288</v>
      </c>
      <c r="R129" s="1" cm="1">
        <f t="array" aca="1" ref="R129" ca="1">INDIRECT(CONCATENATE("'",$A$100,"'!p",B129),1)</f>
        <v>0</v>
      </c>
      <c r="S129" s="1">
        <f t="shared" ca="1" si="7"/>
        <v>0</v>
      </c>
      <c r="T129" s="1" t="str" cm="1">
        <f t="array" aca="1" ref="T129" ca="1">INDIRECT(CONCATENATE("'",$A$100,"'!q",B129),1)</f>
        <v>ЧленКомиссии</v>
      </c>
      <c r="U129" s="1" cm="1">
        <f t="array" aca="1" ref="U129" ca="1">INDIRECT(CONCATENATE("'",$A$100,"'!r",B129),1)</f>
        <v>6</v>
      </c>
      <c r="V129" s="1" t="str" cm="1">
        <f t="array" aca="1" ref="V129" ca="1">INDIRECT(CONCATENATE("'",$A$100,"'!s",B129),1)</f>
        <v>ЧленКомиссии</v>
      </c>
      <c r="W129" s="1" cm="1">
        <f t="array" aca="1" ref="W129" ca="1">INDIRECT(CONCATENATE("'",$A$100,"'!t",B129),1)</f>
        <v>6</v>
      </c>
      <c r="X129" s="1" t="str" cm="1">
        <f t="array" aca="1" ref="X129" ca="1">INDIRECT(CONCATENATE("'",$A$100,"'!u",B129),1)</f>
        <v>ЧленКомиссии</v>
      </c>
      <c r="Y129" s="1" cm="1">
        <f t="array" aca="1" ref="Y129" ca="1">INDIRECT(CONCATENATE("'",$A$100,"'!v",B129),1)</f>
        <v>6</v>
      </c>
    </row>
    <row r="130" spans="1:25" customFormat="1" ht="45" hidden="1" x14ac:dyDescent="0.25">
      <c r="A130" s="15"/>
      <c r="B130" s="24">
        <f t="shared" si="9"/>
        <v>32</v>
      </c>
      <c r="C130" s="1" t="str" cm="1">
        <f t="array" aca="1" ref="C130" ca="1">INDIRECT(CONCATENATE("'",$A$100,"'!A",B130),1)</f>
        <v>Выполнение и защита выпускной квалификационной работы</v>
      </c>
      <c r="D130" s="1" t="str" cm="1">
        <f t="array" aca="1" ref="D130" ca="1">INDIRECT(CONCATENATE("'",$A$100,"'!B",B130),1)</f>
        <v xml:space="preserve">09.03.01(09у) </v>
      </c>
      <c r="E130" s="1" cm="1">
        <f t="array" aca="1" ref="E130" ca="1">INDIRECT(CONCATENATE("'",$A$100,"'!c",B130),1)</f>
        <v>4097</v>
      </c>
      <c r="F130" s="1" cm="1">
        <f t="array" aca="1" ref="F130" ca="1">INDIRECT(CONCATENATE("'",$A$100,"'!d",B130),1)</f>
        <v>4</v>
      </c>
      <c r="G130" s="1" cm="1">
        <f t="array" aca="1" ref="G130" ca="1">INDIRECT(CONCATENATE("'",$A$100,"'!e",B130),1)</f>
        <v>1</v>
      </c>
      <c r="H130" s="1" cm="1">
        <f t="array" aca="1" ref="H130" ca="1">INDIRECT(CONCATENATE("'",$A$100,"'!f",B130),1)</f>
        <v>23</v>
      </c>
      <c r="I130" s="1" t="str" cm="1">
        <f t="array" aca="1" ref="I130" ca="1">INDIRECT(CONCATENATE("'",$A$100,"'!g",B130),1)</f>
        <v>ДЗ</v>
      </c>
      <c r="J130" s="1" cm="1">
        <f t="array" aca="1" ref="J130" ca="1">INDIRECT(CONCATENATE("'",$A$100,"'!h",B130),1)</f>
        <v>9</v>
      </c>
      <c r="K130" s="1" cm="1">
        <f t="array" aca="1" ref="K130" ca="1">INDIRECT(CONCATENATE("'",$A$100,"'!i",B130),1)</f>
        <v>0</v>
      </c>
      <c r="L130" s="1" cm="1">
        <f t="array" aca="1" ref="L130" ca="1">INDIRECT(CONCATENATE("'",$A$100,"'!j",B130),1)</f>
        <v>2</v>
      </c>
      <c r="M130" s="1" cm="1">
        <f t="array" aca="1" ref="M130" ca="1">INDIRECT(CONCATENATE("'",$A$100,"'!k",B130),1)</f>
        <v>0</v>
      </c>
      <c r="N130" s="1" t="str" cm="1">
        <f t="array" aca="1" ref="N130" ca="1">INDIRECT(CONCATENATE("'",$A$100,"'!l",B130),1)</f>
        <v>Соколова Г.Ю.Соколова Г.Ю.</v>
      </c>
      <c r="O130" s="1" cm="1">
        <f t="array" aca="1" ref="O130" ca="1">INDIRECT(CONCATENATE("'",$A$100,"'!m",B130),1)</f>
        <v>3300</v>
      </c>
      <c r="P130" s="1" t="str" cm="1">
        <f t="array" aca="1" ref="P130" ca="1">INDIRECT(CONCATENATE("'",$A$100,"'!n",B130),1)</f>
        <v>Проверка на антиплагиат
защита</v>
      </c>
      <c r="Q130" s="1" cm="1">
        <f t="array" aca="1" ref="Q130" ca="1">INDIRECT(CONCATENATE("'",$A$100,"'!o",B130),1)</f>
        <v>28</v>
      </c>
      <c r="R130" s="1" cm="1">
        <f t="array" aca="1" ref="R130" ca="1">INDIRECT(CONCATENATE("'",$A$100,"'!p",B130),1)</f>
        <v>0</v>
      </c>
      <c r="S130" s="1">
        <f t="shared" ca="1" si="7"/>
        <v>0</v>
      </c>
      <c r="T130" s="1" t="str" cm="1">
        <f t="array" aca="1" ref="T130" ca="1">INDIRECT(CONCATENATE("'",$A$100,"'!q",B130),1)</f>
        <v>Соколова Г.Ю.</v>
      </c>
      <c r="U130" s="1" cm="1">
        <f t="array" aca="1" ref="U130" ca="1">INDIRECT(CONCATENATE("'",$A$100,"'!r",B130),1)</f>
        <v>23</v>
      </c>
      <c r="V130" s="1" t="str" cm="1">
        <f t="array" aca="1" ref="V130" ca="1">INDIRECT(CONCATENATE("'",$A$100,"'!s",B130),1)</f>
        <v>Соколова Г.Ю.</v>
      </c>
      <c r="W130" s="1" cm="1">
        <f t="array" aca="1" ref="W130" ca="1">INDIRECT(CONCATENATE("'",$A$100,"'!t",B130),1)</f>
        <v>5</v>
      </c>
      <c r="X130" s="1" cm="1">
        <f t="array" aca="1" ref="X130" ca="1">INDIRECT(CONCATENATE("'",$A$100,"'!u",B130),1)</f>
        <v>0</v>
      </c>
      <c r="Y130" s="1" cm="1">
        <f t="array" aca="1" ref="Y130" ca="1">INDIRECT(CONCATENATE("'",$A$100,"'!v",B130),1)</f>
        <v>0</v>
      </c>
    </row>
    <row r="131" spans="1:25" customFormat="1" ht="45" hidden="1" x14ac:dyDescent="0.25">
      <c r="A131" s="15"/>
      <c r="B131" s="24">
        <f t="shared" si="9"/>
        <v>33</v>
      </c>
      <c r="C131" s="1" t="str" cm="1">
        <f t="array" aca="1" ref="C131" ca="1">INDIRECT(CONCATENATE("'",$A$100,"'!A",B131),1)</f>
        <v>Выполнение и защита выпускной квалификационной работы</v>
      </c>
      <c r="D131" s="1" t="str" cm="1">
        <f t="array" aca="1" ref="D131" ca="1">INDIRECT(CONCATENATE("'",$A$100,"'!B",B131),1)</f>
        <v xml:space="preserve">09.03.01(09у) </v>
      </c>
      <c r="E131" s="1" cm="1">
        <f t="array" aca="1" ref="E131" ca="1">INDIRECT(CONCATENATE("'",$A$100,"'!c",B131),1)</f>
        <v>4097</v>
      </c>
      <c r="F131" s="1" cm="1">
        <f t="array" aca="1" ref="F131" ca="1">INDIRECT(CONCATENATE("'",$A$100,"'!d",B131),1)</f>
        <v>4</v>
      </c>
      <c r="G131" s="1" cm="1">
        <f t="array" aca="1" ref="G131" ca="1">INDIRECT(CONCATENATE("'",$A$100,"'!e",B131),1)</f>
        <v>1</v>
      </c>
      <c r="H131" s="1" cm="1">
        <f t="array" aca="1" ref="H131" ca="1">INDIRECT(CONCATENATE("'",$A$100,"'!f",B131),1)</f>
        <v>23</v>
      </c>
      <c r="I131" s="1" t="str" cm="1">
        <f t="array" aca="1" ref="I131" ca="1">INDIRECT(CONCATENATE("'",$A$100,"'!g",B131),1)</f>
        <v>ДЗ</v>
      </c>
      <c r="J131" s="1" cm="1">
        <f t="array" aca="1" ref="J131" ca="1">INDIRECT(CONCATENATE("'",$A$100,"'!h",B131),1)</f>
        <v>9</v>
      </c>
      <c r="K131" s="1" cm="1">
        <f t="array" aca="1" ref="K131" ca="1">INDIRECT(CONCATENATE("'",$A$100,"'!i",B131),1)</f>
        <v>0</v>
      </c>
      <c r="L131" s="1" cm="1">
        <f t="array" aca="1" ref="L131" ca="1">INDIRECT(CONCATENATE("'",$A$100,"'!j",B131),1)</f>
        <v>0</v>
      </c>
      <c r="M131" s="1" cm="1">
        <f t="array" aca="1" ref="M131" ca="1">INDIRECT(CONCATENATE("'",$A$100,"'!k",B131),1)</f>
        <v>0</v>
      </c>
      <c r="N131" s="1" t="str" cm="1">
        <f t="array" aca="1" ref="N131" ca="1">INDIRECT(CONCATENATE("'",$A$100,"'!l",B131),1)</f>
        <v>Попов В.С.Петров Р.В.Телина И.С.</v>
      </c>
      <c r="O131" s="1" cm="1">
        <f t="array" aca="1" ref="O131" ca="1">INDIRECT(CONCATENATE("'",$A$100,"'!m",B131),1)</f>
        <v>3300</v>
      </c>
      <c r="P131" s="1" t="str" cm="1">
        <f t="array" aca="1" ref="P131" ca="1">INDIRECT(CONCATENATE("'",$A$100,"'!n",B131),1)</f>
        <v>руководство ДП 4 человека</v>
      </c>
      <c r="Q131" s="1" cm="1">
        <f t="array" aca="1" ref="Q131" ca="1">INDIRECT(CONCATENATE("'",$A$100,"'!o",B131),1)</f>
        <v>48</v>
      </c>
      <c r="R131" s="1" cm="1">
        <f t="array" aca="1" ref="R131" ca="1">INDIRECT(CONCATENATE("'",$A$100,"'!p",B131),1)</f>
        <v>0</v>
      </c>
      <c r="S131" s="1">
        <f t="shared" ca="1" si="7"/>
        <v>0</v>
      </c>
      <c r="T131" s="1" t="str" cm="1">
        <f t="array" aca="1" ref="T131" ca="1">INDIRECT(CONCATENATE("'",$A$100,"'!q",B131),1)</f>
        <v>Попов В.С.</v>
      </c>
      <c r="U131" s="1" cm="1">
        <f t="array" aca="1" ref="U131" ca="1">INDIRECT(CONCATENATE("'",$A$100,"'!r",B131),1)</f>
        <v>16</v>
      </c>
      <c r="V131" s="1" t="str" cm="1">
        <f t="array" aca="1" ref="V131" ca="1">INDIRECT(CONCATENATE("'",$A$100,"'!s",B131),1)</f>
        <v>Петров Р.В.</v>
      </c>
      <c r="W131" s="1" cm="1">
        <f t="array" aca="1" ref="W131" ca="1">INDIRECT(CONCATENATE("'",$A$100,"'!t",B131),1)</f>
        <v>16</v>
      </c>
      <c r="X131" s="1" t="str" cm="1">
        <f t="array" aca="1" ref="X131" ca="1">INDIRECT(CONCATENATE("'",$A$100,"'!u",B131),1)</f>
        <v>Телина И.С.</v>
      </c>
      <c r="Y131" s="1" cm="1">
        <f t="array" aca="1" ref="Y131" ca="1">INDIRECT(CONCATENATE("'",$A$100,"'!v",B131),1)</f>
        <v>16</v>
      </c>
    </row>
    <row r="132" spans="1:25" customFormat="1" ht="19.350000000000001" hidden="1" customHeight="1" x14ac:dyDescent="0.25">
      <c r="A132" s="15"/>
      <c r="B132" s="24">
        <f t="shared" si="9"/>
        <v>34</v>
      </c>
      <c r="C132" s="1" t="str" cm="1">
        <f t="array" aca="1" ref="C132" ca="1">INDIRECT(CONCATENATE("'",$A$100,"'!A",B132),1)</f>
        <v>Выполнение и защита выпускной квалификационной работы</v>
      </c>
      <c r="D132" s="1" t="str" cm="1">
        <f t="array" aca="1" ref="D132" ca="1">INDIRECT(CONCATENATE("'",$A$100,"'!B",B132),1)</f>
        <v xml:space="preserve">09.03.01(09у) </v>
      </c>
      <c r="E132" s="1" cm="1">
        <f t="array" aca="1" ref="E132" ca="1">INDIRECT(CONCATENATE("'",$A$100,"'!c",B132),1)</f>
        <v>4097</v>
      </c>
      <c r="F132" s="1" cm="1">
        <f t="array" aca="1" ref="F132" ca="1">INDIRECT(CONCATENATE("'",$A$100,"'!d",B132),1)</f>
        <v>4</v>
      </c>
      <c r="G132" s="1" cm="1">
        <f t="array" aca="1" ref="G132" ca="1">INDIRECT(CONCATENATE("'",$A$100,"'!e",B132),1)</f>
        <v>1</v>
      </c>
      <c r="H132" s="1" cm="1">
        <f t="array" aca="1" ref="H132" ca="1">INDIRECT(CONCATENATE("'",$A$100,"'!f",B132),1)</f>
        <v>23</v>
      </c>
      <c r="I132" s="1" t="str" cm="1">
        <f t="array" aca="1" ref="I132" ca="1">INDIRECT(CONCATENATE("'",$A$100,"'!g",B132),1)</f>
        <v>ДЗ</v>
      </c>
      <c r="J132" s="1" cm="1">
        <f t="array" aca="1" ref="J132" ca="1">INDIRECT(CONCATENATE("'",$A$100,"'!h",B132),1)</f>
        <v>9</v>
      </c>
      <c r="K132" s="1" cm="1">
        <f t="array" aca="1" ref="K132" ca="1">INDIRECT(CONCATENATE("'",$A$100,"'!i",B132),1)</f>
        <v>0</v>
      </c>
      <c r="L132" s="1" cm="1">
        <f t="array" aca="1" ref="L132" ca="1">INDIRECT(CONCATENATE("'",$A$100,"'!j",B132),1)</f>
        <v>0</v>
      </c>
      <c r="M132" s="1" cm="1">
        <f t="array" aca="1" ref="M132" ca="1">INDIRECT(CONCATENATE("'",$A$100,"'!k",B132),1)</f>
        <v>0</v>
      </c>
      <c r="N132" s="1" t="str" cm="1">
        <f t="array" aca="1" ref="N132" ca="1">INDIRECT(CONCATENATE("'",$A$100,"'!l",B132),1)</f>
        <v>Кулаков И.Ю.Иванов Д.Д.Цымбалюк Л.Н.</v>
      </c>
      <c r="O132" s="1" cm="1">
        <f t="array" aca="1" ref="O132" ca="1">INDIRECT(CONCATENATE("'",$A$100,"'!m",B132),1)</f>
        <v>3300</v>
      </c>
      <c r="P132" s="1" t="str" cm="1">
        <f t="array" aca="1" ref="P132" ca="1">INDIRECT(CONCATENATE("'",$A$100,"'!n",B132),1)</f>
        <v>руководство ДП 3 человека</v>
      </c>
      <c r="Q132" s="1" cm="1">
        <f t="array" aca="1" ref="Q132" ca="1">INDIRECT(CONCATENATE("'",$A$100,"'!o",B132),1)</f>
        <v>36</v>
      </c>
      <c r="R132" s="1" cm="1">
        <f t="array" aca="1" ref="R132" ca="1">INDIRECT(CONCATENATE("'",$A$100,"'!p",B132),1)</f>
        <v>0</v>
      </c>
      <c r="S132" s="1">
        <f t="shared" ca="1" si="7"/>
        <v>0</v>
      </c>
      <c r="T132" s="1" t="str" cm="1">
        <f t="array" aca="1" ref="T132" ca="1">INDIRECT(CONCATENATE("'",$A$100,"'!q",B132),1)</f>
        <v>Кулаков И.Ю.</v>
      </c>
      <c r="U132" s="1" cm="1">
        <f t="array" aca="1" ref="U132" ca="1">INDIRECT(CONCATENATE("'",$A$100,"'!r",B132),1)</f>
        <v>12</v>
      </c>
      <c r="V132" s="1" t="str" cm="1">
        <f t="array" aca="1" ref="V132" ca="1">INDIRECT(CONCATENATE("'",$A$100,"'!s",B132),1)</f>
        <v>Иванов Д.Д.</v>
      </c>
      <c r="W132" s="1" cm="1">
        <f t="array" aca="1" ref="W132" ca="1">INDIRECT(CONCATENATE("'",$A$100,"'!t",B132),1)</f>
        <v>12</v>
      </c>
      <c r="X132" s="1" t="str" cm="1">
        <f t="array" aca="1" ref="X132" ca="1">INDIRECT(CONCATENATE("'",$A$100,"'!u",B132),1)</f>
        <v>Цымбалюк Л.Н.</v>
      </c>
      <c r="Y132" s="1" cm="1">
        <f t="array" aca="1" ref="Y132" ca="1">INDIRECT(CONCATENATE("'",$A$100,"'!v",B132),1)</f>
        <v>12</v>
      </c>
    </row>
    <row r="133" spans="1:25" customFormat="1" ht="43.35" hidden="1" customHeight="1" x14ac:dyDescent="0.25">
      <c r="A133" s="15"/>
      <c r="B133" s="24">
        <f t="shared" si="9"/>
        <v>35</v>
      </c>
      <c r="C133" s="1" t="str" cm="1">
        <f t="array" aca="1" ref="C133" ca="1">INDIRECT(CONCATENATE("'",$A$100,"'!A",B133),1)</f>
        <v>Выполнение и защита выпускной квалификационной работы</v>
      </c>
      <c r="D133" s="1" t="str" cm="1">
        <f t="array" aca="1" ref="D133" ca="1">INDIRECT(CONCATENATE("'",$A$100,"'!B",B133),1)</f>
        <v xml:space="preserve">09.03.01(09у) </v>
      </c>
      <c r="E133" s="1" cm="1">
        <f t="array" aca="1" ref="E133" ca="1">INDIRECT(CONCATENATE("'",$A$100,"'!c",B133),1)</f>
        <v>4097</v>
      </c>
      <c r="F133" s="1" cm="1">
        <f t="array" aca="1" ref="F133" ca="1">INDIRECT(CONCATENATE("'",$A$100,"'!d",B133),1)</f>
        <v>4</v>
      </c>
      <c r="G133" s="1" cm="1">
        <f t="array" aca="1" ref="G133" ca="1">INDIRECT(CONCATENATE("'",$A$100,"'!e",B133),1)</f>
        <v>1</v>
      </c>
      <c r="H133" s="1" cm="1">
        <f t="array" aca="1" ref="H133" ca="1">INDIRECT(CONCATENATE("'",$A$100,"'!f",B133),1)</f>
        <v>23</v>
      </c>
      <c r="I133" s="1" t="str" cm="1">
        <f t="array" aca="1" ref="I133" ca="1">INDIRECT(CONCATENATE("'",$A$100,"'!g",B133),1)</f>
        <v>ДЗ</v>
      </c>
      <c r="J133" s="1" cm="1">
        <f t="array" aca="1" ref="J133" ca="1">INDIRECT(CONCATENATE("'",$A$100,"'!h",B133),1)</f>
        <v>9</v>
      </c>
      <c r="K133" s="1" cm="1">
        <f t="array" aca="1" ref="K133" ca="1">INDIRECT(CONCATENATE("'",$A$100,"'!i",B133),1)</f>
        <v>0</v>
      </c>
      <c r="L133" s="1" cm="1">
        <f t="array" aca="1" ref="L133" ca="1">INDIRECT(CONCATENATE("'",$A$100,"'!j",B133),1)</f>
        <v>0</v>
      </c>
      <c r="M133" s="1" cm="1">
        <f t="array" aca="1" ref="M133" ca="1">INDIRECT(CONCATENATE("'",$A$100,"'!k",B133),1)</f>
        <v>0</v>
      </c>
      <c r="N133" s="1" t="str" cm="1">
        <f t="array" aca="1" ref="N133" ca="1">INDIRECT(CONCATENATE("'",$A$100,"'!l",B133),1)</f>
        <v>Иванов И.Моркин С.А.Соколова Г.Ю.</v>
      </c>
      <c r="O133" s="1" cm="1">
        <f t="array" aca="1" ref="O133" ca="1">INDIRECT(CONCATENATE("'",$A$100,"'!m",B133),1)</f>
        <v>3300</v>
      </c>
      <c r="P133" s="1" t="str" cm="1">
        <f t="array" aca="1" ref="P133" ca="1">INDIRECT(CONCATENATE("'",$A$100,"'!n",B133),1)</f>
        <v>руководство ДП 4 человека</v>
      </c>
      <c r="Q133" s="1" cm="1">
        <f t="array" aca="1" ref="Q133" ca="1">INDIRECT(CONCATENATE("'",$A$100,"'!o",B133),1)</f>
        <v>72</v>
      </c>
      <c r="R133" s="1" cm="1">
        <f t="array" aca="1" ref="R133" ca="1">INDIRECT(CONCATENATE("'",$A$100,"'!p",B133),1)</f>
        <v>0</v>
      </c>
      <c r="S133" s="1">
        <f t="shared" ca="1" si="7"/>
        <v>0</v>
      </c>
      <c r="T133" s="1" t="str" cm="1">
        <f t="array" aca="1" ref="T133" ca="1">INDIRECT(CONCATENATE("'",$A$100,"'!q",B133),1)</f>
        <v>Иванов И.</v>
      </c>
      <c r="U133" s="1" cm="1">
        <f t="array" aca="1" ref="U133" ca="1">INDIRECT(CONCATENATE("'",$A$100,"'!r",B133),1)</f>
        <v>24</v>
      </c>
      <c r="V133" s="1" t="str" cm="1">
        <f t="array" aca="1" ref="V133" ca="1">INDIRECT(CONCATENATE("'",$A$100,"'!s",B133),1)</f>
        <v>Моркин С.А.</v>
      </c>
      <c r="W133" s="1" cm="1">
        <f t="array" aca="1" ref="W133" ca="1">INDIRECT(CONCATENATE("'",$A$100,"'!t",B133),1)</f>
        <v>24</v>
      </c>
      <c r="X133" s="1" t="str" cm="1">
        <f t="array" aca="1" ref="X133" ca="1">INDIRECT(CONCATENATE("'",$A$100,"'!u",B133),1)</f>
        <v>Соколова Г.Ю.</v>
      </c>
      <c r="Y133" s="1" cm="1">
        <f t="array" aca="1" ref="Y133" ca="1">INDIRECT(CONCATENATE("'",$A$100,"'!v",B133),1)</f>
        <v>24</v>
      </c>
    </row>
    <row r="134" spans="1:25" customFormat="1" ht="34.35" hidden="1" customHeight="1" x14ac:dyDescent="0.25">
      <c r="A134" s="15"/>
      <c r="B134" s="24">
        <f t="shared" si="9"/>
        <v>36</v>
      </c>
      <c r="C134" s="1" t="str" cm="1">
        <f t="array" aca="1" ref="C134" ca="1">INDIRECT(CONCATENATE("'",$A$100,"'!A",B134),1)</f>
        <v>Выполнение и защита выпускной квалификационной работы</v>
      </c>
      <c r="D134" s="1" t="str" cm="1">
        <f t="array" aca="1" ref="D134" ca="1">INDIRECT(CONCATENATE("'",$A$100,"'!B",B134),1)</f>
        <v xml:space="preserve">09.03.01(09у) </v>
      </c>
      <c r="E134" s="1" cm="1">
        <f t="array" aca="1" ref="E134" ca="1">INDIRECT(CONCATENATE("'",$A$100,"'!c",B134),1)</f>
        <v>4097</v>
      </c>
      <c r="F134" s="1" cm="1">
        <f t="array" aca="1" ref="F134" ca="1">INDIRECT(CONCATENATE("'",$A$100,"'!d",B134),1)</f>
        <v>4</v>
      </c>
      <c r="G134" s="1" cm="1">
        <f t="array" aca="1" ref="G134" ca="1">INDIRECT(CONCATENATE("'",$A$100,"'!e",B134),1)</f>
        <v>1</v>
      </c>
      <c r="H134" s="1" cm="1">
        <f t="array" aca="1" ref="H134" ca="1">INDIRECT(CONCATENATE("'",$A$100,"'!f",B134),1)</f>
        <v>23</v>
      </c>
      <c r="I134" s="1" t="str" cm="1">
        <f t="array" aca="1" ref="I134" ca="1">INDIRECT(CONCATENATE("'",$A$100,"'!g",B134),1)</f>
        <v>ДЗ</v>
      </c>
      <c r="J134" s="1" cm="1">
        <f t="array" aca="1" ref="J134" ca="1">INDIRECT(CONCATENATE("'",$A$100,"'!h",B134),1)</f>
        <v>9</v>
      </c>
      <c r="K134" s="1" cm="1">
        <f t="array" aca="1" ref="K134" ca="1">INDIRECT(CONCATENATE("'",$A$100,"'!i",B134),1)</f>
        <v>0</v>
      </c>
      <c r="L134" s="1" cm="1">
        <f t="array" aca="1" ref="L134" ca="1">INDIRECT(CONCATENATE("'",$A$100,"'!j",B134),1)</f>
        <v>0</v>
      </c>
      <c r="M134" s="1" cm="1">
        <f t="array" aca="1" ref="M134" ca="1">INDIRECT(CONCATENATE("'",$A$100,"'!k",B134),1)</f>
        <v>0</v>
      </c>
      <c r="N134" s="1" t="str" cm="1">
        <f t="array" aca="1" ref="N134" ca="1">INDIRECT(CONCATENATE("'",$A$100,"'!l",B134),1)</f>
        <v>Залилов Р.Ю.Сазонова Н.В.Эминов С.И.</v>
      </c>
      <c r="O134" s="1" cm="1">
        <f t="array" aca="1" ref="O134" ca="1">INDIRECT(CONCATENATE("'",$A$100,"'!m",B134),1)</f>
        <v>3300</v>
      </c>
      <c r="P134" s="1" t="str" cm="1">
        <f t="array" aca="1" ref="P134" ca="1">INDIRECT(CONCATENATE("'",$A$100,"'!n",B134),1)</f>
        <v>руководство ДП 3 человека</v>
      </c>
      <c r="Q134" s="1" cm="1">
        <f t="array" aca="1" ref="Q134" ca="1">INDIRECT(CONCATENATE("'",$A$100,"'!o",B134),1)</f>
        <v>54</v>
      </c>
      <c r="R134" s="1" cm="1">
        <f t="array" aca="1" ref="R134" ca="1">INDIRECT(CONCATENATE("'",$A$100,"'!p",B134),1)</f>
        <v>0</v>
      </c>
      <c r="S134" s="1">
        <f t="shared" ca="1" si="7"/>
        <v>0</v>
      </c>
      <c r="T134" s="1" t="str" cm="1">
        <f t="array" aca="1" ref="T134" ca="1">INDIRECT(CONCATENATE("'",$A$100,"'!q",B134),1)</f>
        <v>Залилов Р.Ю.</v>
      </c>
      <c r="U134" s="1" cm="1">
        <f t="array" aca="1" ref="U134" ca="1">INDIRECT(CONCATENATE("'",$A$100,"'!r",B134),1)</f>
        <v>18</v>
      </c>
      <c r="V134" s="1" t="str" cm="1">
        <f t="array" aca="1" ref="V134" ca="1">INDIRECT(CONCATENATE("'",$A$100,"'!s",B134),1)</f>
        <v>Сазонова Н.В.</v>
      </c>
      <c r="W134" s="1" cm="1">
        <f t="array" aca="1" ref="W134" ca="1">INDIRECT(CONCATENATE("'",$A$100,"'!t",B134),1)</f>
        <v>18</v>
      </c>
      <c r="X134" s="1" t="str" cm="1">
        <f t="array" aca="1" ref="X134" ca="1">INDIRECT(CONCATENATE("'",$A$100,"'!u",B134),1)</f>
        <v>Эминов С.И.</v>
      </c>
      <c r="Y134" s="1" cm="1">
        <f t="array" aca="1" ref="Y134" ca="1">INDIRECT(CONCATENATE("'",$A$100,"'!v",B134),1)</f>
        <v>18</v>
      </c>
    </row>
    <row r="135" spans="1:25" customFormat="1" ht="45" hidden="1" x14ac:dyDescent="0.25">
      <c r="A135" s="15"/>
      <c r="B135" s="24">
        <f t="shared" si="9"/>
        <v>37</v>
      </c>
      <c r="C135" s="1" t="str" cm="1">
        <f t="array" aca="1" ref="C135" ca="1">INDIRECT(CONCATENATE("'",$A$100,"'!A",B135),1)</f>
        <v>Выполнение и защита выпускной квалификационной работы</v>
      </c>
      <c r="D135" s="1" t="str" cm="1">
        <f t="array" aca="1" ref="D135" ca="1">INDIRECT(CONCATENATE("'",$A$100,"'!B",B135),1)</f>
        <v xml:space="preserve">09.03.01(09у) </v>
      </c>
      <c r="E135" s="1" cm="1">
        <f t="array" aca="1" ref="E135" ca="1">INDIRECT(CONCATENATE("'",$A$100,"'!c",B135),1)</f>
        <v>4097</v>
      </c>
      <c r="F135" s="1" cm="1">
        <f t="array" aca="1" ref="F135" ca="1">INDIRECT(CONCATENATE("'",$A$100,"'!d",B135),1)</f>
        <v>4</v>
      </c>
      <c r="G135" s="1" cm="1">
        <f t="array" aca="1" ref="G135" ca="1">INDIRECT(CONCATENATE("'",$A$100,"'!e",B135),1)</f>
        <v>1</v>
      </c>
      <c r="H135" s="1" cm="1">
        <f t="array" aca="1" ref="H135" ca="1">INDIRECT(CONCATENATE("'",$A$100,"'!f",B135),1)</f>
        <v>23</v>
      </c>
      <c r="I135" s="1" t="str" cm="1">
        <f t="array" aca="1" ref="I135" ca="1">INDIRECT(CONCATENATE("'",$A$100,"'!g",B135),1)</f>
        <v>ДЗ</v>
      </c>
      <c r="J135" s="1" cm="1">
        <f t="array" aca="1" ref="J135" ca="1">INDIRECT(CONCATENATE("'",$A$100,"'!h",B135),1)</f>
        <v>9</v>
      </c>
      <c r="K135" s="1" cm="1">
        <f t="array" aca="1" ref="K135" ca="1">INDIRECT(CONCATENATE("'",$A$100,"'!i",B135),1)</f>
        <v>0</v>
      </c>
      <c r="L135" s="1" cm="1">
        <f t="array" aca="1" ref="L135" ca="1">INDIRECT(CONCATENATE("'",$A$100,"'!j",B135),1)</f>
        <v>0</v>
      </c>
      <c r="M135" s="1" cm="1">
        <f t="array" aca="1" ref="M135" ca="1">INDIRECT(CONCATENATE("'",$A$100,"'!k",B135),1)</f>
        <v>0</v>
      </c>
      <c r="N135" s="1" t="str" cm="1">
        <f t="array" aca="1" ref="N135" ca="1">INDIRECT(CONCATENATE("'",$A$100,"'!l",B135),1)</f>
        <v>Михайлов Д.В.</v>
      </c>
      <c r="O135" s="1" cm="1">
        <f t="array" aca="1" ref="O135" ca="1">INDIRECT(CONCATENATE("'",$A$100,"'!m",B135),1)</f>
        <v>3305</v>
      </c>
      <c r="P135" s="1" t="str" cm="1">
        <f t="array" aca="1" ref="P135" ca="1">INDIRECT(CONCATENATE("'",$A$100,"'!n",B135),1)</f>
        <v>руководство ДП 2 человека</v>
      </c>
      <c r="Q135" s="1" cm="1">
        <f t="array" aca="1" ref="Q135" ca="1">INDIRECT(CONCATENATE("'",$A$100,"'!o",B135),1)</f>
        <v>8</v>
      </c>
      <c r="R135" s="1" cm="1">
        <f t="array" aca="1" ref="R135" ca="1">INDIRECT(CONCATENATE("'",$A$100,"'!p",B135),1)</f>
        <v>0</v>
      </c>
      <c r="S135" s="1">
        <f t="shared" ca="1" si="7"/>
        <v>0</v>
      </c>
      <c r="T135" s="1" t="str" cm="1">
        <f t="array" aca="1" ref="T135" ca="1">INDIRECT(CONCATENATE("'",$A$100,"'!q",B135),1)</f>
        <v>Михайлов Д.В.</v>
      </c>
      <c r="U135" s="1" cm="1">
        <f t="array" aca="1" ref="U135" ca="1">INDIRECT(CONCATENATE("'",$A$100,"'!r",B135),1)</f>
        <v>8</v>
      </c>
      <c r="V135" s="1" cm="1">
        <f t="array" aca="1" ref="V135" ca="1">INDIRECT(CONCATENATE("'",$A$100,"'!s",B135),1)</f>
        <v>0</v>
      </c>
      <c r="W135" s="1" cm="1">
        <f t="array" aca="1" ref="W135" ca="1">INDIRECT(CONCATENATE("'",$A$100,"'!t",B135),1)</f>
        <v>0</v>
      </c>
      <c r="X135" s="1" cm="1">
        <f t="array" aca="1" ref="X135" ca="1">INDIRECT(CONCATENATE("'",$A$100,"'!u",B135),1)</f>
        <v>0</v>
      </c>
      <c r="Y135" s="1" cm="1">
        <f t="array" aca="1" ref="Y135" ca="1">INDIRECT(CONCATENATE("'",$A$100,"'!v",B135),1)</f>
        <v>0</v>
      </c>
    </row>
    <row r="136" spans="1:25" customFormat="1" ht="45" hidden="1" x14ac:dyDescent="0.25">
      <c r="A136" s="15"/>
      <c r="B136" s="24">
        <f t="shared" si="9"/>
        <v>38</v>
      </c>
      <c r="C136" s="1" t="str" cm="1">
        <f t="array" aca="1" ref="C136" ca="1">INDIRECT(CONCATENATE("'",$A$100,"'!A",B136),1)</f>
        <v>Выполнение и защита выпускной квалификационной работы</v>
      </c>
      <c r="D136" s="1" t="str" cm="1">
        <f t="array" aca="1" ref="D136" ca="1">INDIRECT(CONCATENATE("'",$A$100,"'!B",B136),1)</f>
        <v xml:space="preserve">09.03.01(09у) </v>
      </c>
      <c r="E136" s="1" cm="1">
        <f t="array" aca="1" ref="E136" ca="1">INDIRECT(CONCATENATE("'",$A$100,"'!c",B136),1)</f>
        <v>4097</v>
      </c>
      <c r="F136" s="1" cm="1">
        <f t="array" aca="1" ref="F136" ca="1">INDIRECT(CONCATENATE("'",$A$100,"'!d",B136),1)</f>
        <v>4</v>
      </c>
      <c r="G136" s="1" cm="1">
        <f t="array" aca="1" ref="G136" ca="1">INDIRECT(CONCATENATE("'",$A$100,"'!e",B136),1)</f>
        <v>1</v>
      </c>
      <c r="H136" s="1" cm="1">
        <f t="array" aca="1" ref="H136" ca="1">INDIRECT(CONCATENATE("'",$A$100,"'!f",B136),1)</f>
        <v>23</v>
      </c>
      <c r="I136" s="1" t="str" cm="1">
        <f t="array" aca="1" ref="I136" ca="1">INDIRECT(CONCATENATE("'",$A$100,"'!g",B136),1)</f>
        <v>ДЗ</v>
      </c>
      <c r="J136" s="1" cm="1">
        <f t="array" aca="1" ref="J136" ca="1">INDIRECT(CONCATENATE("'",$A$100,"'!h",B136),1)</f>
        <v>9</v>
      </c>
      <c r="K136" s="1" cm="1">
        <f t="array" aca="1" ref="K136" ca="1">INDIRECT(CONCATENATE("'",$A$100,"'!i",B136),1)</f>
        <v>0</v>
      </c>
      <c r="L136" s="1" cm="1">
        <f t="array" aca="1" ref="L136" ca="1">INDIRECT(CONCATENATE("'",$A$100,"'!j",B136),1)</f>
        <v>0</v>
      </c>
      <c r="M136" s="1" cm="1">
        <f t="array" aca="1" ref="M136" ca="1">INDIRECT(CONCATENATE("'",$A$100,"'!k",B136),1)</f>
        <v>0</v>
      </c>
      <c r="N136" s="1" t="str" cm="1">
        <f t="array" aca="1" ref="N136" ca="1">INDIRECT(CONCATENATE("'",$A$100,"'!l",B136),1)</f>
        <v>Журавлева М.П.</v>
      </c>
      <c r="O136" s="1" cm="1">
        <f t="array" aca="1" ref="O136" ca="1">INDIRECT(CONCATENATE("'",$A$100,"'!m",B136),1)</f>
        <v>3305</v>
      </c>
      <c r="P136" s="1" t="str" cm="1">
        <f t="array" aca="1" ref="P136" ca="1">INDIRECT(CONCATENATE("'",$A$100,"'!n",B136),1)</f>
        <v>руководство ДП 2 человека</v>
      </c>
      <c r="Q136" s="1" cm="1">
        <f t="array" aca="1" ref="Q136" ca="1">INDIRECT(CONCATENATE("'",$A$100,"'!o",B136),1)</f>
        <v>12</v>
      </c>
      <c r="R136" s="1" cm="1">
        <f t="array" aca="1" ref="R136" ca="1">INDIRECT(CONCATENATE("'",$A$100,"'!p",B136),1)</f>
        <v>0</v>
      </c>
      <c r="S136" s="1">
        <f t="shared" ca="1" si="7"/>
        <v>0</v>
      </c>
      <c r="T136" s="1" t="str" cm="1">
        <f t="array" aca="1" ref="T136" ca="1">INDIRECT(CONCATENATE("'",$A$100,"'!q",B136),1)</f>
        <v>Журавлева М.П.</v>
      </c>
      <c r="U136" s="1" cm="1">
        <f t="array" aca="1" ref="U136" ca="1">INDIRECT(CONCATENATE("'",$A$100,"'!r",B136),1)</f>
        <v>12</v>
      </c>
      <c r="V136" s="1" cm="1">
        <f t="array" aca="1" ref="V136" ca="1">INDIRECT(CONCATENATE("'",$A$100,"'!s",B136),1)</f>
        <v>0</v>
      </c>
      <c r="W136" s="1" cm="1">
        <f t="array" aca="1" ref="W136" ca="1">INDIRECT(CONCATENATE("'",$A$100,"'!t",B136),1)</f>
        <v>0</v>
      </c>
      <c r="X136" s="1" cm="1">
        <f t="array" aca="1" ref="X136" ca="1">INDIRECT(CONCATENATE("'",$A$100,"'!u",B136),1)</f>
        <v>0</v>
      </c>
      <c r="Y136" s="1" cm="1">
        <f t="array" aca="1" ref="Y136" ca="1">INDIRECT(CONCATENATE("'",$A$100,"'!v",B136),1)</f>
        <v>0</v>
      </c>
    </row>
    <row r="137" spans="1:25" customFormat="1" hidden="1" x14ac:dyDescent="0.25">
      <c r="A137" s="15"/>
      <c r="B137" s="24">
        <f t="shared" si="9"/>
        <v>39</v>
      </c>
      <c r="C137" s="1" cm="1">
        <f t="array" aca="1" ref="C137" ca="1">INDIRECT(CONCATENATE("'",$A$100,"'!A",B137),1)</f>
        <v>0</v>
      </c>
      <c r="D137" s="1" cm="1">
        <f t="array" aca="1" ref="D137" ca="1">INDIRECT(CONCATENATE("'",$A$100,"'!B",B137),1)</f>
        <v>0</v>
      </c>
      <c r="E137" s="1" cm="1">
        <f t="array" aca="1" ref="E137" ca="1">INDIRECT(CONCATENATE("'",$A$100,"'!c",B137),1)</f>
        <v>0</v>
      </c>
      <c r="F137" s="1" cm="1">
        <f t="array" aca="1" ref="F137" ca="1">INDIRECT(CONCATENATE("'",$A$100,"'!d",B137),1)</f>
        <v>0</v>
      </c>
      <c r="G137" s="1" cm="1">
        <f t="array" aca="1" ref="G137" ca="1">INDIRECT(CONCATENATE("'",$A$100,"'!e",B137),1)</f>
        <v>0</v>
      </c>
      <c r="H137" s="1" cm="1">
        <f t="array" aca="1" ref="H137" ca="1">INDIRECT(CONCATENATE("'",$A$100,"'!f",B137),1)</f>
        <v>0</v>
      </c>
      <c r="I137" s="1" cm="1">
        <f t="array" aca="1" ref="I137" ca="1">INDIRECT(CONCATENATE("'",$A$100,"'!g",B137),1)</f>
        <v>0</v>
      </c>
      <c r="J137" s="1" cm="1">
        <f t="array" aca="1" ref="J137" ca="1">INDIRECT(CONCATENATE("'",$A$100,"'!h",B137),1)</f>
        <v>0</v>
      </c>
      <c r="K137" s="1" cm="1">
        <f t="array" aca="1" ref="K137" ca="1">INDIRECT(CONCATENATE("'",$A$100,"'!i",B137),1)</f>
        <v>0</v>
      </c>
      <c r="L137" s="1" cm="1">
        <f t="array" aca="1" ref="L137" ca="1">INDIRECT(CONCATENATE("'",$A$100,"'!j",B137),1)</f>
        <v>0</v>
      </c>
      <c r="M137" s="1" cm="1">
        <f t="array" aca="1" ref="M137" ca="1">INDIRECT(CONCATENATE("'",$A$100,"'!k",B137),1)</f>
        <v>0</v>
      </c>
      <c r="N137" s="1" cm="1">
        <f t="array" aca="1" ref="N137" ca="1">INDIRECT(CONCATENATE("'",$A$100,"'!l",B137),1)</f>
        <v>0</v>
      </c>
      <c r="O137" s="1" cm="1">
        <f t="array" aca="1" ref="O137" ca="1">INDIRECT(CONCATENATE("'",$A$100,"'!m",B137),1)</f>
        <v>0</v>
      </c>
      <c r="P137" s="1" cm="1">
        <f t="array" aca="1" ref="P137" ca="1">INDIRECT(CONCATENATE("'",$A$100,"'!n",B137),1)</f>
        <v>0</v>
      </c>
      <c r="Q137" s="1" cm="1">
        <f t="array" aca="1" ref="Q137" ca="1">INDIRECT(CONCATENATE("'",$A$100,"'!o",B137),1)</f>
        <v>0</v>
      </c>
      <c r="R137" s="1" cm="1">
        <f t="array" aca="1" ref="R137" ca="1">INDIRECT(CONCATENATE("'",$A$100,"'!p",B137),1)</f>
        <v>0</v>
      </c>
      <c r="S137" s="1">
        <f t="shared" ca="1" si="7"/>
        <v>0</v>
      </c>
      <c r="T137" s="1" cm="1">
        <f t="array" aca="1" ref="T137" ca="1">INDIRECT(CONCATENATE("'",$A$100,"'!q",B137),1)</f>
        <v>0</v>
      </c>
      <c r="U137" s="1" cm="1">
        <f t="array" aca="1" ref="U137" ca="1">INDIRECT(CONCATENATE("'",$A$100,"'!r",B137),1)</f>
        <v>0</v>
      </c>
      <c r="V137" s="1" cm="1">
        <f t="array" aca="1" ref="V137" ca="1">INDIRECT(CONCATENATE("'",$A$100,"'!s",B137),1)</f>
        <v>0</v>
      </c>
      <c r="W137" s="1" cm="1">
        <f t="array" aca="1" ref="W137" ca="1">INDIRECT(CONCATENATE("'",$A$100,"'!t",B137),1)</f>
        <v>0</v>
      </c>
      <c r="X137" s="1" cm="1">
        <f t="array" aca="1" ref="X137" ca="1">INDIRECT(CONCATENATE("'",$A$100,"'!u",B137),1)</f>
        <v>0</v>
      </c>
      <c r="Y137" s="1" cm="1">
        <f t="array" aca="1" ref="Y137" ca="1">INDIRECT(CONCATENATE("'",$A$100,"'!v",B137),1)</f>
        <v>0</v>
      </c>
    </row>
    <row r="138" spans="1:25" customFormat="1" hidden="1" x14ac:dyDescent="0.25">
      <c r="A138" s="15"/>
      <c r="B138" s="24">
        <f t="shared" si="9"/>
        <v>40</v>
      </c>
      <c r="C138" s="1" cm="1">
        <f t="array" aca="1" ref="C138" ca="1">INDIRECT(CONCATENATE("'",$A$100,"'!A",B138),1)</f>
        <v>0</v>
      </c>
      <c r="D138" s="1" cm="1">
        <f t="array" aca="1" ref="D138" ca="1">INDIRECT(CONCATENATE("'",$A$100,"'!B",B138),1)</f>
        <v>0</v>
      </c>
      <c r="E138" s="1" cm="1">
        <f t="array" aca="1" ref="E138" ca="1">INDIRECT(CONCATENATE("'",$A$100,"'!c",B138),1)</f>
        <v>0</v>
      </c>
      <c r="F138" s="1" cm="1">
        <f t="array" aca="1" ref="F138" ca="1">INDIRECT(CONCATENATE("'",$A$100,"'!d",B138),1)</f>
        <v>0</v>
      </c>
      <c r="G138" s="1" cm="1">
        <f t="array" aca="1" ref="G138" ca="1">INDIRECT(CONCATENATE("'",$A$100,"'!e",B138),1)</f>
        <v>0</v>
      </c>
      <c r="H138" s="1" cm="1">
        <f t="array" aca="1" ref="H138" ca="1">INDIRECT(CONCATENATE("'",$A$100,"'!f",B138),1)</f>
        <v>0</v>
      </c>
      <c r="I138" s="1" cm="1">
        <f t="array" aca="1" ref="I138" ca="1">INDIRECT(CONCATENATE("'",$A$100,"'!g",B138),1)</f>
        <v>0</v>
      </c>
      <c r="J138" s="1" cm="1">
        <f t="array" aca="1" ref="J138" ca="1">INDIRECT(CONCATENATE("'",$A$100,"'!h",B138),1)</f>
        <v>0</v>
      </c>
      <c r="K138" s="1" cm="1">
        <f t="array" aca="1" ref="K138" ca="1">INDIRECT(CONCATENATE("'",$A$100,"'!i",B138),1)</f>
        <v>0</v>
      </c>
      <c r="L138" s="1" cm="1">
        <f t="array" aca="1" ref="L138" ca="1">INDIRECT(CONCATENATE("'",$A$100,"'!j",B138),1)</f>
        <v>0</v>
      </c>
      <c r="M138" s="1" cm="1">
        <f t="array" aca="1" ref="M138" ca="1">INDIRECT(CONCATENATE("'",$A$100,"'!k",B138),1)</f>
        <v>0</v>
      </c>
      <c r="N138" s="1" cm="1">
        <f t="array" aca="1" ref="N138" ca="1">INDIRECT(CONCATENATE("'",$A$100,"'!l",B138),1)</f>
        <v>0</v>
      </c>
      <c r="O138" s="1" cm="1">
        <f t="array" aca="1" ref="O138" ca="1">INDIRECT(CONCATENATE("'",$A$100,"'!m",B138),1)</f>
        <v>0</v>
      </c>
      <c r="P138" s="1" cm="1">
        <f t="array" aca="1" ref="P138" ca="1">INDIRECT(CONCATENATE("'",$A$100,"'!n",B138),1)</f>
        <v>0</v>
      </c>
      <c r="Q138" s="1" cm="1">
        <f t="array" aca="1" ref="Q138" ca="1">INDIRECT(CONCATENATE("'",$A$100,"'!o",B138),1)</f>
        <v>0</v>
      </c>
      <c r="R138" s="1" cm="1">
        <f t="array" aca="1" ref="R138" ca="1">INDIRECT(CONCATENATE("'",$A$100,"'!p",B138),1)</f>
        <v>0</v>
      </c>
      <c r="S138" s="1">
        <f t="shared" ca="1" si="7"/>
        <v>0</v>
      </c>
      <c r="T138" s="1" cm="1">
        <f t="array" aca="1" ref="T138" ca="1">INDIRECT(CONCATENATE("'",$A$100,"'!q",B138),1)</f>
        <v>0</v>
      </c>
      <c r="U138" s="1" cm="1">
        <f t="array" aca="1" ref="U138" ca="1">INDIRECT(CONCATENATE("'",$A$100,"'!r",B138),1)</f>
        <v>0</v>
      </c>
      <c r="V138" s="1" cm="1">
        <f t="array" aca="1" ref="V138" ca="1">INDIRECT(CONCATENATE("'",$A$100,"'!s",B138),1)</f>
        <v>0</v>
      </c>
      <c r="W138" s="1" cm="1">
        <f t="array" aca="1" ref="W138" ca="1">INDIRECT(CONCATENATE("'",$A$100,"'!t",B138),1)</f>
        <v>0</v>
      </c>
      <c r="X138" s="1" cm="1">
        <f t="array" aca="1" ref="X138" ca="1">INDIRECT(CONCATENATE("'",$A$100,"'!u",B138),1)</f>
        <v>0</v>
      </c>
      <c r="Y138" s="1" cm="1">
        <f t="array" aca="1" ref="Y138" ca="1">INDIRECT(CONCATENATE("'",$A$100,"'!v",B138),1)</f>
        <v>0</v>
      </c>
    </row>
    <row r="139" spans="1:25" customFormat="1" hidden="1" x14ac:dyDescent="0.25">
      <c r="A139" s="15"/>
      <c r="B139" s="24">
        <f t="shared" si="9"/>
        <v>41</v>
      </c>
      <c r="C139" s="1" cm="1">
        <f t="array" aca="1" ref="C139" ca="1">INDIRECT(CONCATENATE("'",$A$100,"'!A",B139),1)</f>
        <v>0</v>
      </c>
      <c r="D139" s="1" cm="1">
        <f t="array" aca="1" ref="D139" ca="1">INDIRECT(CONCATENATE("'",$A$100,"'!B",B139),1)</f>
        <v>0</v>
      </c>
      <c r="E139" s="1" cm="1">
        <f t="array" aca="1" ref="E139" ca="1">INDIRECT(CONCATENATE("'",$A$100,"'!c",B139),1)</f>
        <v>0</v>
      </c>
      <c r="F139" s="1" cm="1">
        <f t="array" aca="1" ref="F139" ca="1">INDIRECT(CONCATENATE("'",$A$100,"'!d",B139),1)</f>
        <v>0</v>
      </c>
      <c r="G139" s="1" cm="1">
        <f t="array" aca="1" ref="G139" ca="1">INDIRECT(CONCATENATE("'",$A$100,"'!e",B139),1)</f>
        <v>0</v>
      </c>
      <c r="H139" s="1" cm="1">
        <f t="array" aca="1" ref="H139" ca="1">INDIRECT(CONCATENATE("'",$A$100,"'!f",B139),1)</f>
        <v>0</v>
      </c>
      <c r="I139" s="1" cm="1">
        <f t="array" aca="1" ref="I139" ca="1">INDIRECT(CONCATENATE("'",$A$100,"'!g",B139),1)</f>
        <v>0</v>
      </c>
      <c r="J139" s="1" cm="1">
        <f t="array" aca="1" ref="J139" ca="1">INDIRECT(CONCATENATE("'",$A$100,"'!h",B139),1)</f>
        <v>0</v>
      </c>
      <c r="K139" s="1" cm="1">
        <f t="array" aca="1" ref="K139" ca="1">INDIRECT(CONCATENATE("'",$A$100,"'!i",B139),1)</f>
        <v>0</v>
      </c>
      <c r="L139" s="1" cm="1">
        <f t="array" aca="1" ref="L139" ca="1">INDIRECT(CONCATENATE("'",$A$100,"'!j",B139),1)</f>
        <v>0</v>
      </c>
      <c r="M139" s="1" cm="1">
        <f t="array" aca="1" ref="M139" ca="1">INDIRECT(CONCATENATE("'",$A$100,"'!k",B139),1)</f>
        <v>0</v>
      </c>
      <c r="N139" s="1" cm="1">
        <f t="array" aca="1" ref="N139" ca="1">INDIRECT(CONCATENATE("'",$A$100,"'!l",B139),1)</f>
        <v>0</v>
      </c>
      <c r="O139" s="1" cm="1">
        <f t="array" aca="1" ref="O139" ca="1">INDIRECT(CONCATENATE("'",$A$100,"'!m",B139),1)</f>
        <v>0</v>
      </c>
      <c r="P139" s="1" cm="1">
        <f t="array" aca="1" ref="P139" ca="1">INDIRECT(CONCATENATE("'",$A$100,"'!n",B139),1)</f>
        <v>0</v>
      </c>
      <c r="Q139" s="1" cm="1">
        <f t="array" aca="1" ref="Q139" ca="1">INDIRECT(CONCATENATE("'",$A$100,"'!o",B139),1)</f>
        <v>0</v>
      </c>
      <c r="R139" s="1" cm="1">
        <f t="array" aca="1" ref="R139" ca="1">INDIRECT(CONCATENATE("'",$A$100,"'!p",B139),1)</f>
        <v>0</v>
      </c>
      <c r="S139" s="1">
        <f t="shared" ca="1" si="7"/>
        <v>0</v>
      </c>
      <c r="T139" s="1" cm="1">
        <f t="array" aca="1" ref="T139" ca="1">INDIRECT(CONCATENATE("'",$A$100,"'!q",B139),1)</f>
        <v>0</v>
      </c>
      <c r="U139" s="1" cm="1">
        <f t="array" aca="1" ref="U139" ca="1">INDIRECT(CONCATENATE("'",$A$100,"'!r",B139),1)</f>
        <v>0</v>
      </c>
      <c r="V139" s="1" cm="1">
        <f t="array" aca="1" ref="V139" ca="1">INDIRECT(CONCATENATE("'",$A$100,"'!s",B139),1)</f>
        <v>0</v>
      </c>
      <c r="W139" s="1" cm="1">
        <f t="array" aca="1" ref="W139" ca="1">INDIRECT(CONCATENATE("'",$A$100,"'!t",B139),1)</f>
        <v>0</v>
      </c>
      <c r="X139" s="1" cm="1">
        <f t="array" aca="1" ref="X139" ca="1">INDIRECT(CONCATENATE("'",$A$100,"'!u",B139),1)</f>
        <v>0</v>
      </c>
      <c r="Y139" s="1" cm="1">
        <f t="array" aca="1" ref="Y139" ca="1">INDIRECT(CONCATENATE("'",$A$100,"'!v",B139),1)</f>
        <v>0</v>
      </c>
    </row>
    <row r="140" spans="1:25" customFormat="1" hidden="1" x14ac:dyDescent="0.25">
      <c r="A140" s="15"/>
      <c r="B140" s="24">
        <f t="shared" si="9"/>
        <v>42</v>
      </c>
      <c r="C140" s="1" cm="1">
        <f t="array" aca="1" ref="C140" ca="1">INDIRECT(CONCATENATE("'",$A$100,"'!A",B140),1)</f>
        <v>0</v>
      </c>
      <c r="D140" s="1" cm="1">
        <f t="array" aca="1" ref="D140" ca="1">INDIRECT(CONCATENATE("'",$A$100,"'!B",B140),1)</f>
        <v>0</v>
      </c>
      <c r="E140" s="1" cm="1">
        <f t="array" aca="1" ref="E140" ca="1">INDIRECT(CONCATENATE("'",$A$100,"'!c",B140),1)</f>
        <v>0</v>
      </c>
      <c r="F140" s="1" cm="1">
        <f t="array" aca="1" ref="F140" ca="1">INDIRECT(CONCATENATE("'",$A$100,"'!d",B140),1)</f>
        <v>0</v>
      </c>
      <c r="G140" s="1" cm="1">
        <f t="array" aca="1" ref="G140" ca="1">INDIRECT(CONCATENATE("'",$A$100,"'!e",B140),1)</f>
        <v>0</v>
      </c>
      <c r="H140" s="1" cm="1">
        <f t="array" aca="1" ref="H140" ca="1">INDIRECT(CONCATENATE("'",$A$100,"'!f",B140),1)</f>
        <v>0</v>
      </c>
      <c r="I140" s="1" cm="1">
        <f t="array" aca="1" ref="I140" ca="1">INDIRECT(CONCATENATE("'",$A$100,"'!g",B140),1)</f>
        <v>0</v>
      </c>
      <c r="J140" s="1" cm="1">
        <f t="array" aca="1" ref="J140" ca="1">INDIRECT(CONCATENATE("'",$A$100,"'!h",B140),1)</f>
        <v>0</v>
      </c>
      <c r="K140" s="1" cm="1">
        <f t="array" aca="1" ref="K140" ca="1">INDIRECT(CONCATENATE("'",$A$100,"'!i",B140),1)</f>
        <v>0</v>
      </c>
      <c r="L140" s="1" cm="1">
        <f t="array" aca="1" ref="L140" ca="1">INDIRECT(CONCATENATE("'",$A$100,"'!j",B140),1)</f>
        <v>0</v>
      </c>
      <c r="M140" s="1" cm="1">
        <f t="array" aca="1" ref="M140" ca="1">INDIRECT(CONCATENATE("'",$A$100,"'!k",B140),1)</f>
        <v>0</v>
      </c>
      <c r="N140" s="1" cm="1">
        <f t="array" aca="1" ref="N140" ca="1">INDIRECT(CONCATENATE("'",$A$100,"'!l",B140),1)</f>
        <v>0</v>
      </c>
      <c r="O140" s="1" cm="1">
        <f t="array" aca="1" ref="O140" ca="1">INDIRECT(CONCATENATE("'",$A$100,"'!m",B140),1)</f>
        <v>0</v>
      </c>
      <c r="P140" s="1" cm="1">
        <f t="array" aca="1" ref="P140" ca="1">INDIRECT(CONCATENATE("'",$A$100,"'!n",B140),1)</f>
        <v>0</v>
      </c>
      <c r="Q140" s="1" cm="1">
        <f t="array" aca="1" ref="Q140" ca="1">INDIRECT(CONCATENATE("'",$A$100,"'!o",B140),1)</f>
        <v>0</v>
      </c>
      <c r="R140" s="1" cm="1">
        <f t="array" aca="1" ref="R140" ca="1">INDIRECT(CONCATENATE("'",$A$100,"'!p",B140),1)</f>
        <v>0</v>
      </c>
      <c r="S140" s="1">
        <f t="shared" ca="1" si="7"/>
        <v>0</v>
      </c>
      <c r="T140" s="1" cm="1">
        <f t="array" aca="1" ref="T140" ca="1">INDIRECT(CONCATENATE("'",$A$100,"'!q",B140),1)</f>
        <v>0</v>
      </c>
      <c r="U140" s="1" cm="1">
        <f t="array" aca="1" ref="U140" ca="1">INDIRECT(CONCATENATE("'",$A$100,"'!r",B140),1)</f>
        <v>0</v>
      </c>
      <c r="V140" s="1" cm="1">
        <f t="array" aca="1" ref="V140" ca="1">INDIRECT(CONCATENATE("'",$A$100,"'!s",B140),1)</f>
        <v>0</v>
      </c>
      <c r="W140" s="1" cm="1">
        <f t="array" aca="1" ref="W140" ca="1">INDIRECT(CONCATENATE("'",$A$100,"'!t",B140),1)</f>
        <v>0</v>
      </c>
      <c r="X140" s="1" cm="1">
        <f t="array" aca="1" ref="X140" ca="1">INDIRECT(CONCATENATE("'",$A$100,"'!u",B140),1)</f>
        <v>0</v>
      </c>
      <c r="Y140" s="1" cm="1">
        <f t="array" aca="1" ref="Y140" ca="1">INDIRECT(CONCATENATE("'",$A$100,"'!v",B140),1)</f>
        <v>0</v>
      </c>
    </row>
    <row r="141" spans="1:25" customFormat="1" hidden="1" x14ac:dyDescent="0.25">
      <c r="A141" s="15"/>
      <c r="B141" s="24">
        <f t="shared" si="9"/>
        <v>43</v>
      </c>
      <c r="C141" s="1" cm="1">
        <f t="array" aca="1" ref="C141" ca="1">INDIRECT(CONCATENATE("'",$A$100,"'!A",B141),1)</f>
        <v>0</v>
      </c>
      <c r="D141" s="1" cm="1">
        <f t="array" aca="1" ref="D141" ca="1">INDIRECT(CONCATENATE("'",$A$100,"'!B",B141),1)</f>
        <v>0</v>
      </c>
      <c r="E141" s="1" cm="1">
        <f t="array" aca="1" ref="E141" ca="1">INDIRECT(CONCATENATE("'",$A$100,"'!c",B141),1)</f>
        <v>0</v>
      </c>
      <c r="F141" s="1" cm="1">
        <f t="array" aca="1" ref="F141" ca="1">INDIRECT(CONCATENATE("'",$A$100,"'!d",B141),1)</f>
        <v>0</v>
      </c>
      <c r="G141" s="1" cm="1">
        <f t="array" aca="1" ref="G141" ca="1">INDIRECT(CONCATENATE("'",$A$100,"'!e",B141),1)</f>
        <v>0</v>
      </c>
      <c r="H141" s="1" cm="1">
        <f t="array" aca="1" ref="H141" ca="1">INDIRECT(CONCATENATE("'",$A$100,"'!f",B141),1)</f>
        <v>0</v>
      </c>
      <c r="I141" s="1" cm="1">
        <f t="array" aca="1" ref="I141" ca="1">INDIRECT(CONCATENATE("'",$A$100,"'!g",B141),1)</f>
        <v>0</v>
      </c>
      <c r="J141" s="1" cm="1">
        <f t="array" aca="1" ref="J141" ca="1">INDIRECT(CONCATENATE("'",$A$100,"'!h",B141),1)</f>
        <v>0</v>
      </c>
      <c r="K141" s="1" cm="1">
        <f t="array" aca="1" ref="K141" ca="1">INDIRECT(CONCATENATE("'",$A$100,"'!i",B141),1)</f>
        <v>0</v>
      </c>
      <c r="L141" s="1" cm="1">
        <f t="array" aca="1" ref="L141" ca="1">INDIRECT(CONCATENATE("'",$A$100,"'!j",B141),1)</f>
        <v>0</v>
      </c>
      <c r="M141" s="1" cm="1">
        <f t="array" aca="1" ref="M141" ca="1">INDIRECT(CONCATENATE("'",$A$100,"'!k",B141),1)</f>
        <v>0</v>
      </c>
      <c r="N141" s="1" cm="1">
        <f t="array" aca="1" ref="N141" ca="1">INDIRECT(CONCATENATE("'",$A$100,"'!l",B141),1)</f>
        <v>0</v>
      </c>
      <c r="O141" s="1" cm="1">
        <f t="array" aca="1" ref="O141" ca="1">INDIRECT(CONCATENATE("'",$A$100,"'!m",B141),1)</f>
        <v>0</v>
      </c>
      <c r="P141" s="1" cm="1">
        <f t="array" aca="1" ref="P141" ca="1">INDIRECT(CONCATENATE("'",$A$100,"'!n",B141),1)</f>
        <v>0</v>
      </c>
      <c r="Q141" s="1" cm="1">
        <f t="array" aca="1" ref="Q141" ca="1">INDIRECT(CONCATENATE("'",$A$100,"'!o",B141),1)</f>
        <v>0</v>
      </c>
      <c r="R141" s="1" cm="1">
        <f t="array" aca="1" ref="R141" ca="1">INDIRECT(CONCATENATE("'",$A$100,"'!p",B141),1)</f>
        <v>0</v>
      </c>
      <c r="S141" s="1">
        <f t="shared" ca="1" si="7"/>
        <v>0</v>
      </c>
      <c r="T141" s="1" cm="1">
        <f t="array" aca="1" ref="T141" ca="1">INDIRECT(CONCATENATE("'",$A$100,"'!q",B141),1)</f>
        <v>0</v>
      </c>
      <c r="U141" s="1" cm="1">
        <f t="array" aca="1" ref="U141" ca="1">INDIRECT(CONCATENATE("'",$A$100,"'!r",B141),1)</f>
        <v>0</v>
      </c>
      <c r="V141" s="1" cm="1">
        <f t="array" aca="1" ref="V141" ca="1">INDIRECT(CONCATENATE("'",$A$100,"'!s",B141),1)</f>
        <v>0</v>
      </c>
      <c r="W141" s="1" cm="1">
        <f t="array" aca="1" ref="W141" ca="1">INDIRECT(CONCATENATE("'",$A$100,"'!t",B141),1)</f>
        <v>0</v>
      </c>
      <c r="X141" s="1" cm="1">
        <f t="array" aca="1" ref="X141" ca="1">INDIRECT(CONCATENATE("'",$A$100,"'!u",B141),1)</f>
        <v>0</v>
      </c>
      <c r="Y141" s="1" cm="1">
        <f t="array" aca="1" ref="Y141" ca="1">INDIRECT(CONCATENATE("'",$A$100,"'!v",B141),1)</f>
        <v>0</v>
      </c>
    </row>
    <row r="142" spans="1:25" customFormat="1" hidden="1" x14ac:dyDescent="0.25">
      <c r="A142" s="15"/>
      <c r="B142" s="24">
        <f t="shared" si="9"/>
        <v>44</v>
      </c>
      <c r="C142" s="1" cm="1">
        <f t="array" aca="1" ref="C142" ca="1">INDIRECT(CONCATENATE("'",$A$100,"'!A",B142),1)</f>
        <v>0</v>
      </c>
      <c r="D142" s="1" cm="1">
        <f t="array" aca="1" ref="D142" ca="1">INDIRECT(CONCATENATE("'",$A$100,"'!B",B142),1)</f>
        <v>0</v>
      </c>
      <c r="E142" s="1" cm="1">
        <f t="array" aca="1" ref="E142" ca="1">INDIRECT(CONCATENATE("'",$A$100,"'!c",B142),1)</f>
        <v>0</v>
      </c>
      <c r="F142" s="1" cm="1">
        <f t="array" aca="1" ref="F142" ca="1">INDIRECT(CONCATENATE("'",$A$100,"'!d",B142),1)</f>
        <v>0</v>
      </c>
      <c r="G142" s="1" cm="1">
        <f t="array" aca="1" ref="G142" ca="1">INDIRECT(CONCATENATE("'",$A$100,"'!e",B142),1)</f>
        <v>0</v>
      </c>
      <c r="H142" s="1" cm="1">
        <f t="array" aca="1" ref="H142" ca="1">INDIRECT(CONCATENATE("'",$A$100,"'!f",B142),1)</f>
        <v>0</v>
      </c>
      <c r="I142" s="1" cm="1">
        <f t="array" aca="1" ref="I142" ca="1">INDIRECT(CONCATENATE("'",$A$100,"'!g",B142),1)</f>
        <v>0</v>
      </c>
      <c r="J142" s="1" cm="1">
        <f t="array" aca="1" ref="J142" ca="1">INDIRECT(CONCATENATE("'",$A$100,"'!h",B142),1)</f>
        <v>0</v>
      </c>
      <c r="K142" s="1" cm="1">
        <f t="array" aca="1" ref="K142" ca="1">INDIRECT(CONCATENATE("'",$A$100,"'!i",B142),1)</f>
        <v>0</v>
      </c>
      <c r="L142" s="1" cm="1">
        <f t="array" aca="1" ref="L142" ca="1">INDIRECT(CONCATENATE("'",$A$100,"'!j",B142),1)</f>
        <v>0</v>
      </c>
      <c r="M142" s="1" cm="1">
        <f t="array" aca="1" ref="M142" ca="1">INDIRECT(CONCATENATE("'",$A$100,"'!k",B142),1)</f>
        <v>0</v>
      </c>
      <c r="N142" s="1" cm="1">
        <f t="array" aca="1" ref="N142" ca="1">INDIRECT(CONCATENATE("'",$A$100,"'!l",B142),1)</f>
        <v>0</v>
      </c>
      <c r="O142" s="1" cm="1">
        <f t="array" aca="1" ref="O142" ca="1">INDIRECT(CONCATENATE("'",$A$100,"'!m",B142),1)</f>
        <v>0</v>
      </c>
      <c r="P142" s="1" cm="1">
        <f t="array" aca="1" ref="P142" ca="1">INDIRECT(CONCATENATE("'",$A$100,"'!n",B142),1)</f>
        <v>0</v>
      </c>
      <c r="Q142" s="1" cm="1">
        <f t="array" aca="1" ref="Q142" ca="1">INDIRECT(CONCATENATE("'",$A$100,"'!o",B142),1)</f>
        <v>0</v>
      </c>
      <c r="R142" s="1" cm="1">
        <f t="array" aca="1" ref="R142" ca="1">INDIRECT(CONCATENATE("'",$A$100,"'!p",B142),1)</f>
        <v>0</v>
      </c>
      <c r="S142" s="1">
        <f t="shared" ca="1" si="7"/>
        <v>0</v>
      </c>
      <c r="T142" s="1" cm="1">
        <f t="array" aca="1" ref="T142" ca="1">INDIRECT(CONCATENATE("'",$A$100,"'!q",B142),1)</f>
        <v>0</v>
      </c>
      <c r="U142" s="1" cm="1">
        <f t="array" aca="1" ref="U142" ca="1">INDIRECT(CONCATENATE("'",$A$100,"'!r",B142),1)</f>
        <v>0</v>
      </c>
      <c r="V142" s="1" cm="1">
        <f t="array" aca="1" ref="V142" ca="1">INDIRECT(CONCATENATE("'",$A$100,"'!s",B142),1)</f>
        <v>0</v>
      </c>
      <c r="W142" s="1" cm="1">
        <f t="array" aca="1" ref="W142" ca="1">INDIRECT(CONCATENATE("'",$A$100,"'!t",B142),1)</f>
        <v>0</v>
      </c>
      <c r="X142" s="1" cm="1">
        <f t="array" aca="1" ref="X142" ca="1">INDIRECT(CONCATENATE("'",$A$100,"'!u",B142),1)</f>
        <v>0</v>
      </c>
      <c r="Y142" s="1" cm="1">
        <f t="array" aca="1" ref="Y142" ca="1">INDIRECT(CONCATENATE("'",$A$100,"'!v",B142),1)</f>
        <v>0</v>
      </c>
    </row>
    <row r="143" spans="1:25" customFormat="1" hidden="1" x14ac:dyDescent="0.25">
      <c r="A143" s="15"/>
      <c r="B143" s="24">
        <f t="shared" si="9"/>
        <v>45</v>
      </c>
      <c r="C143" s="1" cm="1">
        <f t="array" aca="1" ref="C143" ca="1">INDIRECT(CONCATENATE("'",$A$100,"'!A",B143),1)</f>
        <v>0</v>
      </c>
      <c r="D143" s="1" cm="1">
        <f t="array" aca="1" ref="D143" ca="1">INDIRECT(CONCATENATE("'",$A$100,"'!B",B143),1)</f>
        <v>0</v>
      </c>
      <c r="E143" s="1" cm="1">
        <f t="array" aca="1" ref="E143" ca="1">INDIRECT(CONCATENATE("'",$A$100,"'!c",B143),1)</f>
        <v>0</v>
      </c>
      <c r="F143" s="1" cm="1">
        <f t="array" aca="1" ref="F143" ca="1">INDIRECT(CONCATENATE("'",$A$100,"'!d",B143),1)</f>
        <v>0</v>
      </c>
      <c r="G143" s="1" cm="1">
        <f t="array" aca="1" ref="G143" ca="1">INDIRECT(CONCATENATE("'",$A$100,"'!e",B143),1)</f>
        <v>0</v>
      </c>
      <c r="H143" s="1" cm="1">
        <f t="array" aca="1" ref="H143" ca="1">INDIRECT(CONCATENATE("'",$A$100,"'!f",B143),1)</f>
        <v>0</v>
      </c>
      <c r="I143" s="1" cm="1">
        <f t="array" aca="1" ref="I143" ca="1">INDIRECT(CONCATENATE("'",$A$100,"'!g",B143),1)</f>
        <v>0</v>
      </c>
      <c r="J143" s="1" cm="1">
        <f t="array" aca="1" ref="J143" ca="1">INDIRECT(CONCATENATE("'",$A$100,"'!h",B143),1)</f>
        <v>0</v>
      </c>
      <c r="K143" s="1" cm="1">
        <f t="array" aca="1" ref="K143" ca="1">INDIRECT(CONCATENATE("'",$A$100,"'!i",B143),1)</f>
        <v>0</v>
      </c>
      <c r="L143" s="1" cm="1">
        <f t="array" aca="1" ref="L143" ca="1">INDIRECT(CONCATENATE("'",$A$100,"'!j",B143),1)</f>
        <v>0</v>
      </c>
      <c r="M143" s="1" cm="1">
        <f t="array" aca="1" ref="M143" ca="1">INDIRECT(CONCATENATE("'",$A$100,"'!k",B143),1)</f>
        <v>0</v>
      </c>
      <c r="N143" s="1" cm="1">
        <f t="array" aca="1" ref="N143" ca="1">INDIRECT(CONCATENATE("'",$A$100,"'!l",B143),1)</f>
        <v>0</v>
      </c>
      <c r="O143" s="1" cm="1">
        <f t="array" aca="1" ref="O143" ca="1">INDIRECT(CONCATENATE("'",$A$100,"'!m",B143),1)</f>
        <v>0</v>
      </c>
      <c r="P143" s="1" cm="1">
        <f t="array" aca="1" ref="P143" ca="1">INDIRECT(CONCATENATE("'",$A$100,"'!n",B143),1)</f>
        <v>0</v>
      </c>
      <c r="Q143" s="1" cm="1">
        <f t="array" aca="1" ref="Q143" ca="1">INDIRECT(CONCATENATE("'",$A$100,"'!o",B143),1)</f>
        <v>0</v>
      </c>
      <c r="R143" s="1" cm="1">
        <f t="array" aca="1" ref="R143" ca="1">INDIRECT(CONCATENATE("'",$A$100,"'!p",B143),1)</f>
        <v>0</v>
      </c>
      <c r="S143" s="1">
        <f t="shared" ca="1" si="7"/>
        <v>0</v>
      </c>
      <c r="T143" s="1" cm="1">
        <f t="array" aca="1" ref="T143" ca="1">INDIRECT(CONCATENATE("'",$A$100,"'!q",B143),1)</f>
        <v>0</v>
      </c>
      <c r="U143" s="1" cm="1">
        <f t="array" aca="1" ref="U143" ca="1">INDIRECT(CONCATENATE("'",$A$100,"'!r",B143),1)</f>
        <v>0</v>
      </c>
      <c r="V143" s="1" cm="1">
        <f t="array" aca="1" ref="V143" ca="1">INDIRECT(CONCATENATE("'",$A$100,"'!s",B143),1)</f>
        <v>0</v>
      </c>
      <c r="W143" s="1" cm="1">
        <f t="array" aca="1" ref="W143" ca="1">INDIRECT(CONCATENATE("'",$A$100,"'!t",B143),1)</f>
        <v>0</v>
      </c>
      <c r="X143" s="1" cm="1">
        <f t="array" aca="1" ref="X143" ca="1">INDIRECT(CONCATENATE("'",$A$100,"'!u",B143),1)</f>
        <v>0</v>
      </c>
      <c r="Y143" s="1" cm="1">
        <f t="array" aca="1" ref="Y143" ca="1">INDIRECT(CONCATENATE("'",$A$100,"'!v",B143),1)</f>
        <v>0</v>
      </c>
    </row>
    <row r="144" spans="1:25" customFormat="1" hidden="1" x14ac:dyDescent="0.25">
      <c r="A144" s="15"/>
      <c r="B144" s="24">
        <f t="shared" si="9"/>
        <v>46</v>
      </c>
      <c r="C144" s="1" cm="1">
        <f t="array" aca="1" ref="C144" ca="1">INDIRECT(CONCATENATE("'",$A$100,"'!A",B144),1)</f>
        <v>0</v>
      </c>
      <c r="D144" s="1" cm="1">
        <f t="array" aca="1" ref="D144" ca="1">INDIRECT(CONCATENATE("'",$A$100,"'!B",B144),1)</f>
        <v>0</v>
      </c>
      <c r="E144" s="1" cm="1">
        <f t="array" aca="1" ref="E144" ca="1">INDIRECT(CONCATENATE("'",$A$100,"'!c",B144),1)</f>
        <v>0</v>
      </c>
      <c r="F144" s="1" cm="1">
        <f t="array" aca="1" ref="F144" ca="1">INDIRECT(CONCATENATE("'",$A$100,"'!d",B144),1)</f>
        <v>0</v>
      </c>
      <c r="G144" s="1" cm="1">
        <f t="array" aca="1" ref="G144" ca="1">INDIRECT(CONCATENATE("'",$A$100,"'!e",B144),1)</f>
        <v>0</v>
      </c>
      <c r="H144" s="1" cm="1">
        <f t="array" aca="1" ref="H144" ca="1">INDIRECT(CONCATENATE("'",$A$100,"'!f",B144),1)</f>
        <v>0</v>
      </c>
      <c r="I144" s="1" cm="1">
        <f t="array" aca="1" ref="I144" ca="1">INDIRECT(CONCATENATE("'",$A$100,"'!g",B144),1)</f>
        <v>0</v>
      </c>
      <c r="J144" s="1" cm="1">
        <f t="array" aca="1" ref="J144" ca="1">INDIRECT(CONCATENATE("'",$A$100,"'!h",B144),1)</f>
        <v>0</v>
      </c>
      <c r="K144" s="1" cm="1">
        <f t="array" aca="1" ref="K144" ca="1">INDIRECT(CONCATENATE("'",$A$100,"'!i",B144),1)</f>
        <v>0</v>
      </c>
      <c r="L144" s="1" cm="1">
        <f t="array" aca="1" ref="L144" ca="1">INDIRECT(CONCATENATE("'",$A$100,"'!j",B144),1)</f>
        <v>0</v>
      </c>
      <c r="M144" s="1" cm="1">
        <f t="array" aca="1" ref="M144" ca="1">INDIRECT(CONCATENATE("'",$A$100,"'!k",B144),1)</f>
        <v>0</v>
      </c>
      <c r="N144" s="1" cm="1">
        <f t="array" aca="1" ref="N144" ca="1">INDIRECT(CONCATENATE("'",$A$100,"'!l",B144),1)</f>
        <v>0</v>
      </c>
      <c r="O144" s="1" cm="1">
        <f t="array" aca="1" ref="O144" ca="1">INDIRECT(CONCATENATE("'",$A$100,"'!m",B144),1)</f>
        <v>0</v>
      </c>
      <c r="P144" s="1" cm="1">
        <f t="array" aca="1" ref="P144" ca="1">INDIRECT(CONCATENATE("'",$A$100,"'!n",B144),1)</f>
        <v>0</v>
      </c>
      <c r="Q144" s="1" cm="1">
        <f t="array" aca="1" ref="Q144" ca="1">INDIRECT(CONCATENATE("'",$A$100,"'!o",B144),1)</f>
        <v>0</v>
      </c>
      <c r="R144" s="1" cm="1">
        <f t="array" aca="1" ref="R144" ca="1">INDIRECT(CONCATENATE("'",$A$100,"'!p",B144),1)</f>
        <v>0</v>
      </c>
      <c r="S144" s="1">
        <f t="shared" ca="1" si="7"/>
        <v>0</v>
      </c>
      <c r="T144" s="1" cm="1">
        <f t="array" aca="1" ref="T144" ca="1">INDIRECT(CONCATENATE("'",$A$100,"'!q",B144),1)</f>
        <v>0</v>
      </c>
      <c r="U144" s="1" cm="1">
        <f t="array" aca="1" ref="U144" ca="1">INDIRECT(CONCATENATE("'",$A$100,"'!r",B144),1)</f>
        <v>0</v>
      </c>
      <c r="V144" s="1" cm="1">
        <f t="array" aca="1" ref="V144" ca="1">INDIRECT(CONCATENATE("'",$A$100,"'!s",B144),1)</f>
        <v>0</v>
      </c>
      <c r="W144" s="1" cm="1">
        <f t="array" aca="1" ref="W144" ca="1">INDIRECT(CONCATENATE("'",$A$100,"'!t",B144),1)</f>
        <v>0</v>
      </c>
      <c r="X144" s="1" cm="1">
        <f t="array" aca="1" ref="X144" ca="1">INDIRECT(CONCATENATE("'",$A$100,"'!u",B144),1)</f>
        <v>0</v>
      </c>
      <c r="Y144" s="1" cm="1">
        <f t="array" aca="1" ref="Y144" ca="1">INDIRECT(CONCATENATE("'",$A$100,"'!v",B144),1)</f>
        <v>0</v>
      </c>
    </row>
    <row r="145" spans="1:25" customFormat="1" hidden="1" x14ac:dyDescent="0.25">
      <c r="A145" s="15"/>
      <c r="B145" s="24">
        <f t="shared" si="9"/>
        <v>47</v>
      </c>
      <c r="C145" s="1" cm="1">
        <f t="array" aca="1" ref="C145" ca="1">INDIRECT(CONCATENATE("'",$A$100,"'!A",B145),1)</f>
        <v>0</v>
      </c>
      <c r="D145" s="1" cm="1">
        <f t="array" aca="1" ref="D145" ca="1">INDIRECT(CONCATENATE("'",$A$100,"'!B",B145),1)</f>
        <v>0</v>
      </c>
      <c r="E145" s="1" cm="1">
        <f t="array" aca="1" ref="E145" ca="1">INDIRECT(CONCATENATE("'",$A$100,"'!c",B145),1)</f>
        <v>0</v>
      </c>
      <c r="F145" s="1" cm="1">
        <f t="array" aca="1" ref="F145" ca="1">INDIRECT(CONCATENATE("'",$A$100,"'!d",B145),1)</f>
        <v>0</v>
      </c>
      <c r="G145" s="1" cm="1">
        <f t="array" aca="1" ref="G145" ca="1">INDIRECT(CONCATENATE("'",$A$100,"'!e",B145),1)</f>
        <v>0</v>
      </c>
      <c r="H145" s="1" cm="1">
        <f t="array" aca="1" ref="H145" ca="1">INDIRECT(CONCATENATE("'",$A$100,"'!f",B145),1)</f>
        <v>0</v>
      </c>
      <c r="I145" s="1" cm="1">
        <f t="array" aca="1" ref="I145" ca="1">INDIRECT(CONCATENATE("'",$A$100,"'!g",B145),1)</f>
        <v>0</v>
      </c>
      <c r="J145" s="1" cm="1">
        <f t="array" aca="1" ref="J145" ca="1">INDIRECT(CONCATENATE("'",$A$100,"'!h",B145),1)</f>
        <v>0</v>
      </c>
      <c r="K145" s="1" cm="1">
        <f t="array" aca="1" ref="K145" ca="1">INDIRECT(CONCATENATE("'",$A$100,"'!i",B145),1)</f>
        <v>0</v>
      </c>
      <c r="L145" s="1" cm="1">
        <f t="array" aca="1" ref="L145" ca="1">INDIRECT(CONCATENATE("'",$A$100,"'!j",B145),1)</f>
        <v>0</v>
      </c>
      <c r="M145" s="1" cm="1">
        <f t="array" aca="1" ref="M145" ca="1">INDIRECT(CONCATENATE("'",$A$100,"'!k",B145),1)</f>
        <v>0</v>
      </c>
      <c r="N145" s="1" cm="1">
        <f t="array" aca="1" ref="N145" ca="1">INDIRECT(CONCATENATE("'",$A$100,"'!l",B145),1)</f>
        <v>0</v>
      </c>
      <c r="O145" s="1" cm="1">
        <f t="array" aca="1" ref="O145" ca="1">INDIRECT(CONCATENATE("'",$A$100,"'!m",B145),1)</f>
        <v>0</v>
      </c>
      <c r="P145" s="1" cm="1">
        <f t="array" aca="1" ref="P145" ca="1">INDIRECT(CONCATENATE("'",$A$100,"'!n",B145),1)</f>
        <v>0</v>
      </c>
      <c r="Q145" s="1" cm="1">
        <f t="array" aca="1" ref="Q145" ca="1">INDIRECT(CONCATENATE("'",$A$100,"'!o",B145),1)</f>
        <v>0</v>
      </c>
      <c r="R145" s="1" cm="1">
        <f t="array" aca="1" ref="R145" ca="1">INDIRECT(CONCATENATE("'",$A$100,"'!p",B145),1)</f>
        <v>0</v>
      </c>
      <c r="S145" s="1">
        <f t="shared" ca="1" si="7"/>
        <v>0</v>
      </c>
      <c r="T145" s="1" cm="1">
        <f t="array" aca="1" ref="T145" ca="1">INDIRECT(CONCATENATE("'",$A$100,"'!q",B145),1)</f>
        <v>0</v>
      </c>
      <c r="U145" s="1" cm="1">
        <f t="array" aca="1" ref="U145" ca="1">INDIRECT(CONCATENATE("'",$A$100,"'!r",B145),1)</f>
        <v>0</v>
      </c>
      <c r="V145" s="1" cm="1">
        <f t="array" aca="1" ref="V145" ca="1">INDIRECT(CONCATENATE("'",$A$100,"'!s",B145),1)</f>
        <v>0</v>
      </c>
      <c r="W145" s="1" cm="1">
        <f t="array" aca="1" ref="W145" ca="1">INDIRECT(CONCATENATE("'",$A$100,"'!t",B145),1)</f>
        <v>0</v>
      </c>
      <c r="X145" s="1" cm="1">
        <f t="array" aca="1" ref="X145" ca="1">INDIRECT(CONCATENATE("'",$A$100,"'!u",B145),1)</f>
        <v>0</v>
      </c>
      <c r="Y145" s="1" cm="1">
        <f t="array" aca="1" ref="Y145" ca="1">INDIRECT(CONCATENATE("'",$A$100,"'!v",B145),1)</f>
        <v>0</v>
      </c>
    </row>
    <row r="146" spans="1:25" customFormat="1" hidden="1" x14ac:dyDescent="0.25">
      <c r="A146" s="15"/>
      <c r="B146" s="24">
        <f t="shared" si="9"/>
        <v>48</v>
      </c>
      <c r="C146" s="1" cm="1">
        <f t="array" aca="1" ref="C146" ca="1">INDIRECT(CONCATENATE("'",$A$100,"'!A",B146),1)</f>
        <v>0</v>
      </c>
      <c r="D146" s="1" cm="1">
        <f t="array" aca="1" ref="D146" ca="1">INDIRECT(CONCATENATE("'",$A$100,"'!B",B146),1)</f>
        <v>0</v>
      </c>
      <c r="E146" s="1" cm="1">
        <f t="array" aca="1" ref="E146" ca="1">INDIRECT(CONCATENATE("'",$A$100,"'!c",B146),1)</f>
        <v>0</v>
      </c>
      <c r="F146" s="1" cm="1">
        <f t="array" aca="1" ref="F146" ca="1">INDIRECT(CONCATENATE("'",$A$100,"'!d",B146),1)</f>
        <v>0</v>
      </c>
      <c r="G146" s="1" cm="1">
        <f t="array" aca="1" ref="G146" ca="1">INDIRECT(CONCATENATE("'",$A$100,"'!e",B146),1)</f>
        <v>0</v>
      </c>
      <c r="H146" s="1" cm="1">
        <f t="array" aca="1" ref="H146" ca="1">INDIRECT(CONCATENATE("'",$A$100,"'!f",B146),1)</f>
        <v>0</v>
      </c>
      <c r="I146" s="1" cm="1">
        <f t="array" aca="1" ref="I146" ca="1">INDIRECT(CONCATENATE("'",$A$100,"'!g",B146),1)</f>
        <v>0</v>
      </c>
      <c r="J146" s="1" cm="1">
        <f t="array" aca="1" ref="J146" ca="1">INDIRECT(CONCATENATE("'",$A$100,"'!h",B146),1)</f>
        <v>0</v>
      </c>
      <c r="K146" s="1" cm="1">
        <f t="array" aca="1" ref="K146" ca="1">INDIRECT(CONCATENATE("'",$A$100,"'!i",B146),1)</f>
        <v>0</v>
      </c>
      <c r="L146" s="1" cm="1">
        <f t="array" aca="1" ref="L146" ca="1">INDIRECT(CONCATENATE("'",$A$100,"'!j",B146),1)</f>
        <v>0</v>
      </c>
      <c r="M146" s="1" cm="1">
        <f t="array" aca="1" ref="M146" ca="1">INDIRECT(CONCATENATE("'",$A$100,"'!k",B146),1)</f>
        <v>0</v>
      </c>
      <c r="N146" s="1" cm="1">
        <f t="array" aca="1" ref="N146" ca="1">INDIRECT(CONCATENATE("'",$A$100,"'!l",B146),1)</f>
        <v>0</v>
      </c>
      <c r="O146" s="1" cm="1">
        <f t="array" aca="1" ref="O146" ca="1">INDIRECT(CONCATENATE("'",$A$100,"'!m",B146),1)</f>
        <v>0</v>
      </c>
      <c r="P146" s="1" cm="1">
        <f t="array" aca="1" ref="P146" ca="1">INDIRECT(CONCATENATE("'",$A$100,"'!n",B146),1)</f>
        <v>0</v>
      </c>
      <c r="Q146" s="1" cm="1">
        <f t="array" aca="1" ref="Q146" ca="1">INDIRECT(CONCATENATE("'",$A$100,"'!o",B146),1)</f>
        <v>0</v>
      </c>
      <c r="R146" s="1" cm="1">
        <f t="array" aca="1" ref="R146" ca="1">INDIRECT(CONCATENATE("'",$A$100,"'!p",B146),1)</f>
        <v>0</v>
      </c>
      <c r="S146" s="1">
        <f t="shared" ref="S146:S156" ca="1" si="10">SUMIFS(U146,T146,$N$1)+SUMIFS(W146,V146,$N$1)+SUMIFS(Y146,X146,$N$1)</f>
        <v>0</v>
      </c>
      <c r="T146" s="1" cm="1">
        <f t="array" aca="1" ref="T146" ca="1">INDIRECT(CONCATENATE("'",$A$100,"'!q",B146),1)</f>
        <v>0</v>
      </c>
      <c r="U146" s="1" cm="1">
        <f t="array" aca="1" ref="U146" ca="1">INDIRECT(CONCATENATE("'",$A$100,"'!r",B146),1)</f>
        <v>0</v>
      </c>
      <c r="V146" s="1" cm="1">
        <f t="array" aca="1" ref="V146" ca="1">INDIRECT(CONCATENATE("'",$A$100,"'!s",B146),1)</f>
        <v>0</v>
      </c>
      <c r="W146" s="1" cm="1">
        <f t="array" aca="1" ref="W146" ca="1">INDIRECT(CONCATENATE("'",$A$100,"'!t",B146),1)</f>
        <v>0</v>
      </c>
      <c r="X146" s="1" cm="1">
        <f t="array" aca="1" ref="X146" ca="1">INDIRECT(CONCATENATE("'",$A$100,"'!u",B146),1)</f>
        <v>0</v>
      </c>
      <c r="Y146" s="1" cm="1">
        <f t="array" aca="1" ref="Y146" ca="1">INDIRECT(CONCATENATE("'",$A$100,"'!v",B146),1)</f>
        <v>0</v>
      </c>
    </row>
    <row r="147" spans="1:25" customFormat="1" hidden="1" x14ac:dyDescent="0.25">
      <c r="A147" s="15"/>
      <c r="B147" s="24">
        <f t="shared" si="9"/>
        <v>49</v>
      </c>
      <c r="C147" s="1" cm="1">
        <f t="array" aca="1" ref="C147" ca="1">INDIRECT(CONCATENATE("'",$A$100,"'!A",B147),1)</f>
        <v>0</v>
      </c>
      <c r="D147" s="1" cm="1">
        <f t="array" aca="1" ref="D147" ca="1">INDIRECT(CONCATENATE("'",$A$100,"'!B",B147),1)</f>
        <v>0</v>
      </c>
      <c r="E147" s="1" cm="1">
        <f t="array" aca="1" ref="E147" ca="1">INDIRECT(CONCATENATE("'",$A$100,"'!c",B147),1)</f>
        <v>0</v>
      </c>
      <c r="F147" s="1" cm="1">
        <f t="array" aca="1" ref="F147" ca="1">INDIRECT(CONCATENATE("'",$A$100,"'!d",B147),1)</f>
        <v>0</v>
      </c>
      <c r="G147" s="1" cm="1">
        <f t="array" aca="1" ref="G147" ca="1">INDIRECT(CONCATENATE("'",$A$100,"'!e",B147),1)</f>
        <v>0</v>
      </c>
      <c r="H147" s="1" cm="1">
        <f t="array" aca="1" ref="H147" ca="1">INDIRECT(CONCATENATE("'",$A$100,"'!f",B147),1)</f>
        <v>0</v>
      </c>
      <c r="I147" s="1" cm="1">
        <f t="array" aca="1" ref="I147" ca="1">INDIRECT(CONCATENATE("'",$A$100,"'!g",B147),1)</f>
        <v>0</v>
      </c>
      <c r="J147" s="1" cm="1">
        <f t="array" aca="1" ref="J147" ca="1">INDIRECT(CONCATENATE("'",$A$100,"'!h",B147),1)</f>
        <v>0</v>
      </c>
      <c r="K147" s="1" cm="1">
        <f t="array" aca="1" ref="K147" ca="1">INDIRECT(CONCATENATE("'",$A$100,"'!i",B147),1)</f>
        <v>0</v>
      </c>
      <c r="L147" s="1" cm="1">
        <f t="array" aca="1" ref="L147" ca="1">INDIRECT(CONCATENATE("'",$A$100,"'!j",B147),1)</f>
        <v>0</v>
      </c>
      <c r="M147" s="1" cm="1">
        <f t="array" aca="1" ref="M147" ca="1">INDIRECT(CONCATENATE("'",$A$100,"'!k",B147),1)</f>
        <v>0</v>
      </c>
      <c r="N147" s="1" cm="1">
        <f t="array" aca="1" ref="N147" ca="1">INDIRECT(CONCATENATE("'",$A$100,"'!l",B147),1)</f>
        <v>0</v>
      </c>
      <c r="O147" s="1" cm="1">
        <f t="array" aca="1" ref="O147" ca="1">INDIRECT(CONCATENATE("'",$A$100,"'!m",B147),1)</f>
        <v>0</v>
      </c>
      <c r="P147" s="1" cm="1">
        <f t="array" aca="1" ref="P147" ca="1">INDIRECT(CONCATENATE("'",$A$100,"'!n",B147),1)</f>
        <v>0</v>
      </c>
      <c r="Q147" s="1" cm="1">
        <f t="array" aca="1" ref="Q147" ca="1">INDIRECT(CONCATENATE("'",$A$100,"'!o",B147),1)</f>
        <v>0</v>
      </c>
      <c r="R147" s="1" cm="1">
        <f t="array" aca="1" ref="R147" ca="1">INDIRECT(CONCATENATE("'",$A$100,"'!p",B147),1)</f>
        <v>0</v>
      </c>
      <c r="S147" s="1">
        <f t="shared" ca="1" si="10"/>
        <v>0</v>
      </c>
      <c r="T147" s="1" cm="1">
        <f t="array" aca="1" ref="T147" ca="1">INDIRECT(CONCATENATE("'",$A$100,"'!q",B147),1)</f>
        <v>0</v>
      </c>
      <c r="U147" s="1" cm="1">
        <f t="array" aca="1" ref="U147" ca="1">INDIRECT(CONCATENATE("'",$A$100,"'!r",B147),1)</f>
        <v>0</v>
      </c>
      <c r="V147" s="1" cm="1">
        <f t="array" aca="1" ref="V147" ca="1">INDIRECT(CONCATENATE("'",$A$100,"'!s",B147),1)</f>
        <v>0</v>
      </c>
      <c r="W147" s="1" cm="1">
        <f t="array" aca="1" ref="W147" ca="1">INDIRECT(CONCATENATE("'",$A$100,"'!t",B147),1)</f>
        <v>0</v>
      </c>
      <c r="X147" s="1" cm="1">
        <f t="array" aca="1" ref="X147" ca="1">INDIRECT(CONCATENATE("'",$A$100,"'!u",B147),1)</f>
        <v>0</v>
      </c>
      <c r="Y147" s="1" cm="1">
        <f t="array" aca="1" ref="Y147" ca="1">INDIRECT(CONCATENATE("'",$A$100,"'!v",B147),1)</f>
        <v>0</v>
      </c>
    </row>
    <row r="148" spans="1:25" customFormat="1" hidden="1" x14ac:dyDescent="0.25">
      <c r="A148" s="15"/>
      <c r="B148" s="24">
        <f t="shared" si="9"/>
        <v>50</v>
      </c>
      <c r="C148" s="1" cm="1">
        <f t="array" aca="1" ref="C148" ca="1">INDIRECT(CONCATENATE("'",$A$100,"'!A",B148),1)</f>
        <v>0</v>
      </c>
      <c r="D148" s="1" cm="1">
        <f t="array" aca="1" ref="D148" ca="1">INDIRECT(CONCATENATE("'",$A$100,"'!B",B148),1)</f>
        <v>0</v>
      </c>
      <c r="E148" s="1" cm="1">
        <f t="array" aca="1" ref="E148" ca="1">INDIRECT(CONCATENATE("'",$A$100,"'!c",B148),1)</f>
        <v>0</v>
      </c>
      <c r="F148" s="1" cm="1">
        <f t="array" aca="1" ref="F148" ca="1">INDIRECT(CONCATENATE("'",$A$100,"'!d",B148),1)</f>
        <v>0</v>
      </c>
      <c r="G148" s="1" cm="1">
        <f t="array" aca="1" ref="G148" ca="1">INDIRECT(CONCATENATE("'",$A$100,"'!e",B148),1)</f>
        <v>0</v>
      </c>
      <c r="H148" s="1" cm="1">
        <f t="array" aca="1" ref="H148" ca="1">INDIRECT(CONCATENATE("'",$A$100,"'!f",B148),1)</f>
        <v>0</v>
      </c>
      <c r="I148" s="1" cm="1">
        <f t="array" aca="1" ref="I148" ca="1">INDIRECT(CONCATENATE("'",$A$100,"'!g",B148),1)</f>
        <v>0</v>
      </c>
      <c r="J148" s="1" cm="1">
        <f t="array" aca="1" ref="J148" ca="1">INDIRECT(CONCATENATE("'",$A$100,"'!h",B148),1)</f>
        <v>0</v>
      </c>
      <c r="K148" s="1" cm="1">
        <f t="array" aca="1" ref="K148" ca="1">INDIRECT(CONCATENATE("'",$A$100,"'!i",B148),1)</f>
        <v>0</v>
      </c>
      <c r="L148" s="1" cm="1">
        <f t="array" aca="1" ref="L148" ca="1">INDIRECT(CONCATENATE("'",$A$100,"'!j",B148),1)</f>
        <v>0</v>
      </c>
      <c r="M148" s="1" cm="1">
        <f t="array" aca="1" ref="M148" ca="1">INDIRECT(CONCATENATE("'",$A$100,"'!k",B148),1)</f>
        <v>0</v>
      </c>
      <c r="N148" s="1" cm="1">
        <f t="array" aca="1" ref="N148" ca="1">INDIRECT(CONCATENATE("'",$A$100,"'!l",B148),1)</f>
        <v>0</v>
      </c>
      <c r="O148" s="1" cm="1">
        <f t="array" aca="1" ref="O148" ca="1">INDIRECT(CONCATENATE("'",$A$100,"'!m",B148),1)</f>
        <v>0</v>
      </c>
      <c r="P148" s="1" cm="1">
        <f t="array" aca="1" ref="P148" ca="1">INDIRECT(CONCATENATE("'",$A$100,"'!n",B148),1)</f>
        <v>0</v>
      </c>
      <c r="Q148" s="1" cm="1">
        <f t="array" aca="1" ref="Q148" ca="1">INDIRECT(CONCATENATE("'",$A$100,"'!o",B148),1)</f>
        <v>0</v>
      </c>
      <c r="R148" s="1" cm="1">
        <f t="array" aca="1" ref="R148" ca="1">INDIRECT(CONCATENATE("'",$A$100,"'!p",B148),1)</f>
        <v>0</v>
      </c>
      <c r="S148" s="1">
        <f t="shared" ca="1" si="10"/>
        <v>0</v>
      </c>
      <c r="T148" s="1" cm="1">
        <f t="array" aca="1" ref="T148" ca="1">INDIRECT(CONCATENATE("'",$A$100,"'!q",B148),1)</f>
        <v>0</v>
      </c>
      <c r="U148" s="1" cm="1">
        <f t="array" aca="1" ref="U148" ca="1">INDIRECT(CONCATENATE("'",$A$100,"'!r",B148),1)</f>
        <v>0</v>
      </c>
      <c r="V148" s="1" cm="1">
        <f t="array" aca="1" ref="V148" ca="1">INDIRECT(CONCATENATE("'",$A$100,"'!s",B148),1)</f>
        <v>0</v>
      </c>
      <c r="W148" s="1" cm="1">
        <f t="array" aca="1" ref="W148" ca="1">INDIRECT(CONCATENATE("'",$A$100,"'!t",B148),1)</f>
        <v>0</v>
      </c>
      <c r="X148" s="1" cm="1">
        <f t="array" aca="1" ref="X148" ca="1">INDIRECT(CONCATENATE("'",$A$100,"'!u",B148),1)</f>
        <v>0</v>
      </c>
      <c r="Y148" s="1" cm="1">
        <f t="array" aca="1" ref="Y148" ca="1">INDIRECT(CONCATENATE("'",$A$100,"'!v",B148),1)</f>
        <v>0</v>
      </c>
    </row>
    <row r="149" spans="1:25" customFormat="1" hidden="1" x14ac:dyDescent="0.25">
      <c r="A149" s="15"/>
      <c r="B149" s="24">
        <f t="shared" si="9"/>
        <v>51</v>
      </c>
      <c r="C149" s="1" cm="1">
        <f t="array" aca="1" ref="C149" ca="1">INDIRECT(CONCATENATE("'",$A$100,"'!A",B149),1)</f>
        <v>0</v>
      </c>
      <c r="D149" s="1" cm="1">
        <f t="array" aca="1" ref="D149" ca="1">INDIRECT(CONCATENATE("'",$A$100,"'!B",B149),1)</f>
        <v>0</v>
      </c>
      <c r="E149" s="1" cm="1">
        <f t="array" aca="1" ref="E149" ca="1">INDIRECT(CONCATENATE("'",$A$100,"'!c",B149),1)</f>
        <v>0</v>
      </c>
      <c r="F149" s="1" cm="1">
        <f t="array" aca="1" ref="F149" ca="1">INDIRECT(CONCATENATE("'",$A$100,"'!d",B149),1)</f>
        <v>0</v>
      </c>
      <c r="G149" s="1" cm="1">
        <f t="array" aca="1" ref="G149" ca="1">INDIRECT(CONCATENATE("'",$A$100,"'!e",B149),1)</f>
        <v>0</v>
      </c>
      <c r="H149" s="1" cm="1">
        <f t="array" aca="1" ref="H149" ca="1">INDIRECT(CONCATENATE("'",$A$100,"'!f",B149),1)</f>
        <v>0</v>
      </c>
      <c r="I149" s="1" cm="1">
        <f t="array" aca="1" ref="I149" ca="1">INDIRECT(CONCATENATE("'",$A$100,"'!g",B149),1)</f>
        <v>0</v>
      </c>
      <c r="J149" s="1" cm="1">
        <f t="array" aca="1" ref="J149" ca="1">INDIRECT(CONCATENATE("'",$A$100,"'!h",B149),1)</f>
        <v>0</v>
      </c>
      <c r="K149" s="1" cm="1">
        <f t="array" aca="1" ref="K149" ca="1">INDIRECT(CONCATENATE("'",$A$100,"'!i",B149),1)</f>
        <v>0</v>
      </c>
      <c r="L149" s="1" cm="1">
        <f t="array" aca="1" ref="L149" ca="1">INDIRECT(CONCATENATE("'",$A$100,"'!j",B149),1)</f>
        <v>0</v>
      </c>
      <c r="M149" s="1" cm="1">
        <f t="array" aca="1" ref="M149" ca="1">INDIRECT(CONCATENATE("'",$A$100,"'!k",B149),1)</f>
        <v>0</v>
      </c>
      <c r="N149" s="1" cm="1">
        <f t="array" aca="1" ref="N149" ca="1">INDIRECT(CONCATENATE("'",$A$100,"'!l",B149),1)</f>
        <v>0</v>
      </c>
      <c r="O149" s="1" cm="1">
        <f t="array" aca="1" ref="O149" ca="1">INDIRECT(CONCATENATE("'",$A$100,"'!m",B149),1)</f>
        <v>0</v>
      </c>
      <c r="P149" s="1" cm="1">
        <f t="array" aca="1" ref="P149" ca="1">INDIRECT(CONCATENATE("'",$A$100,"'!n",B149),1)</f>
        <v>0</v>
      </c>
      <c r="Q149" s="1" cm="1">
        <f t="array" aca="1" ref="Q149" ca="1">INDIRECT(CONCATENATE("'",$A$100,"'!o",B149),1)</f>
        <v>0</v>
      </c>
      <c r="R149" s="1" cm="1">
        <f t="array" aca="1" ref="R149" ca="1">INDIRECT(CONCATENATE("'",$A$100,"'!p",B149),1)</f>
        <v>0</v>
      </c>
      <c r="S149" s="1">
        <f t="shared" ca="1" si="10"/>
        <v>0</v>
      </c>
      <c r="T149" s="1" cm="1">
        <f t="array" aca="1" ref="T149" ca="1">INDIRECT(CONCATENATE("'",$A$100,"'!q",B149),1)</f>
        <v>0</v>
      </c>
      <c r="U149" s="1" cm="1">
        <f t="array" aca="1" ref="U149" ca="1">INDIRECT(CONCATENATE("'",$A$100,"'!r",B149),1)</f>
        <v>0</v>
      </c>
      <c r="V149" s="1" cm="1">
        <f t="array" aca="1" ref="V149" ca="1">INDIRECT(CONCATENATE("'",$A$100,"'!s",B149),1)</f>
        <v>0</v>
      </c>
      <c r="W149" s="1" cm="1">
        <f t="array" aca="1" ref="W149" ca="1">INDIRECT(CONCATENATE("'",$A$100,"'!t",B149),1)</f>
        <v>0</v>
      </c>
      <c r="X149" s="1" cm="1">
        <f t="array" aca="1" ref="X149" ca="1">INDIRECT(CONCATENATE("'",$A$100,"'!u",B149),1)</f>
        <v>0</v>
      </c>
      <c r="Y149" s="1" cm="1">
        <f t="array" aca="1" ref="Y149" ca="1">INDIRECT(CONCATENATE("'",$A$100,"'!v",B149),1)</f>
        <v>0</v>
      </c>
    </row>
    <row r="150" spans="1:25" customFormat="1" hidden="1" x14ac:dyDescent="0.25">
      <c r="A150" s="15"/>
      <c r="B150" s="24">
        <f t="shared" si="9"/>
        <v>52</v>
      </c>
      <c r="C150" s="1" cm="1">
        <f t="array" aca="1" ref="C150" ca="1">INDIRECT(CONCATENATE("'",$A$100,"'!A",B150),1)</f>
        <v>0</v>
      </c>
      <c r="D150" s="1" cm="1">
        <f t="array" aca="1" ref="D150" ca="1">INDIRECT(CONCATENATE("'",$A$100,"'!B",B150),1)</f>
        <v>0</v>
      </c>
      <c r="E150" s="1" cm="1">
        <f t="array" aca="1" ref="E150" ca="1">INDIRECT(CONCATENATE("'",$A$100,"'!c",B150),1)</f>
        <v>0</v>
      </c>
      <c r="F150" s="1" cm="1">
        <f t="array" aca="1" ref="F150" ca="1">INDIRECT(CONCATENATE("'",$A$100,"'!d",B150),1)</f>
        <v>0</v>
      </c>
      <c r="G150" s="1" cm="1">
        <f t="array" aca="1" ref="G150" ca="1">INDIRECT(CONCATENATE("'",$A$100,"'!e",B150),1)</f>
        <v>0</v>
      </c>
      <c r="H150" s="1" cm="1">
        <f t="array" aca="1" ref="H150" ca="1">INDIRECT(CONCATENATE("'",$A$100,"'!f",B150),1)</f>
        <v>0</v>
      </c>
      <c r="I150" s="1" cm="1">
        <f t="array" aca="1" ref="I150" ca="1">INDIRECT(CONCATENATE("'",$A$100,"'!g",B150),1)</f>
        <v>0</v>
      </c>
      <c r="J150" s="1" cm="1">
        <f t="array" aca="1" ref="J150" ca="1">INDIRECT(CONCATENATE("'",$A$100,"'!h",B150),1)</f>
        <v>0</v>
      </c>
      <c r="K150" s="1" cm="1">
        <f t="array" aca="1" ref="K150" ca="1">INDIRECT(CONCATENATE("'",$A$100,"'!i",B150),1)</f>
        <v>0</v>
      </c>
      <c r="L150" s="1" cm="1">
        <f t="array" aca="1" ref="L150" ca="1">INDIRECT(CONCATENATE("'",$A$100,"'!j",B150),1)</f>
        <v>0</v>
      </c>
      <c r="M150" s="1" cm="1">
        <f t="array" aca="1" ref="M150" ca="1">INDIRECT(CONCATENATE("'",$A$100,"'!k",B150),1)</f>
        <v>0</v>
      </c>
      <c r="N150" s="1" cm="1">
        <f t="array" aca="1" ref="N150" ca="1">INDIRECT(CONCATENATE("'",$A$100,"'!l",B150),1)</f>
        <v>0</v>
      </c>
      <c r="O150" s="1" cm="1">
        <f t="array" aca="1" ref="O150" ca="1">INDIRECT(CONCATENATE("'",$A$100,"'!m",B150),1)</f>
        <v>0</v>
      </c>
      <c r="P150" s="1" cm="1">
        <f t="array" aca="1" ref="P150" ca="1">INDIRECT(CONCATENATE("'",$A$100,"'!n",B150),1)</f>
        <v>0</v>
      </c>
      <c r="Q150" s="1" cm="1">
        <f t="array" aca="1" ref="Q150" ca="1">INDIRECT(CONCATENATE("'",$A$100,"'!o",B150),1)</f>
        <v>0</v>
      </c>
      <c r="R150" s="1" cm="1">
        <f t="array" aca="1" ref="R150" ca="1">INDIRECT(CONCATENATE("'",$A$100,"'!p",B150),1)</f>
        <v>0</v>
      </c>
      <c r="S150" s="1">
        <f t="shared" ca="1" si="10"/>
        <v>0</v>
      </c>
      <c r="T150" s="1" cm="1">
        <f t="array" aca="1" ref="T150" ca="1">INDIRECT(CONCATENATE("'",$A$100,"'!q",B150),1)</f>
        <v>0</v>
      </c>
      <c r="U150" s="1" cm="1">
        <f t="array" aca="1" ref="U150" ca="1">INDIRECT(CONCATENATE("'",$A$100,"'!r",B150),1)</f>
        <v>0</v>
      </c>
      <c r="V150" s="1" cm="1">
        <f t="array" aca="1" ref="V150" ca="1">INDIRECT(CONCATENATE("'",$A$100,"'!s",B150),1)</f>
        <v>0</v>
      </c>
      <c r="W150" s="1" cm="1">
        <f t="array" aca="1" ref="W150" ca="1">INDIRECT(CONCATENATE("'",$A$100,"'!t",B150),1)</f>
        <v>0</v>
      </c>
      <c r="X150" s="1" cm="1">
        <f t="array" aca="1" ref="X150" ca="1">INDIRECT(CONCATENATE("'",$A$100,"'!u",B150),1)</f>
        <v>0</v>
      </c>
      <c r="Y150" s="1" cm="1">
        <f t="array" aca="1" ref="Y150" ca="1">INDIRECT(CONCATENATE("'",$A$100,"'!v",B150),1)</f>
        <v>0</v>
      </c>
    </row>
    <row r="151" spans="1:25" customFormat="1" hidden="1" x14ac:dyDescent="0.25">
      <c r="A151" s="15"/>
      <c r="B151" s="24">
        <f t="shared" si="9"/>
        <v>53</v>
      </c>
      <c r="C151" s="1" cm="1">
        <f t="array" aca="1" ref="C151" ca="1">INDIRECT(CONCATENATE("'",$A$100,"'!A",B151),1)</f>
        <v>0</v>
      </c>
      <c r="D151" s="1" cm="1">
        <f t="array" aca="1" ref="D151" ca="1">INDIRECT(CONCATENATE("'",$A$100,"'!B",B151),1)</f>
        <v>0</v>
      </c>
      <c r="E151" s="1" cm="1">
        <f t="array" aca="1" ref="E151" ca="1">INDIRECT(CONCATENATE("'",$A$100,"'!c",B151),1)</f>
        <v>0</v>
      </c>
      <c r="F151" s="1" cm="1">
        <f t="array" aca="1" ref="F151" ca="1">INDIRECT(CONCATENATE("'",$A$100,"'!d",B151),1)</f>
        <v>0</v>
      </c>
      <c r="G151" s="1" cm="1">
        <f t="array" aca="1" ref="G151" ca="1">INDIRECT(CONCATENATE("'",$A$100,"'!e",B151),1)</f>
        <v>0</v>
      </c>
      <c r="H151" s="1" cm="1">
        <f t="array" aca="1" ref="H151" ca="1">INDIRECT(CONCATENATE("'",$A$100,"'!f",B151),1)</f>
        <v>0</v>
      </c>
      <c r="I151" s="1" cm="1">
        <f t="array" aca="1" ref="I151" ca="1">INDIRECT(CONCATENATE("'",$A$100,"'!g",B151),1)</f>
        <v>0</v>
      </c>
      <c r="J151" s="1" cm="1">
        <f t="array" aca="1" ref="J151" ca="1">INDIRECT(CONCATENATE("'",$A$100,"'!h",B151),1)</f>
        <v>0</v>
      </c>
      <c r="K151" s="1" cm="1">
        <f t="array" aca="1" ref="K151" ca="1">INDIRECT(CONCATENATE("'",$A$100,"'!i",B151),1)</f>
        <v>0</v>
      </c>
      <c r="L151" s="1" cm="1">
        <f t="array" aca="1" ref="L151" ca="1">INDIRECT(CONCATENATE("'",$A$100,"'!j",B151),1)</f>
        <v>0</v>
      </c>
      <c r="M151" s="1" cm="1">
        <f t="array" aca="1" ref="M151" ca="1">INDIRECT(CONCATENATE("'",$A$100,"'!k",B151),1)</f>
        <v>0</v>
      </c>
      <c r="N151" s="1" cm="1">
        <f t="array" aca="1" ref="N151" ca="1">INDIRECT(CONCATENATE("'",$A$100,"'!l",B151),1)</f>
        <v>0</v>
      </c>
      <c r="O151" s="1" cm="1">
        <f t="array" aca="1" ref="O151" ca="1">INDIRECT(CONCATENATE("'",$A$100,"'!m",B151),1)</f>
        <v>0</v>
      </c>
      <c r="P151" s="1" cm="1">
        <f t="array" aca="1" ref="P151" ca="1">INDIRECT(CONCATENATE("'",$A$100,"'!n",B151),1)</f>
        <v>0</v>
      </c>
      <c r="Q151" s="1" cm="1">
        <f t="array" aca="1" ref="Q151" ca="1">INDIRECT(CONCATENATE("'",$A$100,"'!o",B151),1)</f>
        <v>0</v>
      </c>
      <c r="R151" s="1" cm="1">
        <f t="array" aca="1" ref="R151" ca="1">INDIRECT(CONCATENATE("'",$A$100,"'!p",B151),1)</f>
        <v>0</v>
      </c>
      <c r="S151" s="1">
        <f t="shared" ca="1" si="10"/>
        <v>0</v>
      </c>
      <c r="T151" s="1" cm="1">
        <f t="array" aca="1" ref="T151" ca="1">INDIRECT(CONCATENATE("'",$A$100,"'!q",B151),1)</f>
        <v>0</v>
      </c>
      <c r="U151" s="1" cm="1">
        <f t="array" aca="1" ref="U151" ca="1">INDIRECT(CONCATENATE("'",$A$100,"'!r",B151),1)</f>
        <v>0</v>
      </c>
      <c r="V151" s="1" cm="1">
        <f t="array" aca="1" ref="V151" ca="1">INDIRECT(CONCATENATE("'",$A$100,"'!s",B151),1)</f>
        <v>0</v>
      </c>
      <c r="W151" s="1" cm="1">
        <f t="array" aca="1" ref="W151" ca="1">INDIRECT(CONCATENATE("'",$A$100,"'!t",B151),1)</f>
        <v>0</v>
      </c>
      <c r="X151" s="1" cm="1">
        <f t="array" aca="1" ref="X151" ca="1">INDIRECT(CONCATENATE("'",$A$100,"'!u",B151),1)</f>
        <v>0</v>
      </c>
      <c r="Y151" s="1" cm="1">
        <f t="array" aca="1" ref="Y151" ca="1">INDIRECT(CONCATENATE("'",$A$100,"'!v",B151),1)</f>
        <v>0</v>
      </c>
    </row>
    <row r="152" spans="1:25" customFormat="1" hidden="1" x14ac:dyDescent="0.25">
      <c r="A152" s="15"/>
      <c r="B152" s="24">
        <f t="shared" si="9"/>
        <v>54</v>
      </c>
      <c r="C152" s="1" cm="1">
        <f t="array" aca="1" ref="C152" ca="1">INDIRECT(CONCATENATE("'",$A$100,"'!A",B152),1)</f>
        <v>0</v>
      </c>
      <c r="D152" s="1" cm="1">
        <f t="array" aca="1" ref="D152" ca="1">INDIRECT(CONCATENATE("'",$A$100,"'!B",B152),1)</f>
        <v>0</v>
      </c>
      <c r="E152" s="1" cm="1">
        <f t="array" aca="1" ref="E152" ca="1">INDIRECT(CONCATENATE("'",$A$100,"'!c",B152),1)</f>
        <v>0</v>
      </c>
      <c r="F152" s="1" cm="1">
        <f t="array" aca="1" ref="F152" ca="1">INDIRECT(CONCATENATE("'",$A$100,"'!d",B152),1)</f>
        <v>0</v>
      </c>
      <c r="G152" s="1" cm="1">
        <f t="array" aca="1" ref="G152" ca="1">INDIRECT(CONCATENATE("'",$A$100,"'!e",B152),1)</f>
        <v>0</v>
      </c>
      <c r="H152" s="1" cm="1">
        <f t="array" aca="1" ref="H152" ca="1">INDIRECT(CONCATENATE("'",$A$100,"'!f",B152),1)</f>
        <v>0</v>
      </c>
      <c r="I152" s="1" cm="1">
        <f t="array" aca="1" ref="I152" ca="1">INDIRECT(CONCATENATE("'",$A$100,"'!g",B152),1)</f>
        <v>0</v>
      </c>
      <c r="J152" s="1" cm="1">
        <f t="array" aca="1" ref="J152" ca="1">INDIRECT(CONCATENATE("'",$A$100,"'!h",B152),1)</f>
        <v>0</v>
      </c>
      <c r="K152" s="1" cm="1">
        <f t="array" aca="1" ref="K152" ca="1">INDIRECT(CONCATENATE("'",$A$100,"'!i",B152),1)</f>
        <v>0</v>
      </c>
      <c r="L152" s="1" cm="1">
        <f t="array" aca="1" ref="L152" ca="1">INDIRECT(CONCATENATE("'",$A$100,"'!j",B152),1)</f>
        <v>0</v>
      </c>
      <c r="M152" s="1" cm="1">
        <f t="array" aca="1" ref="M152" ca="1">INDIRECT(CONCATENATE("'",$A$100,"'!k",B152),1)</f>
        <v>0</v>
      </c>
      <c r="N152" s="1" cm="1">
        <f t="array" aca="1" ref="N152" ca="1">INDIRECT(CONCATENATE("'",$A$100,"'!l",B152),1)</f>
        <v>0</v>
      </c>
      <c r="O152" s="1" cm="1">
        <f t="array" aca="1" ref="O152" ca="1">INDIRECT(CONCATENATE("'",$A$100,"'!m",B152),1)</f>
        <v>0</v>
      </c>
      <c r="P152" s="1" cm="1">
        <f t="array" aca="1" ref="P152" ca="1">INDIRECT(CONCATENATE("'",$A$100,"'!n",B152),1)</f>
        <v>0</v>
      </c>
      <c r="Q152" s="1" cm="1">
        <f t="array" aca="1" ref="Q152" ca="1">INDIRECT(CONCATENATE("'",$A$100,"'!o",B152),1)</f>
        <v>0</v>
      </c>
      <c r="R152" s="1" cm="1">
        <f t="array" aca="1" ref="R152" ca="1">INDIRECT(CONCATENATE("'",$A$100,"'!p",B152),1)</f>
        <v>0</v>
      </c>
      <c r="S152" s="1">
        <f t="shared" ca="1" si="10"/>
        <v>0</v>
      </c>
      <c r="T152" s="1" cm="1">
        <f t="array" aca="1" ref="T152" ca="1">INDIRECT(CONCATENATE("'",$A$100,"'!q",B152),1)</f>
        <v>0</v>
      </c>
      <c r="U152" s="1" cm="1">
        <f t="array" aca="1" ref="U152" ca="1">INDIRECT(CONCATENATE("'",$A$100,"'!r",B152),1)</f>
        <v>0</v>
      </c>
      <c r="V152" s="1" cm="1">
        <f t="array" aca="1" ref="V152" ca="1">INDIRECT(CONCATENATE("'",$A$100,"'!s",B152),1)</f>
        <v>0</v>
      </c>
      <c r="W152" s="1" cm="1">
        <f t="array" aca="1" ref="W152" ca="1">INDIRECT(CONCATENATE("'",$A$100,"'!t",B152),1)</f>
        <v>0</v>
      </c>
      <c r="X152" s="1" cm="1">
        <f t="array" aca="1" ref="X152" ca="1">INDIRECT(CONCATENATE("'",$A$100,"'!u",B152),1)</f>
        <v>0</v>
      </c>
      <c r="Y152" s="1" cm="1">
        <f t="array" aca="1" ref="Y152" ca="1">INDIRECT(CONCATENATE("'",$A$100,"'!v",B152),1)</f>
        <v>0</v>
      </c>
    </row>
    <row r="153" spans="1:25" customFormat="1" hidden="1" x14ac:dyDescent="0.25">
      <c r="A153" s="15"/>
      <c r="B153" s="24">
        <f t="shared" si="9"/>
        <v>55</v>
      </c>
      <c r="C153" s="1" cm="1">
        <f t="array" aca="1" ref="C153" ca="1">INDIRECT(CONCATENATE("'",$A$100,"'!A",B153),1)</f>
        <v>0</v>
      </c>
      <c r="D153" s="1" cm="1">
        <f t="array" aca="1" ref="D153" ca="1">INDIRECT(CONCATENATE("'",$A$100,"'!B",B153),1)</f>
        <v>0</v>
      </c>
      <c r="E153" s="1" cm="1">
        <f t="array" aca="1" ref="E153" ca="1">INDIRECT(CONCATENATE("'",$A$100,"'!c",B153),1)</f>
        <v>0</v>
      </c>
      <c r="F153" s="1" cm="1">
        <f t="array" aca="1" ref="F153" ca="1">INDIRECT(CONCATENATE("'",$A$100,"'!d",B153),1)</f>
        <v>0</v>
      </c>
      <c r="G153" s="1" cm="1">
        <f t="array" aca="1" ref="G153" ca="1">INDIRECT(CONCATENATE("'",$A$100,"'!e",B153),1)</f>
        <v>0</v>
      </c>
      <c r="H153" s="1" cm="1">
        <f t="array" aca="1" ref="H153" ca="1">INDIRECT(CONCATENATE("'",$A$100,"'!f",B153),1)</f>
        <v>0</v>
      </c>
      <c r="I153" s="1" cm="1">
        <f t="array" aca="1" ref="I153" ca="1">INDIRECT(CONCATENATE("'",$A$100,"'!g",B153),1)</f>
        <v>0</v>
      </c>
      <c r="J153" s="1" cm="1">
        <f t="array" aca="1" ref="J153" ca="1">INDIRECT(CONCATENATE("'",$A$100,"'!h",B153),1)</f>
        <v>0</v>
      </c>
      <c r="K153" s="1" cm="1">
        <f t="array" aca="1" ref="K153" ca="1">INDIRECT(CONCATENATE("'",$A$100,"'!i",B153),1)</f>
        <v>0</v>
      </c>
      <c r="L153" s="1" cm="1">
        <f t="array" aca="1" ref="L153" ca="1">INDIRECT(CONCATENATE("'",$A$100,"'!j",B153),1)</f>
        <v>0</v>
      </c>
      <c r="M153" s="1" cm="1">
        <f t="array" aca="1" ref="M153" ca="1">INDIRECT(CONCATENATE("'",$A$100,"'!k",B153),1)</f>
        <v>0</v>
      </c>
      <c r="N153" s="1" cm="1">
        <f t="array" aca="1" ref="N153" ca="1">INDIRECT(CONCATENATE("'",$A$100,"'!l",B153),1)</f>
        <v>0</v>
      </c>
      <c r="O153" s="1" cm="1">
        <f t="array" aca="1" ref="O153" ca="1">INDIRECT(CONCATENATE("'",$A$100,"'!m",B153),1)</f>
        <v>0</v>
      </c>
      <c r="P153" s="1" cm="1">
        <f t="array" aca="1" ref="P153" ca="1">INDIRECT(CONCATENATE("'",$A$100,"'!n",B153),1)</f>
        <v>0</v>
      </c>
      <c r="Q153" s="1" cm="1">
        <f t="array" aca="1" ref="Q153" ca="1">INDIRECT(CONCATENATE("'",$A$100,"'!o",B153),1)</f>
        <v>0</v>
      </c>
      <c r="R153" s="1" cm="1">
        <f t="array" aca="1" ref="R153" ca="1">INDIRECT(CONCATENATE("'",$A$100,"'!p",B153),1)</f>
        <v>0</v>
      </c>
      <c r="S153" s="1">
        <f t="shared" ca="1" si="10"/>
        <v>0</v>
      </c>
      <c r="T153" s="1" cm="1">
        <f t="array" aca="1" ref="T153" ca="1">INDIRECT(CONCATENATE("'",$A$100,"'!q",B153),1)</f>
        <v>0</v>
      </c>
      <c r="U153" s="1" cm="1">
        <f t="array" aca="1" ref="U153" ca="1">INDIRECT(CONCATENATE("'",$A$100,"'!r",B153),1)</f>
        <v>0</v>
      </c>
      <c r="V153" s="1" cm="1">
        <f t="array" aca="1" ref="V153" ca="1">INDIRECT(CONCATENATE("'",$A$100,"'!s",B153),1)</f>
        <v>0</v>
      </c>
      <c r="W153" s="1" cm="1">
        <f t="array" aca="1" ref="W153" ca="1">INDIRECT(CONCATENATE("'",$A$100,"'!t",B153),1)</f>
        <v>0</v>
      </c>
      <c r="X153" s="1" cm="1">
        <f t="array" aca="1" ref="X153" ca="1">INDIRECT(CONCATENATE("'",$A$100,"'!u",B153),1)</f>
        <v>0</v>
      </c>
      <c r="Y153" s="1" cm="1">
        <f t="array" aca="1" ref="Y153" ca="1">INDIRECT(CONCATENATE("'",$A$100,"'!v",B153),1)</f>
        <v>0</v>
      </c>
    </row>
    <row r="154" spans="1:25" customFormat="1" hidden="1" x14ac:dyDescent="0.25">
      <c r="A154" s="15"/>
      <c r="B154" s="24">
        <f t="shared" si="9"/>
        <v>56</v>
      </c>
      <c r="C154" s="1" cm="1">
        <f t="array" aca="1" ref="C154" ca="1">INDIRECT(CONCATENATE("'",$A$100,"'!A",B154),1)</f>
        <v>0</v>
      </c>
      <c r="D154" s="1" cm="1">
        <f t="array" aca="1" ref="D154" ca="1">INDIRECT(CONCATENATE("'",$A$100,"'!B",B154),1)</f>
        <v>0</v>
      </c>
      <c r="E154" s="1" cm="1">
        <f t="array" aca="1" ref="E154" ca="1">INDIRECT(CONCATENATE("'",$A$100,"'!c",B154),1)</f>
        <v>0</v>
      </c>
      <c r="F154" s="1" cm="1">
        <f t="array" aca="1" ref="F154" ca="1">INDIRECT(CONCATENATE("'",$A$100,"'!d",B154),1)</f>
        <v>0</v>
      </c>
      <c r="G154" s="1" cm="1">
        <f t="array" aca="1" ref="G154" ca="1">INDIRECT(CONCATENATE("'",$A$100,"'!e",B154),1)</f>
        <v>0</v>
      </c>
      <c r="H154" s="1" cm="1">
        <f t="array" aca="1" ref="H154" ca="1">INDIRECT(CONCATENATE("'",$A$100,"'!f",B154),1)</f>
        <v>0</v>
      </c>
      <c r="I154" s="1" cm="1">
        <f t="array" aca="1" ref="I154" ca="1">INDIRECT(CONCATENATE("'",$A$100,"'!g",B154),1)</f>
        <v>0</v>
      </c>
      <c r="J154" s="1" cm="1">
        <f t="array" aca="1" ref="J154" ca="1">INDIRECT(CONCATENATE("'",$A$100,"'!h",B154),1)</f>
        <v>0</v>
      </c>
      <c r="K154" s="1" cm="1">
        <f t="array" aca="1" ref="K154" ca="1">INDIRECT(CONCATENATE("'",$A$100,"'!i",B154),1)</f>
        <v>0</v>
      </c>
      <c r="L154" s="1" cm="1">
        <f t="array" aca="1" ref="L154" ca="1">INDIRECT(CONCATENATE("'",$A$100,"'!j",B154),1)</f>
        <v>0</v>
      </c>
      <c r="M154" s="1" cm="1">
        <f t="array" aca="1" ref="M154" ca="1">INDIRECT(CONCATENATE("'",$A$100,"'!k",B154),1)</f>
        <v>0</v>
      </c>
      <c r="N154" s="1" cm="1">
        <f t="array" aca="1" ref="N154" ca="1">INDIRECT(CONCATENATE("'",$A$100,"'!l",B154),1)</f>
        <v>0</v>
      </c>
      <c r="O154" s="1" cm="1">
        <f t="array" aca="1" ref="O154" ca="1">INDIRECT(CONCATENATE("'",$A$100,"'!m",B154),1)</f>
        <v>0</v>
      </c>
      <c r="P154" s="1" cm="1">
        <f t="array" aca="1" ref="P154" ca="1">INDIRECT(CONCATENATE("'",$A$100,"'!n",B154),1)</f>
        <v>0</v>
      </c>
      <c r="Q154" s="1" cm="1">
        <f t="array" aca="1" ref="Q154" ca="1">INDIRECT(CONCATENATE("'",$A$100,"'!o",B154),1)</f>
        <v>0</v>
      </c>
      <c r="R154" s="1" cm="1">
        <f t="array" aca="1" ref="R154" ca="1">INDIRECT(CONCATENATE("'",$A$100,"'!p",B154),1)</f>
        <v>0</v>
      </c>
      <c r="S154" s="1">
        <f t="shared" ca="1" si="10"/>
        <v>0</v>
      </c>
      <c r="T154" s="1" cm="1">
        <f t="array" aca="1" ref="T154" ca="1">INDIRECT(CONCATENATE("'",$A$100,"'!q",B154),1)</f>
        <v>0</v>
      </c>
      <c r="U154" s="1" cm="1">
        <f t="array" aca="1" ref="U154" ca="1">INDIRECT(CONCATENATE("'",$A$100,"'!r",B154),1)</f>
        <v>0</v>
      </c>
      <c r="V154" s="1" cm="1">
        <f t="array" aca="1" ref="V154" ca="1">INDIRECT(CONCATENATE("'",$A$100,"'!s",B154),1)</f>
        <v>0</v>
      </c>
      <c r="W154" s="1" cm="1">
        <f t="array" aca="1" ref="W154" ca="1">INDIRECT(CONCATENATE("'",$A$100,"'!t",B154),1)</f>
        <v>0</v>
      </c>
      <c r="X154" s="1" cm="1">
        <f t="array" aca="1" ref="X154" ca="1">INDIRECT(CONCATENATE("'",$A$100,"'!u",B154),1)</f>
        <v>0</v>
      </c>
      <c r="Y154" s="1" cm="1">
        <f t="array" aca="1" ref="Y154" ca="1">INDIRECT(CONCATENATE("'",$A$100,"'!v",B154),1)</f>
        <v>0</v>
      </c>
    </row>
    <row r="155" spans="1:25" customFormat="1" hidden="1" x14ac:dyDescent="0.25">
      <c r="A155" s="15"/>
      <c r="B155" s="24">
        <f t="shared" si="9"/>
        <v>57</v>
      </c>
      <c r="C155" s="1" cm="1">
        <f t="array" aca="1" ref="C155" ca="1">INDIRECT(CONCATENATE("'",$A$100,"'!A",B155),1)</f>
        <v>0</v>
      </c>
      <c r="D155" s="1" cm="1">
        <f t="array" aca="1" ref="D155" ca="1">INDIRECT(CONCATENATE("'",$A$100,"'!B",B155),1)</f>
        <v>0</v>
      </c>
      <c r="E155" s="1" cm="1">
        <f t="array" aca="1" ref="E155" ca="1">INDIRECT(CONCATENATE("'",$A$100,"'!c",B155),1)</f>
        <v>0</v>
      </c>
      <c r="F155" s="1" cm="1">
        <f t="array" aca="1" ref="F155" ca="1">INDIRECT(CONCATENATE("'",$A$100,"'!d",B155),1)</f>
        <v>0</v>
      </c>
      <c r="G155" s="1" cm="1">
        <f t="array" aca="1" ref="G155" ca="1">INDIRECT(CONCATENATE("'",$A$100,"'!e",B155),1)</f>
        <v>0</v>
      </c>
      <c r="H155" s="1" cm="1">
        <f t="array" aca="1" ref="H155" ca="1">INDIRECT(CONCATENATE("'",$A$100,"'!f",B155),1)</f>
        <v>0</v>
      </c>
      <c r="I155" s="1" cm="1">
        <f t="array" aca="1" ref="I155" ca="1">INDIRECT(CONCATENATE("'",$A$100,"'!g",B155),1)</f>
        <v>0</v>
      </c>
      <c r="J155" s="1" cm="1">
        <f t="array" aca="1" ref="J155" ca="1">INDIRECT(CONCATENATE("'",$A$100,"'!h",B155),1)</f>
        <v>0</v>
      </c>
      <c r="K155" s="1" cm="1">
        <f t="array" aca="1" ref="K155" ca="1">INDIRECT(CONCATENATE("'",$A$100,"'!i",B155),1)</f>
        <v>0</v>
      </c>
      <c r="L155" s="1" cm="1">
        <f t="array" aca="1" ref="L155" ca="1">INDIRECT(CONCATENATE("'",$A$100,"'!j",B155),1)</f>
        <v>0</v>
      </c>
      <c r="M155" s="1" cm="1">
        <f t="array" aca="1" ref="M155" ca="1">INDIRECT(CONCATENATE("'",$A$100,"'!k",B155),1)</f>
        <v>0</v>
      </c>
      <c r="N155" s="1" cm="1">
        <f t="array" aca="1" ref="N155" ca="1">INDIRECT(CONCATENATE("'",$A$100,"'!l",B155),1)</f>
        <v>0</v>
      </c>
      <c r="O155" s="1" cm="1">
        <f t="array" aca="1" ref="O155" ca="1">INDIRECT(CONCATENATE("'",$A$100,"'!m",B155),1)</f>
        <v>0</v>
      </c>
      <c r="P155" s="1" cm="1">
        <f t="array" aca="1" ref="P155" ca="1">INDIRECT(CONCATENATE("'",$A$100,"'!n",B155),1)</f>
        <v>0</v>
      </c>
      <c r="Q155" s="1" cm="1">
        <f t="array" aca="1" ref="Q155" ca="1">INDIRECT(CONCATENATE("'",$A$100,"'!o",B155),1)</f>
        <v>0</v>
      </c>
      <c r="R155" s="1" cm="1">
        <f t="array" aca="1" ref="R155" ca="1">INDIRECT(CONCATENATE("'",$A$100,"'!p",B155),1)</f>
        <v>0</v>
      </c>
      <c r="S155" s="1">
        <f t="shared" ca="1" si="10"/>
        <v>0</v>
      </c>
      <c r="T155" s="1" cm="1">
        <f t="array" aca="1" ref="T155" ca="1">INDIRECT(CONCATENATE("'",$A$100,"'!q",B155),1)</f>
        <v>0</v>
      </c>
      <c r="U155" s="1" cm="1">
        <f t="array" aca="1" ref="U155" ca="1">INDIRECT(CONCATENATE("'",$A$100,"'!r",B155),1)</f>
        <v>0</v>
      </c>
      <c r="V155" s="1" cm="1">
        <f t="array" aca="1" ref="V155" ca="1">INDIRECT(CONCATENATE("'",$A$100,"'!s",B155),1)</f>
        <v>0</v>
      </c>
      <c r="W155" s="1" cm="1">
        <f t="array" aca="1" ref="W155" ca="1">INDIRECT(CONCATENATE("'",$A$100,"'!t",B155),1)</f>
        <v>0</v>
      </c>
      <c r="X155" s="1" cm="1">
        <f t="array" aca="1" ref="X155" ca="1">INDIRECT(CONCATENATE("'",$A$100,"'!u",B155),1)</f>
        <v>0</v>
      </c>
      <c r="Y155" s="1" cm="1">
        <f t="array" aca="1" ref="Y155" ca="1">INDIRECT(CONCATENATE("'",$A$100,"'!v",B155),1)</f>
        <v>0</v>
      </c>
    </row>
    <row r="156" spans="1:25" customFormat="1" hidden="1" x14ac:dyDescent="0.25">
      <c r="A156" s="15"/>
      <c r="B156" s="24">
        <f t="shared" si="9"/>
        <v>58</v>
      </c>
      <c r="C156" s="1" cm="1">
        <f t="array" aca="1" ref="C156" ca="1">INDIRECT(CONCATENATE("'",$A$100,"'!A",B156),1)</f>
        <v>0</v>
      </c>
      <c r="D156" s="1" cm="1">
        <f t="array" aca="1" ref="D156" ca="1">INDIRECT(CONCATENATE("'",$A$100,"'!B",B156),1)</f>
        <v>0</v>
      </c>
      <c r="E156" s="1" cm="1">
        <f t="array" aca="1" ref="E156" ca="1">INDIRECT(CONCATENATE("'",$A$100,"'!c",B156),1)</f>
        <v>0</v>
      </c>
      <c r="F156" s="1" cm="1">
        <f t="array" aca="1" ref="F156" ca="1">INDIRECT(CONCATENATE("'",$A$100,"'!d",B156),1)</f>
        <v>0</v>
      </c>
      <c r="G156" s="1" cm="1">
        <f t="array" aca="1" ref="G156" ca="1">INDIRECT(CONCATENATE("'",$A$100,"'!e",B156),1)</f>
        <v>0</v>
      </c>
      <c r="H156" s="1" cm="1">
        <f t="array" aca="1" ref="H156" ca="1">INDIRECT(CONCATENATE("'",$A$100,"'!f",B156),1)</f>
        <v>0</v>
      </c>
      <c r="I156" s="1" cm="1">
        <f t="array" aca="1" ref="I156" ca="1">INDIRECT(CONCATENATE("'",$A$100,"'!g",B156),1)</f>
        <v>0</v>
      </c>
      <c r="J156" s="1" cm="1">
        <f t="array" aca="1" ref="J156" ca="1">INDIRECT(CONCATENATE("'",$A$100,"'!h",B156),1)</f>
        <v>0</v>
      </c>
      <c r="K156" s="1" cm="1">
        <f t="array" aca="1" ref="K156" ca="1">INDIRECT(CONCATENATE("'",$A$100,"'!i",B156),1)</f>
        <v>0</v>
      </c>
      <c r="L156" s="1" cm="1">
        <f t="array" aca="1" ref="L156" ca="1">INDIRECT(CONCATENATE("'",$A$100,"'!j",B156),1)</f>
        <v>0</v>
      </c>
      <c r="M156" s="1" cm="1">
        <f t="array" aca="1" ref="M156" ca="1">INDIRECT(CONCATENATE("'",$A$100,"'!k",B156),1)</f>
        <v>0</v>
      </c>
      <c r="N156" s="1" cm="1">
        <f t="array" aca="1" ref="N156" ca="1">INDIRECT(CONCATENATE("'",$A$100,"'!l",B156),1)</f>
        <v>0</v>
      </c>
      <c r="O156" s="1" cm="1">
        <f t="array" aca="1" ref="O156" ca="1">INDIRECT(CONCATENATE("'",$A$100,"'!m",B156),1)</f>
        <v>0</v>
      </c>
      <c r="P156" s="1" cm="1">
        <f t="array" aca="1" ref="P156" ca="1">INDIRECT(CONCATENATE("'",$A$100,"'!n",B156),1)</f>
        <v>0</v>
      </c>
      <c r="Q156" s="1" cm="1">
        <f t="array" aca="1" ref="Q156" ca="1">INDIRECT(CONCATENATE("'",$A$100,"'!o",B156),1)</f>
        <v>0</v>
      </c>
      <c r="R156" s="1" cm="1">
        <f t="array" aca="1" ref="R156" ca="1">INDIRECT(CONCATENATE("'",$A$100,"'!p",B156),1)</f>
        <v>0</v>
      </c>
      <c r="S156" s="1">
        <f t="shared" ca="1" si="10"/>
        <v>0</v>
      </c>
      <c r="T156" s="1" cm="1">
        <f t="array" aca="1" ref="T156" ca="1">INDIRECT(CONCATENATE("'",$A$100,"'!q",B156),1)</f>
        <v>0</v>
      </c>
      <c r="U156" s="1" cm="1">
        <f t="array" aca="1" ref="U156" ca="1">INDIRECT(CONCATENATE("'",$A$100,"'!r",B156),1)</f>
        <v>0</v>
      </c>
      <c r="V156" s="1" cm="1">
        <f t="array" aca="1" ref="V156" ca="1">INDIRECT(CONCATENATE("'",$A$100,"'!s",B156),1)</f>
        <v>0</v>
      </c>
      <c r="W156" s="1" cm="1">
        <f t="array" aca="1" ref="W156" ca="1">INDIRECT(CONCATENATE("'",$A$100,"'!t",B156),1)</f>
        <v>0</v>
      </c>
      <c r="X156" s="1" cm="1">
        <f t="array" aca="1" ref="X156" ca="1">INDIRECT(CONCATENATE("'",$A$100,"'!u",B156),1)</f>
        <v>0</v>
      </c>
      <c r="Y156" s="1" cm="1">
        <f t="array" aca="1" ref="Y156" ca="1">INDIRECT(CONCATENATE("'",$A$100,"'!v",B156),1)</f>
        <v>0</v>
      </c>
    </row>
    <row r="157" spans="1:25" customFormat="1" hidden="1" x14ac:dyDescent="0.25">
      <c r="A157" s="15"/>
      <c r="B157" s="24">
        <f t="shared" ref="B157:B165" si="11">B156+1</f>
        <v>59</v>
      </c>
      <c r="C157" s="1" cm="1">
        <f t="array" aca="1" ref="C157" ca="1">INDIRECT(CONCATENATE("'",$A$100,"'!A",B157),1)</f>
        <v>0</v>
      </c>
      <c r="D157" s="1" cm="1">
        <f t="array" aca="1" ref="D157" ca="1">INDIRECT(CONCATENATE("'",$A$100,"'!B",B157),1)</f>
        <v>0</v>
      </c>
      <c r="E157" s="1" cm="1">
        <f t="array" aca="1" ref="E157" ca="1">INDIRECT(CONCATENATE("'",$A$100,"'!c",B157),1)</f>
        <v>0</v>
      </c>
      <c r="F157" s="1" cm="1">
        <f t="array" aca="1" ref="F157" ca="1">INDIRECT(CONCATENATE("'",$A$100,"'!d",B157),1)</f>
        <v>0</v>
      </c>
      <c r="G157" s="1" cm="1">
        <f t="array" aca="1" ref="G157" ca="1">INDIRECT(CONCATENATE("'",$A$100,"'!e",B157),1)</f>
        <v>0</v>
      </c>
      <c r="H157" s="1" cm="1">
        <f t="array" aca="1" ref="H157" ca="1">INDIRECT(CONCATENATE("'",$A$100,"'!f",B157),1)</f>
        <v>0</v>
      </c>
      <c r="I157" s="1" cm="1">
        <f t="array" aca="1" ref="I157" ca="1">INDIRECT(CONCATENATE("'",$A$100,"'!g",B157),1)</f>
        <v>0</v>
      </c>
      <c r="J157" s="1" cm="1">
        <f t="array" aca="1" ref="J157" ca="1">INDIRECT(CONCATENATE("'",$A$100,"'!h",B157),1)</f>
        <v>0</v>
      </c>
      <c r="K157" s="1" cm="1">
        <f t="array" aca="1" ref="K157" ca="1">INDIRECT(CONCATENATE("'",$A$100,"'!i",B157),1)</f>
        <v>0</v>
      </c>
      <c r="L157" s="1" cm="1">
        <f t="array" aca="1" ref="L157" ca="1">INDIRECT(CONCATENATE("'",$A$100,"'!j",B157),1)</f>
        <v>0</v>
      </c>
      <c r="M157" s="1" cm="1">
        <f t="array" aca="1" ref="M157" ca="1">INDIRECT(CONCATENATE("'",$A$100,"'!k",B157),1)</f>
        <v>0</v>
      </c>
      <c r="N157" s="1" cm="1">
        <f t="array" aca="1" ref="N157" ca="1">INDIRECT(CONCATENATE("'",$A$100,"'!l",B157),1)</f>
        <v>0</v>
      </c>
      <c r="O157" s="1" cm="1">
        <f t="array" aca="1" ref="O157" ca="1">INDIRECT(CONCATENATE("'",$A$100,"'!m",B157),1)</f>
        <v>0</v>
      </c>
      <c r="P157" s="1" cm="1">
        <f t="array" aca="1" ref="P157" ca="1">INDIRECT(CONCATENATE("'",$A$100,"'!n",B157),1)</f>
        <v>0</v>
      </c>
      <c r="Q157" s="1" cm="1">
        <f t="array" aca="1" ref="Q157" ca="1">INDIRECT(CONCATENATE("'",$A$100,"'!o",B157),1)</f>
        <v>0</v>
      </c>
      <c r="R157" s="1" cm="1">
        <f t="array" aca="1" ref="R157" ca="1">INDIRECT(CONCATENATE("'",$A$100,"'!p",B157),1)</f>
        <v>0</v>
      </c>
      <c r="S157" s="1">
        <f t="shared" ref="S157:S165" ca="1" si="12">SUMIFS(U157,T157,$N$1)+SUMIFS(W157,V157,$N$1)+SUMIFS(Y157,X157,$N$1)</f>
        <v>0</v>
      </c>
      <c r="T157" s="1" cm="1">
        <f t="array" aca="1" ref="T157" ca="1">INDIRECT(CONCATENATE("'",$A$100,"'!q",B157),1)</f>
        <v>0</v>
      </c>
      <c r="U157" s="1" cm="1">
        <f t="array" aca="1" ref="U157" ca="1">INDIRECT(CONCATENATE("'",$A$100,"'!r",B157),1)</f>
        <v>0</v>
      </c>
      <c r="V157" s="1" cm="1">
        <f t="array" aca="1" ref="V157" ca="1">INDIRECT(CONCATENATE("'",$A$100,"'!s",B157),1)</f>
        <v>0</v>
      </c>
      <c r="W157" s="1" cm="1">
        <f t="array" aca="1" ref="W157" ca="1">INDIRECT(CONCATENATE("'",$A$100,"'!t",B157),1)</f>
        <v>0</v>
      </c>
      <c r="X157" s="1" cm="1">
        <f t="array" aca="1" ref="X157" ca="1">INDIRECT(CONCATENATE("'",$A$100,"'!u",B157),1)</f>
        <v>0</v>
      </c>
      <c r="Y157" s="1" cm="1">
        <f t="array" aca="1" ref="Y157" ca="1">INDIRECT(CONCATENATE("'",$A$100,"'!v",B157),1)</f>
        <v>0</v>
      </c>
    </row>
    <row r="158" spans="1:25" customFormat="1" hidden="1" x14ac:dyDescent="0.25">
      <c r="A158" s="15"/>
      <c r="B158" s="24">
        <f t="shared" si="11"/>
        <v>60</v>
      </c>
      <c r="C158" s="1" cm="1">
        <f t="array" aca="1" ref="C158" ca="1">INDIRECT(CONCATENATE("'",$A$100,"'!A",B158),1)</f>
        <v>0</v>
      </c>
      <c r="D158" s="1" cm="1">
        <f t="array" aca="1" ref="D158" ca="1">INDIRECT(CONCATENATE("'",$A$100,"'!B",B158),1)</f>
        <v>0</v>
      </c>
      <c r="E158" s="1" cm="1">
        <f t="array" aca="1" ref="E158" ca="1">INDIRECT(CONCATENATE("'",$A$100,"'!c",B158),1)</f>
        <v>0</v>
      </c>
      <c r="F158" s="1" cm="1">
        <f t="array" aca="1" ref="F158" ca="1">INDIRECT(CONCATENATE("'",$A$100,"'!d",B158),1)</f>
        <v>0</v>
      </c>
      <c r="G158" s="1" cm="1">
        <f t="array" aca="1" ref="G158" ca="1">INDIRECT(CONCATENATE("'",$A$100,"'!e",B158),1)</f>
        <v>0</v>
      </c>
      <c r="H158" s="1" cm="1">
        <f t="array" aca="1" ref="H158" ca="1">INDIRECT(CONCATENATE("'",$A$100,"'!f",B158),1)</f>
        <v>0</v>
      </c>
      <c r="I158" s="1" cm="1">
        <f t="array" aca="1" ref="I158" ca="1">INDIRECT(CONCATENATE("'",$A$100,"'!g",B158),1)</f>
        <v>0</v>
      </c>
      <c r="J158" s="1" cm="1">
        <f t="array" aca="1" ref="J158" ca="1">INDIRECT(CONCATENATE("'",$A$100,"'!h",B158),1)</f>
        <v>0</v>
      </c>
      <c r="K158" s="1" cm="1">
        <f t="array" aca="1" ref="K158" ca="1">INDIRECT(CONCATENATE("'",$A$100,"'!i",B158),1)</f>
        <v>0</v>
      </c>
      <c r="L158" s="1" cm="1">
        <f t="array" aca="1" ref="L158" ca="1">INDIRECT(CONCATENATE("'",$A$100,"'!j",B158),1)</f>
        <v>0</v>
      </c>
      <c r="M158" s="1" cm="1">
        <f t="array" aca="1" ref="M158" ca="1">INDIRECT(CONCATENATE("'",$A$100,"'!k",B158),1)</f>
        <v>0</v>
      </c>
      <c r="N158" s="1" cm="1">
        <f t="array" aca="1" ref="N158" ca="1">INDIRECT(CONCATENATE("'",$A$100,"'!l",B158),1)</f>
        <v>0</v>
      </c>
      <c r="O158" s="1" cm="1">
        <f t="array" aca="1" ref="O158" ca="1">INDIRECT(CONCATENATE("'",$A$100,"'!m",B158),1)</f>
        <v>0</v>
      </c>
      <c r="P158" s="1" cm="1">
        <f t="array" aca="1" ref="P158" ca="1">INDIRECT(CONCATENATE("'",$A$100,"'!n",B158),1)</f>
        <v>0</v>
      </c>
      <c r="Q158" s="1" cm="1">
        <f t="array" aca="1" ref="Q158" ca="1">INDIRECT(CONCATENATE("'",$A$100,"'!o",B158),1)</f>
        <v>0</v>
      </c>
      <c r="R158" s="1" cm="1">
        <f t="array" aca="1" ref="R158" ca="1">INDIRECT(CONCATENATE("'",$A$100,"'!p",B158),1)</f>
        <v>0</v>
      </c>
      <c r="S158" s="1">
        <f t="shared" ca="1" si="12"/>
        <v>0</v>
      </c>
      <c r="T158" s="1" cm="1">
        <f t="array" aca="1" ref="T158" ca="1">INDIRECT(CONCATENATE("'",$A$100,"'!q",B158),1)</f>
        <v>0</v>
      </c>
      <c r="U158" s="1" cm="1">
        <f t="array" aca="1" ref="U158" ca="1">INDIRECT(CONCATENATE("'",$A$100,"'!r",B158),1)</f>
        <v>0</v>
      </c>
      <c r="V158" s="1" cm="1">
        <f t="array" aca="1" ref="V158" ca="1">INDIRECT(CONCATENATE("'",$A$100,"'!s",B158),1)</f>
        <v>0</v>
      </c>
      <c r="W158" s="1" cm="1">
        <f t="array" aca="1" ref="W158" ca="1">INDIRECT(CONCATENATE("'",$A$100,"'!t",B158),1)</f>
        <v>0</v>
      </c>
      <c r="X158" s="1" cm="1">
        <f t="array" aca="1" ref="X158" ca="1">INDIRECT(CONCATENATE("'",$A$100,"'!u",B158),1)</f>
        <v>0</v>
      </c>
      <c r="Y158" s="1" cm="1">
        <f t="array" aca="1" ref="Y158" ca="1">INDIRECT(CONCATENATE("'",$A$100,"'!v",B158),1)</f>
        <v>0</v>
      </c>
    </row>
    <row r="159" spans="1:25" customFormat="1" hidden="1" x14ac:dyDescent="0.25">
      <c r="A159" s="15"/>
      <c r="B159" s="24">
        <f t="shared" si="11"/>
        <v>61</v>
      </c>
      <c r="C159" s="1" cm="1">
        <f t="array" aca="1" ref="C159" ca="1">INDIRECT(CONCATENATE("'",$A$100,"'!A",B159),1)</f>
        <v>0</v>
      </c>
      <c r="D159" s="1" cm="1">
        <f t="array" aca="1" ref="D159" ca="1">INDIRECT(CONCATENATE("'",$A$100,"'!B",B159),1)</f>
        <v>0</v>
      </c>
      <c r="E159" s="1" cm="1">
        <f t="array" aca="1" ref="E159" ca="1">INDIRECT(CONCATENATE("'",$A$100,"'!c",B159),1)</f>
        <v>0</v>
      </c>
      <c r="F159" s="1" cm="1">
        <f t="array" aca="1" ref="F159" ca="1">INDIRECT(CONCATENATE("'",$A$100,"'!d",B159),1)</f>
        <v>0</v>
      </c>
      <c r="G159" s="1" cm="1">
        <f t="array" aca="1" ref="G159" ca="1">INDIRECT(CONCATENATE("'",$A$100,"'!e",B159),1)</f>
        <v>0</v>
      </c>
      <c r="H159" s="1" cm="1">
        <f t="array" aca="1" ref="H159" ca="1">INDIRECT(CONCATENATE("'",$A$100,"'!f",B159),1)</f>
        <v>0</v>
      </c>
      <c r="I159" s="1" cm="1">
        <f t="array" aca="1" ref="I159" ca="1">INDIRECT(CONCATENATE("'",$A$100,"'!g",B159),1)</f>
        <v>0</v>
      </c>
      <c r="J159" s="1" cm="1">
        <f t="array" aca="1" ref="J159" ca="1">INDIRECT(CONCATENATE("'",$A$100,"'!h",B159),1)</f>
        <v>0</v>
      </c>
      <c r="K159" s="1" cm="1">
        <f t="array" aca="1" ref="K159" ca="1">INDIRECT(CONCATENATE("'",$A$100,"'!i",B159),1)</f>
        <v>0</v>
      </c>
      <c r="L159" s="1" cm="1">
        <f t="array" aca="1" ref="L159" ca="1">INDIRECT(CONCATENATE("'",$A$100,"'!j",B159),1)</f>
        <v>0</v>
      </c>
      <c r="M159" s="1" cm="1">
        <f t="array" aca="1" ref="M159" ca="1">INDIRECT(CONCATENATE("'",$A$100,"'!k",B159),1)</f>
        <v>0</v>
      </c>
      <c r="N159" s="1" cm="1">
        <f t="array" aca="1" ref="N159" ca="1">INDIRECT(CONCATENATE("'",$A$100,"'!l",B159),1)</f>
        <v>0</v>
      </c>
      <c r="O159" s="1" cm="1">
        <f t="array" aca="1" ref="O159" ca="1">INDIRECT(CONCATENATE("'",$A$100,"'!m",B159),1)</f>
        <v>0</v>
      </c>
      <c r="P159" s="1" cm="1">
        <f t="array" aca="1" ref="P159" ca="1">INDIRECT(CONCATENATE("'",$A$100,"'!n",B159),1)</f>
        <v>0</v>
      </c>
      <c r="Q159" s="1" cm="1">
        <f t="array" aca="1" ref="Q159" ca="1">INDIRECT(CONCATENATE("'",$A$100,"'!o",B159),1)</f>
        <v>0</v>
      </c>
      <c r="R159" s="1" cm="1">
        <f t="array" aca="1" ref="R159" ca="1">INDIRECT(CONCATENATE("'",$A$100,"'!p",B159),1)</f>
        <v>0</v>
      </c>
      <c r="S159" s="1">
        <f t="shared" ca="1" si="12"/>
        <v>0</v>
      </c>
      <c r="T159" s="1" cm="1">
        <f t="array" aca="1" ref="T159" ca="1">INDIRECT(CONCATENATE("'",$A$100,"'!q",B159),1)</f>
        <v>0</v>
      </c>
      <c r="U159" s="1" cm="1">
        <f t="array" aca="1" ref="U159" ca="1">INDIRECT(CONCATENATE("'",$A$100,"'!r",B159),1)</f>
        <v>0</v>
      </c>
      <c r="V159" s="1" cm="1">
        <f t="array" aca="1" ref="V159" ca="1">INDIRECT(CONCATENATE("'",$A$100,"'!s",B159),1)</f>
        <v>0</v>
      </c>
      <c r="W159" s="1" cm="1">
        <f t="array" aca="1" ref="W159" ca="1">INDIRECT(CONCATENATE("'",$A$100,"'!t",B159),1)</f>
        <v>0</v>
      </c>
      <c r="X159" s="1" cm="1">
        <f t="array" aca="1" ref="X159" ca="1">INDIRECT(CONCATENATE("'",$A$100,"'!u",B159),1)</f>
        <v>0</v>
      </c>
      <c r="Y159" s="1" cm="1">
        <f t="array" aca="1" ref="Y159" ca="1">INDIRECT(CONCATENATE("'",$A$100,"'!v",B159),1)</f>
        <v>0</v>
      </c>
    </row>
    <row r="160" spans="1:25" customFormat="1" hidden="1" x14ac:dyDescent="0.25">
      <c r="A160" s="15"/>
      <c r="B160" s="24">
        <f t="shared" si="11"/>
        <v>62</v>
      </c>
      <c r="C160" s="1" cm="1">
        <f t="array" aca="1" ref="C160" ca="1">INDIRECT(CONCATENATE("'",$A$100,"'!A",B160),1)</f>
        <v>0</v>
      </c>
      <c r="D160" s="1" cm="1">
        <f t="array" aca="1" ref="D160" ca="1">INDIRECT(CONCATENATE("'",$A$100,"'!B",B160),1)</f>
        <v>0</v>
      </c>
      <c r="E160" s="1" cm="1">
        <f t="array" aca="1" ref="E160" ca="1">INDIRECT(CONCATENATE("'",$A$100,"'!c",B160),1)</f>
        <v>0</v>
      </c>
      <c r="F160" s="1" cm="1">
        <f t="array" aca="1" ref="F160" ca="1">INDIRECT(CONCATENATE("'",$A$100,"'!d",B160),1)</f>
        <v>0</v>
      </c>
      <c r="G160" s="1" cm="1">
        <f t="array" aca="1" ref="G160" ca="1">INDIRECT(CONCATENATE("'",$A$100,"'!e",B160),1)</f>
        <v>0</v>
      </c>
      <c r="H160" s="1" cm="1">
        <f t="array" aca="1" ref="H160" ca="1">INDIRECT(CONCATENATE("'",$A$100,"'!f",B160),1)</f>
        <v>0</v>
      </c>
      <c r="I160" s="1" cm="1">
        <f t="array" aca="1" ref="I160" ca="1">INDIRECT(CONCATENATE("'",$A$100,"'!g",B160),1)</f>
        <v>0</v>
      </c>
      <c r="J160" s="1" cm="1">
        <f t="array" aca="1" ref="J160" ca="1">INDIRECT(CONCATENATE("'",$A$100,"'!h",B160),1)</f>
        <v>0</v>
      </c>
      <c r="K160" s="1" cm="1">
        <f t="array" aca="1" ref="K160" ca="1">INDIRECT(CONCATENATE("'",$A$100,"'!i",B160),1)</f>
        <v>0</v>
      </c>
      <c r="L160" s="1" cm="1">
        <f t="array" aca="1" ref="L160" ca="1">INDIRECT(CONCATENATE("'",$A$100,"'!j",B160),1)</f>
        <v>0</v>
      </c>
      <c r="M160" s="1" cm="1">
        <f t="array" aca="1" ref="M160" ca="1">INDIRECT(CONCATENATE("'",$A$100,"'!k",B160),1)</f>
        <v>0</v>
      </c>
      <c r="N160" s="1" cm="1">
        <f t="array" aca="1" ref="N160" ca="1">INDIRECT(CONCATENATE("'",$A$100,"'!l",B160),1)</f>
        <v>0</v>
      </c>
      <c r="O160" s="1" cm="1">
        <f t="array" aca="1" ref="O160" ca="1">INDIRECT(CONCATENATE("'",$A$100,"'!m",B160),1)</f>
        <v>0</v>
      </c>
      <c r="P160" s="1" cm="1">
        <f t="array" aca="1" ref="P160" ca="1">INDIRECT(CONCATENATE("'",$A$100,"'!n",B160),1)</f>
        <v>0</v>
      </c>
      <c r="Q160" s="1" cm="1">
        <f t="array" aca="1" ref="Q160" ca="1">INDIRECT(CONCATENATE("'",$A$100,"'!o",B160),1)</f>
        <v>0</v>
      </c>
      <c r="R160" s="1" cm="1">
        <f t="array" aca="1" ref="R160" ca="1">INDIRECT(CONCATENATE("'",$A$100,"'!p",B160),1)</f>
        <v>0</v>
      </c>
      <c r="S160" s="1">
        <f t="shared" ca="1" si="12"/>
        <v>0</v>
      </c>
      <c r="T160" s="1" cm="1">
        <f t="array" aca="1" ref="T160" ca="1">INDIRECT(CONCATENATE("'",$A$100,"'!q",B160),1)</f>
        <v>0</v>
      </c>
      <c r="U160" s="1" cm="1">
        <f t="array" aca="1" ref="U160" ca="1">INDIRECT(CONCATENATE("'",$A$100,"'!r",B160),1)</f>
        <v>0</v>
      </c>
      <c r="V160" s="1" cm="1">
        <f t="array" aca="1" ref="V160" ca="1">INDIRECT(CONCATENATE("'",$A$100,"'!s",B160),1)</f>
        <v>0</v>
      </c>
      <c r="W160" s="1" cm="1">
        <f t="array" aca="1" ref="W160" ca="1">INDIRECT(CONCATENATE("'",$A$100,"'!t",B160),1)</f>
        <v>0</v>
      </c>
      <c r="X160" s="1" cm="1">
        <f t="array" aca="1" ref="X160" ca="1">INDIRECT(CONCATENATE("'",$A$100,"'!u",B160),1)</f>
        <v>0</v>
      </c>
      <c r="Y160" s="1" cm="1">
        <f t="array" aca="1" ref="Y160" ca="1">INDIRECT(CONCATENATE("'",$A$100,"'!v",B160),1)</f>
        <v>0</v>
      </c>
    </row>
    <row r="161" spans="1:25" customFormat="1" ht="41.25" hidden="1" customHeight="1" x14ac:dyDescent="0.25">
      <c r="A161" s="15"/>
      <c r="B161" s="24">
        <f t="shared" si="11"/>
        <v>63</v>
      </c>
      <c r="C161" s="1" cm="1">
        <f t="array" aca="1" ref="C161" ca="1">INDIRECT(CONCATENATE("'",$A$100,"'!A",B161),1)</f>
        <v>0</v>
      </c>
      <c r="D161" s="1" cm="1">
        <f t="array" aca="1" ref="D161" ca="1">INDIRECT(CONCATENATE("'",$A$100,"'!B",B161),1)</f>
        <v>0</v>
      </c>
      <c r="E161" s="1" cm="1">
        <f t="array" aca="1" ref="E161" ca="1">INDIRECT(CONCATENATE("'",$A$100,"'!c",B161),1)</f>
        <v>0</v>
      </c>
      <c r="F161" s="1" cm="1">
        <f t="array" aca="1" ref="F161" ca="1">INDIRECT(CONCATENATE("'",$A$100,"'!d",B161),1)</f>
        <v>0</v>
      </c>
      <c r="G161" s="1" cm="1">
        <f t="array" aca="1" ref="G161" ca="1">INDIRECT(CONCATENATE("'",$A$100,"'!e",B161),1)</f>
        <v>0</v>
      </c>
      <c r="H161" s="1" cm="1">
        <f t="array" aca="1" ref="H161" ca="1">INDIRECT(CONCATENATE("'",$A$100,"'!f",B161),1)</f>
        <v>0</v>
      </c>
      <c r="I161" s="1" cm="1">
        <f t="array" aca="1" ref="I161" ca="1">INDIRECT(CONCATENATE("'",$A$100,"'!g",B161),1)</f>
        <v>0</v>
      </c>
      <c r="J161" s="1" cm="1">
        <f t="array" aca="1" ref="J161" ca="1">INDIRECT(CONCATENATE("'",$A$100,"'!h",B161),1)</f>
        <v>0</v>
      </c>
      <c r="K161" s="1" cm="1">
        <f t="array" aca="1" ref="K161" ca="1">INDIRECT(CONCATENATE("'",$A$100,"'!i",B161),1)</f>
        <v>0</v>
      </c>
      <c r="L161" s="1" cm="1">
        <f t="array" aca="1" ref="L161" ca="1">INDIRECT(CONCATENATE("'",$A$100,"'!j",B161),1)</f>
        <v>0</v>
      </c>
      <c r="M161" s="1" cm="1">
        <f t="array" aca="1" ref="M161" ca="1">INDIRECT(CONCATENATE("'",$A$100,"'!k",B161),1)</f>
        <v>0</v>
      </c>
      <c r="N161" s="1" cm="1">
        <f t="array" aca="1" ref="N161" ca="1">INDIRECT(CONCATENATE("'",$A$100,"'!l",B161),1)</f>
        <v>0</v>
      </c>
      <c r="O161" s="1" cm="1">
        <f t="array" aca="1" ref="O161" ca="1">INDIRECT(CONCATENATE("'",$A$100,"'!m",B161),1)</f>
        <v>0</v>
      </c>
      <c r="P161" s="1" cm="1">
        <f t="array" aca="1" ref="P161" ca="1">INDIRECT(CONCATENATE("'",$A$100,"'!n",B161),1)</f>
        <v>0</v>
      </c>
      <c r="Q161" s="1" cm="1">
        <f t="array" aca="1" ref="Q161" ca="1">INDIRECT(CONCATENATE("'",$A$100,"'!o",B161),1)</f>
        <v>0</v>
      </c>
      <c r="R161" s="1" cm="1">
        <f t="array" aca="1" ref="R161" ca="1">INDIRECT(CONCATENATE("'",$A$100,"'!p",B161),1)</f>
        <v>0</v>
      </c>
      <c r="S161" s="1">
        <f t="shared" ca="1" si="12"/>
        <v>0</v>
      </c>
      <c r="T161" s="1" cm="1">
        <f t="array" aca="1" ref="T161" ca="1">INDIRECT(CONCATENATE("'",$A$100,"'!q",B161),1)</f>
        <v>0</v>
      </c>
      <c r="U161" s="1" cm="1">
        <f t="array" aca="1" ref="U161" ca="1">INDIRECT(CONCATENATE("'",$A$100,"'!r",B161),1)</f>
        <v>0</v>
      </c>
      <c r="V161" s="1" cm="1">
        <f t="array" aca="1" ref="V161" ca="1">INDIRECT(CONCATENATE("'",$A$100,"'!s",B161),1)</f>
        <v>0</v>
      </c>
      <c r="W161" s="1" cm="1">
        <f t="array" aca="1" ref="W161" ca="1">INDIRECT(CONCATENATE("'",$A$100,"'!t",B161),1)</f>
        <v>0</v>
      </c>
      <c r="X161" s="1" cm="1">
        <f t="array" aca="1" ref="X161" ca="1">INDIRECT(CONCATENATE("'",$A$100,"'!u",B161),1)</f>
        <v>0</v>
      </c>
      <c r="Y161" s="1" cm="1">
        <f t="array" aca="1" ref="Y161" ca="1">INDIRECT(CONCATENATE("'",$A$100,"'!v",B161),1)</f>
        <v>0</v>
      </c>
    </row>
    <row r="162" spans="1:25" customFormat="1" ht="41.25" hidden="1" customHeight="1" x14ac:dyDescent="0.25">
      <c r="A162" s="15"/>
      <c r="B162" s="24">
        <f t="shared" si="11"/>
        <v>64</v>
      </c>
      <c r="C162" s="1" cm="1">
        <f t="array" aca="1" ref="C162" ca="1">INDIRECT(CONCATENATE("'",$A$100,"'!A",B162),1)</f>
        <v>0</v>
      </c>
      <c r="D162" s="1" cm="1">
        <f t="array" aca="1" ref="D162" ca="1">INDIRECT(CONCATENATE("'",$A$100,"'!B",B162),1)</f>
        <v>0</v>
      </c>
      <c r="E162" s="1" cm="1">
        <f t="array" aca="1" ref="E162" ca="1">INDIRECT(CONCATENATE("'",$A$100,"'!c",B162),1)</f>
        <v>0</v>
      </c>
      <c r="F162" s="1" cm="1">
        <f t="array" aca="1" ref="F162" ca="1">INDIRECT(CONCATENATE("'",$A$100,"'!d",B162),1)</f>
        <v>0</v>
      </c>
      <c r="G162" s="1" cm="1">
        <f t="array" aca="1" ref="G162" ca="1">INDIRECT(CONCATENATE("'",$A$100,"'!e",B162),1)</f>
        <v>0</v>
      </c>
      <c r="H162" s="1" cm="1">
        <f t="array" aca="1" ref="H162" ca="1">INDIRECT(CONCATENATE("'",$A$100,"'!f",B162),1)</f>
        <v>0</v>
      </c>
      <c r="I162" s="1" cm="1">
        <f t="array" aca="1" ref="I162" ca="1">INDIRECT(CONCATENATE("'",$A$100,"'!g",B162),1)</f>
        <v>0</v>
      </c>
      <c r="J162" s="1" cm="1">
        <f t="array" aca="1" ref="J162" ca="1">INDIRECT(CONCATENATE("'",$A$100,"'!h",B162),1)</f>
        <v>0</v>
      </c>
      <c r="K162" s="1" cm="1">
        <f t="array" aca="1" ref="K162" ca="1">INDIRECT(CONCATENATE("'",$A$100,"'!i",B162),1)</f>
        <v>0</v>
      </c>
      <c r="L162" s="1" cm="1">
        <f t="array" aca="1" ref="L162" ca="1">INDIRECT(CONCATENATE("'",$A$100,"'!j",B162),1)</f>
        <v>0</v>
      </c>
      <c r="M162" s="1" cm="1">
        <f t="array" aca="1" ref="M162" ca="1">INDIRECT(CONCATENATE("'",$A$100,"'!k",B162),1)</f>
        <v>0</v>
      </c>
      <c r="N162" s="1" cm="1">
        <f t="array" aca="1" ref="N162" ca="1">INDIRECT(CONCATENATE("'",$A$100,"'!l",B162),1)</f>
        <v>0</v>
      </c>
      <c r="O162" s="1" cm="1">
        <f t="array" aca="1" ref="O162" ca="1">INDIRECT(CONCATENATE("'",$A$100,"'!m",B162),1)</f>
        <v>0</v>
      </c>
      <c r="P162" s="1" cm="1">
        <f t="array" aca="1" ref="P162" ca="1">INDIRECT(CONCATENATE("'",$A$100,"'!n",B162),1)</f>
        <v>0</v>
      </c>
      <c r="Q162" s="1" cm="1">
        <f t="array" aca="1" ref="Q162" ca="1">INDIRECT(CONCATENATE("'",$A$100,"'!o",B162),1)</f>
        <v>0</v>
      </c>
      <c r="R162" s="1" cm="1">
        <f t="array" aca="1" ref="R162" ca="1">INDIRECT(CONCATENATE("'",$A$100,"'!p",B162),1)</f>
        <v>0</v>
      </c>
      <c r="S162" s="1">
        <f t="shared" ca="1" si="12"/>
        <v>0</v>
      </c>
      <c r="T162" s="1" cm="1">
        <f t="array" aca="1" ref="T162" ca="1">INDIRECT(CONCATENATE("'",$A$100,"'!q",B162),1)</f>
        <v>0</v>
      </c>
      <c r="U162" s="1" cm="1">
        <f t="array" aca="1" ref="U162" ca="1">INDIRECT(CONCATENATE("'",$A$100,"'!r",B162),1)</f>
        <v>0</v>
      </c>
      <c r="V162" s="1" cm="1">
        <f t="array" aca="1" ref="V162" ca="1">INDIRECT(CONCATENATE("'",$A$100,"'!s",B162),1)</f>
        <v>0</v>
      </c>
      <c r="W162" s="1" cm="1">
        <f t="array" aca="1" ref="W162" ca="1">INDIRECT(CONCATENATE("'",$A$100,"'!t",B162),1)</f>
        <v>0</v>
      </c>
      <c r="X162" s="1" cm="1">
        <f t="array" aca="1" ref="X162" ca="1">INDIRECT(CONCATENATE("'",$A$100,"'!u",B162),1)</f>
        <v>0</v>
      </c>
      <c r="Y162" s="1" cm="1">
        <f t="array" aca="1" ref="Y162" ca="1">INDIRECT(CONCATENATE("'",$A$100,"'!v",B162),1)</f>
        <v>0</v>
      </c>
    </row>
    <row r="163" spans="1:25" customFormat="1" hidden="1" x14ac:dyDescent="0.25">
      <c r="A163" s="15"/>
      <c r="B163" s="24">
        <f t="shared" si="11"/>
        <v>65</v>
      </c>
      <c r="C163" s="1" cm="1">
        <f t="array" aca="1" ref="C163" ca="1">INDIRECT(CONCATENATE("'",$A$100,"'!A",B163),1)</f>
        <v>0</v>
      </c>
      <c r="D163" s="1" cm="1">
        <f t="array" aca="1" ref="D163" ca="1">INDIRECT(CONCATENATE("'",$A$100,"'!B",B163),1)</f>
        <v>0</v>
      </c>
      <c r="E163" s="1" cm="1">
        <f t="array" aca="1" ref="E163" ca="1">INDIRECT(CONCATENATE("'",$A$100,"'!c",B163),1)</f>
        <v>0</v>
      </c>
      <c r="F163" s="1" cm="1">
        <f t="array" aca="1" ref="F163" ca="1">INDIRECT(CONCATENATE("'",$A$100,"'!d",B163),1)</f>
        <v>0</v>
      </c>
      <c r="G163" s="1" cm="1">
        <f t="array" aca="1" ref="G163" ca="1">INDIRECT(CONCATENATE("'",$A$100,"'!e",B163),1)</f>
        <v>0</v>
      </c>
      <c r="H163" s="1" cm="1">
        <f t="array" aca="1" ref="H163" ca="1">INDIRECT(CONCATENATE("'",$A$100,"'!f",B163),1)</f>
        <v>0</v>
      </c>
      <c r="I163" s="1" cm="1">
        <f t="array" aca="1" ref="I163" ca="1">INDIRECT(CONCATENATE("'",$A$100,"'!g",B163),1)</f>
        <v>0</v>
      </c>
      <c r="J163" s="1" cm="1">
        <f t="array" aca="1" ref="J163" ca="1">INDIRECT(CONCATENATE("'",$A$100,"'!h",B163),1)</f>
        <v>0</v>
      </c>
      <c r="K163" s="1" cm="1">
        <f t="array" aca="1" ref="K163" ca="1">INDIRECT(CONCATENATE("'",$A$100,"'!i",B163),1)</f>
        <v>0</v>
      </c>
      <c r="L163" s="1" cm="1">
        <f t="array" aca="1" ref="L163" ca="1">INDIRECT(CONCATENATE("'",$A$100,"'!j",B163),1)</f>
        <v>0</v>
      </c>
      <c r="M163" s="1" cm="1">
        <f t="array" aca="1" ref="M163" ca="1">INDIRECT(CONCATENATE("'",$A$100,"'!k",B163),1)</f>
        <v>0</v>
      </c>
      <c r="N163" s="1" cm="1">
        <f t="array" aca="1" ref="N163" ca="1">INDIRECT(CONCATENATE("'",$A$100,"'!l",B163),1)</f>
        <v>0</v>
      </c>
      <c r="O163" s="1" cm="1">
        <f t="array" aca="1" ref="O163" ca="1">INDIRECT(CONCATENATE("'",$A$100,"'!m",B163),1)</f>
        <v>0</v>
      </c>
      <c r="P163" s="1" cm="1">
        <f t="array" aca="1" ref="P163" ca="1">INDIRECT(CONCATENATE("'",$A$100,"'!n",B163),1)</f>
        <v>0</v>
      </c>
      <c r="Q163" s="1" cm="1">
        <f t="array" aca="1" ref="Q163" ca="1">INDIRECT(CONCATENATE("'",$A$100,"'!o",B163),1)</f>
        <v>0</v>
      </c>
      <c r="R163" s="1" cm="1">
        <f t="array" aca="1" ref="R163" ca="1">INDIRECT(CONCATENATE("'",$A$100,"'!p",B163),1)</f>
        <v>0</v>
      </c>
      <c r="S163" s="1">
        <f t="shared" ca="1" si="12"/>
        <v>0</v>
      </c>
      <c r="T163" s="1" cm="1">
        <f t="array" aca="1" ref="T163" ca="1">INDIRECT(CONCATENATE("'",$A$100,"'!q",B163),1)</f>
        <v>0</v>
      </c>
      <c r="U163" s="1" cm="1">
        <f t="array" aca="1" ref="U163" ca="1">INDIRECT(CONCATENATE("'",$A$100,"'!r",B163),1)</f>
        <v>0</v>
      </c>
      <c r="V163" s="1" cm="1">
        <f t="array" aca="1" ref="V163" ca="1">INDIRECT(CONCATENATE("'",$A$100,"'!s",B163),1)</f>
        <v>0</v>
      </c>
      <c r="W163" s="1" cm="1">
        <f t="array" aca="1" ref="W163" ca="1">INDIRECT(CONCATENATE("'",$A$100,"'!t",B163),1)</f>
        <v>0</v>
      </c>
      <c r="X163" s="1" cm="1">
        <f t="array" aca="1" ref="X163" ca="1">INDIRECT(CONCATENATE("'",$A$100,"'!u",B163),1)</f>
        <v>0</v>
      </c>
      <c r="Y163" s="1" cm="1">
        <f t="array" aca="1" ref="Y163" ca="1">INDIRECT(CONCATENATE("'",$A$100,"'!v",B163),1)</f>
        <v>0</v>
      </c>
    </row>
    <row r="164" spans="1:25" customFormat="1" hidden="1" x14ac:dyDescent="0.25">
      <c r="A164" s="15"/>
      <c r="B164" s="24">
        <f t="shared" si="11"/>
        <v>66</v>
      </c>
      <c r="C164" s="1" cm="1">
        <f t="array" aca="1" ref="C164" ca="1">INDIRECT(CONCATENATE("'",$A$100,"'!A",B164),1)</f>
        <v>0</v>
      </c>
      <c r="D164" s="1" cm="1">
        <f t="array" aca="1" ref="D164" ca="1">INDIRECT(CONCATENATE("'",$A$100,"'!B",B164),1)</f>
        <v>0</v>
      </c>
      <c r="E164" s="1" cm="1">
        <f t="array" aca="1" ref="E164" ca="1">INDIRECT(CONCATENATE("'",$A$100,"'!c",B164),1)</f>
        <v>0</v>
      </c>
      <c r="F164" s="1" cm="1">
        <f t="array" aca="1" ref="F164" ca="1">INDIRECT(CONCATENATE("'",$A$100,"'!d",B164),1)</f>
        <v>0</v>
      </c>
      <c r="G164" s="1" cm="1">
        <f t="array" aca="1" ref="G164" ca="1">INDIRECT(CONCATENATE("'",$A$100,"'!e",B164),1)</f>
        <v>0</v>
      </c>
      <c r="H164" s="1" cm="1">
        <f t="array" aca="1" ref="H164" ca="1">INDIRECT(CONCATENATE("'",$A$100,"'!f",B164),1)</f>
        <v>0</v>
      </c>
      <c r="I164" s="1" cm="1">
        <f t="array" aca="1" ref="I164" ca="1">INDIRECT(CONCATENATE("'",$A$100,"'!g",B164),1)</f>
        <v>0</v>
      </c>
      <c r="J164" s="1" cm="1">
        <f t="array" aca="1" ref="J164" ca="1">INDIRECT(CONCATENATE("'",$A$100,"'!h",B164),1)</f>
        <v>0</v>
      </c>
      <c r="K164" s="1" cm="1">
        <f t="array" aca="1" ref="K164" ca="1">INDIRECT(CONCATENATE("'",$A$100,"'!i",B164),1)</f>
        <v>0</v>
      </c>
      <c r="L164" s="1" cm="1">
        <f t="array" aca="1" ref="L164" ca="1">INDIRECT(CONCATENATE("'",$A$100,"'!j",B164),1)</f>
        <v>0</v>
      </c>
      <c r="M164" s="1" cm="1">
        <f t="array" aca="1" ref="M164" ca="1">INDIRECT(CONCATENATE("'",$A$100,"'!k",B164),1)</f>
        <v>0</v>
      </c>
      <c r="N164" s="1" cm="1">
        <f t="array" aca="1" ref="N164" ca="1">INDIRECT(CONCATENATE("'",$A$100,"'!l",B164),1)</f>
        <v>0</v>
      </c>
      <c r="O164" s="1" cm="1">
        <f t="array" aca="1" ref="O164" ca="1">INDIRECT(CONCATENATE("'",$A$100,"'!m",B164),1)</f>
        <v>0</v>
      </c>
      <c r="P164" s="1" cm="1">
        <f t="array" aca="1" ref="P164" ca="1">INDIRECT(CONCATENATE("'",$A$100,"'!n",B164),1)</f>
        <v>0</v>
      </c>
      <c r="Q164" s="1" cm="1">
        <f t="array" aca="1" ref="Q164" ca="1">INDIRECT(CONCATENATE("'",$A$100,"'!o",B164),1)</f>
        <v>0</v>
      </c>
      <c r="R164" s="1" cm="1">
        <f t="array" aca="1" ref="R164" ca="1">INDIRECT(CONCATENATE("'",$A$100,"'!p",B164),1)</f>
        <v>0</v>
      </c>
      <c r="S164" s="1">
        <f t="shared" ca="1" si="12"/>
        <v>0</v>
      </c>
      <c r="T164" s="1" cm="1">
        <f t="array" aca="1" ref="T164" ca="1">INDIRECT(CONCATENATE("'",$A$100,"'!q",B164),1)</f>
        <v>0</v>
      </c>
      <c r="U164" s="1" cm="1">
        <f t="array" aca="1" ref="U164" ca="1">INDIRECT(CONCATENATE("'",$A$100,"'!r",B164),1)</f>
        <v>0</v>
      </c>
      <c r="V164" s="1" cm="1">
        <f t="array" aca="1" ref="V164" ca="1">INDIRECT(CONCATENATE("'",$A$100,"'!s",B164),1)</f>
        <v>0</v>
      </c>
      <c r="W164" s="1" cm="1">
        <f t="array" aca="1" ref="W164" ca="1">INDIRECT(CONCATENATE("'",$A$100,"'!t",B164),1)</f>
        <v>0</v>
      </c>
      <c r="X164" s="1" cm="1">
        <f t="array" aca="1" ref="X164" ca="1">INDIRECT(CONCATENATE("'",$A$100,"'!u",B164),1)</f>
        <v>0</v>
      </c>
      <c r="Y164" s="1" cm="1">
        <f t="array" aca="1" ref="Y164" ca="1">INDIRECT(CONCATENATE("'",$A$100,"'!v",B164),1)</f>
        <v>0</v>
      </c>
    </row>
    <row r="165" spans="1:25" customFormat="1" hidden="1" x14ac:dyDescent="0.25">
      <c r="A165" s="15"/>
      <c r="B165" s="24">
        <f t="shared" si="11"/>
        <v>67</v>
      </c>
      <c r="C165" s="1" cm="1">
        <f t="array" aca="1" ref="C165" ca="1">INDIRECT(CONCATENATE("'",$A$100,"'!A",B165),1)</f>
        <v>0</v>
      </c>
      <c r="D165" s="1" cm="1">
        <f t="array" aca="1" ref="D165" ca="1">INDIRECT(CONCATENATE("'",$A$100,"'!B",B165),1)</f>
        <v>0</v>
      </c>
      <c r="E165" s="1" cm="1">
        <f t="array" aca="1" ref="E165" ca="1">INDIRECT(CONCATENATE("'",$A$100,"'!c",B165),1)</f>
        <v>0</v>
      </c>
      <c r="F165" s="1" cm="1">
        <f t="array" aca="1" ref="F165" ca="1">INDIRECT(CONCATENATE("'",$A$100,"'!d",B165),1)</f>
        <v>0</v>
      </c>
      <c r="G165" s="1" cm="1">
        <f t="array" aca="1" ref="G165" ca="1">INDIRECT(CONCATENATE("'",$A$100,"'!e",B165),1)</f>
        <v>0</v>
      </c>
      <c r="H165" s="1" cm="1">
        <f t="array" aca="1" ref="H165" ca="1">INDIRECT(CONCATENATE("'",$A$100,"'!f",B165),1)</f>
        <v>0</v>
      </c>
      <c r="I165" s="1" cm="1">
        <f t="array" aca="1" ref="I165" ca="1">INDIRECT(CONCATENATE("'",$A$100,"'!g",B165),1)</f>
        <v>0</v>
      </c>
      <c r="J165" s="1" cm="1">
        <f t="array" aca="1" ref="J165" ca="1">INDIRECT(CONCATENATE("'",$A$100,"'!h",B165),1)</f>
        <v>0</v>
      </c>
      <c r="K165" s="1" cm="1">
        <f t="array" aca="1" ref="K165" ca="1">INDIRECT(CONCATENATE("'",$A$100,"'!i",B165),1)</f>
        <v>0</v>
      </c>
      <c r="L165" s="1" cm="1">
        <f t="array" aca="1" ref="L165" ca="1">INDIRECT(CONCATENATE("'",$A$100,"'!j",B165),1)</f>
        <v>0</v>
      </c>
      <c r="M165" s="1" cm="1">
        <f t="array" aca="1" ref="M165" ca="1">INDIRECT(CONCATENATE("'",$A$100,"'!k",B165),1)</f>
        <v>0</v>
      </c>
      <c r="N165" s="1" cm="1">
        <f t="array" aca="1" ref="N165" ca="1">INDIRECT(CONCATENATE("'",$A$100,"'!l",B165),1)</f>
        <v>0</v>
      </c>
      <c r="O165" s="1" cm="1">
        <f t="array" aca="1" ref="O165" ca="1">INDIRECT(CONCATENATE("'",$A$100,"'!m",B165),1)</f>
        <v>0</v>
      </c>
      <c r="P165" s="1" cm="1">
        <f t="array" aca="1" ref="P165" ca="1">INDIRECT(CONCATENATE("'",$A$100,"'!n",B165),1)</f>
        <v>0</v>
      </c>
      <c r="Q165" s="1" cm="1">
        <f t="array" aca="1" ref="Q165" ca="1">INDIRECT(CONCATENATE("'",$A$100,"'!o",B165),1)</f>
        <v>0</v>
      </c>
      <c r="R165" s="1" cm="1">
        <f t="array" aca="1" ref="R165" ca="1">INDIRECT(CONCATENATE("'",$A$100,"'!p",B165),1)</f>
        <v>0</v>
      </c>
      <c r="S165" s="1">
        <f t="shared" ca="1" si="12"/>
        <v>0</v>
      </c>
      <c r="T165" s="1" cm="1">
        <f t="array" aca="1" ref="T165" ca="1">INDIRECT(CONCATENATE("'",$A$100,"'!q",B165),1)</f>
        <v>0</v>
      </c>
      <c r="U165" s="1" cm="1">
        <f t="array" aca="1" ref="U165" ca="1">INDIRECT(CONCATENATE("'",$A$100,"'!r",B165),1)</f>
        <v>0</v>
      </c>
      <c r="V165" s="1" cm="1">
        <f t="array" aca="1" ref="V165" ca="1">INDIRECT(CONCATENATE("'",$A$100,"'!s",B165),1)</f>
        <v>0</v>
      </c>
      <c r="W165" s="1" cm="1">
        <f t="array" aca="1" ref="W165" ca="1">INDIRECT(CONCATENATE("'",$A$100,"'!t",B165),1)</f>
        <v>0</v>
      </c>
      <c r="X165" s="1" cm="1">
        <f t="array" aca="1" ref="X165" ca="1">INDIRECT(CONCATENATE("'",$A$100,"'!u",B165),1)</f>
        <v>0</v>
      </c>
      <c r="Y165" s="1" cm="1">
        <f t="array" aca="1" ref="Y165" ca="1">INDIRECT(CONCATENATE("'",$A$100,"'!v",B165),1)</f>
        <v>0</v>
      </c>
    </row>
    <row r="166" spans="1:25" customFormat="1" ht="41.25" hidden="1" customHeight="1" x14ac:dyDescent="0.25">
      <c r="A166" s="15"/>
      <c r="B166" s="24">
        <f t="shared" ref="B166:B199" si="13">B165+1</f>
        <v>68</v>
      </c>
      <c r="C166" s="1" cm="1">
        <f t="array" aca="1" ref="C166" ca="1">INDIRECT(CONCATENATE("'",$A$100,"'!A",B166),1)</f>
        <v>0</v>
      </c>
      <c r="D166" s="1" cm="1">
        <f t="array" aca="1" ref="D166" ca="1">INDIRECT(CONCATENATE("'",$A$100,"'!B",B166),1)</f>
        <v>0</v>
      </c>
      <c r="E166" s="1" cm="1">
        <f t="array" aca="1" ref="E166" ca="1">INDIRECT(CONCATENATE("'",$A$100,"'!c",B166),1)</f>
        <v>0</v>
      </c>
      <c r="F166" s="1" cm="1">
        <f t="array" aca="1" ref="F166" ca="1">INDIRECT(CONCATENATE("'",$A$100,"'!d",B166),1)</f>
        <v>0</v>
      </c>
      <c r="G166" s="1" cm="1">
        <f t="array" aca="1" ref="G166" ca="1">INDIRECT(CONCATENATE("'",$A$100,"'!e",B166),1)</f>
        <v>0</v>
      </c>
      <c r="H166" s="1" cm="1">
        <f t="array" aca="1" ref="H166" ca="1">INDIRECT(CONCATENATE("'",$A$100,"'!f",B166),1)</f>
        <v>0</v>
      </c>
      <c r="I166" s="1" cm="1">
        <f t="array" aca="1" ref="I166" ca="1">INDIRECT(CONCATENATE("'",$A$100,"'!g",B166),1)</f>
        <v>0</v>
      </c>
      <c r="J166" s="1" cm="1">
        <f t="array" aca="1" ref="J166" ca="1">INDIRECT(CONCATENATE("'",$A$100,"'!h",B166),1)</f>
        <v>0</v>
      </c>
      <c r="K166" s="1" cm="1">
        <f t="array" aca="1" ref="K166" ca="1">INDIRECT(CONCATENATE("'",$A$100,"'!i",B166),1)</f>
        <v>0</v>
      </c>
      <c r="L166" s="1" cm="1">
        <f t="array" aca="1" ref="L166" ca="1">INDIRECT(CONCATENATE("'",$A$100,"'!j",B166),1)</f>
        <v>0</v>
      </c>
      <c r="M166" s="1" cm="1">
        <f t="array" aca="1" ref="M166" ca="1">INDIRECT(CONCATENATE("'",$A$100,"'!k",B166),1)</f>
        <v>0</v>
      </c>
      <c r="N166" s="1" cm="1">
        <f t="array" aca="1" ref="N166" ca="1">INDIRECT(CONCATENATE("'",$A$100,"'!l",B166),1)</f>
        <v>0</v>
      </c>
      <c r="O166" s="1" cm="1">
        <f t="array" aca="1" ref="O166" ca="1">INDIRECT(CONCATENATE("'",$A$100,"'!m",B166),1)</f>
        <v>0</v>
      </c>
      <c r="P166" s="1" cm="1">
        <f t="array" aca="1" ref="P166" ca="1">INDIRECT(CONCATENATE("'",$A$100,"'!n",B166),1)</f>
        <v>0</v>
      </c>
      <c r="Q166" s="1" cm="1">
        <f t="array" aca="1" ref="Q166" ca="1">INDIRECT(CONCATENATE("'",$A$100,"'!o",B166),1)</f>
        <v>0</v>
      </c>
      <c r="R166" s="1" cm="1">
        <f t="array" aca="1" ref="R166" ca="1">INDIRECT(CONCATENATE("'",$A$100,"'!p",B166),1)</f>
        <v>0</v>
      </c>
      <c r="S166" s="1">
        <f t="shared" ref="S166:S199" ca="1" si="14">SUMIFS(U166,T166,$N$1)+SUMIFS(W166,V166,$N$1)+SUMIFS(Y166,X166,$N$1)</f>
        <v>0</v>
      </c>
      <c r="T166" s="1" cm="1">
        <f t="array" aca="1" ref="T166" ca="1">INDIRECT(CONCATENATE("'",$A$100,"'!q",B166),1)</f>
        <v>0</v>
      </c>
      <c r="U166" s="1" cm="1">
        <f t="array" aca="1" ref="U166" ca="1">INDIRECT(CONCATENATE("'",$A$100,"'!r",B166),1)</f>
        <v>0</v>
      </c>
      <c r="V166" s="1" cm="1">
        <f t="array" aca="1" ref="V166" ca="1">INDIRECT(CONCATENATE("'",$A$100,"'!s",B166),1)</f>
        <v>0</v>
      </c>
      <c r="W166" s="1" cm="1">
        <f t="array" aca="1" ref="W166" ca="1">INDIRECT(CONCATENATE("'",$A$100,"'!t",B166),1)</f>
        <v>0</v>
      </c>
      <c r="X166" s="1" cm="1">
        <f t="array" aca="1" ref="X166" ca="1">INDIRECT(CONCATENATE("'",$A$100,"'!u",B166),1)</f>
        <v>0</v>
      </c>
      <c r="Y166" s="1" cm="1">
        <f t="array" aca="1" ref="Y166" ca="1">INDIRECT(CONCATENATE("'",$A$100,"'!v",B166),1)</f>
        <v>0</v>
      </c>
    </row>
    <row r="167" spans="1:25" customFormat="1" hidden="1" x14ac:dyDescent="0.25">
      <c r="A167" s="15"/>
      <c r="B167" s="24">
        <f t="shared" si="13"/>
        <v>69</v>
      </c>
      <c r="C167" s="1" cm="1">
        <f t="array" aca="1" ref="C167" ca="1">INDIRECT(CONCATENATE("'",$A$100,"'!A",B167),1)</f>
        <v>0</v>
      </c>
      <c r="D167" s="1" cm="1">
        <f t="array" aca="1" ref="D167" ca="1">INDIRECT(CONCATENATE("'",$A$100,"'!B",B167),1)</f>
        <v>0</v>
      </c>
      <c r="E167" s="1" cm="1">
        <f t="array" aca="1" ref="E167" ca="1">INDIRECT(CONCATENATE("'",$A$100,"'!c",B167),1)</f>
        <v>0</v>
      </c>
      <c r="F167" s="1" cm="1">
        <f t="array" aca="1" ref="F167" ca="1">INDIRECT(CONCATENATE("'",$A$100,"'!d",B167),1)</f>
        <v>0</v>
      </c>
      <c r="G167" s="1" cm="1">
        <f t="array" aca="1" ref="G167" ca="1">INDIRECT(CONCATENATE("'",$A$100,"'!e",B167),1)</f>
        <v>0</v>
      </c>
      <c r="H167" s="1" cm="1">
        <f t="array" aca="1" ref="H167" ca="1">INDIRECT(CONCATENATE("'",$A$100,"'!f",B167),1)</f>
        <v>0</v>
      </c>
      <c r="I167" s="1" cm="1">
        <f t="array" aca="1" ref="I167" ca="1">INDIRECT(CONCATENATE("'",$A$100,"'!g",B167),1)</f>
        <v>0</v>
      </c>
      <c r="J167" s="1" cm="1">
        <f t="array" aca="1" ref="J167" ca="1">INDIRECT(CONCATENATE("'",$A$100,"'!h",B167),1)</f>
        <v>0</v>
      </c>
      <c r="K167" s="1" cm="1">
        <f t="array" aca="1" ref="K167" ca="1">INDIRECT(CONCATENATE("'",$A$100,"'!i",B167),1)</f>
        <v>0</v>
      </c>
      <c r="L167" s="1" cm="1">
        <f t="array" aca="1" ref="L167" ca="1">INDIRECT(CONCATENATE("'",$A$100,"'!j",B167),1)</f>
        <v>0</v>
      </c>
      <c r="M167" s="1" cm="1">
        <f t="array" aca="1" ref="M167" ca="1">INDIRECT(CONCATENATE("'",$A$100,"'!k",B167),1)</f>
        <v>0</v>
      </c>
      <c r="N167" s="1" cm="1">
        <f t="array" aca="1" ref="N167" ca="1">INDIRECT(CONCATENATE("'",$A$100,"'!l",B167),1)</f>
        <v>0</v>
      </c>
      <c r="O167" s="1" cm="1">
        <f t="array" aca="1" ref="O167" ca="1">INDIRECT(CONCATENATE("'",$A$100,"'!m",B167),1)</f>
        <v>0</v>
      </c>
      <c r="P167" s="1" cm="1">
        <f t="array" aca="1" ref="P167" ca="1">INDIRECT(CONCATENATE("'",$A$100,"'!n",B167),1)</f>
        <v>0</v>
      </c>
      <c r="Q167" s="1" cm="1">
        <f t="array" aca="1" ref="Q167" ca="1">INDIRECT(CONCATENATE("'",$A$100,"'!o",B167),1)</f>
        <v>0</v>
      </c>
      <c r="R167" s="1" cm="1">
        <f t="array" aca="1" ref="R167" ca="1">INDIRECT(CONCATENATE("'",$A$100,"'!p",B167),1)</f>
        <v>0</v>
      </c>
      <c r="S167" s="1">
        <f t="shared" ca="1" si="14"/>
        <v>0</v>
      </c>
      <c r="T167" s="1" cm="1">
        <f t="array" aca="1" ref="T167" ca="1">INDIRECT(CONCATENATE("'",$A$100,"'!q",B167),1)</f>
        <v>0</v>
      </c>
      <c r="U167" s="1" cm="1">
        <f t="array" aca="1" ref="U167" ca="1">INDIRECT(CONCATENATE("'",$A$100,"'!r",B167),1)</f>
        <v>0</v>
      </c>
      <c r="V167" s="1" cm="1">
        <f t="array" aca="1" ref="V167" ca="1">INDIRECT(CONCATENATE("'",$A$100,"'!s",B167),1)</f>
        <v>0</v>
      </c>
      <c r="W167" s="1" cm="1">
        <f t="array" aca="1" ref="W167" ca="1">INDIRECT(CONCATENATE("'",$A$100,"'!t",B167),1)</f>
        <v>0</v>
      </c>
      <c r="X167" s="1" cm="1">
        <f t="array" aca="1" ref="X167" ca="1">INDIRECT(CONCATENATE("'",$A$100,"'!u",B167),1)</f>
        <v>0</v>
      </c>
      <c r="Y167" s="1" cm="1">
        <f t="array" aca="1" ref="Y167" ca="1">INDIRECT(CONCATENATE("'",$A$100,"'!v",B167),1)</f>
        <v>0</v>
      </c>
    </row>
    <row r="168" spans="1:25" customFormat="1" hidden="1" x14ac:dyDescent="0.25">
      <c r="A168" s="15"/>
      <c r="B168" s="24">
        <f t="shared" si="13"/>
        <v>70</v>
      </c>
      <c r="C168" s="1" cm="1">
        <f t="array" aca="1" ref="C168" ca="1">INDIRECT(CONCATENATE("'",$A$100,"'!A",B168),1)</f>
        <v>0</v>
      </c>
      <c r="D168" s="1" cm="1">
        <f t="array" aca="1" ref="D168" ca="1">INDIRECT(CONCATENATE("'",$A$100,"'!B",B168),1)</f>
        <v>0</v>
      </c>
      <c r="E168" s="1" cm="1">
        <f t="array" aca="1" ref="E168" ca="1">INDIRECT(CONCATENATE("'",$A$100,"'!c",B168),1)</f>
        <v>0</v>
      </c>
      <c r="F168" s="1" cm="1">
        <f t="array" aca="1" ref="F168" ca="1">INDIRECT(CONCATENATE("'",$A$100,"'!d",B168),1)</f>
        <v>0</v>
      </c>
      <c r="G168" s="1" cm="1">
        <f t="array" aca="1" ref="G168" ca="1">INDIRECT(CONCATENATE("'",$A$100,"'!e",B168),1)</f>
        <v>0</v>
      </c>
      <c r="H168" s="1" cm="1">
        <f t="array" aca="1" ref="H168" ca="1">INDIRECT(CONCATENATE("'",$A$100,"'!f",B168),1)</f>
        <v>0</v>
      </c>
      <c r="I168" s="1" cm="1">
        <f t="array" aca="1" ref="I168" ca="1">INDIRECT(CONCATENATE("'",$A$100,"'!g",B168),1)</f>
        <v>0</v>
      </c>
      <c r="J168" s="1" cm="1">
        <f t="array" aca="1" ref="J168" ca="1">INDIRECT(CONCATENATE("'",$A$100,"'!h",B168),1)</f>
        <v>0</v>
      </c>
      <c r="K168" s="1" cm="1">
        <f t="array" aca="1" ref="K168" ca="1">INDIRECT(CONCATENATE("'",$A$100,"'!i",B168),1)</f>
        <v>0</v>
      </c>
      <c r="L168" s="1" cm="1">
        <f t="array" aca="1" ref="L168" ca="1">INDIRECT(CONCATENATE("'",$A$100,"'!j",B168),1)</f>
        <v>0</v>
      </c>
      <c r="M168" s="1" cm="1">
        <f t="array" aca="1" ref="M168" ca="1">INDIRECT(CONCATENATE("'",$A$100,"'!k",B168),1)</f>
        <v>0</v>
      </c>
      <c r="N168" s="1" cm="1">
        <f t="array" aca="1" ref="N168" ca="1">INDIRECT(CONCATENATE("'",$A$100,"'!l",B168),1)</f>
        <v>0</v>
      </c>
      <c r="O168" s="1" cm="1">
        <f t="array" aca="1" ref="O168" ca="1">INDIRECT(CONCATENATE("'",$A$100,"'!m",B168),1)</f>
        <v>0</v>
      </c>
      <c r="P168" s="1" cm="1">
        <f t="array" aca="1" ref="P168" ca="1">INDIRECT(CONCATENATE("'",$A$100,"'!n",B168),1)</f>
        <v>0</v>
      </c>
      <c r="Q168" s="1" cm="1">
        <f t="array" aca="1" ref="Q168" ca="1">INDIRECT(CONCATENATE("'",$A$100,"'!o",B168),1)</f>
        <v>0</v>
      </c>
      <c r="R168" s="1" cm="1">
        <f t="array" aca="1" ref="R168" ca="1">INDIRECT(CONCATENATE("'",$A$100,"'!p",B168),1)</f>
        <v>0</v>
      </c>
      <c r="S168" s="1">
        <f t="shared" ca="1" si="14"/>
        <v>0</v>
      </c>
      <c r="T168" s="1" cm="1">
        <f t="array" aca="1" ref="T168" ca="1">INDIRECT(CONCATENATE("'",$A$100,"'!q",B168),1)</f>
        <v>0</v>
      </c>
      <c r="U168" s="1" cm="1">
        <f t="array" aca="1" ref="U168" ca="1">INDIRECT(CONCATENATE("'",$A$100,"'!r",B168),1)</f>
        <v>0</v>
      </c>
      <c r="V168" s="1" cm="1">
        <f t="array" aca="1" ref="V168" ca="1">INDIRECT(CONCATENATE("'",$A$100,"'!s",B168),1)</f>
        <v>0</v>
      </c>
      <c r="W168" s="1" cm="1">
        <f t="array" aca="1" ref="W168" ca="1">INDIRECT(CONCATENATE("'",$A$100,"'!t",B168),1)</f>
        <v>0</v>
      </c>
      <c r="X168" s="1" cm="1">
        <f t="array" aca="1" ref="X168" ca="1">INDIRECT(CONCATENATE("'",$A$100,"'!u",B168),1)</f>
        <v>0</v>
      </c>
      <c r="Y168" s="1" cm="1">
        <f t="array" aca="1" ref="Y168" ca="1">INDIRECT(CONCATENATE("'",$A$100,"'!v",B168),1)</f>
        <v>0</v>
      </c>
    </row>
    <row r="169" spans="1:25" customFormat="1" hidden="1" x14ac:dyDescent="0.25">
      <c r="A169" s="15"/>
      <c r="B169" s="24">
        <f t="shared" si="13"/>
        <v>71</v>
      </c>
      <c r="C169" s="1" cm="1">
        <f t="array" aca="1" ref="C169" ca="1">INDIRECT(CONCATENATE("'",$A$100,"'!A",B169),1)</f>
        <v>0</v>
      </c>
      <c r="D169" s="1" cm="1">
        <f t="array" aca="1" ref="D169" ca="1">INDIRECT(CONCATENATE("'",$A$100,"'!B",B169),1)</f>
        <v>0</v>
      </c>
      <c r="E169" s="1" cm="1">
        <f t="array" aca="1" ref="E169" ca="1">INDIRECT(CONCATENATE("'",$A$100,"'!c",B169),1)</f>
        <v>0</v>
      </c>
      <c r="F169" s="1" cm="1">
        <f t="array" aca="1" ref="F169" ca="1">INDIRECT(CONCATENATE("'",$A$100,"'!d",B169),1)</f>
        <v>0</v>
      </c>
      <c r="G169" s="1" cm="1">
        <f t="array" aca="1" ref="G169" ca="1">INDIRECT(CONCATENATE("'",$A$100,"'!e",B169),1)</f>
        <v>0</v>
      </c>
      <c r="H169" s="1" cm="1">
        <f t="array" aca="1" ref="H169" ca="1">INDIRECT(CONCATENATE("'",$A$100,"'!f",B169),1)</f>
        <v>0</v>
      </c>
      <c r="I169" s="1" cm="1">
        <f t="array" aca="1" ref="I169" ca="1">INDIRECT(CONCATENATE("'",$A$100,"'!g",B169),1)</f>
        <v>0</v>
      </c>
      <c r="J169" s="1" cm="1">
        <f t="array" aca="1" ref="J169" ca="1">INDIRECT(CONCATENATE("'",$A$100,"'!h",B169),1)</f>
        <v>0</v>
      </c>
      <c r="K169" s="1" cm="1">
        <f t="array" aca="1" ref="K169" ca="1">INDIRECT(CONCATENATE("'",$A$100,"'!i",B169),1)</f>
        <v>0</v>
      </c>
      <c r="L169" s="1" cm="1">
        <f t="array" aca="1" ref="L169" ca="1">INDIRECT(CONCATENATE("'",$A$100,"'!j",B169),1)</f>
        <v>0</v>
      </c>
      <c r="M169" s="1" cm="1">
        <f t="array" aca="1" ref="M169" ca="1">INDIRECT(CONCATENATE("'",$A$100,"'!k",B169),1)</f>
        <v>0</v>
      </c>
      <c r="N169" s="1" cm="1">
        <f t="array" aca="1" ref="N169" ca="1">INDIRECT(CONCATENATE("'",$A$100,"'!l",B169),1)</f>
        <v>0</v>
      </c>
      <c r="O169" s="1" cm="1">
        <f t="array" aca="1" ref="O169" ca="1">INDIRECT(CONCATENATE("'",$A$100,"'!m",B169),1)</f>
        <v>0</v>
      </c>
      <c r="P169" s="1" cm="1">
        <f t="array" aca="1" ref="P169" ca="1">INDIRECT(CONCATENATE("'",$A$100,"'!n",B169),1)</f>
        <v>0</v>
      </c>
      <c r="Q169" s="1" cm="1">
        <f t="array" aca="1" ref="Q169" ca="1">INDIRECT(CONCATENATE("'",$A$100,"'!o",B169),1)</f>
        <v>0</v>
      </c>
      <c r="R169" s="1" cm="1">
        <f t="array" aca="1" ref="R169" ca="1">INDIRECT(CONCATENATE("'",$A$100,"'!p",B169),1)</f>
        <v>0</v>
      </c>
      <c r="S169" s="1">
        <f t="shared" ca="1" si="14"/>
        <v>0</v>
      </c>
      <c r="T169" s="1" cm="1">
        <f t="array" aca="1" ref="T169" ca="1">INDIRECT(CONCATENATE("'",$A$100,"'!q",B169),1)</f>
        <v>0</v>
      </c>
      <c r="U169" s="1" cm="1">
        <f t="array" aca="1" ref="U169" ca="1">INDIRECT(CONCATENATE("'",$A$100,"'!r",B169),1)</f>
        <v>0</v>
      </c>
      <c r="V169" s="1" cm="1">
        <f t="array" aca="1" ref="V169" ca="1">INDIRECT(CONCATENATE("'",$A$100,"'!s",B169),1)</f>
        <v>0</v>
      </c>
      <c r="W169" s="1" cm="1">
        <f t="array" aca="1" ref="W169" ca="1">INDIRECT(CONCATENATE("'",$A$100,"'!t",B169),1)</f>
        <v>0</v>
      </c>
      <c r="X169" s="1" cm="1">
        <f t="array" aca="1" ref="X169" ca="1">INDIRECT(CONCATENATE("'",$A$100,"'!u",B169),1)</f>
        <v>0</v>
      </c>
      <c r="Y169" s="1" cm="1">
        <f t="array" aca="1" ref="Y169" ca="1">INDIRECT(CONCATENATE("'",$A$100,"'!v",B169),1)</f>
        <v>0</v>
      </c>
    </row>
    <row r="170" spans="1:25" customFormat="1" hidden="1" x14ac:dyDescent="0.25">
      <c r="A170" s="15"/>
      <c r="B170" s="24">
        <f t="shared" si="13"/>
        <v>72</v>
      </c>
      <c r="C170" s="1" cm="1">
        <f t="array" aca="1" ref="C170" ca="1">INDIRECT(CONCATENATE("'",$A$100,"'!A",B170),1)</f>
        <v>0</v>
      </c>
      <c r="D170" s="1" cm="1">
        <f t="array" aca="1" ref="D170" ca="1">INDIRECT(CONCATENATE("'",$A$100,"'!B",B170),1)</f>
        <v>0</v>
      </c>
      <c r="E170" s="1" cm="1">
        <f t="array" aca="1" ref="E170" ca="1">INDIRECT(CONCATENATE("'",$A$100,"'!c",B170),1)</f>
        <v>0</v>
      </c>
      <c r="F170" s="1" cm="1">
        <f t="array" aca="1" ref="F170" ca="1">INDIRECT(CONCATENATE("'",$A$100,"'!d",B170),1)</f>
        <v>0</v>
      </c>
      <c r="G170" s="1" cm="1">
        <f t="array" aca="1" ref="G170" ca="1">INDIRECT(CONCATENATE("'",$A$100,"'!e",B170),1)</f>
        <v>0</v>
      </c>
      <c r="H170" s="1" cm="1">
        <f t="array" aca="1" ref="H170" ca="1">INDIRECT(CONCATENATE("'",$A$100,"'!f",B170),1)</f>
        <v>0</v>
      </c>
      <c r="I170" s="1" cm="1">
        <f t="array" aca="1" ref="I170" ca="1">INDIRECT(CONCATENATE("'",$A$100,"'!g",B170),1)</f>
        <v>0</v>
      </c>
      <c r="J170" s="1" cm="1">
        <f t="array" aca="1" ref="J170" ca="1">INDIRECT(CONCATENATE("'",$A$100,"'!h",B170),1)</f>
        <v>0</v>
      </c>
      <c r="K170" s="1" cm="1">
        <f t="array" aca="1" ref="K170" ca="1">INDIRECT(CONCATENATE("'",$A$100,"'!i",B170),1)</f>
        <v>0</v>
      </c>
      <c r="L170" s="1" cm="1">
        <f t="array" aca="1" ref="L170" ca="1">INDIRECT(CONCATENATE("'",$A$100,"'!j",B170),1)</f>
        <v>0</v>
      </c>
      <c r="M170" s="1" cm="1">
        <f t="array" aca="1" ref="M170" ca="1">INDIRECT(CONCATENATE("'",$A$100,"'!k",B170),1)</f>
        <v>0</v>
      </c>
      <c r="N170" s="1" cm="1">
        <f t="array" aca="1" ref="N170" ca="1">INDIRECT(CONCATENATE("'",$A$100,"'!l",B170),1)</f>
        <v>0</v>
      </c>
      <c r="O170" s="1" cm="1">
        <f t="array" aca="1" ref="O170" ca="1">INDIRECT(CONCATENATE("'",$A$100,"'!m",B170),1)</f>
        <v>0</v>
      </c>
      <c r="P170" s="1" cm="1">
        <f t="array" aca="1" ref="P170" ca="1">INDIRECT(CONCATENATE("'",$A$100,"'!n",B170),1)</f>
        <v>0</v>
      </c>
      <c r="Q170" s="1" cm="1">
        <f t="array" aca="1" ref="Q170" ca="1">INDIRECT(CONCATENATE("'",$A$100,"'!o",B170),1)</f>
        <v>0</v>
      </c>
      <c r="R170" s="1" cm="1">
        <f t="array" aca="1" ref="R170" ca="1">INDIRECT(CONCATENATE("'",$A$100,"'!p",B170),1)</f>
        <v>0</v>
      </c>
      <c r="S170" s="1">
        <f t="shared" ca="1" si="14"/>
        <v>0</v>
      </c>
      <c r="T170" s="1" cm="1">
        <f t="array" aca="1" ref="T170" ca="1">INDIRECT(CONCATENATE("'",$A$100,"'!q",B170),1)</f>
        <v>0</v>
      </c>
      <c r="U170" s="1" cm="1">
        <f t="array" aca="1" ref="U170" ca="1">INDIRECT(CONCATENATE("'",$A$100,"'!r",B170),1)</f>
        <v>0</v>
      </c>
      <c r="V170" s="1" cm="1">
        <f t="array" aca="1" ref="V170" ca="1">INDIRECT(CONCATENATE("'",$A$100,"'!s",B170),1)</f>
        <v>0</v>
      </c>
      <c r="W170" s="1" cm="1">
        <f t="array" aca="1" ref="W170" ca="1">INDIRECT(CONCATENATE("'",$A$100,"'!t",B170),1)</f>
        <v>0</v>
      </c>
      <c r="X170" s="1" cm="1">
        <f t="array" aca="1" ref="X170" ca="1">INDIRECT(CONCATENATE("'",$A$100,"'!u",B170),1)</f>
        <v>0</v>
      </c>
      <c r="Y170" s="1" cm="1">
        <f t="array" aca="1" ref="Y170" ca="1">INDIRECT(CONCATENATE("'",$A$100,"'!v",B170),1)</f>
        <v>0</v>
      </c>
    </row>
    <row r="171" spans="1:25" customFormat="1" hidden="1" x14ac:dyDescent="0.25">
      <c r="A171" s="15"/>
      <c r="B171" s="24">
        <f t="shared" si="13"/>
        <v>73</v>
      </c>
      <c r="C171" s="1" cm="1">
        <f t="array" aca="1" ref="C171" ca="1">INDIRECT(CONCATENATE("'",$A$100,"'!A",B171),1)</f>
        <v>0</v>
      </c>
      <c r="D171" s="1" cm="1">
        <f t="array" aca="1" ref="D171" ca="1">INDIRECT(CONCATENATE("'",$A$100,"'!B",B171),1)</f>
        <v>0</v>
      </c>
      <c r="E171" s="1" cm="1">
        <f t="array" aca="1" ref="E171" ca="1">INDIRECT(CONCATENATE("'",$A$100,"'!c",B171),1)</f>
        <v>0</v>
      </c>
      <c r="F171" s="1" cm="1">
        <f t="array" aca="1" ref="F171" ca="1">INDIRECT(CONCATENATE("'",$A$100,"'!d",B171),1)</f>
        <v>0</v>
      </c>
      <c r="G171" s="1" cm="1">
        <f t="array" aca="1" ref="G171" ca="1">INDIRECT(CONCATENATE("'",$A$100,"'!e",B171),1)</f>
        <v>0</v>
      </c>
      <c r="H171" s="1" cm="1">
        <f t="array" aca="1" ref="H171" ca="1">INDIRECT(CONCATENATE("'",$A$100,"'!f",B171),1)</f>
        <v>0</v>
      </c>
      <c r="I171" s="1" cm="1">
        <f t="array" aca="1" ref="I171" ca="1">INDIRECT(CONCATENATE("'",$A$100,"'!g",B171),1)</f>
        <v>0</v>
      </c>
      <c r="J171" s="1" cm="1">
        <f t="array" aca="1" ref="J171" ca="1">INDIRECT(CONCATENATE("'",$A$100,"'!h",B171),1)</f>
        <v>0</v>
      </c>
      <c r="K171" s="1" cm="1">
        <f t="array" aca="1" ref="K171" ca="1">INDIRECT(CONCATENATE("'",$A$100,"'!i",B171),1)</f>
        <v>0</v>
      </c>
      <c r="L171" s="1" cm="1">
        <f t="array" aca="1" ref="L171" ca="1">INDIRECT(CONCATENATE("'",$A$100,"'!j",B171),1)</f>
        <v>0</v>
      </c>
      <c r="M171" s="1" cm="1">
        <f t="array" aca="1" ref="M171" ca="1">INDIRECT(CONCATENATE("'",$A$100,"'!k",B171),1)</f>
        <v>0</v>
      </c>
      <c r="N171" s="1" cm="1">
        <f t="array" aca="1" ref="N171" ca="1">INDIRECT(CONCATENATE("'",$A$100,"'!l",B171),1)</f>
        <v>0</v>
      </c>
      <c r="O171" s="1" cm="1">
        <f t="array" aca="1" ref="O171" ca="1">INDIRECT(CONCATENATE("'",$A$100,"'!m",B171),1)</f>
        <v>0</v>
      </c>
      <c r="P171" s="1" cm="1">
        <f t="array" aca="1" ref="P171" ca="1">INDIRECT(CONCATENATE("'",$A$100,"'!n",B171),1)</f>
        <v>0</v>
      </c>
      <c r="Q171" s="1" cm="1">
        <f t="array" aca="1" ref="Q171" ca="1">INDIRECT(CONCATENATE("'",$A$100,"'!o",B171),1)</f>
        <v>0</v>
      </c>
      <c r="R171" s="1" cm="1">
        <f t="array" aca="1" ref="R171" ca="1">INDIRECT(CONCATENATE("'",$A$100,"'!p",B171),1)</f>
        <v>0</v>
      </c>
      <c r="S171" s="1">
        <f t="shared" ca="1" si="14"/>
        <v>0</v>
      </c>
      <c r="T171" s="1" cm="1">
        <f t="array" aca="1" ref="T171" ca="1">INDIRECT(CONCATENATE("'",$A$100,"'!q",B171),1)</f>
        <v>0</v>
      </c>
      <c r="U171" s="1" cm="1">
        <f t="array" aca="1" ref="U171" ca="1">INDIRECT(CONCATENATE("'",$A$100,"'!r",B171),1)</f>
        <v>0</v>
      </c>
      <c r="V171" s="1" cm="1">
        <f t="array" aca="1" ref="V171" ca="1">INDIRECT(CONCATENATE("'",$A$100,"'!s",B171),1)</f>
        <v>0</v>
      </c>
      <c r="W171" s="1" cm="1">
        <f t="array" aca="1" ref="W171" ca="1">INDIRECT(CONCATENATE("'",$A$100,"'!t",B171),1)</f>
        <v>0</v>
      </c>
      <c r="X171" s="1" cm="1">
        <f t="array" aca="1" ref="X171" ca="1">INDIRECT(CONCATENATE("'",$A$100,"'!u",B171),1)</f>
        <v>0</v>
      </c>
      <c r="Y171" s="1" cm="1">
        <f t="array" aca="1" ref="Y171" ca="1">INDIRECT(CONCATENATE("'",$A$100,"'!v",B171),1)</f>
        <v>0</v>
      </c>
    </row>
    <row r="172" spans="1:25" hidden="1" x14ac:dyDescent="0.25">
      <c r="B172" s="24">
        <f t="shared" si="13"/>
        <v>74</v>
      </c>
      <c r="C172" s="1" cm="1">
        <f t="array" aca="1" ref="C172" ca="1">INDIRECT(CONCATENATE("'",$A$100,"'!A",B172),1)</f>
        <v>0</v>
      </c>
      <c r="D172" s="1" cm="1">
        <f t="array" aca="1" ref="D172" ca="1">INDIRECT(CONCATENATE("'",$A$100,"'!B",B172),1)</f>
        <v>0</v>
      </c>
      <c r="E172" s="1" cm="1">
        <f t="array" aca="1" ref="E172" ca="1">INDIRECT(CONCATENATE("'",$A$100,"'!c",B172),1)</f>
        <v>0</v>
      </c>
      <c r="F172" s="1" cm="1">
        <f t="array" aca="1" ref="F172" ca="1">INDIRECT(CONCATENATE("'",$A$100,"'!d",B172),1)</f>
        <v>0</v>
      </c>
      <c r="G172" s="1" cm="1">
        <f t="array" aca="1" ref="G172" ca="1">INDIRECT(CONCATENATE("'",$A$100,"'!e",B172),1)</f>
        <v>0</v>
      </c>
      <c r="H172" s="1" cm="1">
        <f t="array" aca="1" ref="H172" ca="1">INDIRECT(CONCATENATE("'",$A$100,"'!f",B172),1)</f>
        <v>0</v>
      </c>
      <c r="I172" s="1" cm="1">
        <f t="array" aca="1" ref="I172" ca="1">INDIRECT(CONCATENATE("'",$A$100,"'!g",B172),1)</f>
        <v>0</v>
      </c>
      <c r="J172" s="1" cm="1">
        <f t="array" aca="1" ref="J172" ca="1">INDIRECT(CONCATENATE("'",$A$100,"'!h",B172),1)</f>
        <v>0</v>
      </c>
      <c r="K172" s="1" cm="1">
        <f t="array" aca="1" ref="K172" ca="1">INDIRECT(CONCATENATE("'",$A$100,"'!i",B172),1)</f>
        <v>0</v>
      </c>
      <c r="L172" s="1" cm="1">
        <f t="array" aca="1" ref="L172" ca="1">INDIRECT(CONCATENATE("'",$A$100,"'!j",B172),1)</f>
        <v>0</v>
      </c>
      <c r="M172" s="1" cm="1">
        <f t="array" aca="1" ref="M172" ca="1">INDIRECT(CONCATENATE("'",$A$100,"'!k",B172),1)</f>
        <v>0</v>
      </c>
      <c r="N172" s="1" cm="1">
        <f t="array" aca="1" ref="N172" ca="1">INDIRECT(CONCATENATE("'",$A$100,"'!l",B172),1)</f>
        <v>0</v>
      </c>
      <c r="O172" s="1" cm="1">
        <f t="array" aca="1" ref="O172" ca="1">INDIRECT(CONCATENATE("'",$A$100,"'!m",B172),1)</f>
        <v>0</v>
      </c>
      <c r="P172" s="1" cm="1">
        <f t="array" aca="1" ref="P172" ca="1">INDIRECT(CONCATENATE("'",$A$100,"'!n",B172),1)</f>
        <v>0</v>
      </c>
      <c r="Q172" s="1" cm="1">
        <f t="array" aca="1" ref="Q172" ca="1">INDIRECT(CONCATENATE("'",$A$100,"'!o",B172),1)</f>
        <v>0</v>
      </c>
      <c r="R172" s="1" cm="1">
        <f t="array" aca="1" ref="R172" ca="1">INDIRECT(CONCATENATE("'",$A$100,"'!p",B172),1)</f>
        <v>0</v>
      </c>
      <c r="S172" s="1">
        <f t="shared" ca="1" si="14"/>
        <v>0</v>
      </c>
      <c r="T172" s="1" cm="1">
        <f t="array" aca="1" ref="T172" ca="1">INDIRECT(CONCATENATE("'",$A$100,"'!q",B172),1)</f>
        <v>0</v>
      </c>
      <c r="U172" s="1" cm="1">
        <f t="array" aca="1" ref="U172" ca="1">INDIRECT(CONCATENATE("'",$A$100,"'!r",B172),1)</f>
        <v>0</v>
      </c>
      <c r="V172" s="1" cm="1">
        <f t="array" aca="1" ref="V172" ca="1">INDIRECT(CONCATENATE("'",$A$100,"'!s",B172),1)</f>
        <v>0</v>
      </c>
      <c r="W172" s="1" cm="1">
        <f t="array" aca="1" ref="W172" ca="1">INDIRECT(CONCATENATE("'",$A$100,"'!t",B172),1)</f>
        <v>0</v>
      </c>
      <c r="X172" s="1" cm="1">
        <f t="array" aca="1" ref="X172" ca="1">INDIRECT(CONCATENATE("'",$A$100,"'!u",B172),1)</f>
        <v>0</v>
      </c>
      <c r="Y172" s="1" cm="1">
        <f t="array" aca="1" ref="Y172" ca="1">INDIRECT(CONCATENATE("'",$A$100,"'!v",B172),1)</f>
        <v>0</v>
      </c>
    </row>
    <row r="173" spans="1:25" customFormat="1" ht="41.25" hidden="1" customHeight="1" x14ac:dyDescent="0.25">
      <c r="A173" s="15"/>
      <c r="B173" s="24">
        <f t="shared" si="13"/>
        <v>75</v>
      </c>
      <c r="C173" s="1" cm="1">
        <f t="array" aca="1" ref="C173" ca="1">INDIRECT(CONCATENATE("'",$A$100,"'!A",B173),1)</f>
        <v>0</v>
      </c>
      <c r="D173" s="1" cm="1">
        <f t="array" aca="1" ref="D173" ca="1">INDIRECT(CONCATENATE("'",$A$100,"'!B",B173),1)</f>
        <v>0</v>
      </c>
      <c r="E173" s="1" cm="1">
        <f t="array" aca="1" ref="E173" ca="1">INDIRECT(CONCATENATE("'",$A$100,"'!c",B173),1)</f>
        <v>0</v>
      </c>
      <c r="F173" s="1" cm="1">
        <f t="array" aca="1" ref="F173" ca="1">INDIRECT(CONCATENATE("'",$A$100,"'!d",B173),1)</f>
        <v>0</v>
      </c>
      <c r="G173" s="1" cm="1">
        <f t="array" aca="1" ref="G173" ca="1">INDIRECT(CONCATENATE("'",$A$100,"'!e",B173),1)</f>
        <v>0</v>
      </c>
      <c r="H173" s="1" cm="1">
        <f t="array" aca="1" ref="H173" ca="1">INDIRECT(CONCATENATE("'",$A$100,"'!f",B173),1)</f>
        <v>0</v>
      </c>
      <c r="I173" s="1" cm="1">
        <f t="array" aca="1" ref="I173" ca="1">INDIRECT(CONCATENATE("'",$A$100,"'!g",B173),1)</f>
        <v>0</v>
      </c>
      <c r="J173" s="1" cm="1">
        <f t="array" aca="1" ref="J173" ca="1">INDIRECT(CONCATENATE("'",$A$100,"'!h",B173),1)</f>
        <v>0</v>
      </c>
      <c r="K173" s="1" cm="1">
        <f t="array" aca="1" ref="K173" ca="1">INDIRECT(CONCATENATE("'",$A$100,"'!i",B173),1)</f>
        <v>0</v>
      </c>
      <c r="L173" s="1" cm="1">
        <f t="array" aca="1" ref="L173" ca="1">INDIRECT(CONCATENATE("'",$A$100,"'!j",B173),1)</f>
        <v>0</v>
      </c>
      <c r="M173" s="1" cm="1">
        <f t="array" aca="1" ref="M173" ca="1">INDIRECT(CONCATENATE("'",$A$100,"'!k",B173),1)</f>
        <v>0</v>
      </c>
      <c r="N173" s="1" cm="1">
        <f t="array" aca="1" ref="N173" ca="1">INDIRECT(CONCATENATE("'",$A$100,"'!l",B173),1)</f>
        <v>0</v>
      </c>
      <c r="O173" s="1" cm="1">
        <f t="array" aca="1" ref="O173" ca="1">INDIRECT(CONCATENATE("'",$A$100,"'!m",B173),1)</f>
        <v>0</v>
      </c>
      <c r="P173" s="1" cm="1">
        <f t="array" aca="1" ref="P173" ca="1">INDIRECT(CONCATENATE("'",$A$100,"'!n",B173),1)</f>
        <v>0</v>
      </c>
      <c r="Q173" s="1" cm="1">
        <f t="array" aca="1" ref="Q173" ca="1">INDIRECT(CONCATENATE("'",$A$100,"'!o",B173),1)</f>
        <v>0</v>
      </c>
      <c r="R173" s="1" cm="1">
        <f t="array" aca="1" ref="R173" ca="1">INDIRECT(CONCATENATE("'",$A$100,"'!p",B173),1)</f>
        <v>0</v>
      </c>
      <c r="S173" s="1">
        <f t="shared" ca="1" si="14"/>
        <v>0</v>
      </c>
      <c r="T173" s="1" cm="1">
        <f t="array" aca="1" ref="T173" ca="1">INDIRECT(CONCATENATE("'",$A$100,"'!q",B173),1)</f>
        <v>0</v>
      </c>
      <c r="U173" s="1" cm="1">
        <f t="array" aca="1" ref="U173" ca="1">INDIRECT(CONCATENATE("'",$A$100,"'!r",B173),1)</f>
        <v>0</v>
      </c>
      <c r="V173" s="1" cm="1">
        <f t="array" aca="1" ref="V173" ca="1">INDIRECT(CONCATENATE("'",$A$100,"'!s",B173),1)</f>
        <v>0</v>
      </c>
      <c r="W173" s="1" cm="1">
        <f t="array" aca="1" ref="W173" ca="1">INDIRECT(CONCATENATE("'",$A$100,"'!t",B173),1)</f>
        <v>0</v>
      </c>
      <c r="X173" s="1" cm="1">
        <f t="array" aca="1" ref="X173" ca="1">INDIRECT(CONCATENATE("'",$A$100,"'!u",B173),1)</f>
        <v>0</v>
      </c>
      <c r="Y173" s="1" cm="1">
        <f t="array" aca="1" ref="Y173" ca="1">INDIRECT(CONCATENATE("'",$A$100,"'!v",B173),1)</f>
        <v>0</v>
      </c>
    </row>
    <row r="174" spans="1:25" customFormat="1" hidden="1" x14ac:dyDescent="0.25">
      <c r="A174" s="15"/>
      <c r="B174" s="24">
        <f t="shared" si="13"/>
        <v>76</v>
      </c>
      <c r="C174" s="1" cm="1">
        <f t="array" aca="1" ref="C174" ca="1">INDIRECT(CONCATENATE("'",$A$100,"'!A",B174),1)</f>
        <v>0</v>
      </c>
      <c r="D174" s="1" cm="1">
        <f t="array" aca="1" ref="D174" ca="1">INDIRECT(CONCATENATE("'",$A$100,"'!B",B174),1)</f>
        <v>0</v>
      </c>
      <c r="E174" s="1" cm="1">
        <f t="array" aca="1" ref="E174" ca="1">INDIRECT(CONCATENATE("'",$A$100,"'!c",B174),1)</f>
        <v>0</v>
      </c>
      <c r="F174" s="1" cm="1">
        <f t="array" aca="1" ref="F174" ca="1">INDIRECT(CONCATENATE("'",$A$100,"'!d",B174),1)</f>
        <v>0</v>
      </c>
      <c r="G174" s="1" cm="1">
        <f t="array" aca="1" ref="G174" ca="1">INDIRECT(CONCATENATE("'",$A$100,"'!e",B174),1)</f>
        <v>0</v>
      </c>
      <c r="H174" s="1" cm="1">
        <f t="array" aca="1" ref="H174" ca="1">INDIRECT(CONCATENATE("'",$A$100,"'!f",B174),1)</f>
        <v>0</v>
      </c>
      <c r="I174" s="1" cm="1">
        <f t="array" aca="1" ref="I174" ca="1">INDIRECT(CONCATENATE("'",$A$100,"'!g",B174),1)</f>
        <v>0</v>
      </c>
      <c r="J174" s="1" cm="1">
        <f t="array" aca="1" ref="J174" ca="1">INDIRECT(CONCATENATE("'",$A$100,"'!h",B174),1)</f>
        <v>0</v>
      </c>
      <c r="K174" s="1" cm="1">
        <f t="array" aca="1" ref="K174" ca="1">INDIRECT(CONCATENATE("'",$A$100,"'!i",B174),1)</f>
        <v>0</v>
      </c>
      <c r="L174" s="1" cm="1">
        <f t="array" aca="1" ref="L174" ca="1">INDIRECT(CONCATENATE("'",$A$100,"'!j",B174),1)</f>
        <v>0</v>
      </c>
      <c r="M174" s="1" cm="1">
        <f t="array" aca="1" ref="M174" ca="1">INDIRECT(CONCATENATE("'",$A$100,"'!k",B174),1)</f>
        <v>0</v>
      </c>
      <c r="N174" s="1" cm="1">
        <f t="array" aca="1" ref="N174" ca="1">INDIRECT(CONCATENATE("'",$A$100,"'!l",B174),1)</f>
        <v>0</v>
      </c>
      <c r="O174" s="1" cm="1">
        <f t="array" aca="1" ref="O174" ca="1">INDIRECT(CONCATENATE("'",$A$100,"'!m",B174),1)</f>
        <v>0</v>
      </c>
      <c r="P174" s="1" cm="1">
        <f t="array" aca="1" ref="P174" ca="1">INDIRECT(CONCATENATE("'",$A$100,"'!n",B174),1)</f>
        <v>0</v>
      </c>
      <c r="Q174" s="1" cm="1">
        <f t="array" aca="1" ref="Q174" ca="1">INDIRECT(CONCATENATE("'",$A$100,"'!o",B174),1)</f>
        <v>0</v>
      </c>
      <c r="R174" s="1" cm="1">
        <f t="array" aca="1" ref="R174" ca="1">INDIRECT(CONCATENATE("'",$A$100,"'!p",B174),1)</f>
        <v>0</v>
      </c>
      <c r="S174" s="1">
        <f t="shared" ca="1" si="14"/>
        <v>0</v>
      </c>
      <c r="T174" s="1" cm="1">
        <f t="array" aca="1" ref="T174" ca="1">INDIRECT(CONCATENATE("'",$A$100,"'!q",B174),1)</f>
        <v>0</v>
      </c>
      <c r="U174" s="1" cm="1">
        <f t="array" aca="1" ref="U174" ca="1">INDIRECT(CONCATENATE("'",$A$100,"'!r",B174),1)</f>
        <v>0</v>
      </c>
      <c r="V174" s="1" cm="1">
        <f t="array" aca="1" ref="V174" ca="1">INDIRECT(CONCATENATE("'",$A$100,"'!s",B174),1)</f>
        <v>0</v>
      </c>
      <c r="W174" s="1" cm="1">
        <f t="array" aca="1" ref="W174" ca="1">INDIRECT(CONCATENATE("'",$A$100,"'!t",B174),1)</f>
        <v>0</v>
      </c>
      <c r="X174" s="1" cm="1">
        <f t="array" aca="1" ref="X174" ca="1">INDIRECT(CONCATENATE("'",$A$100,"'!u",B174),1)</f>
        <v>0</v>
      </c>
      <c r="Y174" s="1" cm="1">
        <f t="array" aca="1" ref="Y174" ca="1">INDIRECT(CONCATENATE("'",$A$100,"'!v",B174),1)</f>
        <v>0</v>
      </c>
    </row>
    <row r="175" spans="1:25" customFormat="1" hidden="1" x14ac:dyDescent="0.25">
      <c r="A175" s="15"/>
      <c r="B175" s="24">
        <f t="shared" si="13"/>
        <v>77</v>
      </c>
      <c r="C175" s="1" cm="1">
        <f t="array" aca="1" ref="C175" ca="1">INDIRECT(CONCATENATE("'",$A$100,"'!A",B175),1)</f>
        <v>0</v>
      </c>
      <c r="D175" s="1" cm="1">
        <f t="array" aca="1" ref="D175" ca="1">INDIRECT(CONCATENATE("'",$A$100,"'!B",B175),1)</f>
        <v>0</v>
      </c>
      <c r="E175" s="1" cm="1">
        <f t="array" aca="1" ref="E175" ca="1">INDIRECT(CONCATENATE("'",$A$100,"'!c",B175),1)</f>
        <v>0</v>
      </c>
      <c r="F175" s="1" cm="1">
        <f t="array" aca="1" ref="F175" ca="1">INDIRECT(CONCATENATE("'",$A$100,"'!d",B175),1)</f>
        <v>0</v>
      </c>
      <c r="G175" s="1" cm="1">
        <f t="array" aca="1" ref="G175" ca="1">INDIRECT(CONCATENATE("'",$A$100,"'!e",B175),1)</f>
        <v>0</v>
      </c>
      <c r="H175" s="1" cm="1">
        <f t="array" aca="1" ref="H175" ca="1">INDIRECT(CONCATENATE("'",$A$100,"'!f",B175),1)</f>
        <v>0</v>
      </c>
      <c r="I175" s="1" cm="1">
        <f t="array" aca="1" ref="I175" ca="1">INDIRECT(CONCATENATE("'",$A$100,"'!g",B175),1)</f>
        <v>0</v>
      </c>
      <c r="J175" s="1" cm="1">
        <f t="array" aca="1" ref="J175" ca="1">INDIRECT(CONCATENATE("'",$A$100,"'!h",B175),1)</f>
        <v>0</v>
      </c>
      <c r="K175" s="1" cm="1">
        <f t="array" aca="1" ref="K175" ca="1">INDIRECT(CONCATENATE("'",$A$100,"'!i",B175),1)</f>
        <v>0</v>
      </c>
      <c r="L175" s="1" cm="1">
        <f t="array" aca="1" ref="L175" ca="1">INDIRECT(CONCATENATE("'",$A$100,"'!j",B175),1)</f>
        <v>0</v>
      </c>
      <c r="M175" s="1" cm="1">
        <f t="array" aca="1" ref="M175" ca="1">INDIRECT(CONCATENATE("'",$A$100,"'!k",B175),1)</f>
        <v>0</v>
      </c>
      <c r="N175" s="1" cm="1">
        <f t="array" aca="1" ref="N175" ca="1">INDIRECT(CONCATENATE("'",$A$100,"'!l",B175),1)</f>
        <v>0</v>
      </c>
      <c r="O175" s="1" cm="1">
        <f t="array" aca="1" ref="O175" ca="1">INDIRECT(CONCATENATE("'",$A$100,"'!m",B175),1)</f>
        <v>0</v>
      </c>
      <c r="P175" s="1" cm="1">
        <f t="array" aca="1" ref="P175" ca="1">INDIRECT(CONCATENATE("'",$A$100,"'!n",B175),1)</f>
        <v>0</v>
      </c>
      <c r="Q175" s="1" cm="1">
        <f t="array" aca="1" ref="Q175" ca="1">INDIRECT(CONCATENATE("'",$A$100,"'!o",B175),1)</f>
        <v>0</v>
      </c>
      <c r="R175" s="1" cm="1">
        <f t="array" aca="1" ref="R175" ca="1">INDIRECT(CONCATENATE("'",$A$100,"'!p",B175),1)</f>
        <v>0</v>
      </c>
      <c r="S175" s="1">
        <f t="shared" ca="1" si="14"/>
        <v>0</v>
      </c>
      <c r="T175" s="1" cm="1">
        <f t="array" aca="1" ref="T175" ca="1">INDIRECT(CONCATENATE("'",$A$100,"'!q",B175),1)</f>
        <v>0</v>
      </c>
      <c r="U175" s="1" cm="1">
        <f t="array" aca="1" ref="U175" ca="1">INDIRECT(CONCATENATE("'",$A$100,"'!r",B175),1)</f>
        <v>0</v>
      </c>
      <c r="V175" s="1" cm="1">
        <f t="array" aca="1" ref="V175" ca="1">INDIRECT(CONCATENATE("'",$A$100,"'!s",B175),1)</f>
        <v>0</v>
      </c>
      <c r="W175" s="1" cm="1">
        <f t="array" aca="1" ref="W175" ca="1">INDIRECT(CONCATENATE("'",$A$100,"'!t",B175),1)</f>
        <v>0</v>
      </c>
      <c r="X175" s="1" cm="1">
        <f t="array" aca="1" ref="X175" ca="1">INDIRECT(CONCATENATE("'",$A$100,"'!u",B175),1)</f>
        <v>0</v>
      </c>
      <c r="Y175" s="1" cm="1">
        <f t="array" aca="1" ref="Y175" ca="1">INDIRECT(CONCATENATE("'",$A$100,"'!v",B175),1)</f>
        <v>0</v>
      </c>
    </row>
    <row r="176" spans="1:25" customFormat="1" hidden="1" x14ac:dyDescent="0.25">
      <c r="A176" s="15"/>
      <c r="B176" s="24">
        <f t="shared" si="13"/>
        <v>78</v>
      </c>
      <c r="C176" s="1" cm="1">
        <f t="array" aca="1" ref="C176" ca="1">INDIRECT(CONCATENATE("'",$A$100,"'!A",B176),1)</f>
        <v>0</v>
      </c>
      <c r="D176" s="1" cm="1">
        <f t="array" aca="1" ref="D176" ca="1">INDIRECT(CONCATENATE("'",$A$100,"'!B",B176),1)</f>
        <v>0</v>
      </c>
      <c r="E176" s="1" cm="1">
        <f t="array" aca="1" ref="E176" ca="1">INDIRECT(CONCATENATE("'",$A$100,"'!c",B176),1)</f>
        <v>0</v>
      </c>
      <c r="F176" s="1" cm="1">
        <f t="array" aca="1" ref="F176" ca="1">INDIRECT(CONCATENATE("'",$A$100,"'!d",B176),1)</f>
        <v>0</v>
      </c>
      <c r="G176" s="1" cm="1">
        <f t="array" aca="1" ref="G176" ca="1">INDIRECT(CONCATENATE("'",$A$100,"'!e",B176),1)</f>
        <v>0</v>
      </c>
      <c r="H176" s="1" cm="1">
        <f t="array" aca="1" ref="H176" ca="1">INDIRECT(CONCATENATE("'",$A$100,"'!f",B176),1)</f>
        <v>0</v>
      </c>
      <c r="I176" s="1" cm="1">
        <f t="array" aca="1" ref="I176" ca="1">INDIRECT(CONCATENATE("'",$A$100,"'!g",B176),1)</f>
        <v>0</v>
      </c>
      <c r="J176" s="1" cm="1">
        <f t="array" aca="1" ref="J176" ca="1">INDIRECT(CONCATENATE("'",$A$100,"'!h",B176),1)</f>
        <v>0</v>
      </c>
      <c r="K176" s="1" cm="1">
        <f t="array" aca="1" ref="K176" ca="1">INDIRECT(CONCATENATE("'",$A$100,"'!i",B176),1)</f>
        <v>0</v>
      </c>
      <c r="L176" s="1" cm="1">
        <f t="array" aca="1" ref="L176" ca="1">INDIRECT(CONCATENATE("'",$A$100,"'!j",B176),1)</f>
        <v>0</v>
      </c>
      <c r="M176" s="1" cm="1">
        <f t="array" aca="1" ref="M176" ca="1">INDIRECT(CONCATENATE("'",$A$100,"'!k",B176),1)</f>
        <v>0</v>
      </c>
      <c r="N176" s="1" cm="1">
        <f t="array" aca="1" ref="N176" ca="1">INDIRECT(CONCATENATE("'",$A$100,"'!l",B176),1)</f>
        <v>0</v>
      </c>
      <c r="O176" s="1" cm="1">
        <f t="array" aca="1" ref="O176" ca="1">INDIRECT(CONCATENATE("'",$A$100,"'!m",B176),1)</f>
        <v>0</v>
      </c>
      <c r="P176" s="1" cm="1">
        <f t="array" aca="1" ref="P176" ca="1">INDIRECT(CONCATENATE("'",$A$100,"'!n",B176),1)</f>
        <v>0</v>
      </c>
      <c r="Q176" s="1" cm="1">
        <f t="array" aca="1" ref="Q176" ca="1">INDIRECT(CONCATENATE("'",$A$100,"'!o",B176),1)</f>
        <v>0</v>
      </c>
      <c r="R176" s="1" cm="1">
        <f t="array" aca="1" ref="R176" ca="1">INDIRECT(CONCATENATE("'",$A$100,"'!p",B176),1)</f>
        <v>0</v>
      </c>
      <c r="S176" s="1">
        <f t="shared" ca="1" si="14"/>
        <v>0</v>
      </c>
      <c r="T176" s="1" cm="1">
        <f t="array" aca="1" ref="T176" ca="1">INDIRECT(CONCATENATE("'",$A$100,"'!q",B176),1)</f>
        <v>0</v>
      </c>
      <c r="U176" s="1" cm="1">
        <f t="array" aca="1" ref="U176" ca="1">INDIRECT(CONCATENATE("'",$A$100,"'!r",B176),1)</f>
        <v>0</v>
      </c>
      <c r="V176" s="1" cm="1">
        <f t="array" aca="1" ref="V176" ca="1">INDIRECT(CONCATENATE("'",$A$100,"'!s",B176),1)</f>
        <v>0</v>
      </c>
      <c r="W176" s="1" cm="1">
        <f t="array" aca="1" ref="W176" ca="1">INDIRECT(CONCATENATE("'",$A$100,"'!t",B176),1)</f>
        <v>0</v>
      </c>
      <c r="X176" s="1" cm="1">
        <f t="array" aca="1" ref="X176" ca="1">INDIRECT(CONCATENATE("'",$A$100,"'!u",B176),1)</f>
        <v>0</v>
      </c>
      <c r="Y176" s="1" cm="1">
        <f t="array" aca="1" ref="Y176" ca="1">INDIRECT(CONCATENATE("'",$A$100,"'!v",B176),1)</f>
        <v>0</v>
      </c>
    </row>
    <row r="177" spans="1:25" customFormat="1" hidden="1" x14ac:dyDescent="0.25">
      <c r="A177" s="15"/>
      <c r="B177" s="24">
        <f t="shared" si="13"/>
        <v>79</v>
      </c>
      <c r="C177" s="1" cm="1">
        <f t="array" aca="1" ref="C177" ca="1">INDIRECT(CONCATENATE("'",$A$100,"'!A",B177),1)</f>
        <v>0</v>
      </c>
      <c r="D177" s="1" cm="1">
        <f t="array" aca="1" ref="D177" ca="1">INDIRECT(CONCATENATE("'",$A$100,"'!B",B177),1)</f>
        <v>0</v>
      </c>
      <c r="E177" s="1" cm="1">
        <f t="array" aca="1" ref="E177" ca="1">INDIRECT(CONCATENATE("'",$A$100,"'!c",B177),1)</f>
        <v>0</v>
      </c>
      <c r="F177" s="1" cm="1">
        <f t="array" aca="1" ref="F177" ca="1">INDIRECT(CONCATENATE("'",$A$100,"'!d",B177),1)</f>
        <v>0</v>
      </c>
      <c r="G177" s="1" cm="1">
        <f t="array" aca="1" ref="G177" ca="1">INDIRECT(CONCATENATE("'",$A$100,"'!e",B177),1)</f>
        <v>0</v>
      </c>
      <c r="H177" s="1" cm="1">
        <f t="array" aca="1" ref="H177" ca="1">INDIRECT(CONCATENATE("'",$A$100,"'!f",B177),1)</f>
        <v>0</v>
      </c>
      <c r="I177" s="1" cm="1">
        <f t="array" aca="1" ref="I177" ca="1">INDIRECT(CONCATENATE("'",$A$100,"'!g",B177),1)</f>
        <v>0</v>
      </c>
      <c r="J177" s="1" cm="1">
        <f t="array" aca="1" ref="J177" ca="1">INDIRECT(CONCATENATE("'",$A$100,"'!h",B177),1)</f>
        <v>0</v>
      </c>
      <c r="K177" s="1" cm="1">
        <f t="array" aca="1" ref="K177" ca="1">INDIRECT(CONCATENATE("'",$A$100,"'!i",B177),1)</f>
        <v>0</v>
      </c>
      <c r="L177" s="1" cm="1">
        <f t="array" aca="1" ref="L177" ca="1">INDIRECT(CONCATENATE("'",$A$100,"'!j",B177),1)</f>
        <v>0</v>
      </c>
      <c r="M177" s="1" cm="1">
        <f t="array" aca="1" ref="M177" ca="1">INDIRECT(CONCATENATE("'",$A$100,"'!k",B177),1)</f>
        <v>0</v>
      </c>
      <c r="N177" s="1" cm="1">
        <f t="array" aca="1" ref="N177" ca="1">INDIRECT(CONCATENATE("'",$A$100,"'!l",B177),1)</f>
        <v>0</v>
      </c>
      <c r="O177" s="1" cm="1">
        <f t="array" aca="1" ref="O177" ca="1">INDIRECT(CONCATENATE("'",$A$100,"'!m",B177),1)</f>
        <v>0</v>
      </c>
      <c r="P177" s="1" cm="1">
        <f t="array" aca="1" ref="P177" ca="1">INDIRECT(CONCATENATE("'",$A$100,"'!n",B177),1)</f>
        <v>0</v>
      </c>
      <c r="Q177" s="1" cm="1">
        <f t="array" aca="1" ref="Q177" ca="1">INDIRECT(CONCATENATE("'",$A$100,"'!o",B177),1)</f>
        <v>0</v>
      </c>
      <c r="R177" s="1" cm="1">
        <f t="array" aca="1" ref="R177" ca="1">INDIRECT(CONCATENATE("'",$A$100,"'!p",B177),1)</f>
        <v>0</v>
      </c>
      <c r="S177" s="1">
        <f t="shared" ca="1" si="14"/>
        <v>0</v>
      </c>
      <c r="T177" s="1" cm="1">
        <f t="array" aca="1" ref="T177" ca="1">INDIRECT(CONCATENATE("'",$A$100,"'!q",B177),1)</f>
        <v>0</v>
      </c>
      <c r="U177" s="1" cm="1">
        <f t="array" aca="1" ref="U177" ca="1">INDIRECT(CONCATENATE("'",$A$100,"'!r",B177),1)</f>
        <v>0</v>
      </c>
      <c r="V177" s="1" cm="1">
        <f t="array" aca="1" ref="V177" ca="1">INDIRECT(CONCATENATE("'",$A$100,"'!s",B177),1)</f>
        <v>0</v>
      </c>
      <c r="W177" s="1" cm="1">
        <f t="array" aca="1" ref="W177" ca="1">INDIRECT(CONCATENATE("'",$A$100,"'!t",B177),1)</f>
        <v>0</v>
      </c>
      <c r="X177" s="1" cm="1">
        <f t="array" aca="1" ref="X177" ca="1">INDIRECT(CONCATENATE("'",$A$100,"'!u",B177),1)</f>
        <v>0</v>
      </c>
      <c r="Y177" s="1" cm="1">
        <f t="array" aca="1" ref="Y177" ca="1">INDIRECT(CONCATENATE("'",$A$100,"'!v",B177),1)</f>
        <v>0</v>
      </c>
    </row>
    <row r="178" spans="1:25" customFormat="1" hidden="1" x14ac:dyDescent="0.25">
      <c r="A178" s="15"/>
      <c r="B178" s="24">
        <f t="shared" si="13"/>
        <v>80</v>
      </c>
      <c r="C178" s="1" cm="1">
        <f t="array" aca="1" ref="C178" ca="1">INDIRECT(CONCATENATE("'",$A$100,"'!A",B178),1)</f>
        <v>0</v>
      </c>
      <c r="D178" s="1" cm="1">
        <f t="array" aca="1" ref="D178" ca="1">INDIRECT(CONCATENATE("'",$A$100,"'!B",B178),1)</f>
        <v>0</v>
      </c>
      <c r="E178" s="1" cm="1">
        <f t="array" aca="1" ref="E178" ca="1">INDIRECT(CONCATENATE("'",$A$100,"'!c",B178),1)</f>
        <v>0</v>
      </c>
      <c r="F178" s="1" cm="1">
        <f t="array" aca="1" ref="F178" ca="1">INDIRECT(CONCATENATE("'",$A$100,"'!d",B178),1)</f>
        <v>0</v>
      </c>
      <c r="G178" s="1" cm="1">
        <f t="array" aca="1" ref="G178" ca="1">INDIRECT(CONCATENATE("'",$A$100,"'!e",B178),1)</f>
        <v>0</v>
      </c>
      <c r="H178" s="1" cm="1">
        <f t="array" aca="1" ref="H178" ca="1">INDIRECT(CONCATENATE("'",$A$100,"'!f",B178),1)</f>
        <v>0</v>
      </c>
      <c r="I178" s="1" cm="1">
        <f t="array" aca="1" ref="I178" ca="1">INDIRECT(CONCATENATE("'",$A$100,"'!g",B178),1)</f>
        <v>0</v>
      </c>
      <c r="J178" s="1" cm="1">
        <f t="array" aca="1" ref="J178" ca="1">INDIRECT(CONCATENATE("'",$A$100,"'!h",B178),1)</f>
        <v>0</v>
      </c>
      <c r="K178" s="1" cm="1">
        <f t="array" aca="1" ref="K178" ca="1">INDIRECT(CONCATENATE("'",$A$100,"'!i",B178),1)</f>
        <v>0</v>
      </c>
      <c r="L178" s="1" cm="1">
        <f t="array" aca="1" ref="L178" ca="1">INDIRECT(CONCATENATE("'",$A$100,"'!j",B178),1)</f>
        <v>0</v>
      </c>
      <c r="M178" s="1" cm="1">
        <f t="array" aca="1" ref="M178" ca="1">INDIRECT(CONCATENATE("'",$A$100,"'!k",B178),1)</f>
        <v>0</v>
      </c>
      <c r="N178" s="1" cm="1">
        <f t="array" aca="1" ref="N178" ca="1">INDIRECT(CONCATENATE("'",$A$100,"'!l",B178),1)</f>
        <v>0</v>
      </c>
      <c r="O178" s="1" cm="1">
        <f t="array" aca="1" ref="O178" ca="1">INDIRECT(CONCATENATE("'",$A$100,"'!m",B178),1)</f>
        <v>0</v>
      </c>
      <c r="P178" s="1" cm="1">
        <f t="array" aca="1" ref="P178" ca="1">INDIRECT(CONCATENATE("'",$A$100,"'!n",B178),1)</f>
        <v>0</v>
      </c>
      <c r="Q178" s="1" cm="1">
        <f t="array" aca="1" ref="Q178" ca="1">INDIRECT(CONCATENATE("'",$A$100,"'!o",B178),1)</f>
        <v>0</v>
      </c>
      <c r="R178" s="1" cm="1">
        <f t="array" aca="1" ref="R178" ca="1">INDIRECT(CONCATENATE("'",$A$100,"'!p",B178),1)</f>
        <v>0</v>
      </c>
      <c r="S178" s="1">
        <f t="shared" ca="1" si="14"/>
        <v>0</v>
      </c>
      <c r="T178" s="1" cm="1">
        <f t="array" aca="1" ref="T178" ca="1">INDIRECT(CONCATENATE("'",$A$100,"'!q",B178),1)</f>
        <v>0</v>
      </c>
      <c r="U178" s="1" cm="1">
        <f t="array" aca="1" ref="U178" ca="1">INDIRECT(CONCATENATE("'",$A$100,"'!r",B178),1)</f>
        <v>0</v>
      </c>
      <c r="V178" s="1" cm="1">
        <f t="array" aca="1" ref="V178" ca="1">INDIRECT(CONCATENATE("'",$A$100,"'!s",B178),1)</f>
        <v>0</v>
      </c>
      <c r="W178" s="1" cm="1">
        <f t="array" aca="1" ref="W178" ca="1">INDIRECT(CONCATENATE("'",$A$100,"'!t",B178),1)</f>
        <v>0</v>
      </c>
      <c r="X178" s="1" cm="1">
        <f t="array" aca="1" ref="X178" ca="1">INDIRECT(CONCATENATE("'",$A$100,"'!u",B178),1)</f>
        <v>0</v>
      </c>
      <c r="Y178" s="1" cm="1">
        <f t="array" aca="1" ref="Y178" ca="1">INDIRECT(CONCATENATE("'",$A$100,"'!v",B178),1)</f>
        <v>0</v>
      </c>
    </row>
    <row r="179" spans="1:25" customFormat="1" hidden="1" x14ac:dyDescent="0.25">
      <c r="A179" s="15"/>
      <c r="B179" s="24">
        <f t="shared" si="13"/>
        <v>81</v>
      </c>
      <c r="C179" s="1" cm="1">
        <f t="array" aca="1" ref="C179" ca="1">INDIRECT(CONCATENATE("'",$A$100,"'!A",B179),1)</f>
        <v>0</v>
      </c>
      <c r="D179" s="1" cm="1">
        <f t="array" aca="1" ref="D179" ca="1">INDIRECT(CONCATENATE("'",$A$100,"'!B",B179),1)</f>
        <v>0</v>
      </c>
      <c r="E179" s="1" cm="1">
        <f t="array" aca="1" ref="E179" ca="1">INDIRECT(CONCATENATE("'",$A$100,"'!c",B179),1)</f>
        <v>0</v>
      </c>
      <c r="F179" s="1" cm="1">
        <f t="array" aca="1" ref="F179" ca="1">INDIRECT(CONCATENATE("'",$A$100,"'!d",B179),1)</f>
        <v>0</v>
      </c>
      <c r="G179" s="1" cm="1">
        <f t="array" aca="1" ref="G179" ca="1">INDIRECT(CONCATENATE("'",$A$100,"'!e",B179),1)</f>
        <v>0</v>
      </c>
      <c r="H179" s="1" cm="1">
        <f t="array" aca="1" ref="H179" ca="1">INDIRECT(CONCATENATE("'",$A$100,"'!f",B179),1)</f>
        <v>0</v>
      </c>
      <c r="I179" s="1" cm="1">
        <f t="array" aca="1" ref="I179" ca="1">INDIRECT(CONCATENATE("'",$A$100,"'!g",B179),1)</f>
        <v>0</v>
      </c>
      <c r="J179" s="1" cm="1">
        <f t="array" aca="1" ref="J179" ca="1">INDIRECT(CONCATENATE("'",$A$100,"'!h",B179),1)</f>
        <v>0</v>
      </c>
      <c r="K179" s="1" cm="1">
        <f t="array" aca="1" ref="K179" ca="1">INDIRECT(CONCATENATE("'",$A$100,"'!i",B179),1)</f>
        <v>0</v>
      </c>
      <c r="L179" s="1" cm="1">
        <f t="array" aca="1" ref="L179" ca="1">INDIRECT(CONCATENATE("'",$A$100,"'!j",B179),1)</f>
        <v>0</v>
      </c>
      <c r="M179" s="1" cm="1">
        <f t="array" aca="1" ref="M179" ca="1">INDIRECT(CONCATENATE("'",$A$100,"'!k",B179),1)</f>
        <v>0</v>
      </c>
      <c r="N179" s="1" cm="1">
        <f t="array" aca="1" ref="N179" ca="1">INDIRECT(CONCATENATE("'",$A$100,"'!l",B179),1)</f>
        <v>0</v>
      </c>
      <c r="O179" s="1" cm="1">
        <f t="array" aca="1" ref="O179" ca="1">INDIRECT(CONCATENATE("'",$A$100,"'!m",B179),1)</f>
        <v>0</v>
      </c>
      <c r="P179" s="1" cm="1">
        <f t="array" aca="1" ref="P179" ca="1">INDIRECT(CONCATENATE("'",$A$100,"'!n",B179),1)</f>
        <v>0</v>
      </c>
      <c r="Q179" s="1" cm="1">
        <f t="array" aca="1" ref="Q179" ca="1">INDIRECT(CONCATENATE("'",$A$100,"'!o",B179),1)</f>
        <v>0</v>
      </c>
      <c r="R179" s="1" cm="1">
        <f t="array" aca="1" ref="R179" ca="1">INDIRECT(CONCATENATE("'",$A$100,"'!p",B179),1)</f>
        <v>0</v>
      </c>
      <c r="S179" s="1">
        <f t="shared" ca="1" si="14"/>
        <v>0</v>
      </c>
      <c r="T179" s="1" cm="1">
        <f t="array" aca="1" ref="T179" ca="1">INDIRECT(CONCATENATE("'",$A$100,"'!q",B179),1)</f>
        <v>0</v>
      </c>
      <c r="U179" s="1" cm="1">
        <f t="array" aca="1" ref="U179" ca="1">INDIRECT(CONCATENATE("'",$A$100,"'!r",B179),1)</f>
        <v>0</v>
      </c>
      <c r="V179" s="1" cm="1">
        <f t="array" aca="1" ref="V179" ca="1">INDIRECT(CONCATENATE("'",$A$100,"'!s",B179),1)</f>
        <v>0</v>
      </c>
      <c r="W179" s="1" cm="1">
        <f t="array" aca="1" ref="W179" ca="1">INDIRECT(CONCATENATE("'",$A$100,"'!t",B179),1)</f>
        <v>0</v>
      </c>
      <c r="X179" s="1" cm="1">
        <f t="array" aca="1" ref="X179" ca="1">INDIRECT(CONCATENATE("'",$A$100,"'!u",B179),1)</f>
        <v>0</v>
      </c>
      <c r="Y179" s="1" cm="1">
        <f t="array" aca="1" ref="Y179" ca="1">INDIRECT(CONCATENATE("'",$A$100,"'!v",B179),1)</f>
        <v>0</v>
      </c>
    </row>
    <row r="180" spans="1:25" customFormat="1" ht="41.25" hidden="1" customHeight="1" x14ac:dyDescent="0.25">
      <c r="A180" s="15"/>
      <c r="B180" s="24">
        <f t="shared" si="13"/>
        <v>82</v>
      </c>
      <c r="C180" s="1" cm="1">
        <f t="array" aca="1" ref="C180" ca="1">INDIRECT(CONCATENATE("'",$A$100,"'!A",B180),1)</f>
        <v>0</v>
      </c>
      <c r="D180" s="1" cm="1">
        <f t="array" aca="1" ref="D180" ca="1">INDIRECT(CONCATENATE("'",$A$100,"'!B",B180),1)</f>
        <v>0</v>
      </c>
      <c r="E180" s="1" cm="1">
        <f t="array" aca="1" ref="E180" ca="1">INDIRECT(CONCATENATE("'",$A$100,"'!c",B180),1)</f>
        <v>0</v>
      </c>
      <c r="F180" s="1" cm="1">
        <f t="array" aca="1" ref="F180" ca="1">INDIRECT(CONCATENATE("'",$A$100,"'!d",B180),1)</f>
        <v>0</v>
      </c>
      <c r="G180" s="1" cm="1">
        <f t="array" aca="1" ref="G180" ca="1">INDIRECT(CONCATENATE("'",$A$100,"'!e",B180),1)</f>
        <v>0</v>
      </c>
      <c r="H180" s="1" cm="1">
        <f t="array" aca="1" ref="H180" ca="1">INDIRECT(CONCATENATE("'",$A$100,"'!f",B180),1)</f>
        <v>0</v>
      </c>
      <c r="I180" s="1" cm="1">
        <f t="array" aca="1" ref="I180" ca="1">INDIRECT(CONCATENATE("'",$A$100,"'!g",B180),1)</f>
        <v>0</v>
      </c>
      <c r="J180" s="1" cm="1">
        <f t="array" aca="1" ref="J180" ca="1">INDIRECT(CONCATENATE("'",$A$100,"'!h",B180),1)</f>
        <v>0</v>
      </c>
      <c r="K180" s="1" cm="1">
        <f t="array" aca="1" ref="K180" ca="1">INDIRECT(CONCATENATE("'",$A$100,"'!i",B180),1)</f>
        <v>0</v>
      </c>
      <c r="L180" s="1" cm="1">
        <f t="array" aca="1" ref="L180" ca="1">INDIRECT(CONCATENATE("'",$A$100,"'!j",B180),1)</f>
        <v>0</v>
      </c>
      <c r="M180" s="1" cm="1">
        <f t="array" aca="1" ref="M180" ca="1">INDIRECT(CONCATENATE("'",$A$100,"'!k",B180),1)</f>
        <v>0</v>
      </c>
      <c r="N180" s="1" cm="1">
        <f t="array" aca="1" ref="N180" ca="1">INDIRECT(CONCATENATE("'",$A$100,"'!l",B180),1)</f>
        <v>0</v>
      </c>
      <c r="O180" s="1" cm="1">
        <f t="array" aca="1" ref="O180" ca="1">INDIRECT(CONCATENATE("'",$A$100,"'!m",B180),1)</f>
        <v>0</v>
      </c>
      <c r="P180" s="1" cm="1">
        <f t="array" aca="1" ref="P180" ca="1">INDIRECT(CONCATENATE("'",$A$100,"'!n",B180),1)</f>
        <v>0</v>
      </c>
      <c r="Q180" s="1" cm="1">
        <f t="array" aca="1" ref="Q180" ca="1">INDIRECT(CONCATENATE("'",$A$100,"'!o",B180),1)</f>
        <v>0</v>
      </c>
      <c r="R180" s="1" cm="1">
        <f t="array" aca="1" ref="R180" ca="1">INDIRECT(CONCATENATE("'",$A$100,"'!p",B180),1)</f>
        <v>0</v>
      </c>
      <c r="S180" s="1">
        <f t="shared" ca="1" si="14"/>
        <v>0</v>
      </c>
      <c r="T180" s="1" cm="1">
        <f t="array" aca="1" ref="T180" ca="1">INDIRECT(CONCATENATE("'",$A$100,"'!q",B180),1)</f>
        <v>0</v>
      </c>
      <c r="U180" s="1" cm="1">
        <f t="array" aca="1" ref="U180" ca="1">INDIRECT(CONCATENATE("'",$A$100,"'!r",B180),1)</f>
        <v>0</v>
      </c>
      <c r="V180" s="1" cm="1">
        <f t="array" aca="1" ref="V180" ca="1">INDIRECT(CONCATENATE("'",$A$100,"'!s",B180),1)</f>
        <v>0</v>
      </c>
      <c r="W180" s="1" cm="1">
        <f t="array" aca="1" ref="W180" ca="1">INDIRECT(CONCATENATE("'",$A$100,"'!t",B180),1)</f>
        <v>0</v>
      </c>
      <c r="X180" s="1" cm="1">
        <f t="array" aca="1" ref="X180" ca="1">INDIRECT(CONCATENATE("'",$A$100,"'!u",B180),1)</f>
        <v>0</v>
      </c>
      <c r="Y180" s="1" cm="1">
        <f t="array" aca="1" ref="Y180" ca="1">INDIRECT(CONCATENATE("'",$A$100,"'!v",B180),1)</f>
        <v>0</v>
      </c>
    </row>
    <row r="181" spans="1:25" customFormat="1" hidden="1" x14ac:dyDescent="0.25">
      <c r="A181" s="15"/>
      <c r="B181" s="24">
        <f t="shared" si="13"/>
        <v>83</v>
      </c>
      <c r="C181" s="1" cm="1">
        <f t="array" aca="1" ref="C181" ca="1">INDIRECT(CONCATENATE("'",$A$100,"'!A",B181),1)</f>
        <v>0</v>
      </c>
      <c r="D181" s="1" cm="1">
        <f t="array" aca="1" ref="D181" ca="1">INDIRECT(CONCATENATE("'",$A$100,"'!B",B181),1)</f>
        <v>0</v>
      </c>
      <c r="E181" s="1" cm="1">
        <f t="array" aca="1" ref="E181" ca="1">INDIRECT(CONCATENATE("'",$A$100,"'!c",B181),1)</f>
        <v>0</v>
      </c>
      <c r="F181" s="1" cm="1">
        <f t="array" aca="1" ref="F181" ca="1">INDIRECT(CONCATENATE("'",$A$100,"'!d",B181),1)</f>
        <v>0</v>
      </c>
      <c r="G181" s="1" cm="1">
        <f t="array" aca="1" ref="G181" ca="1">INDIRECT(CONCATENATE("'",$A$100,"'!e",B181),1)</f>
        <v>0</v>
      </c>
      <c r="H181" s="1" cm="1">
        <f t="array" aca="1" ref="H181" ca="1">INDIRECT(CONCATENATE("'",$A$100,"'!f",B181),1)</f>
        <v>0</v>
      </c>
      <c r="I181" s="1" cm="1">
        <f t="array" aca="1" ref="I181" ca="1">INDIRECT(CONCATENATE("'",$A$100,"'!g",B181),1)</f>
        <v>0</v>
      </c>
      <c r="J181" s="1" cm="1">
        <f t="array" aca="1" ref="J181" ca="1">INDIRECT(CONCATENATE("'",$A$100,"'!h",B181),1)</f>
        <v>0</v>
      </c>
      <c r="K181" s="1" cm="1">
        <f t="array" aca="1" ref="K181" ca="1">INDIRECT(CONCATENATE("'",$A$100,"'!i",B181),1)</f>
        <v>0</v>
      </c>
      <c r="L181" s="1" cm="1">
        <f t="array" aca="1" ref="L181" ca="1">INDIRECT(CONCATENATE("'",$A$100,"'!j",B181),1)</f>
        <v>0</v>
      </c>
      <c r="M181" s="1" cm="1">
        <f t="array" aca="1" ref="M181" ca="1">INDIRECT(CONCATENATE("'",$A$100,"'!k",B181),1)</f>
        <v>0</v>
      </c>
      <c r="N181" s="1" cm="1">
        <f t="array" aca="1" ref="N181" ca="1">INDIRECT(CONCATENATE("'",$A$100,"'!l",B181),1)</f>
        <v>0</v>
      </c>
      <c r="O181" s="1" cm="1">
        <f t="array" aca="1" ref="O181" ca="1">INDIRECT(CONCATENATE("'",$A$100,"'!m",B181),1)</f>
        <v>0</v>
      </c>
      <c r="P181" s="1" cm="1">
        <f t="array" aca="1" ref="P181" ca="1">INDIRECT(CONCATENATE("'",$A$100,"'!n",B181),1)</f>
        <v>0</v>
      </c>
      <c r="Q181" s="1" cm="1">
        <f t="array" aca="1" ref="Q181" ca="1">INDIRECT(CONCATENATE("'",$A$100,"'!o",B181),1)</f>
        <v>0</v>
      </c>
      <c r="R181" s="1" cm="1">
        <f t="array" aca="1" ref="R181" ca="1">INDIRECT(CONCATENATE("'",$A$100,"'!p",B181),1)</f>
        <v>0</v>
      </c>
      <c r="S181" s="1">
        <f t="shared" ca="1" si="14"/>
        <v>0</v>
      </c>
      <c r="T181" s="1" cm="1">
        <f t="array" aca="1" ref="T181" ca="1">INDIRECT(CONCATENATE("'",$A$100,"'!q",B181),1)</f>
        <v>0</v>
      </c>
      <c r="U181" s="1" cm="1">
        <f t="array" aca="1" ref="U181" ca="1">INDIRECT(CONCATENATE("'",$A$100,"'!r",B181),1)</f>
        <v>0</v>
      </c>
      <c r="V181" s="1" cm="1">
        <f t="array" aca="1" ref="V181" ca="1">INDIRECT(CONCATENATE("'",$A$100,"'!s",B181),1)</f>
        <v>0</v>
      </c>
      <c r="W181" s="1" cm="1">
        <f t="array" aca="1" ref="W181" ca="1">INDIRECT(CONCATENATE("'",$A$100,"'!t",B181),1)</f>
        <v>0</v>
      </c>
      <c r="X181" s="1" cm="1">
        <f t="array" aca="1" ref="X181" ca="1">INDIRECT(CONCATENATE("'",$A$100,"'!u",B181),1)</f>
        <v>0</v>
      </c>
      <c r="Y181" s="1" cm="1">
        <f t="array" aca="1" ref="Y181" ca="1">INDIRECT(CONCATENATE("'",$A$100,"'!v",B181),1)</f>
        <v>0</v>
      </c>
    </row>
    <row r="182" spans="1:25" customFormat="1" hidden="1" x14ac:dyDescent="0.25">
      <c r="A182" s="15"/>
      <c r="B182" s="24">
        <f t="shared" si="13"/>
        <v>84</v>
      </c>
      <c r="C182" s="1" cm="1">
        <f t="array" aca="1" ref="C182" ca="1">INDIRECT(CONCATENATE("'",$A$100,"'!A",B182),1)</f>
        <v>0</v>
      </c>
      <c r="D182" s="1" cm="1">
        <f t="array" aca="1" ref="D182" ca="1">INDIRECT(CONCATENATE("'",$A$100,"'!B",B182),1)</f>
        <v>0</v>
      </c>
      <c r="E182" s="1" cm="1">
        <f t="array" aca="1" ref="E182" ca="1">INDIRECT(CONCATENATE("'",$A$100,"'!c",B182),1)</f>
        <v>0</v>
      </c>
      <c r="F182" s="1" cm="1">
        <f t="array" aca="1" ref="F182" ca="1">INDIRECT(CONCATENATE("'",$A$100,"'!d",B182),1)</f>
        <v>0</v>
      </c>
      <c r="G182" s="1" cm="1">
        <f t="array" aca="1" ref="G182" ca="1">INDIRECT(CONCATENATE("'",$A$100,"'!e",B182),1)</f>
        <v>0</v>
      </c>
      <c r="H182" s="1" cm="1">
        <f t="array" aca="1" ref="H182" ca="1">INDIRECT(CONCATENATE("'",$A$100,"'!f",B182),1)</f>
        <v>0</v>
      </c>
      <c r="I182" s="1" cm="1">
        <f t="array" aca="1" ref="I182" ca="1">INDIRECT(CONCATENATE("'",$A$100,"'!g",B182),1)</f>
        <v>0</v>
      </c>
      <c r="J182" s="1" cm="1">
        <f t="array" aca="1" ref="J182" ca="1">INDIRECT(CONCATENATE("'",$A$100,"'!h",B182),1)</f>
        <v>0</v>
      </c>
      <c r="K182" s="1" cm="1">
        <f t="array" aca="1" ref="K182" ca="1">INDIRECT(CONCATENATE("'",$A$100,"'!i",B182),1)</f>
        <v>0</v>
      </c>
      <c r="L182" s="1" cm="1">
        <f t="array" aca="1" ref="L182" ca="1">INDIRECT(CONCATENATE("'",$A$100,"'!j",B182),1)</f>
        <v>0</v>
      </c>
      <c r="M182" s="1" cm="1">
        <f t="array" aca="1" ref="M182" ca="1">INDIRECT(CONCATENATE("'",$A$100,"'!k",B182),1)</f>
        <v>0</v>
      </c>
      <c r="N182" s="1" cm="1">
        <f t="array" aca="1" ref="N182" ca="1">INDIRECT(CONCATENATE("'",$A$100,"'!l",B182),1)</f>
        <v>0</v>
      </c>
      <c r="O182" s="1" cm="1">
        <f t="array" aca="1" ref="O182" ca="1">INDIRECT(CONCATENATE("'",$A$100,"'!m",B182),1)</f>
        <v>0</v>
      </c>
      <c r="P182" s="1" cm="1">
        <f t="array" aca="1" ref="P182" ca="1">INDIRECT(CONCATENATE("'",$A$100,"'!n",B182),1)</f>
        <v>0</v>
      </c>
      <c r="Q182" s="1" cm="1">
        <f t="array" aca="1" ref="Q182" ca="1">INDIRECT(CONCATENATE("'",$A$100,"'!o",B182),1)</f>
        <v>0</v>
      </c>
      <c r="R182" s="1" cm="1">
        <f t="array" aca="1" ref="R182" ca="1">INDIRECT(CONCATENATE("'",$A$100,"'!p",B182),1)</f>
        <v>0</v>
      </c>
      <c r="S182" s="1">
        <f t="shared" ca="1" si="14"/>
        <v>0</v>
      </c>
      <c r="T182" s="1" cm="1">
        <f t="array" aca="1" ref="T182" ca="1">INDIRECT(CONCATENATE("'",$A$100,"'!q",B182),1)</f>
        <v>0</v>
      </c>
      <c r="U182" s="1" cm="1">
        <f t="array" aca="1" ref="U182" ca="1">INDIRECT(CONCATENATE("'",$A$100,"'!r",B182),1)</f>
        <v>0</v>
      </c>
      <c r="V182" s="1" cm="1">
        <f t="array" aca="1" ref="V182" ca="1">INDIRECT(CONCATENATE("'",$A$100,"'!s",B182),1)</f>
        <v>0</v>
      </c>
      <c r="W182" s="1" cm="1">
        <f t="array" aca="1" ref="W182" ca="1">INDIRECT(CONCATENATE("'",$A$100,"'!t",B182),1)</f>
        <v>0</v>
      </c>
      <c r="X182" s="1" cm="1">
        <f t="array" aca="1" ref="X182" ca="1">INDIRECT(CONCATENATE("'",$A$100,"'!u",B182),1)</f>
        <v>0</v>
      </c>
      <c r="Y182" s="1" cm="1">
        <f t="array" aca="1" ref="Y182" ca="1">INDIRECT(CONCATENATE("'",$A$100,"'!v",B182),1)</f>
        <v>0</v>
      </c>
    </row>
    <row r="183" spans="1:25" customFormat="1" hidden="1" x14ac:dyDescent="0.25">
      <c r="A183" s="15"/>
      <c r="B183" s="24">
        <f t="shared" si="13"/>
        <v>85</v>
      </c>
      <c r="C183" s="1" cm="1">
        <f t="array" aca="1" ref="C183" ca="1">INDIRECT(CONCATENATE("'",$A$100,"'!A",B183),1)</f>
        <v>0</v>
      </c>
      <c r="D183" s="1" cm="1">
        <f t="array" aca="1" ref="D183" ca="1">INDIRECT(CONCATENATE("'",$A$100,"'!B",B183),1)</f>
        <v>0</v>
      </c>
      <c r="E183" s="1" cm="1">
        <f t="array" aca="1" ref="E183" ca="1">INDIRECT(CONCATENATE("'",$A$100,"'!c",B183),1)</f>
        <v>0</v>
      </c>
      <c r="F183" s="1" cm="1">
        <f t="array" aca="1" ref="F183" ca="1">INDIRECT(CONCATENATE("'",$A$100,"'!d",B183),1)</f>
        <v>0</v>
      </c>
      <c r="G183" s="1" cm="1">
        <f t="array" aca="1" ref="G183" ca="1">INDIRECT(CONCATENATE("'",$A$100,"'!e",B183),1)</f>
        <v>0</v>
      </c>
      <c r="H183" s="1" cm="1">
        <f t="array" aca="1" ref="H183" ca="1">INDIRECT(CONCATENATE("'",$A$100,"'!f",B183),1)</f>
        <v>0</v>
      </c>
      <c r="I183" s="1" cm="1">
        <f t="array" aca="1" ref="I183" ca="1">INDIRECT(CONCATENATE("'",$A$100,"'!g",B183),1)</f>
        <v>0</v>
      </c>
      <c r="J183" s="1" cm="1">
        <f t="array" aca="1" ref="J183" ca="1">INDIRECT(CONCATENATE("'",$A$100,"'!h",B183),1)</f>
        <v>0</v>
      </c>
      <c r="K183" s="1" cm="1">
        <f t="array" aca="1" ref="K183" ca="1">INDIRECT(CONCATENATE("'",$A$100,"'!i",B183),1)</f>
        <v>0</v>
      </c>
      <c r="L183" s="1" cm="1">
        <f t="array" aca="1" ref="L183" ca="1">INDIRECT(CONCATENATE("'",$A$100,"'!j",B183),1)</f>
        <v>0</v>
      </c>
      <c r="M183" s="1" cm="1">
        <f t="array" aca="1" ref="M183" ca="1">INDIRECT(CONCATENATE("'",$A$100,"'!k",B183),1)</f>
        <v>0</v>
      </c>
      <c r="N183" s="1" cm="1">
        <f t="array" aca="1" ref="N183" ca="1">INDIRECT(CONCATENATE("'",$A$100,"'!l",B183),1)</f>
        <v>0</v>
      </c>
      <c r="O183" s="1" cm="1">
        <f t="array" aca="1" ref="O183" ca="1">INDIRECT(CONCATENATE("'",$A$100,"'!m",B183),1)</f>
        <v>0</v>
      </c>
      <c r="P183" s="1" cm="1">
        <f t="array" aca="1" ref="P183" ca="1">INDIRECT(CONCATENATE("'",$A$100,"'!n",B183),1)</f>
        <v>0</v>
      </c>
      <c r="Q183" s="1" cm="1">
        <f t="array" aca="1" ref="Q183" ca="1">INDIRECT(CONCATENATE("'",$A$100,"'!o",B183),1)</f>
        <v>0</v>
      </c>
      <c r="R183" s="1" cm="1">
        <f t="array" aca="1" ref="R183" ca="1">INDIRECT(CONCATENATE("'",$A$100,"'!p",B183),1)</f>
        <v>0</v>
      </c>
      <c r="S183" s="1">
        <f t="shared" ca="1" si="14"/>
        <v>0</v>
      </c>
      <c r="T183" s="1" cm="1">
        <f t="array" aca="1" ref="T183" ca="1">INDIRECT(CONCATENATE("'",$A$100,"'!q",B183),1)</f>
        <v>0</v>
      </c>
      <c r="U183" s="1" cm="1">
        <f t="array" aca="1" ref="U183" ca="1">INDIRECT(CONCATENATE("'",$A$100,"'!r",B183),1)</f>
        <v>0</v>
      </c>
      <c r="V183" s="1" cm="1">
        <f t="array" aca="1" ref="V183" ca="1">INDIRECT(CONCATENATE("'",$A$100,"'!s",B183),1)</f>
        <v>0</v>
      </c>
      <c r="W183" s="1" cm="1">
        <f t="array" aca="1" ref="W183" ca="1">INDIRECT(CONCATENATE("'",$A$100,"'!t",B183),1)</f>
        <v>0</v>
      </c>
      <c r="X183" s="1" cm="1">
        <f t="array" aca="1" ref="X183" ca="1">INDIRECT(CONCATENATE("'",$A$100,"'!u",B183),1)</f>
        <v>0</v>
      </c>
      <c r="Y183" s="1" cm="1">
        <f t="array" aca="1" ref="Y183" ca="1">INDIRECT(CONCATENATE("'",$A$100,"'!v",B183),1)</f>
        <v>0</v>
      </c>
    </row>
    <row r="184" spans="1:25" customFormat="1" hidden="1" x14ac:dyDescent="0.25">
      <c r="A184" s="15"/>
      <c r="B184" s="24">
        <f t="shared" si="13"/>
        <v>86</v>
      </c>
      <c r="C184" s="1" cm="1">
        <f t="array" aca="1" ref="C184" ca="1">INDIRECT(CONCATENATE("'",$A$100,"'!A",B184),1)</f>
        <v>0</v>
      </c>
      <c r="D184" s="1" cm="1">
        <f t="array" aca="1" ref="D184" ca="1">INDIRECT(CONCATENATE("'",$A$100,"'!B",B184),1)</f>
        <v>0</v>
      </c>
      <c r="E184" s="1" cm="1">
        <f t="array" aca="1" ref="E184" ca="1">INDIRECT(CONCATENATE("'",$A$100,"'!c",B184),1)</f>
        <v>0</v>
      </c>
      <c r="F184" s="1" cm="1">
        <f t="array" aca="1" ref="F184" ca="1">INDIRECT(CONCATENATE("'",$A$100,"'!d",B184),1)</f>
        <v>0</v>
      </c>
      <c r="G184" s="1" cm="1">
        <f t="array" aca="1" ref="G184" ca="1">INDIRECT(CONCATENATE("'",$A$100,"'!e",B184),1)</f>
        <v>0</v>
      </c>
      <c r="H184" s="1" cm="1">
        <f t="array" aca="1" ref="H184" ca="1">INDIRECT(CONCATENATE("'",$A$100,"'!f",B184),1)</f>
        <v>0</v>
      </c>
      <c r="I184" s="1" cm="1">
        <f t="array" aca="1" ref="I184" ca="1">INDIRECT(CONCATENATE("'",$A$100,"'!g",B184),1)</f>
        <v>0</v>
      </c>
      <c r="J184" s="1" cm="1">
        <f t="array" aca="1" ref="J184" ca="1">INDIRECT(CONCATENATE("'",$A$100,"'!h",B184),1)</f>
        <v>0</v>
      </c>
      <c r="K184" s="1" cm="1">
        <f t="array" aca="1" ref="K184" ca="1">INDIRECT(CONCATENATE("'",$A$100,"'!i",B184),1)</f>
        <v>0</v>
      </c>
      <c r="L184" s="1" cm="1">
        <f t="array" aca="1" ref="L184" ca="1">INDIRECT(CONCATENATE("'",$A$100,"'!j",B184),1)</f>
        <v>0</v>
      </c>
      <c r="M184" s="1" cm="1">
        <f t="array" aca="1" ref="M184" ca="1">INDIRECT(CONCATENATE("'",$A$100,"'!k",B184),1)</f>
        <v>0</v>
      </c>
      <c r="N184" s="1" cm="1">
        <f t="array" aca="1" ref="N184" ca="1">INDIRECT(CONCATENATE("'",$A$100,"'!l",B184),1)</f>
        <v>0</v>
      </c>
      <c r="O184" s="1" cm="1">
        <f t="array" aca="1" ref="O184" ca="1">INDIRECT(CONCATENATE("'",$A$100,"'!m",B184),1)</f>
        <v>0</v>
      </c>
      <c r="P184" s="1" cm="1">
        <f t="array" aca="1" ref="P184" ca="1">INDIRECT(CONCATENATE("'",$A$100,"'!n",B184),1)</f>
        <v>0</v>
      </c>
      <c r="Q184" s="1" cm="1">
        <f t="array" aca="1" ref="Q184" ca="1">INDIRECT(CONCATENATE("'",$A$100,"'!o",B184),1)</f>
        <v>0</v>
      </c>
      <c r="R184" s="1" cm="1">
        <f t="array" aca="1" ref="R184" ca="1">INDIRECT(CONCATENATE("'",$A$100,"'!p",B184),1)</f>
        <v>0</v>
      </c>
      <c r="S184" s="1">
        <f t="shared" ca="1" si="14"/>
        <v>0</v>
      </c>
      <c r="T184" s="1" cm="1">
        <f t="array" aca="1" ref="T184" ca="1">INDIRECT(CONCATENATE("'",$A$100,"'!q",B184),1)</f>
        <v>0</v>
      </c>
      <c r="U184" s="1" cm="1">
        <f t="array" aca="1" ref="U184" ca="1">INDIRECT(CONCATENATE("'",$A$100,"'!r",B184),1)</f>
        <v>0</v>
      </c>
      <c r="V184" s="1" cm="1">
        <f t="array" aca="1" ref="V184" ca="1">INDIRECT(CONCATENATE("'",$A$100,"'!s",B184),1)</f>
        <v>0</v>
      </c>
      <c r="W184" s="1" cm="1">
        <f t="array" aca="1" ref="W184" ca="1">INDIRECT(CONCATENATE("'",$A$100,"'!t",B184),1)</f>
        <v>0</v>
      </c>
      <c r="X184" s="1" cm="1">
        <f t="array" aca="1" ref="X184" ca="1">INDIRECT(CONCATENATE("'",$A$100,"'!u",B184),1)</f>
        <v>0</v>
      </c>
      <c r="Y184" s="1" cm="1">
        <f t="array" aca="1" ref="Y184" ca="1">INDIRECT(CONCATENATE("'",$A$100,"'!v",B184),1)</f>
        <v>0</v>
      </c>
    </row>
    <row r="185" spans="1:25" customFormat="1" hidden="1" x14ac:dyDescent="0.25">
      <c r="A185" s="15"/>
      <c r="B185" s="24">
        <f t="shared" si="13"/>
        <v>87</v>
      </c>
      <c r="C185" s="1" cm="1">
        <f t="array" aca="1" ref="C185" ca="1">INDIRECT(CONCATENATE("'",$A$100,"'!A",B185),1)</f>
        <v>0</v>
      </c>
      <c r="D185" s="1" cm="1">
        <f t="array" aca="1" ref="D185" ca="1">INDIRECT(CONCATENATE("'",$A$100,"'!B",B185),1)</f>
        <v>0</v>
      </c>
      <c r="E185" s="1" cm="1">
        <f t="array" aca="1" ref="E185" ca="1">INDIRECT(CONCATENATE("'",$A$100,"'!c",B185),1)</f>
        <v>0</v>
      </c>
      <c r="F185" s="1" cm="1">
        <f t="array" aca="1" ref="F185" ca="1">INDIRECT(CONCATENATE("'",$A$100,"'!d",B185),1)</f>
        <v>0</v>
      </c>
      <c r="G185" s="1" cm="1">
        <f t="array" aca="1" ref="G185" ca="1">INDIRECT(CONCATENATE("'",$A$100,"'!e",B185),1)</f>
        <v>0</v>
      </c>
      <c r="H185" s="1" cm="1">
        <f t="array" aca="1" ref="H185" ca="1">INDIRECT(CONCATENATE("'",$A$100,"'!f",B185),1)</f>
        <v>0</v>
      </c>
      <c r="I185" s="1" cm="1">
        <f t="array" aca="1" ref="I185" ca="1">INDIRECT(CONCATENATE("'",$A$100,"'!g",B185),1)</f>
        <v>0</v>
      </c>
      <c r="J185" s="1" cm="1">
        <f t="array" aca="1" ref="J185" ca="1">INDIRECT(CONCATENATE("'",$A$100,"'!h",B185),1)</f>
        <v>0</v>
      </c>
      <c r="K185" s="1" cm="1">
        <f t="array" aca="1" ref="K185" ca="1">INDIRECT(CONCATENATE("'",$A$100,"'!i",B185),1)</f>
        <v>0</v>
      </c>
      <c r="L185" s="1" cm="1">
        <f t="array" aca="1" ref="L185" ca="1">INDIRECT(CONCATENATE("'",$A$100,"'!j",B185),1)</f>
        <v>0</v>
      </c>
      <c r="M185" s="1" cm="1">
        <f t="array" aca="1" ref="M185" ca="1">INDIRECT(CONCATENATE("'",$A$100,"'!k",B185),1)</f>
        <v>0</v>
      </c>
      <c r="N185" s="1" cm="1">
        <f t="array" aca="1" ref="N185" ca="1">INDIRECT(CONCATENATE("'",$A$100,"'!l",B185),1)</f>
        <v>0</v>
      </c>
      <c r="O185" s="1" cm="1">
        <f t="array" aca="1" ref="O185" ca="1">INDIRECT(CONCATENATE("'",$A$100,"'!m",B185),1)</f>
        <v>0</v>
      </c>
      <c r="P185" s="1" cm="1">
        <f t="array" aca="1" ref="P185" ca="1">INDIRECT(CONCATENATE("'",$A$100,"'!n",B185),1)</f>
        <v>0</v>
      </c>
      <c r="Q185" s="1" cm="1">
        <f t="array" aca="1" ref="Q185" ca="1">INDIRECT(CONCATENATE("'",$A$100,"'!o",B185),1)</f>
        <v>0</v>
      </c>
      <c r="R185" s="1" cm="1">
        <f t="array" aca="1" ref="R185" ca="1">INDIRECT(CONCATENATE("'",$A$100,"'!p",B185),1)</f>
        <v>0</v>
      </c>
      <c r="S185" s="1">
        <f t="shared" ca="1" si="14"/>
        <v>0</v>
      </c>
      <c r="T185" s="1" cm="1">
        <f t="array" aca="1" ref="T185" ca="1">INDIRECT(CONCATENATE("'",$A$100,"'!q",B185),1)</f>
        <v>0</v>
      </c>
      <c r="U185" s="1" cm="1">
        <f t="array" aca="1" ref="U185" ca="1">INDIRECT(CONCATENATE("'",$A$100,"'!r",B185),1)</f>
        <v>0</v>
      </c>
      <c r="V185" s="1" cm="1">
        <f t="array" aca="1" ref="V185" ca="1">INDIRECT(CONCATENATE("'",$A$100,"'!s",B185),1)</f>
        <v>0</v>
      </c>
      <c r="W185" s="1" cm="1">
        <f t="array" aca="1" ref="W185" ca="1">INDIRECT(CONCATENATE("'",$A$100,"'!t",B185),1)</f>
        <v>0</v>
      </c>
      <c r="X185" s="1" cm="1">
        <f t="array" aca="1" ref="X185" ca="1">INDIRECT(CONCATENATE("'",$A$100,"'!u",B185),1)</f>
        <v>0</v>
      </c>
      <c r="Y185" s="1" cm="1">
        <f t="array" aca="1" ref="Y185" ca="1">INDIRECT(CONCATENATE("'",$A$100,"'!v",B185),1)</f>
        <v>0</v>
      </c>
    </row>
    <row r="186" spans="1:25" customFormat="1" hidden="1" x14ac:dyDescent="0.25">
      <c r="A186" s="15"/>
      <c r="B186" s="24">
        <f t="shared" si="13"/>
        <v>88</v>
      </c>
      <c r="C186" s="1" cm="1">
        <f t="array" aca="1" ref="C186" ca="1">INDIRECT(CONCATENATE("'",$A$100,"'!A",B186),1)</f>
        <v>0</v>
      </c>
      <c r="D186" s="1" cm="1">
        <f t="array" aca="1" ref="D186" ca="1">INDIRECT(CONCATENATE("'",$A$100,"'!B",B186),1)</f>
        <v>0</v>
      </c>
      <c r="E186" s="1" cm="1">
        <f t="array" aca="1" ref="E186" ca="1">INDIRECT(CONCATENATE("'",$A$100,"'!c",B186),1)</f>
        <v>0</v>
      </c>
      <c r="F186" s="1" cm="1">
        <f t="array" aca="1" ref="F186" ca="1">INDIRECT(CONCATENATE("'",$A$100,"'!d",B186),1)</f>
        <v>0</v>
      </c>
      <c r="G186" s="1" cm="1">
        <f t="array" aca="1" ref="G186" ca="1">INDIRECT(CONCATENATE("'",$A$100,"'!e",B186),1)</f>
        <v>0</v>
      </c>
      <c r="H186" s="1" cm="1">
        <f t="array" aca="1" ref="H186" ca="1">INDIRECT(CONCATENATE("'",$A$100,"'!f",B186),1)</f>
        <v>0</v>
      </c>
      <c r="I186" s="1" cm="1">
        <f t="array" aca="1" ref="I186" ca="1">INDIRECT(CONCATENATE("'",$A$100,"'!g",B186),1)</f>
        <v>0</v>
      </c>
      <c r="J186" s="1" cm="1">
        <f t="array" aca="1" ref="J186" ca="1">INDIRECT(CONCATENATE("'",$A$100,"'!h",B186),1)</f>
        <v>0</v>
      </c>
      <c r="K186" s="1" cm="1">
        <f t="array" aca="1" ref="K186" ca="1">INDIRECT(CONCATENATE("'",$A$100,"'!i",B186),1)</f>
        <v>0</v>
      </c>
      <c r="L186" s="1" cm="1">
        <f t="array" aca="1" ref="L186" ca="1">INDIRECT(CONCATENATE("'",$A$100,"'!j",B186),1)</f>
        <v>0</v>
      </c>
      <c r="M186" s="1" cm="1">
        <f t="array" aca="1" ref="M186" ca="1">INDIRECT(CONCATENATE("'",$A$100,"'!k",B186),1)</f>
        <v>0</v>
      </c>
      <c r="N186" s="1" cm="1">
        <f t="array" aca="1" ref="N186" ca="1">INDIRECT(CONCATENATE("'",$A$100,"'!l",B186),1)</f>
        <v>0</v>
      </c>
      <c r="O186" s="1" cm="1">
        <f t="array" aca="1" ref="O186" ca="1">INDIRECT(CONCATENATE("'",$A$100,"'!m",B186),1)</f>
        <v>0</v>
      </c>
      <c r="P186" s="1" cm="1">
        <f t="array" aca="1" ref="P186" ca="1">INDIRECT(CONCATENATE("'",$A$100,"'!n",B186),1)</f>
        <v>0</v>
      </c>
      <c r="Q186" s="1" cm="1">
        <f t="array" aca="1" ref="Q186" ca="1">INDIRECT(CONCATENATE("'",$A$100,"'!o",B186),1)</f>
        <v>0</v>
      </c>
      <c r="R186" s="1" cm="1">
        <f t="array" aca="1" ref="R186" ca="1">INDIRECT(CONCATENATE("'",$A$100,"'!p",B186),1)</f>
        <v>0</v>
      </c>
      <c r="S186" s="1">
        <f t="shared" ca="1" si="14"/>
        <v>0</v>
      </c>
      <c r="T186" s="1" cm="1">
        <f t="array" aca="1" ref="T186" ca="1">INDIRECT(CONCATENATE("'",$A$100,"'!q",B186),1)</f>
        <v>0</v>
      </c>
      <c r="U186" s="1" cm="1">
        <f t="array" aca="1" ref="U186" ca="1">INDIRECT(CONCATENATE("'",$A$100,"'!r",B186),1)</f>
        <v>0</v>
      </c>
      <c r="V186" s="1" cm="1">
        <f t="array" aca="1" ref="V186" ca="1">INDIRECT(CONCATENATE("'",$A$100,"'!s",B186),1)</f>
        <v>0</v>
      </c>
      <c r="W186" s="1" cm="1">
        <f t="array" aca="1" ref="W186" ca="1">INDIRECT(CONCATENATE("'",$A$100,"'!t",B186),1)</f>
        <v>0</v>
      </c>
      <c r="X186" s="1" cm="1">
        <f t="array" aca="1" ref="X186" ca="1">INDIRECT(CONCATENATE("'",$A$100,"'!u",B186),1)</f>
        <v>0</v>
      </c>
      <c r="Y186" s="1" cm="1">
        <f t="array" aca="1" ref="Y186" ca="1">INDIRECT(CONCATENATE("'",$A$100,"'!v",B186),1)</f>
        <v>0</v>
      </c>
    </row>
    <row r="187" spans="1:25" customFormat="1" hidden="1" x14ac:dyDescent="0.25">
      <c r="A187" s="15"/>
      <c r="B187" s="24">
        <f t="shared" si="13"/>
        <v>89</v>
      </c>
      <c r="C187" s="1" cm="1">
        <f t="array" aca="1" ref="C187" ca="1">INDIRECT(CONCATENATE("'",$A$100,"'!A",B187),1)</f>
        <v>0</v>
      </c>
      <c r="D187" s="1" cm="1">
        <f t="array" aca="1" ref="D187" ca="1">INDIRECT(CONCATENATE("'",$A$100,"'!B",B187),1)</f>
        <v>0</v>
      </c>
      <c r="E187" s="1" cm="1">
        <f t="array" aca="1" ref="E187" ca="1">INDIRECT(CONCATENATE("'",$A$100,"'!c",B187),1)</f>
        <v>0</v>
      </c>
      <c r="F187" s="1" cm="1">
        <f t="array" aca="1" ref="F187" ca="1">INDIRECT(CONCATENATE("'",$A$100,"'!d",B187),1)</f>
        <v>0</v>
      </c>
      <c r="G187" s="1" cm="1">
        <f t="array" aca="1" ref="G187" ca="1">INDIRECT(CONCATENATE("'",$A$100,"'!e",B187),1)</f>
        <v>0</v>
      </c>
      <c r="H187" s="1" cm="1">
        <f t="array" aca="1" ref="H187" ca="1">INDIRECT(CONCATENATE("'",$A$100,"'!f",B187),1)</f>
        <v>0</v>
      </c>
      <c r="I187" s="1" cm="1">
        <f t="array" aca="1" ref="I187" ca="1">INDIRECT(CONCATENATE("'",$A$100,"'!g",B187),1)</f>
        <v>0</v>
      </c>
      <c r="J187" s="1" cm="1">
        <f t="array" aca="1" ref="J187" ca="1">INDIRECT(CONCATENATE("'",$A$100,"'!h",B187),1)</f>
        <v>0</v>
      </c>
      <c r="K187" s="1" cm="1">
        <f t="array" aca="1" ref="K187" ca="1">INDIRECT(CONCATENATE("'",$A$100,"'!i",B187),1)</f>
        <v>0</v>
      </c>
      <c r="L187" s="1" cm="1">
        <f t="array" aca="1" ref="L187" ca="1">INDIRECT(CONCATENATE("'",$A$100,"'!j",B187),1)</f>
        <v>0</v>
      </c>
      <c r="M187" s="1" cm="1">
        <f t="array" aca="1" ref="M187" ca="1">INDIRECT(CONCATENATE("'",$A$100,"'!k",B187),1)</f>
        <v>0</v>
      </c>
      <c r="N187" s="1" cm="1">
        <f t="array" aca="1" ref="N187" ca="1">INDIRECT(CONCATENATE("'",$A$100,"'!l",B187),1)</f>
        <v>0</v>
      </c>
      <c r="O187" s="1" cm="1">
        <f t="array" aca="1" ref="O187" ca="1">INDIRECT(CONCATENATE("'",$A$100,"'!m",B187),1)</f>
        <v>0</v>
      </c>
      <c r="P187" s="1" cm="1">
        <f t="array" aca="1" ref="P187" ca="1">INDIRECT(CONCATENATE("'",$A$100,"'!n",B187),1)</f>
        <v>0</v>
      </c>
      <c r="Q187" s="1" cm="1">
        <f t="array" aca="1" ref="Q187" ca="1">INDIRECT(CONCATENATE("'",$A$100,"'!o",B187),1)</f>
        <v>0</v>
      </c>
      <c r="R187" s="1" cm="1">
        <f t="array" aca="1" ref="R187" ca="1">INDIRECT(CONCATENATE("'",$A$100,"'!p",B187),1)</f>
        <v>0</v>
      </c>
      <c r="S187" s="1">
        <f t="shared" ca="1" si="14"/>
        <v>0</v>
      </c>
      <c r="T187" s="1" cm="1">
        <f t="array" aca="1" ref="T187" ca="1">INDIRECT(CONCATENATE("'",$A$100,"'!q",B187),1)</f>
        <v>0</v>
      </c>
      <c r="U187" s="1" cm="1">
        <f t="array" aca="1" ref="U187" ca="1">INDIRECT(CONCATENATE("'",$A$100,"'!r",B187),1)</f>
        <v>0</v>
      </c>
      <c r="V187" s="1" cm="1">
        <f t="array" aca="1" ref="V187" ca="1">INDIRECT(CONCATENATE("'",$A$100,"'!s",B187),1)</f>
        <v>0</v>
      </c>
      <c r="W187" s="1" cm="1">
        <f t="array" aca="1" ref="W187" ca="1">INDIRECT(CONCATENATE("'",$A$100,"'!t",B187),1)</f>
        <v>0</v>
      </c>
      <c r="X187" s="1" cm="1">
        <f t="array" aca="1" ref="X187" ca="1">INDIRECT(CONCATENATE("'",$A$100,"'!u",B187),1)</f>
        <v>0</v>
      </c>
      <c r="Y187" s="1" cm="1">
        <f t="array" aca="1" ref="Y187" ca="1">INDIRECT(CONCATENATE("'",$A$100,"'!v",B187),1)</f>
        <v>0</v>
      </c>
    </row>
    <row r="188" spans="1:25" customFormat="1" ht="41.25" hidden="1" customHeight="1" x14ac:dyDescent="0.25">
      <c r="A188" s="15"/>
      <c r="B188" s="24">
        <f t="shared" si="13"/>
        <v>90</v>
      </c>
      <c r="C188" s="1" cm="1">
        <f t="array" aca="1" ref="C188" ca="1">INDIRECT(CONCATENATE("'",$A$100,"'!A",B188),1)</f>
        <v>0</v>
      </c>
      <c r="D188" s="1" cm="1">
        <f t="array" aca="1" ref="D188" ca="1">INDIRECT(CONCATENATE("'",$A$100,"'!B",B188),1)</f>
        <v>0</v>
      </c>
      <c r="E188" s="1" cm="1">
        <f t="array" aca="1" ref="E188" ca="1">INDIRECT(CONCATENATE("'",$A$100,"'!c",B188),1)</f>
        <v>0</v>
      </c>
      <c r="F188" s="1" cm="1">
        <f t="array" aca="1" ref="F188" ca="1">INDIRECT(CONCATENATE("'",$A$100,"'!d",B188),1)</f>
        <v>0</v>
      </c>
      <c r="G188" s="1" cm="1">
        <f t="array" aca="1" ref="G188" ca="1">INDIRECT(CONCATENATE("'",$A$100,"'!e",B188),1)</f>
        <v>0</v>
      </c>
      <c r="H188" s="1" cm="1">
        <f t="array" aca="1" ref="H188" ca="1">INDIRECT(CONCATENATE("'",$A$100,"'!f",B188),1)</f>
        <v>0</v>
      </c>
      <c r="I188" s="1" cm="1">
        <f t="array" aca="1" ref="I188" ca="1">INDIRECT(CONCATENATE("'",$A$100,"'!g",B188),1)</f>
        <v>0</v>
      </c>
      <c r="J188" s="1" cm="1">
        <f t="array" aca="1" ref="J188" ca="1">INDIRECT(CONCATENATE("'",$A$100,"'!h",B188),1)</f>
        <v>0</v>
      </c>
      <c r="K188" s="1" cm="1">
        <f t="array" aca="1" ref="K188" ca="1">INDIRECT(CONCATENATE("'",$A$100,"'!i",B188),1)</f>
        <v>0</v>
      </c>
      <c r="L188" s="1" cm="1">
        <f t="array" aca="1" ref="L188" ca="1">INDIRECT(CONCATENATE("'",$A$100,"'!j",B188),1)</f>
        <v>0</v>
      </c>
      <c r="M188" s="1" cm="1">
        <f t="array" aca="1" ref="M188" ca="1">INDIRECT(CONCATENATE("'",$A$100,"'!k",B188),1)</f>
        <v>0</v>
      </c>
      <c r="N188" s="1" cm="1">
        <f t="array" aca="1" ref="N188" ca="1">INDIRECT(CONCATENATE("'",$A$100,"'!l",B188),1)</f>
        <v>0</v>
      </c>
      <c r="O188" s="1" cm="1">
        <f t="array" aca="1" ref="O188" ca="1">INDIRECT(CONCATENATE("'",$A$100,"'!m",B188),1)</f>
        <v>0</v>
      </c>
      <c r="P188" s="1" cm="1">
        <f t="array" aca="1" ref="P188" ca="1">INDIRECT(CONCATENATE("'",$A$100,"'!n",B188),1)</f>
        <v>0</v>
      </c>
      <c r="Q188" s="1" cm="1">
        <f t="array" aca="1" ref="Q188" ca="1">INDIRECT(CONCATENATE("'",$A$100,"'!o",B188),1)</f>
        <v>0</v>
      </c>
      <c r="R188" s="1" cm="1">
        <f t="array" aca="1" ref="R188" ca="1">INDIRECT(CONCATENATE("'",$A$100,"'!p",B188),1)</f>
        <v>0</v>
      </c>
      <c r="S188" s="1">
        <f t="shared" ca="1" si="14"/>
        <v>0</v>
      </c>
      <c r="T188" s="1" cm="1">
        <f t="array" aca="1" ref="T188" ca="1">INDIRECT(CONCATENATE("'",$A$100,"'!q",B188),1)</f>
        <v>0</v>
      </c>
      <c r="U188" s="1" cm="1">
        <f t="array" aca="1" ref="U188" ca="1">INDIRECT(CONCATENATE("'",$A$100,"'!r",B188),1)</f>
        <v>0</v>
      </c>
      <c r="V188" s="1" cm="1">
        <f t="array" aca="1" ref="V188" ca="1">INDIRECT(CONCATENATE("'",$A$100,"'!s",B188),1)</f>
        <v>0</v>
      </c>
      <c r="W188" s="1" cm="1">
        <f t="array" aca="1" ref="W188" ca="1">INDIRECT(CONCATENATE("'",$A$100,"'!t",B188),1)</f>
        <v>0</v>
      </c>
      <c r="X188" s="1" cm="1">
        <f t="array" aca="1" ref="X188" ca="1">INDIRECT(CONCATENATE("'",$A$100,"'!u",B188),1)</f>
        <v>0</v>
      </c>
      <c r="Y188" s="1" cm="1">
        <f t="array" aca="1" ref="Y188" ca="1">INDIRECT(CONCATENATE("'",$A$100,"'!v",B188),1)</f>
        <v>0</v>
      </c>
    </row>
    <row r="189" spans="1:25" customFormat="1" hidden="1" x14ac:dyDescent="0.25">
      <c r="A189" s="15"/>
      <c r="B189" s="24">
        <f t="shared" si="13"/>
        <v>91</v>
      </c>
      <c r="C189" s="1" cm="1">
        <f t="array" aca="1" ref="C189" ca="1">INDIRECT(CONCATENATE("'",$A$100,"'!A",B189),1)</f>
        <v>0</v>
      </c>
      <c r="D189" s="1" cm="1">
        <f t="array" aca="1" ref="D189" ca="1">INDIRECT(CONCATENATE("'",$A$100,"'!B",B189),1)</f>
        <v>0</v>
      </c>
      <c r="E189" s="1" cm="1">
        <f t="array" aca="1" ref="E189" ca="1">INDIRECT(CONCATENATE("'",$A$100,"'!c",B189),1)</f>
        <v>0</v>
      </c>
      <c r="F189" s="1" cm="1">
        <f t="array" aca="1" ref="F189" ca="1">INDIRECT(CONCATENATE("'",$A$100,"'!d",B189),1)</f>
        <v>0</v>
      </c>
      <c r="G189" s="1" cm="1">
        <f t="array" aca="1" ref="G189" ca="1">INDIRECT(CONCATENATE("'",$A$100,"'!e",B189),1)</f>
        <v>0</v>
      </c>
      <c r="H189" s="1" cm="1">
        <f t="array" aca="1" ref="H189" ca="1">INDIRECT(CONCATENATE("'",$A$100,"'!f",B189),1)</f>
        <v>0</v>
      </c>
      <c r="I189" s="1" cm="1">
        <f t="array" aca="1" ref="I189" ca="1">INDIRECT(CONCATENATE("'",$A$100,"'!g",B189),1)</f>
        <v>0</v>
      </c>
      <c r="J189" s="1" cm="1">
        <f t="array" aca="1" ref="J189" ca="1">INDIRECT(CONCATENATE("'",$A$100,"'!h",B189),1)</f>
        <v>0</v>
      </c>
      <c r="K189" s="1" cm="1">
        <f t="array" aca="1" ref="K189" ca="1">INDIRECT(CONCATENATE("'",$A$100,"'!i",B189),1)</f>
        <v>0</v>
      </c>
      <c r="L189" s="1" cm="1">
        <f t="array" aca="1" ref="L189" ca="1">INDIRECT(CONCATENATE("'",$A$100,"'!j",B189),1)</f>
        <v>0</v>
      </c>
      <c r="M189" s="1" cm="1">
        <f t="array" aca="1" ref="M189" ca="1">INDIRECT(CONCATENATE("'",$A$100,"'!k",B189),1)</f>
        <v>0</v>
      </c>
      <c r="N189" s="1" cm="1">
        <f t="array" aca="1" ref="N189" ca="1">INDIRECT(CONCATENATE("'",$A$100,"'!l",B189),1)</f>
        <v>0</v>
      </c>
      <c r="O189" s="1" cm="1">
        <f t="array" aca="1" ref="O189" ca="1">INDIRECT(CONCATENATE("'",$A$100,"'!m",B189),1)</f>
        <v>0</v>
      </c>
      <c r="P189" s="1" cm="1">
        <f t="array" aca="1" ref="P189" ca="1">INDIRECT(CONCATENATE("'",$A$100,"'!n",B189),1)</f>
        <v>0</v>
      </c>
      <c r="Q189" s="1" cm="1">
        <f t="array" aca="1" ref="Q189" ca="1">INDIRECT(CONCATENATE("'",$A$100,"'!o",B189),1)</f>
        <v>0</v>
      </c>
      <c r="R189" s="1" cm="1">
        <f t="array" aca="1" ref="R189" ca="1">INDIRECT(CONCATENATE("'",$A$100,"'!p",B189),1)</f>
        <v>0</v>
      </c>
      <c r="S189" s="1">
        <f t="shared" ca="1" si="14"/>
        <v>0</v>
      </c>
      <c r="T189" s="1" cm="1">
        <f t="array" aca="1" ref="T189" ca="1">INDIRECT(CONCATENATE("'",$A$100,"'!q",B189),1)</f>
        <v>0</v>
      </c>
      <c r="U189" s="1" cm="1">
        <f t="array" aca="1" ref="U189" ca="1">INDIRECT(CONCATENATE("'",$A$100,"'!r",B189),1)</f>
        <v>0</v>
      </c>
      <c r="V189" s="1" cm="1">
        <f t="array" aca="1" ref="V189" ca="1">INDIRECT(CONCATENATE("'",$A$100,"'!s",B189),1)</f>
        <v>0</v>
      </c>
      <c r="W189" s="1" cm="1">
        <f t="array" aca="1" ref="W189" ca="1">INDIRECT(CONCATENATE("'",$A$100,"'!t",B189),1)</f>
        <v>0</v>
      </c>
      <c r="X189" s="1" cm="1">
        <f t="array" aca="1" ref="X189" ca="1">INDIRECT(CONCATENATE("'",$A$100,"'!u",B189),1)</f>
        <v>0</v>
      </c>
      <c r="Y189" s="1" cm="1">
        <f t="array" aca="1" ref="Y189" ca="1">INDIRECT(CONCATENATE("'",$A$100,"'!v",B189),1)</f>
        <v>0</v>
      </c>
    </row>
    <row r="190" spans="1:25" customFormat="1" hidden="1" x14ac:dyDescent="0.25">
      <c r="A190" s="15"/>
      <c r="B190" s="24">
        <f t="shared" si="13"/>
        <v>92</v>
      </c>
      <c r="C190" s="1" cm="1">
        <f t="array" aca="1" ref="C190" ca="1">INDIRECT(CONCATENATE("'",$A$100,"'!A",B190),1)</f>
        <v>0</v>
      </c>
      <c r="D190" s="1" cm="1">
        <f t="array" aca="1" ref="D190" ca="1">INDIRECT(CONCATENATE("'",$A$100,"'!B",B190),1)</f>
        <v>0</v>
      </c>
      <c r="E190" s="1" cm="1">
        <f t="array" aca="1" ref="E190" ca="1">INDIRECT(CONCATENATE("'",$A$100,"'!c",B190),1)</f>
        <v>0</v>
      </c>
      <c r="F190" s="1" cm="1">
        <f t="array" aca="1" ref="F190" ca="1">INDIRECT(CONCATENATE("'",$A$100,"'!d",B190),1)</f>
        <v>0</v>
      </c>
      <c r="G190" s="1" cm="1">
        <f t="array" aca="1" ref="G190" ca="1">INDIRECT(CONCATENATE("'",$A$100,"'!e",B190),1)</f>
        <v>0</v>
      </c>
      <c r="H190" s="1" cm="1">
        <f t="array" aca="1" ref="H190" ca="1">INDIRECT(CONCATENATE("'",$A$100,"'!f",B190),1)</f>
        <v>0</v>
      </c>
      <c r="I190" s="1" cm="1">
        <f t="array" aca="1" ref="I190" ca="1">INDIRECT(CONCATENATE("'",$A$100,"'!g",B190),1)</f>
        <v>0</v>
      </c>
      <c r="J190" s="1" cm="1">
        <f t="array" aca="1" ref="J190" ca="1">INDIRECT(CONCATENATE("'",$A$100,"'!h",B190),1)</f>
        <v>0</v>
      </c>
      <c r="K190" s="1" cm="1">
        <f t="array" aca="1" ref="K190" ca="1">INDIRECT(CONCATENATE("'",$A$100,"'!i",B190),1)</f>
        <v>0</v>
      </c>
      <c r="L190" s="1" cm="1">
        <f t="array" aca="1" ref="L190" ca="1">INDIRECT(CONCATENATE("'",$A$100,"'!j",B190),1)</f>
        <v>0</v>
      </c>
      <c r="M190" s="1" cm="1">
        <f t="array" aca="1" ref="M190" ca="1">INDIRECT(CONCATENATE("'",$A$100,"'!k",B190),1)</f>
        <v>0</v>
      </c>
      <c r="N190" s="1" cm="1">
        <f t="array" aca="1" ref="N190" ca="1">INDIRECT(CONCATENATE("'",$A$100,"'!l",B190),1)</f>
        <v>0</v>
      </c>
      <c r="O190" s="1" cm="1">
        <f t="array" aca="1" ref="O190" ca="1">INDIRECT(CONCATENATE("'",$A$100,"'!m",B190),1)</f>
        <v>0</v>
      </c>
      <c r="P190" s="1" cm="1">
        <f t="array" aca="1" ref="P190" ca="1">INDIRECT(CONCATENATE("'",$A$100,"'!n",B190),1)</f>
        <v>0</v>
      </c>
      <c r="Q190" s="1" cm="1">
        <f t="array" aca="1" ref="Q190" ca="1">INDIRECT(CONCATENATE("'",$A$100,"'!o",B190),1)</f>
        <v>0</v>
      </c>
      <c r="R190" s="1" cm="1">
        <f t="array" aca="1" ref="R190" ca="1">INDIRECT(CONCATENATE("'",$A$100,"'!p",B190),1)</f>
        <v>0</v>
      </c>
      <c r="S190" s="1">
        <f t="shared" ca="1" si="14"/>
        <v>0</v>
      </c>
      <c r="T190" s="1" cm="1">
        <f t="array" aca="1" ref="T190" ca="1">INDIRECT(CONCATENATE("'",$A$100,"'!q",B190),1)</f>
        <v>0</v>
      </c>
      <c r="U190" s="1" cm="1">
        <f t="array" aca="1" ref="U190" ca="1">INDIRECT(CONCATENATE("'",$A$100,"'!r",B190),1)</f>
        <v>0</v>
      </c>
      <c r="V190" s="1" cm="1">
        <f t="array" aca="1" ref="V190" ca="1">INDIRECT(CONCATENATE("'",$A$100,"'!s",B190),1)</f>
        <v>0</v>
      </c>
      <c r="W190" s="1" cm="1">
        <f t="array" aca="1" ref="W190" ca="1">INDIRECT(CONCATENATE("'",$A$100,"'!t",B190),1)</f>
        <v>0</v>
      </c>
      <c r="X190" s="1" cm="1">
        <f t="array" aca="1" ref="X190" ca="1">INDIRECT(CONCATENATE("'",$A$100,"'!u",B190),1)</f>
        <v>0</v>
      </c>
      <c r="Y190" s="1" cm="1">
        <f t="array" aca="1" ref="Y190" ca="1">INDIRECT(CONCATENATE("'",$A$100,"'!v",B190),1)</f>
        <v>0</v>
      </c>
    </row>
    <row r="191" spans="1:25" customFormat="1" hidden="1" x14ac:dyDescent="0.25">
      <c r="A191" s="15"/>
      <c r="B191" s="24">
        <f t="shared" si="13"/>
        <v>93</v>
      </c>
      <c r="C191" s="1" cm="1">
        <f t="array" aca="1" ref="C191" ca="1">INDIRECT(CONCATENATE("'",$A$100,"'!A",B191),1)</f>
        <v>0</v>
      </c>
      <c r="D191" s="1" cm="1">
        <f t="array" aca="1" ref="D191" ca="1">INDIRECT(CONCATENATE("'",$A$100,"'!B",B191),1)</f>
        <v>0</v>
      </c>
      <c r="E191" s="1" cm="1">
        <f t="array" aca="1" ref="E191" ca="1">INDIRECT(CONCATENATE("'",$A$100,"'!c",B191),1)</f>
        <v>0</v>
      </c>
      <c r="F191" s="1" cm="1">
        <f t="array" aca="1" ref="F191" ca="1">INDIRECT(CONCATENATE("'",$A$100,"'!d",B191),1)</f>
        <v>0</v>
      </c>
      <c r="G191" s="1" cm="1">
        <f t="array" aca="1" ref="G191" ca="1">INDIRECT(CONCATENATE("'",$A$100,"'!e",B191),1)</f>
        <v>0</v>
      </c>
      <c r="H191" s="1" cm="1">
        <f t="array" aca="1" ref="H191" ca="1">INDIRECT(CONCATENATE("'",$A$100,"'!f",B191),1)</f>
        <v>0</v>
      </c>
      <c r="I191" s="1" cm="1">
        <f t="array" aca="1" ref="I191" ca="1">INDIRECT(CONCATENATE("'",$A$100,"'!g",B191),1)</f>
        <v>0</v>
      </c>
      <c r="J191" s="1" cm="1">
        <f t="array" aca="1" ref="J191" ca="1">INDIRECT(CONCATENATE("'",$A$100,"'!h",B191),1)</f>
        <v>0</v>
      </c>
      <c r="K191" s="1" cm="1">
        <f t="array" aca="1" ref="K191" ca="1">INDIRECT(CONCATENATE("'",$A$100,"'!i",B191),1)</f>
        <v>0</v>
      </c>
      <c r="L191" s="1" cm="1">
        <f t="array" aca="1" ref="L191" ca="1">INDIRECT(CONCATENATE("'",$A$100,"'!j",B191),1)</f>
        <v>0</v>
      </c>
      <c r="M191" s="1" cm="1">
        <f t="array" aca="1" ref="M191" ca="1">INDIRECT(CONCATENATE("'",$A$100,"'!k",B191),1)</f>
        <v>0</v>
      </c>
      <c r="N191" s="1" cm="1">
        <f t="array" aca="1" ref="N191" ca="1">INDIRECT(CONCATENATE("'",$A$100,"'!l",B191),1)</f>
        <v>0</v>
      </c>
      <c r="O191" s="1" cm="1">
        <f t="array" aca="1" ref="O191" ca="1">INDIRECT(CONCATENATE("'",$A$100,"'!m",B191),1)</f>
        <v>0</v>
      </c>
      <c r="P191" s="1" cm="1">
        <f t="array" aca="1" ref="P191" ca="1">INDIRECT(CONCATENATE("'",$A$100,"'!n",B191),1)</f>
        <v>0</v>
      </c>
      <c r="Q191" s="1" cm="1">
        <f t="array" aca="1" ref="Q191" ca="1">INDIRECT(CONCATENATE("'",$A$100,"'!o",B191),1)</f>
        <v>0</v>
      </c>
      <c r="R191" s="1" cm="1">
        <f t="array" aca="1" ref="R191" ca="1">INDIRECT(CONCATENATE("'",$A$100,"'!p",B191),1)</f>
        <v>0</v>
      </c>
      <c r="S191" s="1">
        <f t="shared" ca="1" si="14"/>
        <v>0</v>
      </c>
      <c r="T191" s="1" cm="1">
        <f t="array" aca="1" ref="T191" ca="1">INDIRECT(CONCATENATE("'",$A$100,"'!q",B191),1)</f>
        <v>0</v>
      </c>
      <c r="U191" s="1" cm="1">
        <f t="array" aca="1" ref="U191" ca="1">INDIRECT(CONCATENATE("'",$A$100,"'!r",B191),1)</f>
        <v>0</v>
      </c>
      <c r="V191" s="1" cm="1">
        <f t="array" aca="1" ref="V191" ca="1">INDIRECT(CONCATENATE("'",$A$100,"'!s",B191),1)</f>
        <v>0</v>
      </c>
      <c r="W191" s="1" cm="1">
        <f t="array" aca="1" ref="W191" ca="1">INDIRECT(CONCATENATE("'",$A$100,"'!t",B191),1)</f>
        <v>0</v>
      </c>
      <c r="X191" s="1" cm="1">
        <f t="array" aca="1" ref="X191" ca="1">INDIRECT(CONCATENATE("'",$A$100,"'!u",B191),1)</f>
        <v>0</v>
      </c>
      <c r="Y191" s="1" cm="1">
        <f t="array" aca="1" ref="Y191" ca="1">INDIRECT(CONCATENATE("'",$A$100,"'!v",B191),1)</f>
        <v>0</v>
      </c>
    </row>
    <row r="192" spans="1:25" customFormat="1" hidden="1" x14ac:dyDescent="0.25">
      <c r="A192" s="15"/>
      <c r="B192" s="24">
        <f t="shared" si="13"/>
        <v>94</v>
      </c>
      <c r="C192" s="1" cm="1">
        <f t="array" aca="1" ref="C192" ca="1">INDIRECT(CONCATENATE("'",$A$100,"'!A",B192),1)</f>
        <v>0</v>
      </c>
      <c r="D192" s="1" cm="1">
        <f t="array" aca="1" ref="D192" ca="1">INDIRECT(CONCATENATE("'",$A$100,"'!B",B192),1)</f>
        <v>0</v>
      </c>
      <c r="E192" s="1" cm="1">
        <f t="array" aca="1" ref="E192" ca="1">INDIRECT(CONCATENATE("'",$A$100,"'!c",B192),1)</f>
        <v>0</v>
      </c>
      <c r="F192" s="1" cm="1">
        <f t="array" aca="1" ref="F192" ca="1">INDIRECT(CONCATENATE("'",$A$100,"'!d",B192),1)</f>
        <v>0</v>
      </c>
      <c r="G192" s="1" cm="1">
        <f t="array" aca="1" ref="G192" ca="1">INDIRECT(CONCATENATE("'",$A$100,"'!e",B192),1)</f>
        <v>0</v>
      </c>
      <c r="H192" s="1" cm="1">
        <f t="array" aca="1" ref="H192" ca="1">INDIRECT(CONCATENATE("'",$A$100,"'!f",B192),1)</f>
        <v>0</v>
      </c>
      <c r="I192" s="1" cm="1">
        <f t="array" aca="1" ref="I192" ca="1">INDIRECT(CONCATENATE("'",$A$100,"'!g",B192),1)</f>
        <v>0</v>
      </c>
      <c r="J192" s="1" cm="1">
        <f t="array" aca="1" ref="J192" ca="1">INDIRECT(CONCATENATE("'",$A$100,"'!h",B192),1)</f>
        <v>0</v>
      </c>
      <c r="K192" s="1" cm="1">
        <f t="array" aca="1" ref="K192" ca="1">INDIRECT(CONCATENATE("'",$A$100,"'!i",B192),1)</f>
        <v>0</v>
      </c>
      <c r="L192" s="1" cm="1">
        <f t="array" aca="1" ref="L192" ca="1">INDIRECT(CONCATENATE("'",$A$100,"'!j",B192),1)</f>
        <v>0</v>
      </c>
      <c r="M192" s="1" cm="1">
        <f t="array" aca="1" ref="M192" ca="1">INDIRECT(CONCATENATE("'",$A$100,"'!k",B192),1)</f>
        <v>0</v>
      </c>
      <c r="N192" s="1" cm="1">
        <f t="array" aca="1" ref="N192" ca="1">INDIRECT(CONCATENATE("'",$A$100,"'!l",B192),1)</f>
        <v>0</v>
      </c>
      <c r="O192" s="1" cm="1">
        <f t="array" aca="1" ref="O192" ca="1">INDIRECT(CONCATENATE("'",$A$100,"'!m",B192),1)</f>
        <v>0</v>
      </c>
      <c r="P192" s="1" cm="1">
        <f t="array" aca="1" ref="P192" ca="1">INDIRECT(CONCATENATE("'",$A$100,"'!n",B192),1)</f>
        <v>0</v>
      </c>
      <c r="Q192" s="1" cm="1">
        <f t="array" aca="1" ref="Q192" ca="1">INDIRECT(CONCATENATE("'",$A$100,"'!o",B192),1)</f>
        <v>0</v>
      </c>
      <c r="R192" s="1" cm="1">
        <f t="array" aca="1" ref="R192" ca="1">INDIRECT(CONCATENATE("'",$A$100,"'!p",B192),1)</f>
        <v>0</v>
      </c>
      <c r="S192" s="1">
        <f t="shared" ca="1" si="14"/>
        <v>0</v>
      </c>
      <c r="T192" s="1" cm="1">
        <f t="array" aca="1" ref="T192" ca="1">INDIRECT(CONCATENATE("'",$A$100,"'!q",B192),1)</f>
        <v>0</v>
      </c>
      <c r="U192" s="1" cm="1">
        <f t="array" aca="1" ref="U192" ca="1">INDIRECT(CONCATENATE("'",$A$100,"'!r",B192),1)</f>
        <v>0</v>
      </c>
      <c r="V192" s="1" cm="1">
        <f t="array" aca="1" ref="V192" ca="1">INDIRECT(CONCATENATE("'",$A$100,"'!s",B192),1)</f>
        <v>0</v>
      </c>
      <c r="W192" s="1" cm="1">
        <f t="array" aca="1" ref="W192" ca="1">INDIRECT(CONCATENATE("'",$A$100,"'!t",B192),1)</f>
        <v>0</v>
      </c>
      <c r="X192" s="1" cm="1">
        <f t="array" aca="1" ref="X192" ca="1">INDIRECT(CONCATENATE("'",$A$100,"'!u",B192),1)</f>
        <v>0</v>
      </c>
      <c r="Y192" s="1" cm="1">
        <f t="array" aca="1" ref="Y192" ca="1">INDIRECT(CONCATENATE("'",$A$100,"'!v",B192),1)</f>
        <v>0</v>
      </c>
    </row>
    <row r="193" spans="1:25" customFormat="1" hidden="1" x14ac:dyDescent="0.25">
      <c r="A193" s="15"/>
      <c r="B193" s="24">
        <f t="shared" si="13"/>
        <v>95</v>
      </c>
      <c r="C193" s="1" cm="1">
        <f t="array" aca="1" ref="C193" ca="1">INDIRECT(CONCATENATE("'",$A$100,"'!A",B193),1)</f>
        <v>0</v>
      </c>
      <c r="D193" s="1" cm="1">
        <f t="array" aca="1" ref="D193" ca="1">INDIRECT(CONCATENATE("'",$A$100,"'!B",B193),1)</f>
        <v>0</v>
      </c>
      <c r="E193" s="1" cm="1">
        <f t="array" aca="1" ref="E193" ca="1">INDIRECT(CONCATENATE("'",$A$100,"'!c",B193),1)</f>
        <v>0</v>
      </c>
      <c r="F193" s="1" cm="1">
        <f t="array" aca="1" ref="F193" ca="1">INDIRECT(CONCATENATE("'",$A$100,"'!d",B193),1)</f>
        <v>0</v>
      </c>
      <c r="G193" s="1" cm="1">
        <f t="array" aca="1" ref="G193" ca="1">INDIRECT(CONCATENATE("'",$A$100,"'!e",B193),1)</f>
        <v>0</v>
      </c>
      <c r="H193" s="1" cm="1">
        <f t="array" aca="1" ref="H193" ca="1">INDIRECT(CONCATENATE("'",$A$100,"'!f",B193),1)</f>
        <v>0</v>
      </c>
      <c r="I193" s="1" cm="1">
        <f t="array" aca="1" ref="I193" ca="1">INDIRECT(CONCATENATE("'",$A$100,"'!g",B193),1)</f>
        <v>0</v>
      </c>
      <c r="J193" s="1" cm="1">
        <f t="array" aca="1" ref="J193" ca="1">INDIRECT(CONCATENATE("'",$A$100,"'!h",B193),1)</f>
        <v>0</v>
      </c>
      <c r="K193" s="1" cm="1">
        <f t="array" aca="1" ref="K193" ca="1">INDIRECT(CONCATENATE("'",$A$100,"'!i",B193),1)</f>
        <v>0</v>
      </c>
      <c r="L193" s="1" cm="1">
        <f t="array" aca="1" ref="L193" ca="1">INDIRECT(CONCATENATE("'",$A$100,"'!j",B193),1)</f>
        <v>0</v>
      </c>
      <c r="M193" s="1" cm="1">
        <f t="array" aca="1" ref="M193" ca="1">INDIRECT(CONCATENATE("'",$A$100,"'!k",B193),1)</f>
        <v>0</v>
      </c>
      <c r="N193" s="1" cm="1">
        <f t="array" aca="1" ref="N193" ca="1">INDIRECT(CONCATENATE("'",$A$100,"'!l",B193),1)</f>
        <v>0</v>
      </c>
      <c r="O193" s="1" cm="1">
        <f t="array" aca="1" ref="O193" ca="1">INDIRECT(CONCATENATE("'",$A$100,"'!m",B193),1)</f>
        <v>0</v>
      </c>
      <c r="P193" s="1" cm="1">
        <f t="array" aca="1" ref="P193" ca="1">INDIRECT(CONCATENATE("'",$A$100,"'!n",B193),1)</f>
        <v>0</v>
      </c>
      <c r="Q193" s="1" cm="1">
        <f t="array" aca="1" ref="Q193" ca="1">INDIRECT(CONCATENATE("'",$A$100,"'!o",B193),1)</f>
        <v>0</v>
      </c>
      <c r="R193" s="1" cm="1">
        <f t="array" aca="1" ref="R193" ca="1">INDIRECT(CONCATENATE("'",$A$100,"'!p",B193),1)</f>
        <v>0</v>
      </c>
      <c r="S193" s="1">
        <f t="shared" ca="1" si="14"/>
        <v>0</v>
      </c>
      <c r="T193" s="1" cm="1">
        <f t="array" aca="1" ref="T193" ca="1">INDIRECT(CONCATENATE("'",$A$100,"'!q",B193),1)</f>
        <v>0</v>
      </c>
      <c r="U193" s="1" cm="1">
        <f t="array" aca="1" ref="U193" ca="1">INDIRECT(CONCATENATE("'",$A$100,"'!r",B193),1)</f>
        <v>0</v>
      </c>
      <c r="V193" s="1" cm="1">
        <f t="array" aca="1" ref="V193" ca="1">INDIRECT(CONCATENATE("'",$A$100,"'!s",B193),1)</f>
        <v>0</v>
      </c>
      <c r="W193" s="1" cm="1">
        <f t="array" aca="1" ref="W193" ca="1">INDIRECT(CONCATENATE("'",$A$100,"'!t",B193),1)</f>
        <v>0</v>
      </c>
      <c r="X193" s="1" cm="1">
        <f t="array" aca="1" ref="X193" ca="1">INDIRECT(CONCATENATE("'",$A$100,"'!u",B193),1)</f>
        <v>0</v>
      </c>
      <c r="Y193" s="1" cm="1">
        <f t="array" aca="1" ref="Y193" ca="1">INDIRECT(CONCATENATE("'",$A$100,"'!v",B193),1)</f>
        <v>0</v>
      </c>
    </row>
    <row r="194" spans="1:25" customFormat="1" hidden="1" x14ac:dyDescent="0.25">
      <c r="A194" s="15"/>
      <c r="B194" s="24">
        <f t="shared" si="13"/>
        <v>96</v>
      </c>
      <c r="C194" s="1" cm="1">
        <f t="array" aca="1" ref="C194" ca="1">INDIRECT(CONCATENATE("'",$A$100,"'!A",B194),1)</f>
        <v>0</v>
      </c>
      <c r="D194" s="1" cm="1">
        <f t="array" aca="1" ref="D194" ca="1">INDIRECT(CONCATENATE("'",$A$100,"'!B",B194),1)</f>
        <v>0</v>
      </c>
      <c r="E194" s="1" cm="1">
        <f t="array" aca="1" ref="E194" ca="1">INDIRECT(CONCATENATE("'",$A$100,"'!c",B194),1)</f>
        <v>0</v>
      </c>
      <c r="F194" s="1" cm="1">
        <f t="array" aca="1" ref="F194" ca="1">INDIRECT(CONCATENATE("'",$A$100,"'!d",B194),1)</f>
        <v>0</v>
      </c>
      <c r="G194" s="1" cm="1">
        <f t="array" aca="1" ref="G194" ca="1">INDIRECT(CONCATENATE("'",$A$100,"'!e",B194),1)</f>
        <v>0</v>
      </c>
      <c r="H194" s="1" cm="1">
        <f t="array" aca="1" ref="H194" ca="1">INDIRECT(CONCATENATE("'",$A$100,"'!f",B194),1)</f>
        <v>0</v>
      </c>
      <c r="I194" s="1" cm="1">
        <f t="array" aca="1" ref="I194" ca="1">INDIRECT(CONCATENATE("'",$A$100,"'!g",B194),1)</f>
        <v>0</v>
      </c>
      <c r="J194" s="1" cm="1">
        <f t="array" aca="1" ref="J194" ca="1">INDIRECT(CONCATENATE("'",$A$100,"'!h",B194),1)</f>
        <v>0</v>
      </c>
      <c r="K194" s="1" cm="1">
        <f t="array" aca="1" ref="K194" ca="1">INDIRECT(CONCATENATE("'",$A$100,"'!i",B194),1)</f>
        <v>0</v>
      </c>
      <c r="L194" s="1" cm="1">
        <f t="array" aca="1" ref="L194" ca="1">INDIRECT(CONCATENATE("'",$A$100,"'!j",B194),1)</f>
        <v>0</v>
      </c>
      <c r="M194" s="1" cm="1">
        <f t="array" aca="1" ref="M194" ca="1">INDIRECT(CONCATENATE("'",$A$100,"'!k",B194),1)</f>
        <v>0</v>
      </c>
      <c r="N194" s="1" cm="1">
        <f t="array" aca="1" ref="N194" ca="1">INDIRECT(CONCATENATE("'",$A$100,"'!l",B194),1)</f>
        <v>0</v>
      </c>
      <c r="O194" s="1" cm="1">
        <f t="array" aca="1" ref="O194" ca="1">INDIRECT(CONCATENATE("'",$A$100,"'!m",B194),1)</f>
        <v>0</v>
      </c>
      <c r="P194" s="1" cm="1">
        <f t="array" aca="1" ref="P194" ca="1">INDIRECT(CONCATENATE("'",$A$100,"'!n",B194),1)</f>
        <v>0</v>
      </c>
      <c r="Q194" s="1" cm="1">
        <f t="array" aca="1" ref="Q194" ca="1">INDIRECT(CONCATENATE("'",$A$100,"'!o",B194),1)</f>
        <v>0</v>
      </c>
      <c r="R194" s="1" cm="1">
        <f t="array" aca="1" ref="R194" ca="1">INDIRECT(CONCATENATE("'",$A$100,"'!p",B194),1)</f>
        <v>0</v>
      </c>
      <c r="S194" s="1">
        <f t="shared" ca="1" si="14"/>
        <v>0</v>
      </c>
      <c r="T194" s="1" cm="1">
        <f t="array" aca="1" ref="T194" ca="1">INDIRECT(CONCATENATE("'",$A$100,"'!q",B194),1)</f>
        <v>0</v>
      </c>
      <c r="U194" s="1" cm="1">
        <f t="array" aca="1" ref="U194" ca="1">INDIRECT(CONCATENATE("'",$A$100,"'!r",B194),1)</f>
        <v>0</v>
      </c>
      <c r="V194" s="1" cm="1">
        <f t="array" aca="1" ref="V194" ca="1">INDIRECT(CONCATENATE("'",$A$100,"'!s",B194),1)</f>
        <v>0</v>
      </c>
      <c r="W194" s="1" cm="1">
        <f t="array" aca="1" ref="W194" ca="1">INDIRECT(CONCATENATE("'",$A$100,"'!t",B194),1)</f>
        <v>0</v>
      </c>
      <c r="X194" s="1" cm="1">
        <f t="array" aca="1" ref="X194" ca="1">INDIRECT(CONCATENATE("'",$A$100,"'!u",B194),1)</f>
        <v>0</v>
      </c>
      <c r="Y194" s="1" cm="1">
        <f t="array" aca="1" ref="Y194" ca="1">INDIRECT(CONCATENATE("'",$A$100,"'!v",B194),1)</f>
        <v>0</v>
      </c>
    </row>
    <row r="195" spans="1:25" customFormat="1" hidden="1" x14ac:dyDescent="0.25">
      <c r="A195" s="15"/>
      <c r="B195" s="24">
        <f t="shared" si="13"/>
        <v>97</v>
      </c>
      <c r="C195" s="1" cm="1">
        <f t="array" aca="1" ref="C195" ca="1">INDIRECT(CONCATENATE("'",$A$100,"'!A",B195),1)</f>
        <v>0</v>
      </c>
      <c r="D195" s="1" cm="1">
        <f t="array" aca="1" ref="D195" ca="1">INDIRECT(CONCATENATE("'",$A$100,"'!B",B195),1)</f>
        <v>0</v>
      </c>
      <c r="E195" s="1" cm="1">
        <f t="array" aca="1" ref="E195" ca="1">INDIRECT(CONCATENATE("'",$A$100,"'!c",B195),1)</f>
        <v>0</v>
      </c>
      <c r="F195" s="1" cm="1">
        <f t="array" aca="1" ref="F195" ca="1">INDIRECT(CONCATENATE("'",$A$100,"'!d",B195),1)</f>
        <v>0</v>
      </c>
      <c r="G195" s="1" cm="1">
        <f t="array" aca="1" ref="G195" ca="1">INDIRECT(CONCATENATE("'",$A$100,"'!e",B195),1)</f>
        <v>0</v>
      </c>
      <c r="H195" s="1" cm="1">
        <f t="array" aca="1" ref="H195" ca="1">INDIRECT(CONCATENATE("'",$A$100,"'!f",B195),1)</f>
        <v>0</v>
      </c>
      <c r="I195" s="1" cm="1">
        <f t="array" aca="1" ref="I195" ca="1">INDIRECT(CONCATENATE("'",$A$100,"'!g",B195),1)</f>
        <v>0</v>
      </c>
      <c r="J195" s="1" cm="1">
        <f t="array" aca="1" ref="J195" ca="1">INDIRECT(CONCATENATE("'",$A$100,"'!h",B195),1)</f>
        <v>0</v>
      </c>
      <c r="K195" s="1" cm="1">
        <f t="array" aca="1" ref="K195" ca="1">INDIRECT(CONCATENATE("'",$A$100,"'!i",B195),1)</f>
        <v>0</v>
      </c>
      <c r="L195" s="1" cm="1">
        <f t="array" aca="1" ref="L195" ca="1">INDIRECT(CONCATENATE("'",$A$100,"'!j",B195),1)</f>
        <v>0</v>
      </c>
      <c r="M195" s="1" cm="1">
        <f t="array" aca="1" ref="M195" ca="1">INDIRECT(CONCATENATE("'",$A$100,"'!k",B195),1)</f>
        <v>0</v>
      </c>
      <c r="N195" s="1" cm="1">
        <f t="array" aca="1" ref="N195" ca="1">INDIRECT(CONCATENATE("'",$A$100,"'!l",B195),1)</f>
        <v>0</v>
      </c>
      <c r="O195" s="1" cm="1">
        <f t="array" aca="1" ref="O195" ca="1">INDIRECT(CONCATENATE("'",$A$100,"'!m",B195),1)</f>
        <v>0</v>
      </c>
      <c r="P195" s="1" cm="1">
        <f t="array" aca="1" ref="P195" ca="1">INDIRECT(CONCATENATE("'",$A$100,"'!n",B195),1)</f>
        <v>0</v>
      </c>
      <c r="Q195" s="1" cm="1">
        <f t="array" aca="1" ref="Q195" ca="1">INDIRECT(CONCATENATE("'",$A$100,"'!o",B195),1)</f>
        <v>0</v>
      </c>
      <c r="R195" s="1" cm="1">
        <f t="array" aca="1" ref="R195" ca="1">INDIRECT(CONCATENATE("'",$A$100,"'!p",B195),1)</f>
        <v>0</v>
      </c>
      <c r="S195" s="1">
        <f t="shared" ca="1" si="14"/>
        <v>0</v>
      </c>
      <c r="T195" s="1" cm="1">
        <f t="array" aca="1" ref="T195" ca="1">INDIRECT(CONCATENATE("'",$A$100,"'!q",B195),1)</f>
        <v>0</v>
      </c>
      <c r="U195" s="1" cm="1">
        <f t="array" aca="1" ref="U195" ca="1">INDIRECT(CONCATENATE("'",$A$100,"'!r",B195),1)</f>
        <v>0</v>
      </c>
      <c r="V195" s="1" cm="1">
        <f t="array" aca="1" ref="V195" ca="1">INDIRECT(CONCATENATE("'",$A$100,"'!s",B195),1)</f>
        <v>0</v>
      </c>
      <c r="W195" s="1" cm="1">
        <f t="array" aca="1" ref="W195" ca="1">INDIRECT(CONCATENATE("'",$A$100,"'!t",B195),1)</f>
        <v>0</v>
      </c>
      <c r="X195" s="1" cm="1">
        <f t="array" aca="1" ref="X195" ca="1">INDIRECT(CONCATENATE("'",$A$100,"'!u",B195),1)</f>
        <v>0</v>
      </c>
      <c r="Y195" s="1" cm="1">
        <f t="array" aca="1" ref="Y195" ca="1">INDIRECT(CONCATENATE("'",$A$100,"'!v",B195),1)</f>
        <v>0</v>
      </c>
    </row>
    <row r="196" spans="1:25" customFormat="1" hidden="1" x14ac:dyDescent="0.25">
      <c r="A196" s="15"/>
      <c r="B196" s="24">
        <f t="shared" si="13"/>
        <v>98</v>
      </c>
      <c r="C196" s="1" cm="1">
        <f t="array" aca="1" ref="C196" ca="1">INDIRECT(CONCATENATE("'",$A$100,"'!A",B196),1)</f>
        <v>0</v>
      </c>
      <c r="D196" s="1" cm="1">
        <f t="array" aca="1" ref="D196" ca="1">INDIRECT(CONCATENATE("'",$A$100,"'!B",B196),1)</f>
        <v>0</v>
      </c>
      <c r="E196" s="1" cm="1">
        <f t="array" aca="1" ref="E196" ca="1">INDIRECT(CONCATENATE("'",$A$100,"'!c",B196),1)</f>
        <v>0</v>
      </c>
      <c r="F196" s="1" cm="1">
        <f t="array" aca="1" ref="F196" ca="1">INDIRECT(CONCATENATE("'",$A$100,"'!d",B196),1)</f>
        <v>0</v>
      </c>
      <c r="G196" s="1" cm="1">
        <f t="array" aca="1" ref="G196" ca="1">INDIRECT(CONCATENATE("'",$A$100,"'!e",B196),1)</f>
        <v>0</v>
      </c>
      <c r="H196" s="1" cm="1">
        <f t="array" aca="1" ref="H196" ca="1">INDIRECT(CONCATENATE("'",$A$100,"'!f",B196),1)</f>
        <v>0</v>
      </c>
      <c r="I196" s="1" cm="1">
        <f t="array" aca="1" ref="I196" ca="1">INDIRECT(CONCATENATE("'",$A$100,"'!g",B196),1)</f>
        <v>0</v>
      </c>
      <c r="J196" s="1" cm="1">
        <f t="array" aca="1" ref="J196" ca="1">INDIRECT(CONCATENATE("'",$A$100,"'!h",B196),1)</f>
        <v>0</v>
      </c>
      <c r="K196" s="1" cm="1">
        <f t="array" aca="1" ref="K196" ca="1">INDIRECT(CONCATENATE("'",$A$100,"'!i",B196),1)</f>
        <v>0</v>
      </c>
      <c r="L196" s="1" cm="1">
        <f t="array" aca="1" ref="L196" ca="1">INDIRECT(CONCATENATE("'",$A$100,"'!j",B196),1)</f>
        <v>0</v>
      </c>
      <c r="M196" s="1" cm="1">
        <f t="array" aca="1" ref="M196" ca="1">INDIRECT(CONCATENATE("'",$A$100,"'!k",B196),1)</f>
        <v>0</v>
      </c>
      <c r="N196" s="1" cm="1">
        <f t="array" aca="1" ref="N196" ca="1">INDIRECT(CONCATENATE("'",$A$100,"'!l",B196),1)</f>
        <v>0</v>
      </c>
      <c r="O196" s="1" cm="1">
        <f t="array" aca="1" ref="O196" ca="1">INDIRECT(CONCATENATE("'",$A$100,"'!m",B196),1)</f>
        <v>0</v>
      </c>
      <c r="P196" s="1" cm="1">
        <f t="array" aca="1" ref="P196" ca="1">INDIRECT(CONCATENATE("'",$A$100,"'!n",B196),1)</f>
        <v>0</v>
      </c>
      <c r="Q196" s="1" cm="1">
        <f t="array" aca="1" ref="Q196" ca="1">INDIRECT(CONCATENATE("'",$A$100,"'!o",B196),1)</f>
        <v>0</v>
      </c>
      <c r="R196" s="1" cm="1">
        <f t="array" aca="1" ref="R196" ca="1">INDIRECT(CONCATENATE("'",$A$100,"'!p",B196),1)</f>
        <v>0</v>
      </c>
      <c r="S196" s="1">
        <f t="shared" ca="1" si="14"/>
        <v>0</v>
      </c>
      <c r="T196" s="1" cm="1">
        <f t="array" aca="1" ref="T196" ca="1">INDIRECT(CONCATENATE("'",$A$100,"'!q",B196),1)</f>
        <v>0</v>
      </c>
      <c r="U196" s="1" cm="1">
        <f t="array" aca="1" ref="U196" ca="1">INDIRECT(CONCATENATE("'",$A$100,"'!r",B196),1)</f>
        <v>0</v>
      </c>
      <c r="V196" s="1" cm="1">
        <f t="array" aca="1" ref="V196" ca="1">INDIRECT(CONCATENATE("'",$A$100,"'!s",B196),1)</f>
        <v>0</v>
      </c>
      <c r="W196" s="1" cm="1">
        <f t="array" aca="1" ref="W196" ca="1">INDIRECT(CONCATENATE("'",$A$100,"'!t",B196),1)</f>
        <v>0</v>
      </c>
      <c r="X196" s="1" cm="1">
        <f t="array" aca="1" ref="X196" ca="1">INDIRECT(CONCATENATE("'",$A$100,"'!u",B196),1)</f>
        <v>0</v>
      </c>
      <c r="Y196" s="1" cm="1">
        <f t="array" aca="1" ref="Y196" ca="1">INDIRECT(CONCATENATE("'",$A$100,"'!v",B196),1)</f>
        <v>0</v>
      </c>
    </row>
    <row r="197" spans="1:25" customFormat="1" hidden="1" x14ac:dyDescent="0.25">
      <c r="A197" s="15"/>
      <c r="B197" s="24">
        <f t="shared" si="13"/>
        <v>99</v>
      </c>
      <c r="C197" s="1" cm="1">
        <f t="array" aca="1" ref="C197" ca="1">INDIRECT(CONCATENATE("'",$A$100,"'!A",B197),1)</f>
        <v>0</v>
      </c>
      <c r="D197" s="1" cm="1">
        <f t="array" aca="1" ref="D197" ca="1">INDIRECT(CONCATENATE("'",$A$100,"'!B",B197),1)</f>
        <v>0</v>
      </c>
      <c r="E197" s="1" cm="1">
        <f t="array" aca="1" ref="E197" ca="1">INDIRECT(CONCATENATE("'",$A$100,"'!c",B197),1)</f>
        <v>0</v>
      </c>
      <c r="F197" s="1" cm="1">
        <f t="array" aca="1" ref="F197" ca="1">INDIRECT(CONCATENATE("'",$A$100,"'!d",B197),1)</f>
        <v>0</v>
      </c>
      <c r="G197" s="1" cm="1">
        <f t="array" aca="1" ref="G197" ca="1">INDIRECT(CONCATENATE("'",$A$100,"'!e",B197),1)</f>
        <v>0</v>
      </c>
      <c r="H197" s="1" cm="1">
        <f t="array" aca="1" ref="H197" ca="1">INDIRECT(CONCATENATE("'",$A$100,"'!f",B197),1)</f>
        <v>0</v>
      </c>
      <c r="I197" s="1" cm="1">
        <f t="array" aca="1" ref="I197" ca="1">INDIRECT(CONCATENATE("'",$A$100,"'!g",B197),1)</f>
        <v>0</v>
      </c>
      <c r="J197" s="1" cm="1">
        <f t="array" aca="1" ref="J197" ca="1">INDIRECT(CONCATENATE("'",$A$100,"'!h",B197),1)</f>
        <v>0</v>
      </c>
      <c r="K197" s="1" cm="1">
        <f t="array" aca="1" ref="K197" ca="1">INDIRECT(CONCATENATE("'",$A$100,"'!i",B197),1)</f>
        <v>0</v>
      </c>
      <c r="L197" s="1" cm="1">
        <f t="array" aca="1" ref="L197" ca="1">INDIRECT(CONCATENATE("'",$A$100,"'!j",B197),1)</f>
        <v>0</v>
      </c>
      <c r="M197" s="1" cm="1">
        <f t="array" aca="1" ref="M197" ca="1">INDIRECT(CONCATENATE("'",$A$100,"'!k",B197),1)</f>
        <v>0</v>
      </c>
      <c r="N197" s="1" cm="1">
        <f t="array" aca="1" ref="N197" ca="1">INDIRECT(CONCATENATE("'",$A$100,"'!l",B197),1)</f>
        <v>0</v>
      </c>
      <c r="O197" s="1" cm="1">
        <f t="array" aca="1" ref="O197" ca="1">INDIRECT(CONCATENATE("'",$A$100,"'!m",B197),1)</f>
        <v>0</v>
      </c>
      <c r="P197" s="1" cm="1">
        <f t="array" aca="1" ref="P197" ca="1">INDIRECT(CONCATENATE("'",$A$100,"'!n",B197),1)</f>
        <v>0</v>
      </c>
      <c r="Q197" s="1" cm="1">
        <f t="array" aca="1" ref="Q197" ca="1">INDIRECT(CONCATENATE("'",$A$100,"'!o",B197),1)</f>
        <v>0</v>
      </c>
      <c r="R197" s="1" cm="1">
        <f t="array" aca="1" ref="R197" ca="1">INDIRECT(CONCATENATE("'",$A$100,"'!p",B197),1)</f>
        <v>0</v>
      </c>
      <c r="S197" s="1">
        <f t="shared" ca="1" si="14"/>
        <v>0</v>
      </c>
      <c r="T197" s="1" cm="1">
        <f t="array" aca="1" ref="T197" ca="1">INDIRECT(CONCATENATE("'",$A$100,"'!q",B197),1)</f>
        <v>0</v>
      </c>
      <c r="U197" s="1" cm="1">
        <f t="array" aca="1" ref="U197" ca="1">INDIRECT(CONCATENATE("'",$A$100,"'!r",B197),1)</f>
        <v>0</v>
      </c>
      <c r="V197" s="1" cm="1">
        <f t="array" aca="1" ref="V197" ca="1">INDIRECT(CONCATENATE("'",$A$100,"'!s",B197),1)</f>
        <v>0</v>
      </c>
      <c r="W197" s="1" cm="1">
        <f t="array" aca="1" ref="W197" ca="1">INDIRECT(CONCATENATE("'",$A$100,"'!t",B197),1)</f>
        <v>0</v>
      </c>
      <c r="X197" s="1" cm="1">
        <f t="array" aca="1" ref="X197" ca="1">INDIRECT(CONCATENATE("'",$A$100,"'!u",B197),1)</f>
        <v>0</v>
      </c>
      <c r="Y197" s="1" cm="1">
        <f t="array" aca="1" ref="Y197" ca="1">INDIRECT(CONCATENATE("'",$A$100,"'!v",B197),1)</f>
        <v>0</v>
      </c>
    </row>
    <row r="198" spans="1:25" customFormat="1" hidden="1" x14ac:dyDescent="0.25">
      <c r="A198" s="15"/>
      <c r="B198" s="24">
        <f t="shared" si="13"/>
        <v>100</v>
      </c>
      <c r="C198" s="1" cm="1">
        <f t="array" aca="1" ref="C198" ca="1">INDIRECT(CONCATENATE("'",$A$100,"'!A",B198),1)</f>
        <v>0</v>
      </c>
      <c r="D198" s="1" cm="1">
        <f t="array" aca="1" ref="D198" ca="1">INDIRECT(CONCATENATE("'",$A$100,"'!B",B198),1)</f>
        <v>0</v>
      </c>
      <c r="E198" s="1" cm="1">
        <f t="array" aca="1" ref="E198" ca="1">INDIRECT(CONCATENATE("'",$A$100,"'!c",B198),1)</f>
        <v>0</v>
      </c>
      <c r="F198" s="1" cm="1">
        <f t="array" aca="1" ref="F198" ca="1">INDIRECT(CONCATENATE("'",$A$100,"'!d",B198),1)</f>
        <v>0</v>
      </c>
      <c r="G198" s="1" cm="1">
        <f t="array" aca="1" ref="G198" ca="1">INDIRECT(CONCATENATE("'",$A$100,"'!e",B198),1)</f>
        <v>0</v>
      </c>
      <c r="H198" s="1" cm="1">
        <f t="array" aca="1" ref="H198" ca="1">INDIRECT(CONCATENATE("'",$A$100,"'!f",B198),1)</f>
        <v>0</v>
      </c>
      <c r="I198" s="1" cm="1">
        <f t="array" aca="1" ref="I198" ca="1">INDIRECT(CONCATENATE("'",$A$100,"'!g",B198),1)</f>
        <v>0</v>
      </c>
      <c r="J198" s="1" cm="1">
        <f t="array" aca="1" ref="J198" ca="1">INDIRECT(CONCATENATE("'",$A$100,"'!h",B198),1)</f>
        <v>0</v>
      </c>
      <c r="K198" s="1" cm="1">
        <f t="array" aca="1" ref="K198" ca="1">INDIRECT(CONCATENATE("'",$A$100,"'!i",B198),1)</f>
        <v>0</v>
      </c>
      <c r="L198" s="1" cm="1">
        <f t="array" aca="1" ref="L198" ca="1">INDIRECT(CONCATENATE("'",$A$100,"'!j",B198),1)</f>
        <v>0</v>
      </c>
      <c r="M198" s="1" cm="1">
        <f t="array" aca="1" ref="M198" ca="1">INDIRECT(CONCATENATE("'",$A$100,"'!k",B198),1)</f>
        <v>0</v>
      </c>
      <c r="N198" s="1" cm="1">
        <f t="array" aca="1" ref="N198" ca="1">INDIRECT(CONCATENATE("'",$A$100,"'!l",B198),1)</f>
        <v>0</v>
      </c>
      <c r="O198" s="1" cm="1">
        <f t="array" aca="1" ref="O198" ca="1">INDIRECT(CONCATENATE("'",$A$100,"'!m",B198),1)</f>
        <v>0</v>
      </c>
      <c r="P198" s="1" cm="1">
        <f t="array" aca="1" ref="P198" ca="1">INDIRECT(CONCATENATE("'",$A$100,"'!n",B198),1)</f>
        <v>0</v>
      </c>
      <c r="Q198" s="1" cm="1">
        <f t="array" aca="1" ref="Q198" ca="1">INDIRECT(CONCATENATE("'",$A$100,"'!o",B198),1)</f>
        <v>0</v>
      </c>
      <c r="R198" s="1" cm="1">
        <f t="array" aca="1" ref="R198" ca="1">INDIRECT(CONCATENATE("'",$A$100,"'!p",B198),1)</f>
        <v>0</v>
      </c>
      <c r="S198" s="1">
        <f t="shared" ca="1" si="14"/>
        <v>0</v>
      </c>
      <c r="T198" s="1" cm="1">
        <f t="array" aca="1" ref="T198" ca="1">INDIRECT(CONCATENATE("'",$A$100,"'!q",B198),1)</f>
        <v>0</v>
      </c>
      <c r="U198" s="1" cm="1">
        <f t="array" aca="1" ref="U198" ca="1">INDIRECT(CONCATENATE("'",$A$100,"'!r",B198),1)</f>
        <v>0</v>
      </c>
      <c r="V198" s="1" cm="1">
        <f t="array" aca="1" ref="V198" ca="1">INDIRECT(CONCATENATE("'",$A$100,"'!s",B198),1)</f>
        <v>0</v>
      </c>
      <c r="W198" s="1" cm="1">
        <f t="array" aca="1" ref="W198" ca="1">INDIRECT(CONCATENATE("'",$A$100,"'!t",B198),1)</f>
        <v>0</v>
      </c>
      <c r="X198" s="1" cm="1">
        <f t="array" aca="1" ref="X198" ca="1">INDIRECT(CONCATENATE("'",$A$100,"'!u",B198),1)</f>
        <v>0</v>
      </c>
      <c r="Y198" s="1" cm="1">
        <f t="array" aca="1" ref="Y198" ca="1">INDIRECT(CONCATENATE("'",$A$100,"'!v",B198),1)</f>
        <v>0</v>
      </c>
    </row>
    <row r="199" spans="1:25" customFormat="1" hidden="1" x14ac:dyDescent="0.25">
      <c r="A199" s="15"/>
      <c r="B199" s="24">
        <f t="shared" si="13"/>
        <v>101</v>
      </c>
      <c r="C199" s="1" cm="1">
        <f t="array" aca="1" ref="C199" ca="1">INDIRECT(CONCATENATE("'",$A$100,"'!A",B199),1)</f>
        <v>0</v>
      </c>
      <c r="D199" s="1" cm="1">
        <f t="array" aca="1" ref="D199" ca="1">INDIRECT(CONCATENATE("'",$A$100,"'!B",B199),1)</f>
        <v>0</v>
      </c>
      <c r="E199" s="1" cm="1">
        <f t="array" aca="1" ref="E199" ca="1">INDIRECT(CONCATENATE("'",$A$100,"'!c",B199),1)</f>
        <v>0</v>
      </c>
      <c r="F199" s="1" cm="1">
        <f t="array" aca="1" ref="F199" ca="1">INDIRECT(CONCATENATE("'",$A$100,"'!d",B199),1)</f>
        <v>0</v>
      </c>
      <c r="G199" s="1" cm="1">
        <f t="array" aca="1" ref="G199" ca="1">INDIRECT(CONCATENATE("'",$A$100,"'!e",B199),1)</f>
        <v>0</v>
      </c>
      <c r="H199" s="1" cm="1">
        <f t="array" aca="1" ref="H199" ca="1">INDIRECT(CONCATENATE("'",$A$100,"'!f",B199),1)</f>
        <v>0</v>
      </c>
      <c r="I199" s="1" cm="1">
        <f t="array" aca="1" ref="I199" ca="1">INDIRECT(CONCATENATE("'",$A$100,"'!g",B199),1)</f>
        <v>0</v>
      </c>
      <c r="J199" s="1" cm="1">
        <f t="array" aca="1" ref="J199" ca="1">INDIRECT(CONCATENATE("'",$A$100,"'!h",B199),1)</f>
        <v>0</v>
      </c>
      <c r="K199" s="1" cm="1">
        <f t="array" aca="1" ref="K199" ca="1">INDIRECT(CONCATENATE("'",$A$100,"'!i",B199),1)</f>
        <v>0</v>
      </c>
      <c r="L199" s="1" cm="1">
        <f t="array" aca="1" ref="L199" ca="1">INDIRECT(CONCATENATE("'",$A$100,"'!j",B199),1)</f>
        <v>0</v>
      </c>
      <c r="M199" s="1" cm="1">
        <f t="array" aca="1" ref="M199" ca="1">INDIRECT(CONCATENATE("'",$A$100,"'!k",B199),1)</f>
        <v>0</v>
      </c>
      <c r="N199" s="1" cm="1">
        <f t="array" aca="1" ref="N199" ca="1">INDIRECT(CONCATENATE("'",$A$100,"'!l",B199),1)</f>
        <v>0</v>
      </c>
      <c r="O199" s="1" cm="1">
        <f t="array" aca="1" ref="O199" ca="1">INDIRECT(CONCATENATE("'",$A$100,"'!m",B199),1)</f>
        <v>0</v>
      </c>
      <c r="P199" s="1" cm="1">
        <f t="array" aca="1" ref="P199" ca="1">INDIRECT(CONCATENATE("'",$A$100,"'!n",B199),1)</f>
        <v>0</v>
      </c>
      <c r="Q199" s="1" cm="1">
        <f t="array" aca="1" ref="Q199" ca="1">INDIRECT(CONCATENATE("'",$A$100,"'!o",B199),1)</f>
        <v>0</v>
      </c>
      <c r="R199" s="1" cm="1">
        <f t="array" aca="1" ref="R199" ca="1">INDIRECT(CONCATENATE("'",$A$100,"'!p",B199),1)</f>
        <v>0</v>
      </c>
      <c r="S199" s="1">
        <f t="shared" ca="1" si="14"/>
        <v>0</v>
      </c>
      <c r="T199" s="1" cm="1">
        <f t="array" aca="1" ref="T199" ca="1">INDIRECT(CONCATENATE("'",$A$100,"'!q",B199),1)</f>
        <v>0</v>
      </c>
      <c r="U199" s="1" cm="1">
        <f t="array" aca="1" ref="U199" ca="1">INDIRECT(CONCATENATE("'",$A$100,"'!r",B199),1)</f>
        <v>0</v>
      </c>
      <c r="V199" s="1" cm="1">
        <f t="array" aca="1" ref="V199" ca="1">INDIRECT(CONCATENATE("'",$A$100,"'!s",B199),1)</f>
        <v>0</v>
      </c>
      <c r="W199" s="1" cm="1">
        <f t="array" aca="1" ref="W199" ca="1">INDIRECT(CONCATENATE("'",$A$100,"'!t",B199),1)</f>
        <v>0</v>
      </c>
      <c r="X199" s="1" cm="1">
        <f t="array" aca="1" ref="X199" ca="1">INDIRECT(CONCATENATE("'",$A$100,"'!u",B199),1)</f>
        <v>0</v>
      </c>
      <c r="Y199" s="1" cm="1">
        <f t="array" aca="1" ref="Y199" ca="1">INDIRECT(CONCATENATE("'",$A$100,"'!v",B199),1)</f>
        <v>0</v>
      </c>
    </row>
    <row r="200" spans="1:25" ht="45" hidden="1" x14ac:dyDescent="0.25">
      <c r="A200" s="24" t="s">
        <v>265</v>
      </c>
      <c r="B200" s="24">
        <v>2</v>
      </c>
      <c r="C200" s="1" t="str" cm="1">
        <f t="array" aca="1" ref="C200" ca="1">INDIRECT(CONCATENATE("'",$A$200,"'!A",B200),1)</f>
        <v>Системный анализ и моделирование интеллектуальных систем</v>
      </c>
      <c r="D200" s="1" t="str" cm="1">
        <f t="array" aca="1" ref="D200" ca="1">INDIRECT(CONCATENATE("'",$A$200,"'!B",B200),1)</f>
        <v xml:space="preserve">09.04.01(09) </v>
      </c>
      <c r="E200" s="1" cm="1">
        <f t="array" aca="1" ref="E200" ca="1">INDIRECT(CONCATENATE("'",$A$200,"'!c",B200),1)</f>
        <v>5095</v>
      </c>
      <c r="F200" s="1" cm="1">
        <f t="array" aca="1" ref="F200" ca="1">INDIRECT(CONCATENATE("'",$A$200,"'!d",B200),1)</f>
        <v>1</v>
      </c>
      <c r="G200" s="1" cm="1">
        <f t="array" aca="1" ref="G200" ca="1">INDIRECT(CONCATENATE("'",$A$200,"'!e",B200),1)</f>
        <v>1</v>
      </c>
      <c r="H200" s="1" cm="1">
        <f t="array" aca="1" ref="H200" ca="1">INDIRECT(CONCATENATE("'",$A$200,"'!f",B200),1)</f>
        <v>11</v>
      </c>
      <c r="I200" s="1" t="str" cm="1">
        <f t="array" aca="1" ref="I200" ca="1">INDIRECT(CONCATENATE("'",$A$200,"'!g",B200),1)</f>
        <v>ЭКЗ</v>
      </c>
      <c r="J200" s="1" cm="1">
        <f t="array" aca="1" ref="J200" ca="1">INDIRECT(CONCATENATE("'",$A$200,"'!h",B200),1)</f>
        <v>8</v>
      </c>
      <c r="K200" s="1" cm="1">
        <f t="array" aca="1" ref="K200" ca="1">INDIRECT(CONCATENATE("'",$A$200,"'!i",B200),1)</f>
        <v>18</v>
      </c>
      <c r="L200" s="1" cm="1">
        <f t="array" aca="1" ref="L200" ca="1">INDIRECT(CONCATENATE("'",$A$200,"'!j",B200),1)</f>
        <v>54</v>
      </c>
      <c r="M200" s="1" cm="1">
        <f t="array" aca="1" ref="M200" ca="1">INDIRECT(CONCATENATE("'",$A$200,"'!k",B200),1)</f>
        <v>0</v>
      </c>
      <c r="N200" s="1" t="str" cm="1">
        <f t="array" aca="1" ref="N200" ca="1">INDIRECT(CONCATENATE("'",$A$200,"'!l",B200),1)</f>
        <v>Эминов С.И.</v>
      </c>
      <c r="O200" s="1" cm="1">
        <f t="array" aca="1" ref="O200" ca="1">INDIRECT(CONCATENATE("'",$A$200,"'!m",B200),1)</f>
        <v>3312</v>
      </c>
      <c r="P200" s="1" cm="1">
        <f t="array" aca="1" ref="P200" ca="1">INDIRECT(CONCATENATE("'",$A$200,"'!n",B200),1)</f>
        <v>1</v>
      </c>
      <c r="Q200" s="1" cm="1">
        <f t="array" aca="1" ref="Q200" ca="1">INDIRECT(CONCATENATE("'",$A$200,"'!o",B200),1)</f>
        <v>27</v>
      </c>
      <c r="R200" s="1" cm="1">
        <f t="array" aca="1" ref="R200" ca="1">INDIRECT(CONCATENATE("'",$A$200,"'!p",B200),1)</f>
        <v>18</v>
      </c>
      <c r="S200" s="1">
        <f t="shared" ref="S200" ca="1" si="15">SUMIFS(U200,T200,$N$1)+SUMIFS(W200,V200,$N$1)+SUMIFS(Y200,X200,$N$1)</f>
        <v>0</v>
      </c>
      <c r="T200" s="1" t="str" cm="1">
        <f t="array" aca="1" ref="T200" ca="1">INDIRECT(CONCATENATE("'",$A$200,"'!q",B200),1)</f>
        <v>Эминов С.И.</v>
      </c>
      <c r="U200" s="1" cm="1">
        <f t="array" aca="1" ref="U200" ca="1">INDIRECT(CONCATENATE("'",$A$200,"'!r",B200),1)</f>
        <v>117</v>
      </c>
      <c r="V200" s="1" cm="1">
        <f t="array" aca="1" ref="V200" ca="1">INDIRECT(CONCATENATE("'",$A$200,"'!s",B200),1)</f>
        <v>0</v>
      </c>
      <c r="W200" s="1" cm="1">
        <f t="array" aca="1" ref="W200" ca="1">INDIRECT(CONCATENATE("'",$A$200,"'!t",B200),1)</f>
        <v>0</v>
      </c>
      <c r="X200" s="1" cm="1">
        <f t="array" aca="1" ref="X200" ca="1">INDIRECT(CONCATENATE("'",$A$200,"'!u",B200),1)</f>
        <v>0</v>
      </c>
      <c r="Y200" s="1" cm="1">
        <f t="array" aca="1" ref="Y200" ca="1">INDIRECT(CONCATENATE("'",$A$200,"'!v",B200),1)</f>
        <v>0</v>
      </c>
    </row>
    <row r="201" spans="1:25" customFormat="1" ht="33.75" hidden="1" x14ac:dyDescent="0.25">
      <c r="A201" s="15"/>
      <c r="B201" s="24">
        <f>B200+1</f>
        <v>3</v>
      </c>
      <c r="C201" s="1" t="str" cm="1">
        <f t="array" aca="1" ref="C201" ca="1">INDIRECT(CONCATENATE("'",$A$200,"'!A",B201),1)</f>
        <v>Системы хранения и обработки больших данных</v>
      </c>
      <c r="D201" s="1" t="str" cm="1">
        <f t="array" aca="1" ref="D201" ca="1">INDIRECT(CONCATENATE("'",$A$200,"'!B",B201),1)</f>
        <v xml:space="preserve">09.04.01(09) </v>
      </c>
      <c r="E201" s="1" cm="1">
        <f t="array" aca="1" ref="E201" ca="1">INDIRECT(CONCATENATE("'",$A$200,"'!c",B201),1)</f>
        <v>5095</v>
      </c>
      <c r="F201" s="1" cm="1">
        <f t="array" aca="1" ref="F201" ca="1">INDIRECT(CONCATENATE("'",$A$200,"'!d",B201),1)</f>
        <v>1</v>
      </c>
      <c r="G201" s="1" cm="1">
        <f t="array" aca="1" ref="G201" ca="1">INDIRECT(CONCATENATE("'",$A$200,"'!e",B201),1)</f>
        <v>1</v>
      </c>
      <c r="H201" s="1" cm="1">
        <f t="array" aca="1" ref="H201" ca="1">INDIRECT(CONCATENATE("'",$A$200,"'!f",B201),1)</f>
        <v>11</v>
      </c>
      <c r="I201" s="1" t="str" cm="1">
        <f t="array" aca="1" ref="I201" ca="1">INDIRECT(CONCATENATE("'",$A$200,"'!g",B201),1)</f>
        <v>ЭКЗ</v>
      </c>
      <c r="J201" s="1" cm="1">
        <f t="array" aca="1" ref="J201" ca="1">INDIRECT(CONCATENATE("'",$A$200,"'!h",B201),1)</f>
        <v>8</v>
      </c>
      <c r="K201" s="1" cm="1">
        <f t="array" aca="1" ref="K201" ca="1">INDIRECT(CONCATENATE("'",$A$200,"'!i",B201),1)</f>
        <v>9</v>
      </c>
      <c r="L201" s="1" cm="1">
        <f t="array" aca="1" ref="L201" ca="1">INDIRECT(CONCATENATE("'",$A$200,"'!j",B201),1)</f>
        <v>18</v>
      </c>
      <c r="M201" s="1" cm="1">
        <f t="array" aca="1" ref="M201" ca="1">INDIRECT(CONCATENATE("'",$A$200,"'!k",B201),1)</f>
        <v>18</v>
      </c>
      <c r="N201" s="1" t="str" cm="1">
        <f t="array" aca="1" ref="N201" ca="1">INDIRECT(CONCATENATE("'",$A$200,"'!l",B201),1)</f>
        <v>Кулаков И.Ю.</v>
      </c>
      <c r="O201" s="1" cm="1">
        <f t="array" aca="1" ref="O201" ca="1">INDIRECT(CONCATENATE("'",$A$200,"'!m",B201),1)</f>
        <v>3315</v>
      </c>
      <c r="P201" s="1" t="str" cm="1">
        <f t="array" aca="1" ref="P201" ca="1">INDIRECT(CONCATENATE("'",$A$200,"'!n",B201),1)</f>
        <v>пр*2, лр*2</v>
      </c>
      <c r="Q201" s="1" cm="1">
        <f t="array" aca="1" ref="Q201" ca="1">INDIRECT(CONCATENATE("'",$A$200,"'!o",B201),1)</f>
        <v>9.6</v>
      </c>
      <c r="R201" s="1" cm="1">
        <f t="array" aca="1" ref="R201" ca="1">INDIRECT(CONCATENATE("'",$A$200,"'!p",B201),1)</f>
        <v>6.6</v>
      </c>
      <c r="S201" s="1">
        <f t="shared" ref="S201:S249" ca="1" si="16">SUMIFS(U201,T201,$N$1)+SUMIFS(W201,V201,$N$1)+SUMIFS(Y201,X201,$N$1)</f>
        <v>0</v>
      </c>
      <c r="T201" s="1" t="str" cm="1">
        <f t="array" aca="1" ref="T201" ca="1">INDIRECT(CONCATENATE("'",$A$200,"'!q",B201),1)</f>
        <v>Кулаков И.Ю.</v>
      </c>
      <c r="U201" s="1" cm="1">
        <f t="array" aca="1" ref="U201" ca="1">INDIRECT(CONCATENATE("'",$A$200,"'!r",B201),1)</f>
        <v>61.2</v>
      </c>
      <c r="V201" s="1" cm="1">
        <f t="array" aca="1" ref="V201" ca="1">INDIRECT(CONCATENATE("'",$A$200,"'!s",B201),1)</f>
        <v>0</v>
      </c>
      <c r="W201" s="1" cm="1">
        <f t="array" aca="1" ref="W201" ca="1">INDIRECT(CONCATENATE("'",$A$200,"'!t",B201),1)</f>
        <v>0</v>
      </c>
      <c r="X201" s="1" cm="1">
        <f t="array" aca="1" ref="X201" ca="1">INDIRECT(CONCATENATE("'",$A$200,"'!u",B201),1)</f>
        <v>0</v>
      </c>
      <c r="Y201" s="1" cm="1">
        <f t="array" aca="1" ref="Y201" ca="1">INDIRECT(CONCATENATE("'",$A$200,"'!v",B201),1)</f>
        <v>0</v>
      </c>
    </row>
    <row r="202" spans="1:25" customFormat="1" ht="33.75" hidden="1" x14ac:dyDescent="0.25">
      <c r="A202" s="15"/>
      <c r="B202" s="24">
        <f t="shared" ref="B202:B265" si="17">B201+1</f>
        <v>4</v>
      </c>
      <c r="C202" s="1" t="str" cm="1">
        <f t="array" aca="1" ref="C202" ca="1">INDIRECT(CONCATENATE("'",$A$200,"'!A",B202),1)</f>
        <v>ИИ. Математические методы анализа и обработки данных</v>
      </c>
      <c r="D202" s="1" t="str" cm="1">
        <f t="array" aca="1" ref="D202" ca="1">INDIRECT(CONCATENATE("'",$A$200,"'!B",B202),1)</f>
        <v xml:space="preserve">09.04.01(09) </v>
      </c>
      <c r="E202" s="1" cm="1">
        <f t="array" aca="1" ref="E202" ca="1">INDIRECT(CONCATENATE("'",$A$200,"'!c",B202),1)</f>
        <v>5095</v>
      </c>
      <c r="F202" s="1" cm="1">
        <f t="array" aca="1" ref="F202" ca="1">INDIRECT(CONCATENATE("'",$A$200,"'!d",B202),1)</f>
        <v>1</v>
      </c>
      <c r="G202" s="1" cm="1">
        <f t="array" aca="1" ref="G202" ca="1">INDIRECT(CONCATENATE("'",$A$200,"'!e",B202),1)</f>
        <v>1</v>
      </c>
      <c r="H202" s="1" cm="1">
        <f t="array" aca="1" ref="H202" ca="1">INDIRECT(CONCATENATE("'",$A$200,"'!f",B202),1)</f>
        <v>11</v>
      </c>
      <c r="I202" s="1" t="str" cm="1">
        <f t="array" aca="1" ref="I202" ca="1">INDIRECT(CONCATENATE("'",$A$200,"'!g",B202),1)</f>
        <v>ЗАЧ</v>
      </c>
      <c r="J202" s="1" cm="1">
        <f t="array" aca="1" ref="J202" ca="1">INDIRECT(CONCATENATE("'",$A$200,"'!h",B202),1)</f>
        <v>4</v>
      </c>
      <c r="K202" s="1" cm="1">
        <f t="array" aca="1" ref="K202" ca="1">INDIRECT(CONCATENATE("'",$A$200,"'!i",B202),1)</f>
        <v>9</v>
      </c>
      <c r="L202" s="1" cm="1">
        <f t="array" aca="1" ref="L202" ca="1">INDIRECT(CONCATENATE("'",$A$200,"'!j",B202),1)</f>
        <v>0</v>
      </c>
      <c r="M202" s="1" cm="1">
        <f t="array" aca="1" ref="M202" ca="1">INDIRECT(CONCATENATE("'",$A$200,"'!k",B202),1)</f>
        <v>27</v>
      </c>
      <c r="N202" s="1" t="str" cm="1">
        <f t="array" aca="1" ref="N202" ca="1">INDIRECT(CONCATENATE("'",$A$200,"'!l",B202),1)</f>
        <v>Бритвина Л.Е.</v>
      </c>
      <c r="O202" s="1" cm="1">
        <f t="array" aca="1" ref="O202" ca="1">INDIRECT(CONCATENATE("'",$A$200,"'!m",B202),1)</f>
        <v>0</v>
      </c>
      <c r="P202" s="1" t="str" cm="1">
        <f t="array" aca="1" ref="P202" ca="1">INDIRECT(CONCATENATE("'",$A$200,"'!n",B202),1)</f>
        <v>лр *1</v>
      </c>
      <c r="Q202" s="1" cm="1">
        <f t="array" aca="1" ref="Q202" ca="1">INDIRECT(CONCATENATE("'",$A$200,"'!o",B202),1)</f>
        <v>6.6</v>
      </c>
      <c r="R202" s="1" cm="1">
        <f t="array" aca="1" ref="R202" ca="1">INDIRECT(CONCATENATE("'",$A$200,"'!p",B202),1)</f>
        <v>4.4000000000000004</v>
      </c>
      <c r="S202" s="1">
        <f t="shared" ca="1" si="16"/>
        <v>0</v>
      </c>
      <c r="T202" s="1" t="str" cm="1">
        <f t="array" aca="1" ref="T202" ca="1">INDIRECT(CONCATENATE("'",$A$200,"'!q",B202),1)</f>
        <v>Бритвина Л.Е.</v>
      </c>
      <c r="U202" s="1" cm="1">
        <f t="array" aca="1" ref="U202" ca="1">INDIRECT(CONCATENATE("'",$A$200,"'!r",B202),1)</f>
        <v>47</v>
      </c>
      <c r="V202" s="1" cm="1">
        <f t="array" aca="1" ref="V202" ca="1">INDIRECT(CONCATENATE("'",$A$200,"'!s",B202),1)</f>
        <v>0</v>
      </c>
      <c r="W202" s="1" cm="1">
        <f t="array" aca="1" ref="W202" ca="1">INDIRECT(CONCATENATE("'",$A$200,"'!t",B202),1)</f>
        <v>0</v>
      </c>
      <c r="X202" s="1" cm="1">
        <f t="array" aca="1" ref="X202" ca="1">INDIRECT(CONCATENATE("'",$A$200,"'!u",B202),1)</f>
        <v>0</v>
      </c>
      <c r="Y202" s="1" cm="1">
        <f t="array" aca="1" ref="Y202" ca="1">INDIRECT(CONCATENATE("'",$A$200,"'!v",B202),1)</f>
        <v>0</v>
      </c>
    </row>
    <row r="203" spans="1:25" customFormat="1" ht="22.5" hidden="1" x14ac:dyDescent="0.25">
      <c r="A203" s="15"/>
      <c r="B203" s="24">
        <f t="shared" si="17"/>
        <v>5</v>
      </c>
      <c r="C203" s="1" t="str" cm="1">
        <f t="array" aca="1" ref="C203" ca="1">INDIRECT(CONCATENATE("'",$A$200,"'!A",B203),1)</f>
        <v>Моделирование систем и системный анализ</v>
      </c>
      <c r="D203" s="1" t="str" cm="1">
        <f t="array" aca="1" ref="D203" ca="1">INDIRECT(CONCATENATE("'",$A$200,"'!B",B203),1)</f>
        <v xml:space="preserve">09.04.01(09) </v>
      </c>
      <c r="E203" s="1" cm="1">
        <f t="array" aca="1" ref="E203" ca="1">INDIRECT(CONCATENATE("'",$A$200,"'!c",B203),1)</f>
        <v>5096</v>
      </c>
      <c r="F203" s="1" cm="1">
        <f t="array" aca="1" ref="F203" ca="1">INDIRECT(CONCATENATE("'",$A$200,"'!d",B203),1)</f>
        <v>1</v>
      </c>
      <c r="G203" s="1" cm="1">
        <f t="array" aca="1" ref="G203" ca="1">INDIRECT(CONCATENATE("'",$A$200,"'!e",B203),1)</f>
        <v>1</v>
      </c>
      <c r="H203" s="1" cm="1">
        <f t="array" aca="1" ref="H203" ca="1">INDIRECT(CONCATENATE("'",$A$200,"'!f",B203),1)</f>
        <v>11</v>
      </c>
      <c r="I203" s="1" t="str" cm="1">
        <f t="array" aca="1" ref="I203" ca="1">INDIRECT(CONCATENATE("'",$A$200,"'!g",B203),1)</f>
        <v>ЭКЗ</v>
      </c>
      <c r="J203" s="1" cm="1">
        <f t="array" aca="1" ref="J203" ca="1">INDIRECT(CONCATENATE("'",$A$200,"'!h",B203),1)</f>
        <v>6</v>
      </c>
      <c r="K203" s="1" cm="1">
        <f t="array" aca="1" ref="K203" ca="1">INDIRECT(CONCATENATE("'",$A$200,"'!i",B203),1)</f>
        <v>9</v>
      </c>
      <c r="L203" s="1" cm="1">
        <f t="array" aca="1" ref="L203" ca="1">INDIRECT(CONCATENATE("'",$A$200,"'!j",B203),1)</f>
        <v>36</v>
      </c>
      <c r="M203" s="1" cm="1">
        <f t="array" aca="1" ref="M203" ca="1">INDIRECT(CONCATENATE("'",$A$200,"'!k",B203),1)</f>
        <v>0</v>
      </c>
      <c r="N203" s="1" t="str" cm="1">
        <f t="array" aca="1" ref="N203" ca="1">INDIRECT(CONCATENATE("'",$A$200,"'!l",B203),1)</f>
        <v>Эминов С.И.</v>
      </c>
      <c r="O203" s="1" cm="1">
        <f t="array" aca="1" ref="O203" ca="1">INDIRECT(CONCATENATE("'",$A$200,"'!m",B203),1)</f>
        <v>3312</v>
      </c>
      <c r="P203" s="1" cm="1">
        <f t="array" aca="1" ref="P203" ca="1">INDIRECT(CONCATENATE("'",$A$200,"'!n",B203),1)</f>
        <v>0</v>
      </c>
      <c r="Q203" s="1" cm="1">
        <f t="array" aca="1" ref="Q203" ca="1">INDIRECT(CONCATENATE("'",$A$200,"'!o",B203),1)</f>
        <v>9.9</v>
      </c>
      <c r="R203" s="1" cm="1">
        <f t="array" aca="1" ref="R203" ca="1">INDIRECT(CONCATENATE("'",$A$200,"'!p",B203),1)</f>
        <v>6.6</v>
      </c>
      <c r="S203" s="1">
        <f t="shared" ca="1" si="16"/>
        <v>0</v>
      </c>
      <c r="T203" s="1" t="str" cm="1">
        <f t="array" aca="1" ref="T203" ca="1">INDIRECT(CONCATENATE("'",$A$200,"'!q",B203),1)</f>
        <v>Эминов С.И.</v>
      </c>
      <c r="U203" s="1" cm="1">
        <f t="array" aca="1" ref="U203" ca="1">INDIRECT(CONCATENATE("'",$A$200,"'!r",B203),1)</f>
        <v>61.5</v>
      </c>
      <c r="V203" s="1" cm="1">
        <f t="array" aca="1" ref="V203" ca="1">INDIRECT(CONCATENATE("'",$A$200,"'!s",B203),1)</f>
        <v>0</v>
      </c>
      <c r="W203" s="1" cm="1">
        <f t="array" aca="1" ref="W203" ca="1">INDIRECT(CONCATENATE("'",$A$200,"'!t",B203),1)</f>
        <v>0</v>
      </c>
      <c r="X203" s="1" cm="1">
        <f t="array" aca="1" ref="X203" ca="1">INDIRECT(CONCATENATE("'",$A$200,"'!u",B203),1)</f>
        <v>0</v>
      </c>
      <c r="Y203" s="1" cm="1">
        <f t="array" aca="1" ref="Y203" ca="1">INDIRECT(CONCATENATE("'",$A$200,"'!v",B203),1)</f>
        <v>0</v>
      </c>
    </row>
    <row r="204" spans="1:25" customFormat="1" ht="33.75" hidden="1" x14ac:dyDescent="0.25">
      <c r="A204" s="15"/>
      <c r="B204" s="24">
        <f t="shared" si="17"/>
        <v>6</v>
      </c>
      <c r="C204" s="1" t="str" cm="1">
        <f t="array" aca="1" ref="C204" ca="1">INDIRECT(CONCATENATE("'",$A$200,"'!A",B204),1)</f>
        <v>Специальные методы информационной безопасности</v>
      </c>
      <c r="D204" s="1" t="str" cm="1">
        <f t="array" aca="1" ref="D204" ca="1">INDIRECT(CONCATENATE("'",$A$200,"'!B",B204),1)</f>
        <v xml:space="preserve">09.04.01(09) </v>
      </c>
      <c r="E204" s="1" cm="1">
        <f t="array" aca="1" ref="E204" ca="1">INDIRECT(CONCATENATE("'",$A$200,"'!c",B204),1)</f>
        <v>5096</v>
      </c>
      <c r="F204" s="1" cm="1">
        <f t="array" aca="1" ref="F204" ca="1">INDIRECT(CONCATENATE("'",$A$200,"'!d",B204),1)</f>
        <v>1</v>
      </c>
      <c r="G204" s="1" cm="1">
        <f t="array" aca="1" ref="G204" ca="1">INDIRECT(CONCATENATE("'",$A$200,"'!e",B204),1)</f>
        <v>1</v>
      </c>
      <c r="H204" s="1" cm="1">
        <f t="array" aca="1" ref="H204" ca="1">INDIRECT(CONCATENATE("'",$A$200,"'!f",B204),1)</f>
        <v>11</v>
      </c>
      <c r="I204" s="1" t="str" cm="1">
        <f t="array" aca="1" ref="I204" ca="1">INDIRECT(CONCATENATE("'",$A$200,"'!g",B204),1)</f>
        <v>ЭКЗ</v>
      </c>
      <c r="J204" s="1" cm="1">
        <f t="array" aca="1" ref="J204" ca="1">INDIRECT(CONCATENATE("'",$A$200,"'!h",B204),1)</f>
        <v>6</v>
      </c>
      <c r="K204" s="1" cm="1">
        <f t="array" aca="1" ref="K204" ca="1">INDIRECT(CONCATENATE("'",$A$200,"'!i",B204),1)</f>
        <v>9</v>
      </c>
      <c r="L204" s="1" cm="1">
        <f t="array" aca="1" ref="L204" ca="1">INDIRECT(CONCATENATE("'",$A$200,"'!j",B204),1)</f>
        <v>9</v>
      </c>
      <c r="M204" s="1" cm="1">
        <f t="array" aca="1" ref="M204" ca="1">INDIRECT(CONCATENATE("'",$A$200,"'!k",B204),1)</f>
        <v>27</v>
      </c>
      <c r="N204" s="1" t="str" cm="1">
        <f t="array" aca="1" ref="N204" ca="1">INDIRECT(CONCATENATE("'",$A$200,"'!l",B204),1)</f>
        <v>Доагалюк П.М.</v>
      </c>
      <c r="O204" s="1" cm="1">
        <f t="array" aca="1" ref="O204" ca="1">INDIRECT(CONCATENATE("'",$A$200,"'!m",B204),1)</f>
        <v>3305</v>
      </c>
      <c r="P204" s="1" cm="1">
        <f t="array" aca="1" ref="P204" ca="1">INDIRECT(CONCATENATE("'",$A$200,"'!n",B204),1)</f>
        <v>0</v>
      </c>
      <c r="Q204" s="1" cm="1">
        <f t="array" aca="1" ref="Q204" ca="1">INDIRECT(CONCATENATE("'",$A$200,"'!o",B204),1)</f>
        <v>9.9</v>
      </c>
      <c r="R204" s="1" cm="1">
        <f t="array" aca="1" ref="R204" ca="1">INDIRECT(CONCATENATE("'",$A$200,"'!p",B204),1)</f>
        <v>6.6</v>
      </c>
      <c r="S204" s="1">
        <f t="shared" ca="1" si="16"/>
        <v>0</v>
      </c>
      <c r="T204" s="1" t="str" cm="1">
        <f t="array" aca="1" ref="T204" ca="1">INDIRECT(CONCATENATE("'",$A$200,"'!q",B204),1)</f>
        <v>Доагалюк П.М.</v>
      </c>
      <c r="U204" s="1" cm="1">
        <f t="array" aca="1" ref="U204" ca="1">INDIRECT(CONCATENATE("'",$A$200,"'!r",B204),1)</f>
        <v>61.5</v>
      </c>
      <c r="V204" s="1" cm="1">
        <f t="array" aca="1" ref="V204" ca="1">INDIRECT(CONCATENATE("'",$A$200,"'!s",B204),1)</f>
        <v>0</v>
      </c>
      <c r="W204" s="1" cm="1">
        <f t="array" aca="1" ref="W204" ca="1">INDIRECT(CONCATENATE("'",$A$200,"'!t",B204),1)</f>
        <v>0</v>
      </c>
      <c r="X204" s="1" cm="1">
        <f t="array" aca="1" ref="X204" ca="1">INDIRECT(CONCATENATE("'",$A$200,"'!u",B204),1)</f>
        <v>0</v>
      </c>
      <c r="Y204" s="1" cm="1">
        <f t="array" aca="1" ref="Y204" ca="1">INDIRECT(CONCATENATE("'",$A$200,"'!v",B204),1)</f>
        <v>0</v>
      </c>
    </row>
    <row r="205" spans="1:25" customFormat="1" ht="33.75" hidden="1" x14ac:dyDescent="0.25">
      <c r="A205" s="15"/>
      <c r="B205" s="24">
        <f t="shared" si="17"/>
        <v>7</v>
      </c>
      <c r="C205" s="1" t="str" cm="1">
        <f t="array" aca="1" ref="C205" ca="1">INDIRECT(CONCATENATE("'",$A$200,"'!A",B205),1)</f>
        <v>Системы хранения и обработки больших данных</v>
      </c>
      <c r="D205" s="1" t="str" cm="1">
        <f t="array" aca="1" ref="D205" ca="1">INDIRECT(CONCATENATE("'",$A$200,"'!B",B205),1)</f>
        <v xml:space="preserve">09.04.01(09) </v>
      </c>
      <c r="E205" s="1" cm="1">
        <f t="array" aca="1" ref="E205" ca="1">INDIRECT(CONCATENATE("'",$A$200,"'!c",B205),1)</f>
        <v>5096</v>
      </c>
      <c r="F205" s="1" cm="1">
        <f t="array" aca="1" ref="F205" ca="1">INDIRECT(CONCATENATE("'",$A$200,"'!d",B205),1)</f>
        <v>1</v>
      </c>
      <c r="G205" s="1" cm="1">
        <f t="array" aca="1" ref="G205" ca="1">INDIRECT(CONCATENATE("'",$A$200,"'!e",B205),1)</f>
        <v>1</v>
      </c>
      <c r="H205" s="1" cm="1">
        <f t="array" aca="1" ref="H205" ca="1">INDIRECT(CONCATENATE("'",$A$200,"'!f",B205),1)</f>
        <v>11</v>
      </c>
      <c r="I205" s="1" t="str" cm="1">
        <f t="array" aca="1" ref="I205" ca="1">INDIRECT(CONCATENATE("'",$A$200,"'!g",B205),1)</f>
        <v>ЭКЗ</v>
      </c>
      <c r="J205" s="1" cm="1">
        <f t="array" aca="1" ref="J205" ca="1">INDIRECT(CONCATENATE("'",$A$200,"'!h",B205),1)</f>
        <v>8</v>
      </c>
      <c r="K205" s="1" cm="1">
        <f t="array" aca="1" ref="K205" ca="1">INDIRECT(CONCATENATE("'",$A$200,"'!i",B205),1)</f>
        <v>9</v>
      </c>
      <c r="L205" s="1" cm="1">
        <f t="array" aca="1" ref="L205" ca="1">INDIRECT(CONCATENATE("'",$A$200,"'!j",B205),1)</f>
        <v>18</v>
      </c>
      <c r="M205" s="1" cm="1">
        <f t="array" aca="1" ref="M205" ca="1">INDIRECT(CONCATENATE("'",$A$200,"'!k",B205),1)</f>
        <v>36</v>
      </c>
      <c r="N205" s="1" t="str" cm="1">
        <f t="array" aca="1" ref="N205" ca="1">INDIRECT(CONCATENATE("'",$A$200,"'!l",B205),1)</f>
        <v>Кулаков И.Ю.</v>
      </c>
      <c r="O205" s="1" cm="1">
        <f t="array" aca="1" ref="O205" ca="1">INDIRECT(CONCATENATE("'",$A$200,"'!m",B205),1)</f>
        <v>3315</v>
      </c>
      <c r="P205" s="1" cm="1">
        <f t="array" aca="1" ref="P205" ca="1">INDIRECT(CONCATENATE("'",$A$200,"'!n",B205),1)</f>
        <v>0</v>
      </c>
      <c r="Q205" s="1" cm="1">
        <f t="array" aca="1" ref="Q205" ca="1">INDIRECT(CONCATENATE("'",$A$200,"'!o",B205),1)</f>
        <v>13.2</v>
      </c>
      <c r="R205" s="1" cm="1">
        <f t="array" aca="1" ref="R205" ca="1">INDIRECT(CONCATENATE("'",$A$200,"'!p",B205),1)</f>
        <v>8.8000000000000007</v>
      </c>
      <c r="S205" s="1">
        <f t="shared" ca="1" si="16"/>
        <v>0</v>
      </c>
      <c r="T205" s="1" t="str" cm="1">
        <f t="array" aca="1" ref="T205" ca="1">INDIRECT(CONCATENATE("'",$A$200,"'!q",B205),1)</f>
        <v>Кулаков И.Ю.</v>
      </c>
      <c r="U205" s="1" cm="1">
        <f t="array" aca="1" ref="U205" ca="1">INDIRECT(CONCATENATE("'",$A$200,"'!r",B205),1)</f>
        <v>85</v>
      </c>
      <c r="V205" s="1" cm="1">
        <f t="array" aca="1" ref="V205" ca="1">INDIRECT(CONCATENATE("'",$A$200,"'!s",B205),1)</f>
        <v>0</v>
      </c>
      <c r="W205" s="1" cm="1">
        <f t="array" aca="1" ref="W205" ca="1">INDIRECT(CONCATENATE("'",$A$200,"'!t",B205),1)</f>
        <v>0</v>
      </c>
      <c r="X205" s="1" cm="1">
        <f t="array" aca="1" ref="X205" ca="1">INDIRECT(CONCATENATE("'",$A$200,"'!u",B205),1)</f>
        <v>0</v>
      </c>
      <c r="Y205" s="1" cm="1">
        <f t="array" aca="1" ref="Y205" ca="1">INDIRECT(CONCATENATE("'",$A$200,"'!v",B205),1)</f>
        <v>0</v>
      </c>
    </row>
    <row r="206" spans="1:25" customFormat="1" ht="56.25" hidden="1" x14ac:dyDescent="0.25">
      <c r="A206" s="15"/>
      <c r="B206" s="24">
        <f t="shared" si="17"/>
        <v>8</v>
      </c>
      <c r="C206" s="1" t="str" cm="1">
        <f t="array" aca="1" ref="C206" ca="1">INDIRECT(CONCATENATE("'",$A$200,"'!A",B206),1)</f>
        <v>Практика производственная: Научно-исследовательская работа</v>
      </c>
      <c r="D206" s="1" t="str" cm="1">
        <f t="array" aca="1" ref="D206" ca="1">INDIRECT(CONCATENATE("'",$A$200,"'!B",B206),1)</f>
        <v xml:space="preserve">09.04.01(09) </v>
      </c>
      <c r="E206" s="1" cm="1">
        <f t="array" aca="1" ref="E206" ca="1">INDIRECT(CONCATENATE("'",$A$200,"'!c",B206),1)</f>
        <v>5096</v>
      </c>
      <c r="F206" s="1" cm="1">
        <f t="array" aca="1" ref="F206" ca="1">INDIRECT(CONCATENATE("'",$A$200,"'!d",B206),1)</f>
        <v>1</v>
      </c>
      <c r="G206" s="1" cm="1">
        <f t="array" aca="1" ref="G206" ca="1">INDIRECT(CONCATENATE("'",$A$200,"'!e",B206),1)</f>
        <v>1</v>
      </c>
      <c r="H206" s="1" cm="1">
        <f t="array" aca="1" ref="H206" ca="1">INDIRECT(CONCATENATE("'",$A$200,"'!f",B206),1)</f>
        <v>11</v>
      </c>
      <c r="I206" s="1" t="str" cm="1">
        <f t="array" aca="1" ref="I206" ca="1">INDIRECT(CONCATENATE("'",$A$200,"'!g",B206),1)</f>
        <v>ДЗ</v>
      </c>
      <c r="J206" s="1" cm="1">
        <f t="array" aca="1" ref="J206" ca="1">INDIRECT(CONCATENATE("'",$A$200,"'!h",B206),1)</f>
        <v>2</v>
      </c>
      <c r="K206" s="1" cm="1">
        <f t="array" aca="1" ref="K206" ca="1">INDIRECT(CONCATENATE("'",$A$200,"'!i",B206),1)</f>
        <v>0</v>
      </c>
      <c r="L206" s="1" cm="1">
        <f t="array" aca="1" ref="L206" ca="1">INDIRECT(CONCATENATE("'",$A$200,"'!j",B206),1)</f>
        <v>2</v>
      </c>
      <c r="M206" s="1" cm="1">
        <f t="array" aca="1" ref="M206" ca="1">INDIRECT(CONCATENATE("'",$A$200,"'!k",B206),1)</f>
        <v>0</v>
      </c>
      <c r="N206" s="1" t="str" cm="1">
        <f t="array" aca="1" ref="N206" ca="1">INDIRECT(CONCATENATE("'",$A$200,"'!l",B206),1)</f>
        <v>Кулаков И.Ю.Архипова Г.А.</v>
      </c>
      <c r="O206" s="1" cm="1">
        <f t="array" aca="1" ref="O206" ca="1">INDIRECT(CONCATENATE("'",$A$200,"'!m",B206),1)</f>
        <v>3315</v>
      </c>
      <c r="P206" s="1" cm="1">
        <f t="array" aca="1" ref="P206" ca="1">INDIRECT(CONCATENATE("'",$A$200,"'!n",B206),1)</f>
        <v>0</v>
      </c>
      <c r="Q206" s="1" cm="1">
        <f t="array" aca="1" ref="Q206" ca="1">INDIRECT(CONCATENATE("'",$A$200,"'!o",B206),1)</f>
        <v>17.600000000000001</v>
      </c>
      <c r="R206" s="1" cm="1">
        <f t="array" aca="1" ref="R206" ca="1">INDIRECT(CONCATENATE("'",$A$200,"'!p",B206),1)</f>
        <v>0</v>
      </c>
      <c r="S206" s="1">
        <f t="shared" ca="1" si="16"/>
        <v>0</v>
      </c>
      <c r="T206" s="1" t="str" cm="1">
        <f t="array" aca="1" ref="T206" ca="1">INDIRECT(CONCATENATE("'",$A$200,"'!q",B206),1)</f>
        <v>Кулаков И.Ю.</v>
      </c>
      <c r="U206" s="1" cm="1">
        <f t="array" aca="1" ref="U206" ca="1">INDIRECT(CONCATENATE("'",$A$200,"'!r",B206),1)</f>
        <v>13.6</v>
      </c>
      <c r="V206" s="1" t="str" cm="1">
        <f t="array" aca="1" ref="V206" ca="1">INDIRECT(CONCATENATE("'",$A$200,"'!s",B206),1)</f>
        <v>Архипова Г.А.</v>
      </c>
      <c r="W206" s="1" cm="1">
        <f t="array" aca="1" ref="W206" ca="1">INDIRECT(CONCATENATE("'",$A$200,"'!t",B206),1)</f>
        <v>4</v>
      </c>
      <c r="X206" s="1" cm="1">
        <f t="array" aca="1" ref="X206" ca="1">INDIRECT(CONCATENATE("'",$A$200,"'!u",B206),1)</f>
        <v>0</v>
      </c>
      <c r="Y206" s="1" cm="1">
        <f t="array" aca="1" ref="Y206" ca="1">INDIRECT(CONCATENATE("'",$A$200,"'!v",B206),1)</f>
        <v>0</v>
      </c>
    </row>
    <row r="207" spans="1:25" customFormat="1" hidden="1" x14ac:dyDescent="0.25">
      <c r="A207" s="15"/>
      <c r="B207" s="24">
        <f t="shared" si="17"/>
        <v>9</v>
      </c>
      <c r="C207" s="1" cm="1">
        <f t="array" aca="1" ref="C207" ca="1">INDIRECT(CONCATENATE("'",$A$200,"'!A",B207),1)</f>
        <v>0</v>
      </c>
      <c r="D207" s="1" cm="1">
        <f t="array" aca="1" ref="D207" ca="1">INDIRECT(CONCATENATE("'",$A$200,"'!B",B207),1)</f>
        <v>0</v>
      </c>
      <c r="E207" s="1" cm="1">
        <f t="array" aca="1" ref="E207" ca="1">INDIRECT(CONCATENATE("'",$A$200,"'!c",B207),1)</f>
        <v>0</v>
      </c>
      <c r="F207" s="1" cm="1">
        <f t="array" aca="1" ref="F207" ca="1">INDIRECT(CONCATENATE("'",$A$200,"'!d",B207),1)</f>
        <v>0</v>
      </c>
      <c r="G207" s="1" cm="1">
        <f t="array" aca="1" ref="G207" ca="1">INDIRECT(CONCATENATE("'",$A$200,"'!e",B207),1)</f>
        <v>0</v>
      </c>
      <c r="H207" s="1" cm="1">
        <f t="array" aca="1" ref="H207" ca="1">INDIRECT(CONCATENATE("'",$A$200,"'!f",B207),1)</f>
        <v>0</v>
      </c>
      <c r="I207" s="1" cm="1">
        <f t="array" aca="1" ref="I207" ca="1">INDIRECT(CONCATENATE("'",$A$200,"'!g",B207),1)</f>
        <v>0</v>
      </c>
      <c r="J207" s="1" cm="1">
        <f t="array" aca="1" ref="J207" ca="1">INDIRECT(CONCATENATE("'",$A$200,"'!h",B207),1)</f>
        <v>0</v>
      </c>
      <c r="K207" s="1" cm="1">
        <f t="array" aca="1" ref="K207" ca="1">INDIRECT(CONCATENATE("'",$A$200,"'!i",B207),1)</f>
        <v>0</v>
      </c>
      <c r="L207" s="1" cm="1">
        <f t="array" aca="1" ref="L207" ca="1">INDIRECT(CONCATENATE("'",$A$200,"'!j",B207),1)</f>
        <v>0</v>
      </c>
      <c r="M207" s="1" cm="1">
        <f t="array" aca="1" ref="M207" ca="1">INDIRECT(CONCATENATE("'",$A$200,"'!k",B207),1)</f>
        <v>0</v>
      </c>
      <c r="N207" s="1" t="str" cm="1">
        <f t="array" aca="1" ref="N207" ca="1">INDIRECT(CONCATENATE("'",$A$200,"'!l",B207),1)</f>
        <v/>
      </c>
      <c r="O207" s="1" cm="1">
        <f t="array" aca="1" ref="O207" ca="1">INDIRECT(CONCATENATE("'",$A$200,"'!m",B207),1)</f>
        <v>0</v>
      </c>
      <c r="P207" s="1" cm="1">
        <f t="array" aca="1" ref="P207" ca="1">INDIRECT(CONCATENATE("'",$A$200,"'!n",B207),1)</f>
        <v>0</v>
      </c>
      <c r="Q207" s="1" cm="1">
        <f t="array" aca="1" ref="Q207" ca="1">INDIRECT(CONCATENATE("'",$A$200,"'!o",B207),1)</f>
        <v>0</v>
      </c>
      <c r="R207" s="1" cm="1">
        <f t="array" aca="1" ref="R207" ca="1">INDIRECT(CONCATENATE("'",$A$200,"'!p",B207),1)</f>
        <v>0</v>
      </c>
      <c r="S207" s="1">
        <f t="shared" ca="1" si="16"/>
        <v>0</v>
      </c>
      <c r="T207" s="1" cm="1">
        <f t="array" aca="1" ref="T207" ca="1">INDIRECT(CONCATENATE("'",$A$200,"'!q",B207),1)</f>
        <v>0</v>
      </c>
      <c r="U207" s="1" cm="1">
        <f t="array" aca="1" ref="U207" ca="1">INDIRECT(CONCATENATE("'",$A$200,"'!r",B207),1)</f>
        <v>0</v>
      </c>
      <c r="V207" s="1" cm="1">
        <f t="array" aca="1" ref="V207" ca="1">INDIRECT(CONCATENATE("'",$A$200,"'!s",B207),1)</f>
        <v>0</v>
      </c>
      <c r="W207" s="1" cm="1">
        <f t="array" aca="1" ref="W207" ca="1">INDIRECT(CONCATENATE("'",$A$200,"'!t",B207),1)</f>
        <v>0</v>
      </c>
      <c r="X207" s="1" cm="1">
        <f t="array" aca="1" ref="X207" ca="1">INDIRECT(CONCATENATE("'",$A$200,"'!u",B207),1)</f>
        <v>0</v>
      </c>
      <c r="Y207" s="1" cm="1">
        <f t="array" aca="1" ref="Y207" ca="1">INDIRECT(CONCATENATE("'",$A$200,"'!v",B207),1)</f>
        <v>0</v>
      </c>
    </row>
    <row r="208" spans="1:25" customFormat="1" ht="22.5" hidden="1" x14ac:dyDescent="0.25">
      <c r="A208" s="15"/>
      <c r="B208" s="24">
        <f t="shared" si="17"/>
        <v>10</v>
      </c>
      <c r="C208" s="1" t="str" cm="1">
        <f t="array" aca="1" ref="C208" ca="1">INDIRECT(CONCATENATE("'",$A$200,"'!A",B208),1)</f>
        <v>Сетевые технологии больших данных</v>
      </c>
      <c r="D208" s="1" t="str" cm="1">
        <f t="array" aca="1" ref="D208" ca="1">INDIRECT(CONCATENATE("'",$A$200,"'!B",B208),1)</f>
        <v xml:space="preserve">09.04.01(09) </v>
      </c>
      <c r="E208" s="1" cm="1">
        <f t="array" aca="1" ref="E208" ca="1">INDIRECT(CONCATENATE("'",$A$200,"'!c",B208),1)</f>
        <v>5096</v>
      </c>
      <c r="F208" s="1" cm="1">
        <f t="array" aca="1" ref="F208" ca="1">INDIRECT(CONCATENATE("'",$A$200,"'!d",B208),1)</f>
        <v>2</v>
      </c>
      <c r="G208" s="1" cm="1">
        <f t="array" aca="1" ref="G208" ca="1">INDIRECT(CONCATENATE("'",$A$200,"'!e",B208),1)</f>
        <v>1</v>
      </c>
      <c r="H208" s="1" cm="1">
        <f t="array" aca="1" ref="H208" ca="1">INDIRECT(CONCATENATE("'",$A$200,"'!f",B208),1)</f>
        <v>11</v>
      </c>
      <c r="I208" s="1" t="str" cm="1">
        <f t="array" aca="1" ref="I208" ca="1">INDIRECT(CONCATENATE("'",$A$200,"'!g",B208),1)</f>
        <v>ЭКЗ</v>
      </c>
      <c r="J208" s="1" cm="1">
        <f t="array" aca="1" ref="J208" ca="1">INDIRECT(CONCATENATE("'",$A$200,"'!h",B208),1)</f>
        <v>4</v>
      </c>
      <c r="K208" s="1" cm="1">
        <f t="array" aca="1" ref="K208" ca="1">INDIRECT(CONCATENATE("'",$A$200,"'!i",B208),1)</f>
        <v>9</v>
      </c>
      <c r="L208" s="1" cm="1">
        <f t="array" aca="1" ref="L208" ca="1">INDIRECT(CONCATENATE("'",$A$200,"'!j",B208),1)</f>
        <v>36</v>
      </c>
      <c r="M208" s="1" cm="1">
        <f t="array" aca="1" ref="M208" ca="1">INDIRECT(CONCATENATE("'",$A$200,"'!k",B208),1)</f>
        <v>0</v>
      </c>
      <c r="N208" s="1" t="str" cm="1">
        <f t="array" aca="1" ref="N208" ca="1">INDIRECT(CONCATENATE("'",$A$200,"'!l",B208),1)</f>
        <v>Журавлева М.П.</v>
      </c>
      <c r="O208" s="1" cm="1">
        <f t="array" aca="1" ref="O208" ca="1">INDIRECT(CONCATENATE("'",$A$200,"'!m",B208),1)</f>
        <v>2309</v>
      </c>
      <c r="P208" s="1" t="str" cm="1">
        <f t="array" aca="1" ref="P208" ca="1">INDIRECT(CONCATENATE("'",$A$200,"'!n",B208),1)</f>
        <v>лр *1пп</v>
      </c>
      <c r="Q208" s="1" cm="1">
        <f t="array" aca="1" ref="Q208" ca="1">INDIRECT(CONCATENATE("'",$A$200,"'!o",B208),1)</f>
        <v>9.9</v>
      </c>
      <c r="R208" s="1" cm="1">
        <f t="array" aca="1" ref="R208" ca="1">INDIRECT(CONCATENATE("'",$A$200,"'!p",B208),1)</f>
        <v>6.6</v>
      </c>
      <c r="S208" s="1">
        <f t="shared" ca="1" si="16"/>
        <v>0</v>
      </c>
      <c r="T208" s="1" t="str" cm="1">
        <f t="array" aca="1" ref="T208" ca="1">INDIRECT(CONCATENATE("'",$A$200,"'!q",B208),1)</f>
        <v>Журавлева М.П.</v>
      </c>
      <c r="U208" s="1" cm="1">
        <f t="array" aca="1" ref="U208" ca="1">INDIRECT(CONCATENATE("'",$A$200,"'!r",B208),1)</f>
        <v>61.5</v>
      </c>
      <c r="V208" s="1" cm="1">
        <f t="array" aca="1" ref="V208" ca="1">INDIRECT(CONCATENATE("'",$A$200,"'!s",B208),1)</f>
        <v>0</v>
      </c>
      <c r="W208" s="1" cm="1">
        <f t="array" aca="1" ref="W208" ca="1">INDIRECT(CONCATENATE("'",$A$200,"'!t",B208),1)</f>
        <v>0</v>
      </c>
      <c r="X208" s="1" cm="1">
        <f t="array" aca="1" ref="X208" ca="1">INDIRECT(CONCATENATE("'",$A$200,"'!u",B208),1)</f>
        <v>0</v>
      </c>
      <c r="Y208" s="1" cm="1">
        <f t="array" aca="1" ref="Y208" ca="1">INDIRECT(CONCATENATE("'",$A$200,"'!v",B208),1)</f>
        <v>0</v>
      </c>
    </row>
    <row r="209" spans="1:25" customFormat="1" ht="22.5" hidden="1" x14ac:dyDescent="0.25">
      <c r="A209" s="15"/>
      <c r="B209" s="24">
        <f t="shared" si="17"/>
        <v>11</v>
      </c>
      <c r="C209" s="1" t="str" cm="1">
        <f t="array" aca="1" ref="C209" ca="1">INDIRECT(CONCATENATE("'",$A$200,"'!A",B209),1)</f>
        <v>Методы и технологии анализа текстов</v>
      </c>
      <c r="D209" s="1" t="str" cm="1">
        <f t="array" aca="1" ref="D209" ca="1">INDIRECT(CONCATENATE("'",$A$200,"'!B",B209),1)</f>
        <v xml:space="preserve">09.04.01(09) </v>
      </c>
      <c r="E209" s="1" cm="1">
        <f t="array" aca="1" ref="E209" ca="1">INDIRECT(CONCATENATE("'",$A$200,"'!c",B209),1)</f>
        <v>5096</v>
      </c>
      <c r="F209" s="1" cm="1">
        <f t="array" aca="1" ref="F209" ca="1">INDIRECT(CONCATENATE("'",$A$200,"'!d",B209),1)</f>
        <v>2</v>
      </c>
      <c r="G209" s="1" cm="1">
        <f t="array" aca="1" ref="G209" ca="1">INDIRECT(CONCATENATE("'",$A$200,"'!e",B209),1)</f>
        <v>1</v>
      </c>
      <c r="H209" s="1" cm="1">
        <f t="array" aca="1" ref="H209" ca="1">INDIRECT(CONCATENATE("'",$A$200,"'!f",B209),1)</f>
        <v>11</v>
      </c>
      <c r="I209" s="1" t="str" cm="1">
        <f t="array" aca="1" ref="I209" ca="1">INDIRECT(CONCATENATE("'",$A$200,"'!g",B209),1)</f>
        <v>ЭКЗ</v>
      </c>
      <c r="J209" s="1" cm="1">
        <f t="array" aca="1" ref="J209" ca="1">INDIRECT(CONCATENATE("'",$A$200,"'!h",B209),1)</f>
        <v>4</v>
      </c>
      <c r="K209" s="1" cm="1">
        <f t="array" aca="1" ref="K209" ca="1">INDIRECT(CONCATENATE("'",$A$200,"'!i",B209),1)</f>
        <v>9</v>
      </c>
      <c r="L209" s="1" cm="1">
        <f t="array" aca="1" ref="L209" ca="1">INDIRECT(CONCATENATE("'",$A$200,"'!j",B209),1)</f>
        <v>36</v>
      </c>
      <c r="M209" s="1" cm="1">
        <f t="array" aca="1" ref="M209" ca="1">INDIRECT(CONCATENATE("'",$A$200,"'!k",B209),1)</f>
        <v>0</v>
      </c>
      <c r="N209" s="1" t="str" cm="1">
        <f t="array" aca="1" ref="N209" ca="1">INDIRECT(CONCATENATE("'",$A$200,"'!l",B209),1)</f>
        <v/>
      </c>
      <c r="O209" s="1" cm="1">
        <f t="array" aca="1" ref="O209" ca="1">INDIRECT(CONCATENATE("'",$A$200,"'!m",B209),1)</f>
        <v>2309</v>
      </c>
      <c r="P209" s="1" t="str" cm="1">
        <f t="array" aca="1" ref="P209" ca="1">INDIRECT(CONCATENATE("'",$A$200,"'!n",B209),1)</f>
        <v>лр *1пп</v>
      </c>
      <c r="Q209" s="1" cm="1">
        <f t="array" aca="1" ref="Q209" ca="1">INDIRECT(CONCATENATE("'",$A$200,"'!o",B209),1)</f>
        <v>9.9</v>
      </c>
      <c r="R209" s="1" cm="1">
        <f t="array" aca="1" ref="R209" ca="1">INDIRECT(CONCATENATE("'",$A$200,"'!p",B209),1)</f>
        <v>6.6</v>
      </c>
      <c r="S209" s="1">
        <f t="shared" ca="1" si="16"/>
        <v>0</v>
      </c>
      <c r="T209" s="1" cm="1">
        <f t="array" aca="1" ref="T209" ca="1">INDIRECT(CONCATENATE("'",$A$200,"'!q",B209),1)</f>
        <v>0</v>
      </c>
      <c r="U209" s="1" cm="1">
        <f t="array" aca="1" ref="U209" ca="1">INDIRECT(CONCATENATE("'",$A$200,"'!r",B209),1)</f>
        <v>61.5</v>
      </c>
      <c r="V209" s="1" cm="1">
        <f t="array" aca="1" ref="V209" ca="1">INDIRECT(CONCATENATE("'",$A$200,"'!s",B209),1)</f>
        <v>0</v>
      </c>
      <c r="W209" s="1" cm="1">
        <f t="array" aca="1" ref="W209" ca="1">INDIRECT(CONCATENATE("'",$A$200,"'!t",B209),1)</f>
        <v>0</v>
      </c>
      <c r="X209" s="1" cm="1">
        <f t="array" aca="1" ref="X209" ca="1">INDIRECT(CONCATENATE("'",$A$200,"'!u",B209),1)</f>
        <v>0</v>
      </c>
      <c r="Y209" s="1" cm="1">
        <f t="array" aca="1" ref="Y209" ca="1">INDIRECT(CONCATENATE("'",$A$200,"'!v",B209),1)</f>
        <v>0</v>
      </c>
    </row>
    <row r="210" spans="1:25" customFormat="1" ht="22.5" hidden="1" x14ac:dyDescent="0.25">
      <c r="A210" s="15"/>
      <c r="B210" s="24">
        <f t="shared" si="17"/>
        <v>12</v>
      </c>
      <c r="C210" s="1" t="str" cm="1">
        <f t="array" aca="1" ref="C210" ca="1">INDIRECT(CONCATENATE("'",$A$200,"'!A",B210),1)</f>
        <v>Сетевые технологии больших данных</v>
      </c>
      <c r="D210" s="1" t="str" cm="1">
        <f t="array" aca="1" ref="D210" ca="1">INDIRECT(CONCATENATE("'",$A$200,"'!B",B210),1)</f>
        <v xml:space="preserve">09.04.01(09) </v>
      </c>
      <c r="E210" s="1" cm="1">
        <f t="array" aca="1" ref="E210" ca="1">INDIRECT(CONCATENATE("'",$A$200,"'!c",B210),1)</f>
        <v>5095</v>
      </c>
      <c r="F210" s="1" cm="1">
        <f t="array" aca="1" ref="F210" ca="1">INDIRECT(CONCATENATE("'",$A$200,"'!d",B210),1)</f>
        <v>2</v>
      </c>
      <c r="G210" s="1" cm="1">
        <f t="array" aca="1" ref="G210" ca="1">INDIRECT(CONCATENATE("'",$A$200,"'!e",B210),1)</f>
        <v>1</v>
      </c>
      <c r="H210" s="1" cm="1">
        <f t="array" aca="1" ref="H210" ca="1">INDIRECT(CONCATENATE("'",$A$200,"'!f",B210),1)</f>
        <v>11</v>
      </c>
      <c r="I210" s="1" t="str" cm="1">
        <f t="array" aca="1" ref="I210" ca="1">INDIRECT(CONCATENATE("'",$A$200,"'!g",B210),1)</f>
        <v>ЭКЗ</v>
      </c>
      <c r="J210" s="1" cm="1">
        <f t="array" aca="1" ref="J210" ca="1">INDIRECT(CONCATENATE("'",$A$200,"'!h",B210),1)</f>
        <v>4</v>
      </c>
      <c r="K210" s="1" cm="1">
        <f t="array" aca="1" ref="K210" ca="1">INDIRECT(CONCATENATE("'",$A$200,"'!i",B210),1)</f>
        <v>9</v>
      </c>
      <c r="L210" s="1" cm="1">
        <f t="array" aca="1" ref="L210" ca="1">INDIRECT(CONCATENATE("'",$A$200,"'!j",B210),1)</f>
        <v>0</v>
      </c>
      <c r="M210" s="1" cm="1">
        <f t="array" aca="1" ref="M210" ca="1">INDIRECT(CONCATENATE("'",$A$200,"'!k",B210),1)</f>
        <v>18</v>
      </c>
      <c r="N210" s="1" t="str" cm="1">
        <f t="array" aca="1" ref="N210" ca="1">INDIRECT(CONCATENATE("'",$A$200,"'!l",B210),1)</f>
        <v>Журавлева М.П.</v>
      </c>
      <c r="O210" s="1" cm="1">
        <f t="array" aca="1" ref="O210" ca="1">INDIRECT(CONCATENATE("'",$A$200,"'!m",B210),1)</f>
        <v>2309</v>
      </c>
      <c r="P210" s="1" t="str" cm="1">
        <f t="array" aca="1" ref="P210" ca="1">INDIRECT(CONCATENATE("'",$A$200,"'!n",B210),1)</f>
        <v>лр *1пп</v>
      </c>
      <c r="Q210" s="1" cm="1">
        <f t="array" aca="1" ref="Q210" ca="1">INDIRECT(CONCATENATE("'",$A$200,"'!o",B210),1)</f>
        <v>6.6</v>
      </c>
      <c r="R210" s="1" cm="1">
        <f t="array" aca="1" ref="R210" ca="1">INDIRECT(CONCATENATE("'",$A$200,"'!p",B210),1)</f>
        <v>4.4000000000000004</v>
      </c>
      <c r="S210" s="1">
        <f t="shared" ca="1" si="16"/>
        <v>0</v>
      </c>
      <c r="T210" s="1" t="str" cm="1">
        <f t="array" aca="1" ref="T210" ca="1">INDIRECT(CONCATENATE("'",$A$200,"'!q",B210),1)</f>
        <v>Журавлева М.П.</v>
      </c>
      <c r="U210" s="1" cm="1">
        <f t="array" aca="1" ref="U210" ca="1">INDIRECT(CONCATENATE("'",$A$200,"'!r",B210),1)</f>
        <v>38</v>
      </c>
      <c r="V210" s="1" cm="1">
        <f t="array" aca="1" ref="V210" ca="1">INDIRECT(CONCATENATE("'",$A$200,"'!s",B210),1)</f>
        <v>0</v>
      </c>
      <c r="W210" s="1" cm="1">
        <f t="array" aca="1" ref="W210" ca="1">INDIRECT(CONCATENATE("'",$A$200,"'!t",B210),1)</f>
        <v>0</v>
      </c>
      <c r="X210" s="1" cm="1">
        <f t="array" aca="1" ref="X210" ca="1">INDIRECT(CONCATENATE("'",$A$200,"'!u",B210),1)</f>
        <v>0</v>
      </c>
      <c r="Y210" s="1" cm="1">
        <f t="array" aca="1" ref="Y210" ca="1">INDIRECT(CONCATENATE("'",$A$200,"'!v",B210),1)</f>
        <v>0</v>
      </c>
    </row>
    <row r="211" spans="1:25" customFormat="1" ht="33.75" hidden="1" x14ac:dyDescent="0.25">
      <c r="A211" s="15"/>
      <c r="B211" s="24">
        <f t="shared" si="17"/>
        <v>13</v>
      </c>
      <c r="C211" s="1" t="str" cm="1">
        <f t="array" aca="1" ref="C211" ca="1">INDIRECT(CONCATENATE("'",$A$200,"'!A",B211),1)</f>
        <v>ИИ. Машинное обечение и анализ данных</v>
      </c>
      <c r="D211" s="1" t="str" cm="1">
        <f t="array" aca="1" ref="D211" ca="1">INDIRECT(CONCATENATE("'",$A$200,"'!B",B211),1)</f>
        <v xml:space="preserve">09.04.01(09) </v>
      </c>
      <c r="E211" s="1" cm="1">
        <f t="array" aca="1" ref="E211" ca="1">INDIRECT(CONCATENATE("'",$A$200,"'!c",B211),1)</f>
        <v>5095</v>
      </c>
      <c r="F211" s="1" cm="1">
        <f t="array" aca="1" ref="F211" ca="1">INDIRECT(CONCATENATE("'",$A$200,"'!d",B211),1)</f>
        <v>2</v>
      </c>
      <c r="G211" s="1" cm="1">
        <f t="array" aca="1" ref="G211" ca="1">INDIRECT(CONCATENATE("'",$A$200,"'!e",B211),1)</f>
        <v>1</v>
      </c>
      <c r="H211" s="1" cm="1">
        <f t="array" aca="1" ref="H211" ca="1">INDIRECT(CONCATENATE("'",$A$200,"'!f",B211),1)</f>
        <v>11</v>
      </c>
      <c r="I211" s="1" t="str" cm="1">
        <f t="array" aca="1" ref="I211" ca="1">INDIRECT(CONCATENATE("'",$A$200,"'!g",B211),1)</f>
        <v>ЭКЗ</v>
      </c>
      <c r="J211" s="1" cm="1">
        <f t="array" aca="1" ref="J211" ca="1">INDIRECT(CONCATENATE("'",$A$200,"'!h",B211),1)</f>
        <v>6</v>
      </c>
      <c r="K211" s="1" cm="1">
        <f t="array" aca="1" ref="K211" ca="1">INDIRECT(CONCATENATE("'",$A$200,"'!i",B211),1)</f>
        <v>18</v>
      </c>
      <c r="L211" s="1" cm="1">
        <f t="array" aca="1" ref="L211" ca="1">INDIRECT(CONCATENATE("'",$A$200,"'!j",B211),1)</f>
        <v>0</v>
      </c>
      <c r="M211" s="1" cm="1">
        <f t="array" aca="1" ref="M211" ca="1">INDIRECT(CONCATENATE("'",$A$200,"'!k",B211),1)</f>
        <v>27</v>
      </c>
      <c r="N211" s="1" t="str" cm="1">
        <f t="array" aca="1" ref="N211" ca="1">INDIRECT(CONCATENATE("'",$A$200,"'!l",B211),1)</f>
        <v>Телина И.С.</v>
      </c>
      <c r="O211" s="1" cm="1">
        <f t="array" aca="1" ref="O211" ca="1">INDIRECT(CONCATENATE("'",$A$200,"'!m",B211),1)</f>
        <v>0</v>
      </c>
      <c r="P211" s="1" cm="1">
        <f t="array" aca="1" ref="P211" ca="1">INDIRECT(CONCATENATE("'",$A$200,"'!n",B211),1)</f>
        <v>0</v>
      </c>
      <c r="Q211" s="1" cm="1">
        <f t="array" aca="1" ref="Q211" ca="1">INDIRECT(CONCATENATE("'",$A$200,"'!o",B211),1)</f>
        <v>9.9</v>
      </c>
      <c r="R211" s="1" cm="1">
        <f t="array" aca="1" ref="R211" ca="1">INDIRECT(CONCATENATE("'",$A$200,"'!p",B211),1)</f>
        <v>6.6</v>
      </c>
      <c r="S211" s="1">
        <f t="shared" ca="1" si="16"/>
        <v>0</v>
      </c>
      <c r="T211" s="1" t="str" cm="1">
        <f t="array" aca="1" ref="T211" ca="1">INDIRECT(CONCATENATE("'",$A$200,"'!q",B211),1)</f>
        <v>Телина И.С.</v>
      </c>
      <c r="U211" s="1" cm="1">
        <f t="array" aca="1" ref="U211" ca="1">INDIRECT(CONCATENATE("'",$A$200,"'!r",B211),1)</f>
        <v>61.5</v>
      </c>
      <c r="V211" s="1" cm="1">
        <f t="array" aca="1" ref="V211" ca="1">INDIRECT(CONCATENATE("'",$A$200,"'!s",B211),1)</f>
        <v>0</v>
      </c>
      <c r="W211" s="1" cm="1">
        <f t="array" aca="1" ref="W211" ca="1">INDIRECT(CONCATENATE("'",$A$200,"'!t",B211),1)</f>
        <v>0</v>
      </c>
      <c r="X211" s="1" cm="1">
        <f t="array" aca="1" ref="X211" ca="1">INDIRECT(CONCATENATE("'",$A$200,"'!u",B211),1)</f>
        <v>0</v>
      </c>
      <c r="Y211" s="1" cm="1">
        <f t="array" aca="1" ref="Y211" ca="1">INDIRECT(CONCATENATE("'",$A$200,"'!v",B211),1)</f>
        <v>0</v>
      </c>
    </row>
    <row r="212" spans="1:25" customFormat="1" ht="33.75" hidden="1" x14ac:dyDescent="0.25">
      <c r="A212" s="15"/>
      <c r="B212" s="24">
        <f t="shared" si="17"/>
        <v>14</v>
      </c>
      <c r="C212" s="1" t="str" cm="1">
        <f t="array" aca="1" ref="C212" ca="1">INDIRECT(CONCATENATE("'",$A$200,"'!A",B212),1)</f>
        <v>ИИ. Машинное обечение и анализ данных</v>
      </c>
      <c r="D212" s="1" t="str" cm="1">
        <f t="array" aca="1" ref="D212" ca="1">INDIRECT(CONCATENATE("'",$A$200,"'!B",B212),1)</f>
        <v xml:space="preserve">09.04.01(09) </v>
      </c>
      <c r="E212" s="1" cm="1">
        <f t="array" aca="1" ref="E212" ca="1">INDIRECT(CONCATENATE("'",$A$200,"'!c",B212),1)</f>
        <v>5095</v>
      </c>
      <c r="F212" s="1" cm="1">
        <f t="array" aca="1" ref="F212" ca="1">INDIRECT(CONCATENATE("'",$A$200,"'!d",B212),1)</f>
        <v>2</v>
      </c>
      <c r="G212" s="1" cm="1">
        <f t="array" aca="1" ref="G212" ca="1">INDIRECT(CONCATENATE("'",$A$200,"'!e",B212),1)</f>
        <v>1</v>
      </c>
      <c r="H212" s="1" cm="1">
        <f t="array" aca="1" ref="H212" ca="1">INDIRECT(CONCATENATE("'",$A$200,"'!f",B212),1)</f>
        <v>11</v>
      </c>
      <c r="I212" s="1" t="str" cm="1">
        <f t="array" aca="1" ref="I212" ca="1">INDIRECT(CONCATENATE("'",$A$200,"'!g",B212),1)</f>
        <v>КР</v>
      </c>
      <c r="J212" s="1" cm="1">
        <f t="array" aca="1" ref="J212" ca="1">INDIRECT(CONCATENATE("'",$A$200,"'!h",B212),1)</f>
        <v>1</v>
      </c>
      <c r="K212" s="1" cm="1">
        <f t="array" aca="1" ref="K212" ca="1">INDIRECT(CONCATENATE("'",$A$200,"'!i",B212),1)</f>
        <v>0</v>
      </c>
      <c r="L212" s="1" cm="1">
        <f t="array" aca="1" ref="L212" ca="1">INDIRECT(CONCATENATE("'",$A$200,"'!j",B212),1)</f>
        <v>0</v>
      </c>
      <c r="M212" s="1" cm="1">
        <f t="array" aca="1" ref="M212" ca="1">INDIRECT(CONCATENATE("'",$A$200,"'!k",B212),1)</f>
        <v>0</v>
      </c>
      <c r="N212" s="1" t="str" cm="1">
        <f t="array" aca="1" ref="N212" ca="1">INDIRECT(CONCATENATE("'",$A$200,"'!l",B212),1)</f>
        <v>Телина И.С.</v>
      </c>
      <c r="O212" s="1" cm="1">
        <f t="array" aca="1" ref="O212" ca="1">INDIRECT(CONCATENATE("'",$A$200,"'!m",B212),1)</f>
        <v>3312.3314999999998</v>
      </c>
      <c r="P212" s="1" t="str" cm="1">
        <f t="array" aca="1" ref="P212" ca="1">INDIRECT(CONCATENATE("'",$A$200,"'!n",B212),1)</f>
        <v>курсовой проект</v>
      </c>
      <c r="Q212" s="1" cm="1">
        <f t="array" aca="1" ref="Q212" ca="1">INDIRECT(CONCATENATE("'",$A$200,"'!o",B212),1)</f>
        <v>16.5</v>
      </c>
      <c r="R212" s="1" cm="1">
        <f t="array" aca="1" ref="R212" ca="1">INDIRECT(CONCATENATE("'",$A$200,"'!p",B212),1)</f>
        <v>0</v>
      </c>
      <c r="S212" s="1">
        <f t="shared" ca="1" si="16"/>
        <v>0</v>
      </c>
      <c r="T212" s="1" t="str" cm="1">
        <f t="array" aca="1" ref="T212" ca="1">INDIRECT(CONCATENATE("'",$A$200,"'!q",B212),1)</f>
        <v>Телина И.С.</v>
      </c>
      <c r="U212" s="1" cm="1">
        <f t="array" aca="1" ref="U212" ca="1">INDIRECT(CONCATENATE("'",$A$200,"'!r",B212),1)</f>
        <v>16.5</v>
      </c>
      <c r="V212" s="1" cm="1">
        <f t="array" aca="1" ref="V212" ca="1">INDIRECT(CONCATENATE("'",$A$200,"'!s",B212),1)</f>
        <v>0</v>
      </c>
      <c r="W212" s="1" cm="1">
        <f t="array" aca="1" ref="W212" ca="1">INDIRECT(CONCATENATE("'",$A$200,"'!t",B212),1)</f>
        <v>0</v>
      </c>
      <c r="X212" s="1" cm="1">
        <f t="array" aca="1" ref="X212" ca="1">INDIRECT(CONCATENATE("'",$A$200,"'!u",B212),1)</f>
        <v>0</v>
      </c>
      <c r="Y212" s="1" cm="1">
        <f t="array" aca="1" ref="Y212" ca="1">INDIRECT(CONCATENATE("'",$A$200,"'!v",B212),1)</f>
        <v>0</v>
      </c>
    </row>
    <row r="213" spans="1:25" customFormat="1" ht="22.5" hidden="1" x14ac:dyDescent="0.25">
      <c r="A213" s="15"/>
      <c r="B213" s="24">
        <f t="shared" si="17"/>
        <v>15</v>
      </c>
      <c r="C213" s="1" t="str" cm="1">
        <f t="array" aca="1" ref="C213" ca="1">INDIRECT(CONCATENATE("'",$A$200,"'!A",B213),1)</f>
        <v>Машинное обучение на больших данных</v>
      </c>
      <c r="D213" s="1" t="str" cm="1">
        <f t="array" aca="1" ref="D213" ca="1">INDIRECT(CONCATENATE("'",$A$200,"'!B",B213),1)</f>
        <v xml:space="preserve">09.04.01(09) </v>
      </c>
      <c r="E213" s="1" cm="1">
        <f t="array" aca="1" ref="E213" ca="1">INDIRECT(CONCATENATE("'",$A$200,"'!c",B213),1)</f>
        <v>5096</v>
      </c>
      <c r="F213" s="1" cm="1">
        <f t="array" aca="1" ref="F213" ca="1">INDIRECT(CONCATENATE("'",$A$200,"'!d",B213),1)</f>
        <v>2</v>
      </c>
      <c r="G213" s="1" cm="1">
        <f t="array" aca="1" ref="G213" ca="1">INDIRECT(CONCATENATE("'",$A$200,"'!e",B213),1)</f>
        <v>1</v>
      </c>
      <c r="H213" s="1" cm="1">
        <f t="array" aca="1" ref="H213" ca="1">INDIRECT(CONCATENATE("'",$A$200,"'!f",B213),1)</f>
        <v>11</v>
      </c>
      <c r="I213" s="1" t="str" cm="1">
        <f t="array" aca="1" ref="I213" ca="1">INDIRECT(CONCATENATE("'",$A$200,"'!g",B213),1)</f>
        <v>ЭКЗ</v>
      </c>
      <c r="J213" s="1" cm="1">
        <f t="array" aca="1" ref="J213" ca="1">INDIRECT(CONCATENATE("'",$A$200,"'!h",B213),1)</f>
        <v>6</v>
      </c>
      <c r="K213" s="1" cm="1">
        <f t="array" aca="1" ref="K213" ca="1">INDIRECT(CONCATENATE("'",$A$200,"'!i",B213),1)</f>
        <v>9</v>
      </c>
      <c r="L213" s="1" cm="1">
        <f t="array" aca="1" ref="L213" ca="1">INDIRECT(CONCATENATE("'",$A$200,"'!j",B213),1)</f>
        <v>45</v>
      </c>
      <c r="M213" s="1" cm="1">
        <f t="array" aca="1" ref="M213" ca="1">INDIRECT(CONCATENATE("'",$A$200,"'!k",B213),1)</f>
        <v>0</v>
      </c>
      <c r="N213" s="1" t="str" cm="1">
        <f t="array" aca="1" ref="N213" ca="1">INDIRECT(CONCATENATE("'",$A$200,"'!l",B213),1)</f>
        <v>Телина И.С.</v>
      </c>
      <c r="O213" s="1" cm="1">
        <f t="array" aca="1" ref="O213" ca="1">INDIRECT(CONCATENATE("'",$A$200,"'!m",B213),1)</f>
        <v>0</v>
      </c>
      <c r="P213" s="1" cm="1">
        <f t="array" aca="1" ref="P213" ca="1">INDIRECT(CONCATENATE("'",$A$200,"'!n",B213),1)</f>
        <v>0</v>
      </c>
      <c r="Q213" s="1" cm="1">
        <f t="array" aca="1" ref="Q213" ca="1">INDIRECT(CONCATENATE("'",$A$200,"'!o",B213),1)</f>
        <v>9.9</v>
      </c>
      <c r="R213" s="1" cm="1">
        <f t="array" aca="1" ref="R213" ca="1">INDIRECT(CONCATENATE("'",$A$200,"'!p",B213),1)</f>
        <v>0</v>
      </c>
      <c r="S213" s="1">
        <f t="shared" ca="1" si="16"/>
        <v>0</v>
      </c>
      <c r="T213" s="1" t="str" cm="1">
        <f t="array" aca="1" ref="T213" ca="1">INDIRECT(CONCATENATE("'",$A$200,"'!q",B213),1)</f>
        <v>Телина И.С.</v>
      </c>
      <c r="U213" s="1" cm="1">
        <f t="array" aca="1" ref="U213" ca="1">INDIRECT(CONCATENATE("'",$A$200,"'!r",B213),1)</f>
        <v>63.9</v>
      </c>
      <c r="V213" s="1" cm="1">
        <f t="array" aca="1" ref="V213" ca="1">INDIRECT(CONCATENATE("'",$A$200,"'!s",B213),1)</f>
        <v>0</v>
      </c>
      <c r="W213" s="1" cm="1">
        <f t="array" aca="1" ref="W213" ca="1">INDIRECT(CONCATENATE("'",$A$200,"'!t",B213),1)</f>
        <v>0</v>
      </c>
      <c r="X213" s="1" cm="1">
        <f t="array" aca="1" ref="X213" ca="1">INDIRECT(CONCATENATE("'",$A$200,"'!u",B213),1)</f>
        <v>0</v>
      </c>
      <c r="Y213" s="1" cm="1">
        <f t="array" aca="1" ref="Y213" ca="1">INDIRECT(CONCATENATE("'",$A$200,"'!v",B213),1)</f>
        <v>0</v>
      </c>
    </row>
    <row r="214" spans="1:25" customFormat="1" ht="56.25" hidden="1" x14ac:dyDescent="0.25">
      <c r="A214" s="15"/>
      <c r="B214" s="24">
        <f t="shared" si="17"/>
        <v>16</v>
      </c>
      <c r="C214" s="1" t="str" cm="1">
        <f t="array" aca="1" ref="C214" ca="1">INDIRECT(CONCATENATE("'",$A$200,"'!A",B214),1)</f>
        <v>Практика производственная: Научно-исследовательская работа</v>
      </c>
      <c r="D214" s="1" t="str" cm="1">
        <f t="array" aca="1" ref="D214" ca="1">INDIRECT(CONCATENATE("'",$A$200,"'!B",B214),1)</f>
        <v xml:space="preserve">09.04.01(09) </v>
      </c>
      <c r="E214" s="1" cm="1">
        <f t="array" aca="1" ref="E214" ca="1">INDIRECT(CONCATENATE("'",$A$200,"'!c",B214),1)</f>
        <v>5096</v>
      </c>
      <c r="F214" s="1" cm="1">
        <f t="array" aca="1" ref="F214" ca="1">INDIRECT(CONCATENATE("'",$A$200,"'!d",B214),1)</f>
        <v>2</v>
      </c>
      <c r="G214" s="1" cm="1">
        <f t="array" aca="1" ref="G214" ca="1">INDIRECT(CONCATENATE("'",$A$200,"'!e",B214),1)</f>
        <v>1</v>
      </c>
      <c r="H214" s="1" cm="1">
        <f t="array" aca="1" ref="H214" ca="1">INDIRECT(CONCATENATE("'",$A$200,"'!f",B214),1)</f>
        <v>11</v>
      </c>
      <c r="I214" s="1" t="str" cm="1">
        <f t="array" aca="1" ref="I214" ca="1">INDIRECT(CONCATENATE("'",$A$200,"'!g",B214),1)</f>
        <v>ДЗ</v>
      </c>
      <c r="J214" s="1" cm="1">
        <f t="array" aca="1" ref="J214" ca="1">INDIRECT(CONCATENATE("'",$A$200,"'!h",B214),1)</f>
        <v>1</v>
      </c>
      <c r="K214" s="1" cm="1">
        <f t="array" aca="1" ref="K214" ca="1">INDIRECT(CONCATENATE("'",$A$200,"'!i",B214),1)</f>
        <v>0</v>
      </c>
      <c r="L214" s="1" cm="1">
        <f t="array" aca="1" ref="L214" ca="1">INDIRECT(CONCATENATE("'",$A$200,"'!j",B214),1)</f>
        <v>2</v>
      </c>
      <c r="M214" s="1" cm="1">
        <f t="array" aca="1" ref="M214" ca="1">INDIRECT(CONCATENATE("'",$A$200,"'!k",B214),1)</f>
        <v>0</v>
      </c>
      <c r="N214" s="1" t="str" cm="1">
        <f t="array" aca="1" ref="N214" ca="1">INDIRECT(CONCATENATE("'",$A$200,"'!l",B214),1)</f>
        <v>Кулаков И.Ю.Архипова Г.А.</v>
      </c>
      <c r="O214" s="1" cm="1">
        <f t="array" aca="1" ref="O214" ca="1">INDIRECT(CONCATENATE("'",$A$200,"'!m",B214),1)</f>
        <v>3312</v>
      </c>
      <c r="P214" s="1" t="str" cm="1">
        <f t="array" aca="1" ref="P214" ca="1">INDIRECT(CONCATENATE("'",$A$200,"'!n",B214),1)</f>
        <v>консультации</v>
      </c>
      <c r="Q214" s="1" cm="1">
        <f t="array" aca="1" ref="Q214" ca="1">INDIRECT(CONCATENATE("'",$A$200,"'!o",B214),1)</f>
        <v>17.600000000000001</v>
      </c>
      <c r="R214" s="1" cm="1">
        <f t="array" aca="1" ref="R214" ca="1">INDIRECT(CONCATENATE("'",$A$200,"'!p",B214),1)</f>
        <v>0</v>
      </c>
      <c r="S214" s="1">
        <f t="shared" ca="1" si="16"/>
        <v>0</v>
      </c>
      <c r="T214" s="1" t="str" cm="1">
        <f t="array" aca="1" ref="T214" ca="1">INDIRECT(CONCATENATE("'",$A$200,"'!q",B214),1)</f>
        <v>Кулаков И.Ю.</v>
      </c>
      <c r="U214" s="1" cm="1">
        <f t="array" aca="1" ref="U214" ca="1">INDIRECT(CONCATENATE("'",$A$200,"'!r",B214),1)</f>
        <v>13.6</v>
      </c>
      <c r="V214" s="1" t="str" cm="1">
        <f t="array" aca="1" ref="V214" ca="1">INDIRECT(CONCATENATE("'",$A$200,"'!s",B214),1)</f>
        <v>Архипова Г.А.</v>
      </c>
      <c r="W214" s="1" cm="1">
        <f t="array" aca="1" ref="W214" ca="1">INDIRECT(CONCATENATE("'",$A$200,"'!t",B214),1)</f>
        <v>4</v>
      </c>
      <c r="X214" s="1" cm="1">
        <f t="array" aca="1" ref="X214" ca="1">INDIRECT(CONCATENATE("'",$A$200,"'!u",B214),1)</f>
        <v>0</v>
      </c>
      <c r="Y214" s="1" cm="1">
        <f t="array" aca="1" ref="Y214" ca="1">INDIRECT(CONCATENATE("'",$A$200,"'!v",B214),1)</f>
        <v>0</v>
      </c>
    </row>
    <row r="215" spans="1:25" customFormat="1" ht="45" hidden="1" x14ac:dyDescent="0.25">
      <c r="A215" s="15"/>
      <c r="B215" s="24">
        <f t="shared" si="17"/>
        <v>17</v>
      </c>
      <c r="C215" s="1" t="str" cm="1">
        <f t="array" aca="1" ref="C215" ca="1">INDIRECT(CONCATENATE("'",$A$200,"'!A",B215),1)</f>
        <v>Практика учебная: Практика проектно-технологическая</v>
      </c>
      <c r="D215" s="1" t="str" cm="1">
        <f t="array" aca="1" ref="D215" ca="1">INDIRECT(CONCATENATE("'",$A$200,"'!B",B215),1)</f>
        <v xml:space="preserve">09.04.01(09) </v>
      </c>
      <c r="E215" s="1" cm="1">
        <f t="array" aca="1" ref="E215" ca="1">INDIRECT(CONCATENATE("'",$A$200,"'!c",B215),1)</f>
        <v>5095</v>
      </c>
      <c r="F215" s="1" cm="1">
        <f t="array" aca="1" ref="F215" ca="1">INDIRECT(CONCATENATE("'",$A$200,"'!d",B215),1)</f>
        <v>2</v>
      </c>
      <c r="G215" s="1" cm="1">
        <f t="array" aca="1" ref="G215" ca="1">INDIRECT(CONCATENATE("'",$A$200,"'!e",B215),1)</f>
        <v>1</v>
      </c>
      <c r="H215" s="1" cm="1">
        <f t="array" aca="1" ref="H215" ca="1">INDIRECT(CONCATENATE("'",$A$200,"'!f",B215),1)</f>
        <v>11</v>
      </c>
      <c r="I215" s="1" t="str" cm="1">
        <f t="array" aca="1" ref="I215" ca="1">INDIRECT(CONCATENATE("'",$A$200,"'!g",B215),1)</f>
        <v>ДЗ</v>
      </c>
      <c r="J215" s="1" cm="1">
        <f t="array" aca="1" ref="J215" ca="1">INDIRECT(CONCATENATE("'",$A$200,"'!h",B215),1)</f>
        <v>1</v>
      </c>
      <c r="K215" s="1" cm="1">
        <f t="array" aca="1" ref="K215" ca="1">INDIRECT(CONCATENATE("'",$A$200,"'!i",B215),1)</f>
        <v>0</v>
      </c>
      <c r="L215" s="1" cm="1">
        <f t="array" aca="1" ref="L215" ca="1">INDIRECT(CONCATENATE("'",$A$200,"'!j",B215),1)</f>
        <v>2</v>
      </c>
      <c r="M215" s="1" cm="1">
        <f t="array" aca="1" ref="M215" ca="1">INDIRECT(CONCATENATE("'",$A$200,"'!k",B215),1)</f>
        <v>0</v>
      </c>
      <c r="N215" s="1" t="str" cm="1">
        <f t="array" aca="1" ref="N215" ca="1">INDIRECT(CONCATENATE("'",$A$200,"'!l",B215),1)</f>
        <v>Кулаков И.Ю.Архипова Г.А.</v>
      </c>
      <c r="O215" s="1" cm="1">
        <f t="array" aca="1" ref="O215" ca="1">INDIRECT(CONCATENATE("'",$A$200,"'!m",B215),1)</f>
        <v>3312</v>
      </c>
      <c r="P215" s="1" t="str" cm="1">
        <f t="array" aca="1" ref="P215" ca="1">INDIRECT(CONCATENATE("'",$A$200,"'!n",B215),1)</f>
        <v>консультации</v>
      </c>
      <c r="Q215" s="1" cm="1">
        <f t="array" aca="1" ref="Q215" ca="1">INDIRECT(CONCATENATE("'",$A$200,"'!o",B215),1)</f>
        <v>8.8000000000000007</v>
      </c>
      <c r="R215" s="1" cm="1">
        <f t="array" aca="1" ref="R215" ca="1">INDIRECT(CONCATENATE("'",$A$200,"'!p",B215),1)</f>
        <v>0</v>
      </c>
      <c r="S215" s="1">
        <f t="shared" ca="1" si="16"/>
        <v>0</v>
      </c>
      <c r="T215" s="1" t="str" cm="1">
        <f t="array" aca="1" ref="T215" ca="1">INDIRECT(CONCATENATE("'",$A$200,"'!q",B215),1)</f>
        <v>Кулаков И.Ю.</v>
      </c>
      <c r="U215" s="1" cm="1">
        <f t="array" aca="1" ref="U215" ca="1">INDIRECT(CONCATENATE("'",$A$200,"'!r",B215),1)</f>
        <v>6.8</v>
      </c>
      <c r="V215" s="1" t="str" cm="1">
        <f t="array" aca="1" ref="V215" ca="1">INDIRECT(CONCATENATE("'",$A$200,"'!s",B215),1)</f>
        <v>Архипова Г.А.</v>
      </c>
      <c r="W215" s="1" cm="1">
        <f t="array" aca="1" ref="W215" ca="1">INDIRECT(CONCATENATE("'",$A$200,"'!t",B215),1)</f>
        <v>2</v>
      </c>
      <c r="X215" s="1" cm="1">
        <f t="array" aca="1" ref="X215" ca="1">INDIRECT(CONCATENATE("'",$A$200,"'!u",B215),1)</f>
        <v>0</v>
      </c>
      <c r="Y215" s="1" cm="1">
        <f t="array" aca="1" ref="Y215" ca="1">INDIRECT(CONCATENATE("'",$A$200,"'!v",B215),1)</f>
        <v>0</v>
      </c>
    </row>
    <row r="216" spans="1:25" customFormat="1" ht="45" hidden="1" x14ac:dyDescent="0.25">
      <c r="A216" s="15"/>
      <c r="B216" s="24">
        <f t="shared" si="17"/>
        <v>18</v>
      </c>
      <c r="C216" s="1" t="str" cm="1">
        <f t="array" aca="1" ref="C216" ca="1">INDIRECT(CONCATENATE("'",$A$200,"'!A",B216),1)</f>
        <v>ИИ. Искусственный интеллект в программно-информационных системах</v>
      </c>
      <c r="D216" s="1" t="str" cm="1">
        <f t="array" aca="1" ref="D216" ca="1">INDIRECT(CONCATENATE("'",$A$200,"'!B",B216),1)</f>
        <v xml:space="preserve">09.04.01(09) </v>
      </c>
      <c r="E216" s="1" cm="1">
        <f t="array" aca="1" ref="E216" ca="1">INDIRECT(CONCATENATE("'",$A$200,"'!c",B216),1)</f>
        <v>5095</v>
      </c>
      <c r="F216" s="1" cm="1">
        <f t="array" aca="1" ref="F216" ca="1">INDIRECT(CONCATENATE("'",$A$200,"'!d",B216),1)</f>
        <v>2</v>
      </c>
      <c r="G216" s="1" cm="1">
        <f t="array" aca="1" ref="G216" ca="1">INDIRECT(CONCATENATE("'",$A$200,"'!e",B216),1)</f>
        <v>1</v>
      </c>
      <c r="H216" s="1" cm="1">
        <f t="array" aca="1" ref="H216" ca="1">INDIRECT(CONCATENATE("'",$A$200,"'!f",B216),1)</f>
        <v>11</v>
      </c>
      <c r="I216" s="1" t="str" cm="1">
        <f t="array" aca="1" ref="I216" ca="1">INDIRECT(CONCATENATE("'",$A$200,"'!g",B216),1)</f>
        <v>ЗАЧ</v>
      </c>
      <c r="J216" s="1" cm="1">
        <f t="array" aca="1" ref="J216" ca="1">INDIRECT(CONCATENATE("'",$A$200,"'!h",B216),1)</f>
        <v>2</v>
      </c>
      <c r="K216" s="1" cm="1">
        <f t="array" aca="1" ref="K216" ca="1">INDIRECT(CONCATENATE("'",$A$200,"'!i",B216),1)</f>
        <v>9</v>
      </c>
      <c r="L216" s="1" cm="1">
        <f t="array" aca="1" ref="L216" ca="1">INDIRECT(CONCATENATE("'",$A$200,"'!j",B216),1)</f>
        <v>0</v>
      </c>
      <c r="M216" s="1" cm="1">
        <f t="array" aca="1" ref="M216" ca="1">INDIRECT(CONCATENATE("'",$A$200,"'!k",B216),1)</f>
        <v>9</v>
      </c>
      <c r="N216" s="1" t="str" cm="1">
        <f t="array" aca="1" ref="N216" ca="1">INDIRECT(CONCATENATE("'",$A$200,"'!l",B216),1)</f>
        <v>Телина И.С.</v>
      </c>
      <c r="O216" s="1" cm="1">
        <f t="array" aca="1" ref="O216" ca="1">INDIRECT(CONCATENATE("'",$A$200,"'!m",B216),1)</f>
        <v>3305</v>
      </c>
      <c r="P216" s="1" t="str" cm="1">
        <f t="array" aca="1" ref="P216" ca="1">INDIRECT(CONCATENATE("'",$A$200,"'!n",B216),1)</f>
        <v>лр * 1</v>
      </c>
      <c r="Q216" s="1" cm="1">
        <f t="array" aca="1" ref="Q216" ca="1">INDIRECT(CONCATENATE("'",$A$200,"'!o",B216),1)</f>
        <v>3.3</v>
      </c>
      <c r="R216" s="1" cm="1">
        <f t="array" aca="1" ref="R216" ca="1">INDIRECT(CONCATENATE("'",$A$200,"'!p",B216),1)</f>
        <v>0</v>
      </c>
      <c r="S216" s="1">
        <f t="shared" ca="1" si="16"/>
        <v>0</v>
      </c>
      <c r="T216" s="1" t="str" cm="1">
        <f t="array" aca="1" ref="T216" ca="1">INDIRECT(CONCATENATE("'",$A$200,"'!q",B216),1)</f>
        <v>Телина И.С.</v>
      </c>
      <c r="U216" s="1" cm="1">
        <f t="array" aca="1" ref="U216" ca="1">INDIRECT(CONCATENATE("'",$A$200,"'!r",B216),1)</f>
        <v>21.3</v>
      </c>
      <c r="V216" s="1" cm="1">
        <f t="array" aca="1" ref="V216" ca="1">INDIRECT(CONCATENATE("'",$A$200,"'!s",B216),1)</f>
        <v>0</v>
      </c>
      <c r="W216" s="1" cm="1">
        <f t="array" aca="1" ref="W216" ca="1">INDIRECT(CONCATENATE("'",$A$200,"'!t",B216),1)</f>
        <v>0</v>
      </c>
      <c r="X216" s="1" cm="1">
        <f t="array" aca="1" ref="X216" ca="1">INDIRECT(CONCATENATE("'",$A$200,"'!u",B216),1)</f>
        <v>0</v>
      </c>
      <c r="Y216" s="1" cm="1">
        <f t="array" aca="1" ref="Y216" ca="1">INDIRECT(CONCATENATE("'",$A$200,"'!v",B216),1)</f>
        <v>0</v>
      </c>
    </row>
    <row r="217" spans="1:25" customFormat="1" ht="22.5" hidden="1" x14ac:dyDescent="0.25">
      <c r="A217" s="15"/>
      <c r="B217" s="24">
        <f t="shared" si="17"/>
        <v>19</v>
      </c>
      <c r="C217" s="1" t="str" cm="1">
        <f t="array" aca="1" ref="C217" ca="1">INDIRECT(CONCATENATE("'",$A$200,"'!A",B217),1)</f>
        <v>ИИ. Методы принятия решений</v>
      </c>
      <c r="D217" s="1" t="str" cm="1">
        <f t="array" aca="1" ref="D217" ca="1">INDIRECT(CONCATENATE("'",$A$200,"'!B",B217),1)</f>
        <v xml:space="preserve">09.04.01(09) </v>
      </c>
      <c r="E217" s="1" cm="1">
        <f t="array" aca="1" ref="E217" ca="1">INDIRECT(CONCATENATE("'",$A$200,"'!c",B217),1)</f>
        <v>5095</v>
      </c>
      <c r="F217" s="1" cm="1">
        <f t="array" aca="1" ref="F217" ca="1">INDIRECT(CONCATENATE("'",$A$200,"'!d",B217),1)</f>
        <v>2</v>
      </c>
      <c r="G217" s="1" cm="1">
        <f t="array" aca="1" ref="G217" ca="1">INDIRECT(CONCATENATE("'",$A$200,"'!e",B217),1)</f>
        <v>1</v>
      </c>
      <c r="H217" s="1" cm="1">
        <f t="array" aca="1" ref="H217" ca="1">INDIRECT(CONCATENATE("'",$A$200,"'!f",B217),1)</f>
        <v>11</v>
      </c>
      <c r="I217" s="1" t="str" cm="1">
        <f t="array" aca="1" ref="I217" ca="1">INDIRECT(CONCATENATE("'",$A$200,"'!g",B217),1)</f>
        <v>ЭКЗ</v>
      </c>
      <c r="J217" s="1" cm="1">
        <f t="array" aca="1" ref="J217" ca="1">INDIRECT(CONCATENATE("'",$A$200,"'!h",B217),1)</f>
        <v>4</v>
      </c>
      <c r="K217" s="1" cm="1">
        <f t="array" aca="1" ref="K217" ca="1">INDIRECT(CONCATENATE("'",$A$200,"'!i",B217),1)</f>
        <v>18</v>
      </c>
      <c r="L217" s="1" cm="1">
        <f t="array" aca="1" ref="L217" ca="1">INDIRECT(CONCATENATE("'",$A$200,"'!j",B217),1)</f>
        <v>0</v>
      </c>
      <c r="M217" s="1" cm="1">
        <f t="array" aca="1" ref="M217" ca="1">INDIRECT(CONCATENATE("'",$A$200,"'!k",B217),1)</f>
        <v>18</v>
      </c>
      <c r="N217" s="1" t="str" cm="1">
        <f t="array" aca="1" ref="N217" ca="1">INDIRECT(CONCATENATE("'",$A$200,"'!l",B217),1)</f>
        <v>Эминов С.И.</v>
      </c>
      <c r="O217" s="1" cm="1">
        <f t="array" aca="1" ref="O217" ca="1">INDIRECT(CONCATENATE("'",$A$200,"'!m",B217),1)</f>
        <v>3301</v>
      </c>
      <c r="P217" s="1" t="str" cm="1">
        <f t="array" aca="1" ref="P217" ca="1">INDIRECT(CONCATENATE("'",$A$200,"'!n",B217),1)</f>
        <v>лр * 1</v>
      </c>
      <c r="Q217" s="1" cm="1">
        <f t="array" aca="1" ref="Q217" ca="1">INDIRECT(CONCATENATE("'",$A$200,"'!o",B217),1)</f>
        <v>8.3000000000000007</v>
      </c>
      <c r="R217" s="1" cm="1">
        <f t="array" aca="1" ref="R217" ca="1">INDIRECT(CONCATENATE("'",$A$200,"'!p",B217),1)</f>
        <v>5.5</v>
      </c>
      <c r="S217" s="1">
        <f t="shared" ca="1" si="16"/>
        <v>0</v>
      </c>
      <c r="T217" s="1" t="str" cm="1">
        <f t="array" aca="1" ref="T217" ca="1">INDIRECT(CONCATENATE("'",$A$200,"'!q",B217),1)</f>
        <v>Эминов С.И.</v>
      </c>
      <c r="U217" s="1" cm="1">
        <f t="array" aca="1" ref="U217" ca="1">INDIRECT(CONCATENATE("'",$A$200,"'!r",B217),1)</f>
        <v>49.8</v>
      </c>
      <c r="V217" s="1" cm="1">
        <f t="array" aca="1" ref="V217" ca="1">INDIRECT(CONCATENATE("'",$A$200,"'!s",B217),1)</f>
        <v>0</v>
      </c>
      <c r="W217" s="1" cm="1">
        <f t="array" aca="1" ref="W217" ca="1">INDIRECT(CONCATENATE("'",$A$200,"'!t",B217),1)</f>
        <v>0</v>
      </c>
      <c r="X217" s="1" cm="1">
        <f t="array" aca="1" ref="X217" ca="1">INDIRECT(CONCATENATE("'",$A$200,"'!u",B217),1)</f>
        <v>0</v>
      </c>
      <c r="Y217" s="1" cm="1">
        <f t="array" aca="1" ref="Y217" ca="1">INDIRECT(CONCATENATE("'",$A$200,"'!v",B217),1)</f>
        <v>0</v>
      </c>
    </row>
    <row r="218" spans="1:25" customFormat="1" ht="33.75" hidden="1" x14ac:dyDescent="0.25">
      <c r="A218" s="15"/>
      <c r="B218" s="24">
        <f t="shared" si="17"/>
        <v>20</v>
      </c>
      <c r="C218" s="1" t="str" cm="1">
        <f t="array" aca="1" ref="C218" ca="1">INDIRECT(CONCATENATE("'",$A$200,"'!A",B218),1)</f>
        <v>ИИ. Прикладные аспекты искусственного интеллекта</v>
      </c>
      <c r="D218" s="1" t="str" cm="1">
        <f t="array" aca="1" ref="D218" ca="1">INDIRECT(CONCATENATE("'",$A$200,"'!B",B218),1)</f>
        <v xml:space="preserve">09.04.01(09) </v>
      </c>
      <c r="E218" s="1" cm="1">
        <f t="array" aca="1" ref="E218" ca="1">INDIRECT(CONCATENATE("'",$A$200,"'!c",B218),1)</f>
        <v>5095</v>
      </c>
      <c r="F218" s="1" cm="1">
        <f t="array" aca="1" ref="F218" ca="1">INDIRECT(CONCATENATE("'",$A$200,"'!d",B218),1)</f>
        <v>2</v>
      </c>
      <c r="G218" s="1" cm="1">
        <f t="array" aca="1" ref="G218" ca="1">INDIRECT(CONCATENATE("'",$A$200,"'!e",B218),1)</f>
        <v>1</v>
      </c>
      <c r="H218" s="1" cm="1">
        <f t="array" aca="1" ref="H218" ca="1">INDIRECT(CONCATENATE("'",$A$200,"'!f",B218),1)</f>
        <v>11</v>
      </c>
      <c r="I218" s="1" t="str" cm="1">
        <f t="array" aca="1" ref="I218" ca="1">INDIRECT(CONCATENATE("'",$A$200,"'!g",B218),1)</f>
        <v>ЗАЧ</v>
      </c>
      <c r="J218" s="1" cm="1">
        <f t="array" aca="1" ref="J218" ca="1">INDIRECT(CONCATENATE("'",$A$200,"'!h",B218),1)</f>
        <v>3</v>
      </c>
      <c r="K218" s="1" cm="1">
        <f t="array" aca="1" ref="K218" ca="1">INDIRECT(CONCATENATE("'",$A$200,"'!i",B218),1)</f>
        <v>9</v>
      </c>
      <c r="L218" s="1" cm="1">
        <f t="array" aca="1" ref="L218" ca="1">INDIRECT(CONCATENATE("'",$A$200,"'!j",B218),1)</f>
        <v>0</v>
      </c>
      <c r="M218" s="1" cm="1">
        <f t="array" aca="1" ref="M218" ca="1">INDIRECT(CONCATENATE("'",$A$200,"'!k",B218),1)</f>
        <v>18</v>
      </c>
      <c r="N218" s="1" t="str" cm="1">
        <f t="array" aca="1" ref="N218" ca="1">INDIRECT(CONCATENATE("'",$A$200,"'!l",B218),1)</f>
        <v>Михайлов Д.В.</v>
      </c>
      <c r="O218" s="1" cm="1">
        <f t="array" aca="1" ref="O218" ca="1">INDIRECT(CONCATENATE("'",$A$200,"'!m",B218),1)</f>
        <v>3305</v>
      </c>
      <c r="P218" s="1" t="str" cm="1">
        <f t="array" aca="1" ref="P218" ca="1">INDIRECT(CONCATENATE("'",$A$200,"'!n",B218),1)</f>
        <v>лр * 1</v>
      </c>
      <c r="Q218" s="1" cm="1">
        <f t="array" aca="1" ref="Q218" ca="1">INDIRECT(CONCATENATE("'",$A$200,"'!o",B218),1)</f>
        <v>5</v>
      </c>
      <c r="R218" s="1" cm="1">
        <f t="array" aca="1" ref="R218" ca="1">INDIRECT(CONCATENATE("'",$A$200,"'!p",B218),1)</f>
        <v>0</v>
      </c>
      <c r="S218" s="1">
        <f t="shared" ca="1" si="16"/>
        <v>0</v>
      </c>
      <c r="T218" s="1" t="str" cm="1">
        <f t="array" aca="1" ref="T218" ca="1">INDIRECT(CONCATENATE("'",$A$200,"'!q",B218),1)</f>
        <v>Михайлов Д.В.</v>
      </c>
      <c r="U218" s="1" cm="1">
        <f t="array" aca="1" ref="U218" ca="1">INDIRECT(CONCATENATE("'",$A$200,"'!r",B218),1)</f>
        <v>32</v>
      </c>
      <c r="V218" s="1" cm="1">
        <f t="array" aca="1" ref="V218" ca="1">INDIRECT(CONCATENATE("'",$A$200,"'!s",B218),1)</f>
        <v>0</v>
      </c>
      <c r="W218" s="1" cm="1">
        <f t="array" aca="1" ref="W218" ca="1">INDIRECT(CONCATENATE("'",$A$200,"'!t",B218),1)</f>
        <v>0</v>
      </c>
      <c r="X218" s="1" cm="1">
        <f t="array" aca="1" ref="X218" ca="1">INDIRECT(CONCATENATE("'",$A$200,"'!u",B218),1)</f>
        <v>0</v>
      </c>
      <c r="Y218" s="1" cm="1">
        <f t="array" aca="1" ref="Y218" ca="1">INDIRECT(CONCATENATE("'",$A$200,"'!v",B218),1)</f>
        <v>0</v>
      </c>
    </row>
    <row r="219" spans="1:25" customFormat="1" ht="22.5" hidden="1" x14ac:dyDescent="0.25">
      <c r="A219" s="15"/>
      <c r="B219" s="24">
        <f t="shared" si="17"/>
        <v>21</v>
      </c>
      <c r="C219" s="1" t="str" cm="1">
        <f t="array" aca="1" ref="C219" ca="1">INDIRECT(CONCATENATE("'",$A$200,"'!A",B219),1)</f>
        <v>Интеллектуальный анализ данных</v>
      </c>
      <c r="D219" s="1" t="str" cm="1">
        <f t="array" aca="1" ref="D219" ca="1">INDIRECT(CONCATENATE("'",$A$200,"'!B",B219),1)</f>
        <v xml:space="preserve">09.04.01(09) </v>
      </c>
      <c r="E219" s="1" cm="1">
        <f t="array" aca="1" ref="E219" ca="1">INDIRECT(CONCATENATE("'",$A$200,"'!c",B219),1)</f>
        <v>5096</v>
      </c>
      <c r="F219" s="1" cm="1">
        <f t="array" aca="1" ref="F219" ca="1">INDIRECT(CONCATENATE("'",$A$200,"'!d",B219),1)</f>
        <v>2</v>
      </c>
      <c r="G219" s="1" cm="1">
        <f t="array" aca="1" ref="G219" ca="1">INDIRECT(CONCATENATE("'",$A$200,"'!e",B219),1)</f>
        <v>1</v>
      </c>
      <c r="H219" s="1" cm="1">
        <f t="array" aca="1" ref="H219" ca="1">INDIRECT(CONCATENATE("'",$A$200,"'!f",B219),1)</f>
        <v>11</v>
      </c>
      <c r="I219" s="1" t="str" cm="1">
        <f t="array" aca="1" ref="I219" ca="1">INDIRECT(CONCATENATE("'",$A$200,"'!g",B219),1)</f>
        <v>ЗАЧ</v>
      </c>
      <c r="J219" s="1" cm="1">
        <f t="array" aca="1" ref="J219" ca="1">INDIRECT(CONCATENATE("'",$A$200,"'!h",B219),1)</f>
        <v>3</v>
      </c>
      <c r="K219" s="1" cm="1">
        <f t="array" aca="1" ref="K219" ca="1">INDIRECT(CONCATENATE("'",$A$200,"'!i",B219),1)</f>
        <v>9</v>
      </c>
      <c r="L219" s="1" cm="1">
        <f t="array" aca="1" ref="L219" ca="1">INDIRECT(CONCATENATE("'",$A$200,"'!j",B219),1)</f>
        <v>0</v>
      </c>
      <c r="M219" s="1" cm="1">
        <f t="array" aca="1" ref="M219" ca="1">INDIRECT(CONCATENATE("'",$A$200,"'!k",B219),1)</f>
        <v>36</v>
      </c>
      <c r="N219" s="1" t="str" cm="1">
        <f t="array" aca="1" ref="N219" ca="1">INDIRECT(CONCATENATE("'",$A$200,"'!l",B219),1)</f>
        <v>Телина И.С.</v>
      </c>
      <c r="O219" s="1" cm="1">
        <f t="array" aca="1" ref="O219" ca="1">INDIRECT(CONCATENATE("'",$A$200,"'!m",B219),1)</f>
        <v>3305</v>
      </c>
      <c r="P219" s="1" t="str" cm="1">
        <f t="array" aca="1" ref="P219" ca="1">INDIRECT(CONCATENATE("'",$A$200,"'!n",B219),1)</f>
        <v>лр * 1</v>
      </c>
      <c r="Q219" s="1" cm="1">
        <f t="array" aca="1" ref="Q219" ca="1">INDIRECT(CONCATENATE("'",$A$200,"'!o",B219),1)</f>
        <v>9.9</v>
      </c>
      <c r="R219" s="1" cm="1">
        <f t="array" aca="1" ref="R219" ca="1">INDIRECT(CONCATENATE("'",$A$200,"'!p",B219),1)</f>
        <v>6.6</v>
      </c>
      <c r="S219" s="1">
        <f t="shared" ca="1" si="16"/>
        <v>0</v>
      </c>
      <c r="T219" s="1" t="str" cm="1">
        <f t="array" aca="1" ref="T219" ca="1">INDIRECT(CONCATENATE("'",$A$200,"'!q",B219),1)</f>
        <v>Телина И.С.</v>
      </c>
      <c r="U219" s="1" cm="1">
        <f t="array" aca="1" ref="U219" ca="1">INDIRECT(CONCATENATE("'",$A$200,"'!r",B219),1)</f>
        <v>61.5</v>
      </c>
      <c r="V219" s="1" cm="1">
        <f t="array" aca="1" ref="V219" ca="1">INDIRECT(CONCATENATE("'",$A$200,"'!s",B219),1)</f>
        <v>0</v>
      </c>
      <c r="W219" s="1" cm="1">
        <f t="array" aca="1" ref="W219" ca="1">INDIRECT(CONCATENATE("'",$A$200,"'!t",B219),1)</f>
        <v>0</v>
      </c>
      <c r="X219" s="1" cm="1">
        <f t="array" aca="1" ref="X219" ca="1">INDIRECT(CONCATENATE("'",$A$200,"'!u",B219),1)</f>
        <v>0</v>
      </c>
      <c r="Y219" s="1" cm="1">
        <f t="array" aca="1" ref="Y219" ca="1">INDIRECT(CONCATENATE("'",$A$200,"'!v",B219),1)</f>
        <v>0</v>
      </c>
    </row>
    <row r="220" spans="1:25" customFormat="1" ht="33.75" hidden="1" x14ac:dyDescent="0.25">
      <c r="A220" s="15"/>
      <c r="B220" s="24">
        <f t="shared" si="17"/>
        <v>22</v>
      </c>
      <c r="C220" s="1" t="str" cm="1">
        <f t="array" aca="1" ref="C220" ca="1">INDIRECT(CONCATENATE("'",$A$200,"'!A",B220),1)</f>
        <v>Управление жизненным циклом программного обеспечения</v>
      </c>
      <c r="D220" s="1" t="str" cm="1">
        <f t="array" aca="1" ref="D220" ca="1">INDIRECT(CONCATENATE("'",$A$200,"'!B",B220),1)</f>
        <v xml:space="preserve">09.04.01(09) </v>
      </c>
      <c r="E220" s="1" cm="1">
        <f t="array" aca="1" ref="E220" ca="1">INDIRECT(CONCATENATE("'",$A$200,"'!c",B220),1)</f>
        <v>5095</v>
      </c>
      <c r="F220" s="1" cm="1">
        <f t="array" aca="1" ref="F220" ca="1">INDIRECT(CONCATENATE("'",$A$200,"'!d",B220),1)</f>
        <v>2</v>
      </c>
      <c r="G220" s="1" cm="1">
        <f t="array" aca="1" ref="G220" ca="1">INDIRECT(CONCATENATE("'",$A$200,"'!e",B220),1)</f>
        <v>1</v>
      </c>
      <c r="H220" s="1" cm="1">
        <f t="array" aca="1" ref="H220" ca="1">INDIRECT(CONCATENATE("'",$A$200,"'!f",B220),1)</f>
        <v>11</v>
      </c>
      <c r="I220" s="1" t="str" cm="1">
        <f t="array" aca="1" ref="I220" ca="1">INDIRECT(CONCATENATE("'",$A$200,"'!g",B220),1)</f>
        <v>ЭКЗ</v>
      </c>
      <c r="J220" s="1" cm="1">
        <f t="array" aca="1" ref="J220" ca="1">INDIRECT(CONCATENATE("'",$A$200,"'!h",B220),1)</f>
        <v>6</v>
      </c>
      <c r="K220" s="1" cm="1">
        <f t="array" aca="1" ref="K220" ca="1">INDIRECT(CONCATENATE("'",$A$200,"'!i",B220),1)</f>
        <v>18</v>
      </c>
      <c r="L220" s="1" cm="1">
        <f t="array" aca="1" ref="L220" ca="1">INDIRECT(CONCATENATE("'",$A$200,"'!j",B220),1)</f>
        <v>0</v>
      </c>
      <c r="M220" s="1" cm="1">
        <f t="array" aca="1" ref="M220" ca="1">INDIRECT(CONCATENATE("'",$A$200,"'!k",B220),1)</f>
        <v>27</v>
      </c>
      <c r="N220" s="1" t="str" cm="1">
        <f t="array" aca="1" ref="N220" ca="1">INDIRECT(CONCATENATE("'",$A$200,"'!l",B220),1)</f>
        <v>Яковлев Н.С.</v>
      </c>
      <c r="O220" s="1" t="str" cm="1">
        <f t="array" aca="1" ref="O220" ca="1">INDIRECT(CONCATENATE("'",$A$200,"'!m",B220),1)</f>
        <v>3305, 3312 с 18 часов</v>
      </c>
      <c r="P220" s="1" t="str" cm="1">
        <f t="array" aca="1" ref="P220" ca="1">INDIRECT(CONCATENATE("'",$A$200,"'!n",B220),1)</f>
        <v>лр * 1п</v>
      </c>
      <c r="Q220" s="1" cm="1">
        <f t="array" aca="1" ref="Q220" ca="1">INDIRECT(CONCATENATE("'",$A$200,"'!o",B220),1)</f>
        <v>9.9</v>
      </c>
      <c r="R220" s="1" cm="1">
        <f t="array" aca="1" ref="R220" ca="1">INDIRECT(CONCATENATE("'",$A$200,"'!p",B220),1)</f>
        <v>6.6</v>
      </c>
      <c r="S220" s="1">
        <f t="shared" ca="1" si="16"/>
        <v>0</v>
      </c>
      <c r="T220" s="1" t="str" cm="1">
        <f t="array" aca="1" ref="T220" ca="1">INDIRECT(CONCATENATE("'",$A$200,"'!q",B220),1)</f>
        <v>Яковлев Н.С.</v>
      </c>
      <c r="U220" s="1" cm="1">
        <f t="array" aca="1" ref="U220" ca="1">INDIRECT(CONCATENATE("'",$A$200,"'!r",B220),1)</f>
        <v>61.5</v>
      </c>
      <c r="V220" s="1" cm="1">
        <f t="array" aca="1" ref="V220" ca="1">INDIRECT(CONCATENATE("'",$A$200,"'!s",B220),1)</f>
        <v>0</v>
      </c>
      <c r="W220" s="1" cm="1">
        <f t="array" aca="1" ref="W220" ca="1">INDIRECT(CONCATENATE("'",$A$200,"'!t",B220),1)</f>
        <v>0</v>
      </c>
      <c r="X220" s="1" cm="1">
        <f t="array" aca="1" ref="X220" ca="1">INDIRECT(CONCATENATE("'",$A$200,"'!u",B220),1)</f>
        <v>0</v>
      </c>
      <c r="Y220" s="1" cm="1">
        <f t="array" aca="1" ref="Y220" ca="1">INDIRECT(CONCATENATE("'",$A$200,"'!v",B220),1)</f>
        <v>0</v>
      </c>
    </row>
    <row r="221" spans="1:25" customFormat="1" hidden="1" x14ac:dyDescent="0.25">
      <c r="A221" s="15"/>
      <c r="B221" s="24">
        <f t="shared" si="17"/>
        <v>23</v>
      </c>
      <c r="C221" s="1" cm="1">
        <f t="array" aca="1" ref="C221" ca="1">INDIRECT(CONCATENATE("'",$A$200,"'!A",B221),1)</f>
        <v>0</v>
      </c>
      <c r="D221" s="1" cm="1">
        <f t="array" aca="1" ref="D221" ca="1">INDIRECT(CONCATENATE("'",$A$200,"'!B",B221),1)</f>
        <v>0</v>
      </c>
      <c r="E221" s="1" cm="1">
        <f t="array" aca="1" ref="E221" ca="1">INDIRECT(CONCATENATE("'",$A$200,"'!c",B221),1)</f>
        <v>0</v>
      </c>
      <c r="F221" s="1" cm="1">
        <f t="array" aca="1" ref="F221" ca="1">INDIRECT(CONCATENATE("'",$A$200,"'!d",B221),1)</f>
        <v>0</v>
      </c>
      <c r="G221" s="1" cm="1">
        <f t="array" aca="1" ref="G221" ca="1">INDIRECT(CONCATENATE("'",$A$200,"'!e",B221),1)</f>
        <v>0</v>
      </c>
      <c r="H221" s="1" cm="1">
        <f t="array" aca="1" ref="H221" ca="1">INDIRECT(CONCATENATE("'",$A$200,"'!f",B221),1)</f>
        <v>0</v>
      </c>
      <c r="I221" s="1" cm="1">
        <f t="array" aca="1" ref="I221" ca="1">INDIRECT(CONCATENATE("'",$A$200,"'!g",B221),1)</f>
        <v>0</v>
      </c>
      <c r="J221" s="1" cm="1">
        <f t="array" aca="1" ref="J221" ca="1">INDIRECT(CONCATENATE("'",$A$200,"'!h",B221),1)</f>
        <v>0</v>
      </c>
      <c r="K221" s="1" cm="1">
        <f t="array" aca="1" ref="K221" ca="1">INDIRECT(CONCATENATE("'",$A$200,"'!i",B221),1)</f>
        <v>0</v>
      </c>
      <c r="L221" s="1" cm="1">
        <f t="array" aca="1" ref="L221" ca="1">INDIRECT(CONCATENATE("'",$A$200,"'!j",B221),1)</f>
        <v>0</v>
      </c>
      <c r="M221" s="1" cm="1">
        <f t="array" aca="1" ref="M221" ca="1">INDIRECT(CONCATENATE("'",$A$200,"'!k",B221),1)</f>
        <v>0</v>
      </c>
      <c r="N221" s="1" t="str" cm="1">
        <f t="array" aca="1" ref="N221" ca="1">INDIRECT(CONCATENATE("'",$A$200,"'!l",B221),1)</f>
        <v/>
      </c>
      <c r="O221" s="1" cm="1">
        <f t="array" aca="1" ref="O221" ca="1">INDIRECT(CONCATENATE("'",$A$200,"'!m",B221),1)</f>
        <v>0</v>
      </c>
      <c r="P221" s="1" cm="1">
        <f t="array" aca="1" ref="P221" ca="1">INDIRECT(CONCATENATE("'",$A$200,"'!n",B221),1)</f>
        <v>0</v>
      </c>
      <c r="Q221" s="1" cm="1">
        <f t="array" aca="1" ref="Q221" ca="1">INDIRECT(CONCATENATE("'",$A$200,"'!o",B221),1)</f>
        <v>0</v>
      </c>
      <c r="R221" s="1" cm="1">
        <f t="array" aca="1" ref="R221" ca="1">INDIRECT(CONCATENATE("'",$A$200,"'!p",B221),1)</f>
        <v>0</v>
      </c>
      <c r="S221" s="1">
        <f t="shared" ca="1" si="16"/>
        <v>0</v>
      </c>
      <c r="T221" s="1" cm="1">
        <f t="array" aca="1" ref="T221" ca="1">INDIRECT(CONCATENATE("'",$A$200,"'!q",B221),1)</f>
        <v>0</v>
      </c>
      <c r="U221" s="1" cm="1">
        <f t="array" aca="1" ref="U221" ca="1">INDIRECT(CONCATENATE("'",$A$200,"'!r",B221),1)</f>
        <v>0</v>
      </c>
      <c r="V221" s="1" cm="1">
        <f t="array" aca="1" ref="V221" ca="1">INDIRECT(CONCATENATE("'",$A$200,"'!s",B221),1)</f>
        <v>0</v>
      </c>
      <c r="W221" s="1" cm="1">
        <f t="array" aca="1" ref="W221" ca="1">INDIRECT(CONCATENATE("'",$A$200,"'!t",B221),1)</f>
        <v>0</v>
      </c>
      <c r="X221" s="1" cm="1">
        <f t="array" aca="1" ref="X221" ca="1">INDIRECT(CONCATENATE("'",$A$200,"'!u",B221),1)</f>
        <v>0</v>
      </c>
      <c r="Y221" s="1" cm="1">
        <f t="array" aca="1" ref="Y221" ca="1">INDIRECT(CONCATENATE("'",$A$200,"'!v",B221),1)</f>
        <v>0</v>
      </c>
    </row>
    <row r="222" spans="1:25" customFormat="1" ht="56.25" hidden="1" x14ac:dyDescent="0.25">
      <c r="A222" s="15"/>
      <c r="B222" s="24">
        <f t="shared" si="17"/>
        <v>24</v>
      </c>
      <c r="C222" s="1" t="str" cm="1">
        <f t="array" aca="1" ref="C222" ca="1">INDIRECT(CONCATENATE("'",$A$200,"'!A",B222),1)</f>
        <v>Искусственный интеллект. Современные концепции и методы управления ИТ-проектами</v>
      </c>
      <c r="D222" s="1" t="str" cm="1">
        <f t="array" aca="1" ref="D222" ca="1">INDIRECT(CONCATENATE("'",$A$200,"'!B",B222),1)</f>
        <v xml:space="preserve">09.04.01(09) </v>
      </c>
      <c r="E222" s="1" cm="1">
        <f t="array" aca="1" ref="E222" ca="1">INDIRECT(CONCATENATE("'",$A$200,"'!c",B222),1)</f>
        <v>4095</v>
      </c>
      <c r="F222" s="1" cm="1">
        <f t="array" aca="1" ref="F222" ca="1">INDIRECT(CONCATENATE("'",$A$200,"'!d",B222),1)</f>
        <v>3</v>
      </c>
      <c r="G222" s="1" cm="1">
        <f t="array" aca="1" ref="G222" ca="1">INDIRECT(CONCATENATE("'",$A$200,"'!e",B222),1)</f>
        <v>1</v>
      </c>
      <c r="H222" s="1" cm="1">
        <f t="array" aca="1" ref="H222" ca="1">INDIRECT(CONCATENATE("'",$A$200,"'!f",B222),1)</f>
        <v>20</v>
      </c>
      <c r="I222" s="1" t="str" cm="1">
        <f t="array" aca="1" ref="I222" ca="1">INDIRECT(CONCATENATE("'",$A$200,"'!g",B222),1)</f>
        <v>ЭКЗ</v>
      </c>
      <c r="J222" s="1" cm="1">
        <f t="array" aca="1" ref="J222" ca="1">INDIRECT(CONCATENATE("'",$A$200,"'!h",B222),1)</f>
        <v>6</v>
      </c>
      <c r="K222" s="1" cm="1">
        <f t="array" aca="1" ref="K222" ca="1">INDIRECT(CONCATENATE("'",$A$200,"'!i",B222),1)</f>
        <v>18</v>
      </c>
      <c r="L222" s="1" cm="1">
        <f t="array" aca="1" ref="L222" ca="1">INDIRECT(CONCATENATE("'",$A$200,"'!j",B222),1)</f>
        <v>0</v>
      </c>
      <c r="M222" s="1" cm="1">
        <f t="array" aca="1" ref="M222" ca="1">INDIRECT(CONCATENATE("'",$A$200,"'!k",B222),1)</f>
        <v>27</v>
      </c>
      <c r="N222" s="1" t="str" cm="1">
        <f t="array" aca="1" ref="N222" ca="1">INDIRECT(CONCATENATE("'",$A$200,"'!l",B222),1)</f>
        <v>Макевич П.В.</v>
      </c>
      <c r="O222" s="1" cm="1">
        <f t="array" aca="1" ref="O222" ca="1">INDIRECT(CONCATENATE("'",$A$200,"'!m",B222),1)</f>
        <v>0</v>
      </c>
      <c r="P222" s="1" t="str" cm="1">
        <f t="array" aca="1" ref="P222" ca="1">INDIRECT(CONCATENATE("'",$A$200,"'!n",B222),1)</f>
        <v>лр * 1</v>
      </c>
      <c r="Q222" s="1" cm="1">
        <f t="array" aca="1" ref="Q222" ca="1">INDIRECT(CONCATENATE("'",$A$200,"'!o",B222),1)</f>
        <v>18</v>
      </c>
      <c r="R222" s="1" cm="1">
        <f t="array" aca="1" ref="R222" ca="1">INDIRECT(CONCATENATE("'",$A$200,"'!p",B222),1)</f>
        <v>12</v>
      </c>
      <c r="S222" s="1">
        <f t="shared" ca="1" si="16"/>
        <v>0</v>
      </c>
      <c r="T222" s="1" t="str" cm="1">
        <f t="array" aca="1" ref="T222" ca="1">INDIRECT(CONCATENATE("'",$A$200,"'!q",B222),1)</f>
        <v>Макевич П.В.</v>
      </c>
      <c r="U222" s="1" cm="1">
        <f t="array" aca="1" ref="U222" ca="1">INDIRECT(CONCATENATE("'",$A$200,"'!r",B222),1)</f>
        <v>75</v>
      </c>
      <c r="V222" s="1" cm="1">
        <f t="array" aca="1" ref="V222" ca="1">INDIRECT(CONCATENATE("'",$A$200,"'!s",B222),1)</f>
        <v>0</v>
      </c>
      <c r="W222" s="1" cm="1">
        <f t="array" aca="1" ref="W222" ca="1">INDIRECT(CONCATENATE("'",$A$200,"'!t",B222),1)</f>
        <v>0</v>
      </c>
      <c r="X222" s="1" cm="1">
        <f t="array" aca="1" ref="X222" ca="1">INDIRECT(CONCATENATE("'",$A$200,"'!u",B222),1)</f>
        <v>0</v>
      </c>
      <c r="Y222" s="1" cm="1">
        <f t="array" aca="1" ref="Y222" ca="1">INDIRECT(CONCATENATE("'",$A$200,"'!v",B222),1)</f>
        <v>0</v>
      </c>
    </row>
    <row r="223" spans="1:25" customFormat="1" ht="56.25" hidden="1" x14ac:dyDescent="0.25">
      <c r="A223" s="15"/>
      <c r="B223" s="24">
        <f t="shared" si="17"/>
        <v>25</v>
      </c>
      <c r="C223" s="1" t="str" cm="1">
        <f t="array" aca="1" ref="C223" ca="1">INDIRECT(CONCATENATE("'",$A$200,"'!A",B223),1)</f>
        <v>Искусственный интеллект. Современные концепции и методы управления ИТ-проектами</v>
      </c>
      <c r="D223" s="1" t="str" cm="1">
        <f t="array" aca="1" ref="D223" ca="1">INDIRECT(CONCATENATE("'",$A$200,"'!B",B223),1)</f>
        <v xml:space="preserve">09.04.01(09) </v>
      </c>
      <c r="E223" s="1" cm="1">
        <f t="array" aca="1" ref="E223" ca="1">INDIRECT(CONCATENATE("'",$A$200,"'!c",B223),1)</f>
        <v>4095</v>
      </c>
      <c r="F223" s="1" cm="1">
        <f t="array" aca="1" ref="F223" ca="1">INDIRECT(CONCATENATE("'",$A$200,"'!d",B223),1)</f>
        <v>3</v>
      </c>
      <c r="G223" s="1" cm="1">
        <f t="array" aca="1" ref="G223" ca="1">INDIRECT(CONCATENATE("'",$A$200,"'!e",B223),1)</f>
        <v>1</v>
      </c>
      <c r="H223" s="1" cm="1">
        <f t="array" aca="1" ref="H223" ca="1">INDIRECT(CONCATENATE("'",$A$200,"'!f",B223),1)</f>
        <v>20</v>
      </c>
      <c r="I223" s="1" t="str" cm="1">
        <f t="array" aca="1" ref="I223" ca="1">INDIRECT(CONCATENATE("'",$A$200,"'!g",B223),1)</f>
        <v>кр</v>
      </c>
      <c r="J223" s="1" cm="1">
        <f t="array" aca="1" ref="J223" ca="1">INDIRECT(CONCATENATE("'",$A$200,"'!h",B223),1)</f>
        <v>1</v>
      </c>
      <c r="K223" s="1" cm="1">
        <f t="array" aca="1" ref="K223" ca="1">INDIRECT(CONCATENATE("'",$A$200,"'!i",B223),1)</f>
        <v>0</v>
      </c>
      <c r="L223" s="1" cm="1">
        <f t="array" aca="1" ref="L223" ca="1">INDIRECT(CONCATENATE("'",$A$200,"'!j",B223),1)</f>
        <v>0</v>
      </c>
      <c r="M223" s="1" cm="1">
        <f t="array" aca="1" ref="M223" ca="1">INDIRECT(CONCATENATE("'",$A$200,"'!k",B223),1)</f>
        <v>0</v>
      </c>
      <c r="N223" s="1" t="str" cm="1">
        <f t="array" aca="1" ref="N223" ca="1">INDIRECT(CONCATENATE("'",$A$200,"'!l",B223),1)</f>
        <v>Макевич П.В.</v>
      </c>
      <c r="O223" s="1" t="str" cm="1">
        <f t="array" aca="1" ref="O223" ca="1">INDIRECT(CONCATENATE("'",$A$200,"'!m",B223),1)</f>
        <v>3312, 3305</v>
      </c>
      <c r="P223" s="1" cm="1">
        <f t="array" aca="1" ref="P223" ca="1">INDIRECT(CONCATENATE("'",$A$200,"'!n",B223),1)</f>
        <v>0</v>
      </c>
      <c r="Q223" s="1" cm="1">
        <f t="array" aca="1" ref="Q223" ca="1">INDIRECT(CONCATENATE("'",$A$200,"'!o",B223),1)</f>
        <v>30</v>
      </c>
      <c r="R223" s="1" cm="1">
        <f t="array" aca="1" ref="R223" ca="1">INDIRECT(CONCATENATE("'",$A$200,"'!p",B223),1)</f>
        <v>0</v>
      </c>
      <c r="S223" s="1">
        <f t="shared" ca="1" si="16"/>
        <v>0</v>
      </c>
      <c r="T223" s="1" t="str" cm="1">
        <f t="array" aca="1" ref="T223" ca="1">INDIRECT(CONCATENATE("'",$A$200,"'!q",B223),1)</f>
        <v>Макевич П.В.</v>
      </c>
      <c r="U223" s="1" cm="1">
        <f t="array" aca="1" ref="U223" ca="1">INDIRECT(CONCATENATE("'",$A$200,"'!r",B223),1)</f>
        <v>30</v>
      </c>
      <c r="V223" s="1" cm="1">
        <f t="array" aca="1" ref="V223" ca="1">INDIRECT(CONCATENATE("'",$A$200,"'!s",B223),1)</f>
        <v>0</v>
      </c>
      <c r="W223" s="1" cm="1">
        <f t="array" aca="1" ref="W223" ca="1">INDIRECT(CONCATENATE("'",$A$200,"'!t",B223),1)</f>
        <v>0</v>
      </c>
      <c r="X223" s="1" cm="1">
        <f t="array" aca="1" ref="X223" ca="1">INDIRECT(CONCATENATE("'",$A$200,"'!u",B223),1)</f>
        <v>0</v>
      </c>
      <c r="Y223" s="1" cm="1">
        <f t="array" aca="1" ref="Y223" ca="1">INDIRECT(CONCATENATE("'",$A$200,"'!v",B223),1)</f>
        <v>0</v>
      </c>
    </row>
    <row r="224" spans="1:25" customFormat="1" ht="33.75" hidden="1" x14ac:dyDescent="0.25">
      <c r="A224" s="15"/>
      <c r="B224" s="24">
        <f t="shared" si="17"/>
        <v>26</v>
      </c>
      <c r="C224" s="1" t="str" cm="1">
        <f t="array" aca="1" ref="C224" ca="1">INDIRECT(CONCATENATE("'",$A$200,"'!A",B224),1)</f>
        <v>Системы разработки программного обеспечения</v>
      </c>
      <c r="D224" s="1" t="str" cm="1">
        <f t="array" aca="1" ref="D224" ca="1">INDIRECT(CONCATENATE("'",$A$200,"'!B",B224),1)</f>
        <v xml:space="preserve">09.04.01(09) </v>
      </c>
      <c r="E224" s="1" cm="1">
        <f t="array" aca="1" ref="E224" ca="1">INDIRECT(CONCATENATE("'",$A$200,"'!c",B224),1)</f>
        <v>4095</v>
      </c>
      <c r="F224" s="1" cm="1">
        <f t="array" aca="1" ref="F224" ca="1">INDIRECT(CONCATENATE("'",$A$200,"'!d",B224),1)</f>
        <v>3</v>
      </c>
      <c r="G224" s="1" cm="1">
        <f t="array" aca="1" ref="G224" ca="1">INDIRECT(CONCATENATE("'",$A$200,"'!e",B224),1)</f>
        <v>1</v>
      </c>
      <c r="H224" s="1" cm="1">
        <f t="array" aca="1" ref="H224" ca="1">INDIRECT(CONCATENATE("'",$A$200,"'!f",B224),1)</f>
        <v>20</v>
      </c>
      <c r="I224" s="1" t="str" cm="1">
        <f t="array" aca="1" ref="I224" ca="1">INDIRECT(CONCATENATE("'",$A$200,"'!g",B224),1)</f>
        <v>ЭКЗ</v>
      </c>
      <c r="J224" s="1" cm="1">
        <f t="array" aca="1" ref="J224" ca="1">INDIRECT(CONCATENATE("'",$A$200,"'!h",B224),1)</f>
        <v>4</v>
      </c>
      <c r="K224" s="1" cm="1">
        <f t="array" aca="1" ref="K224" ca="1">INDIRECT(CONCATENATE("'",$A$200,"'!i",B224),1)</f>
        <v>18</v>
      </c>
      <c r="L224" s="1" cm="1">
        <f t="array" aca="1" ref="L224" ca="1">INDIRECT(CONCATENATE("'",$A$200,"'!j",B224),1)</f>
        <v>0</v>
      </c>
      <c r="M224" s="1" cm="1">
        <f t="array" aca="1" ref="M224" ca="1">INDIRECT(CONCATENATE("'",$A$200,"'!k",B224),1)</f>
        <v>18</v>
      </c>
      <c r="N224" s="1" t="str" cm="1">
        <f t="array" aca="1" ref="N224" ca="1">INDIRECT(CONCATENATE("'",$A$200,"'!l",B224),1)</f>
        <v>Попов В.С.</v>
      </c>
      <c r="O224" s="1" cm="1">
        <f t="array" aca="1" ref="O224" ca="1">INDIRECT(CONCATENATE("'",$A$200,"'!m",B224),1)</f>
        <v>3312</v>
      </c>
      <c r="P224" s="1" t="str" cm="1">
        <f t="array" aca="1" ref="P224" ca="1">INDIRECT(CONCATENATE("'",$A$200,"'!n",B224),1)</f>
        <v>лр * 1</v>
      </c>
      <c r="Q224" s="1" cm="1">
        <f t="array" aca="1" ref="Q224" ca="1">INDIRECT(CONCATENATE("'",$A$200,"'!o",B224),1)</f>
        <v>12</v>
      </c>
      <c r="R224" s="1" cm="1">
        <f t="array" aca="1" ref="R224" ca="1">INDIRECT(CONCATENATE("'",$A$200,"'!p",B224),1)</f>
        <v>0</v>
      </c>
      <c r="S224" s="1">
        <f t="shared" ca="1" si="16"/>
        <v>0</v>
      </c>
      <c r="T224" s="1" t="str" cm="1">
        <f t="array" aca="1" ref="T224" ca="1">INDIRECT(CONCATENATE("'",$A$200,"'!q",B224),1)</f>
        <v>Попов В.С.</v>
      </c>
      <c r="U224" s="1" cm="1">
        <f t="array" aca="1" ref="U224" ca="1">INDIRECT(CONCATENATE("'",$A$200,"'!r",B224),1)</f>
        <v>48</v>
      </c>
      <c r="V224" s="1" cm="1">
        <f t="array" aca="1" ref="V224" ca="1">INDIRECT(CONCATENATE("'",$A$200,"'!s",B224),1)</f>
        <v>0</v>
      </c>
      <c r="W224" s="1" cm="1">
        <f t="array" aca="1" ref="W224" ca="1">INDIRECT(CONCATENATE("'",$A$200,"'!t",B224),1)</f>
        <v>0</v>
      </c>
      <c r="X224" s="1" cm="1">
        <f t="array" aca="1" ref="X224" ca="1">INDIRECT(CONCATENATE("'",$A$200,"'!u",B224),1)</f>
        <v>0</v>
      </c>
      <c r="Y224" s="1" cm="1">
        <f t="array" aca="1" ref="Y224" ca="1">INDIRECT(CONCATENATE("'",$A$200,"'!v",B224),1)</f>
        <v>0</v>
      </c>
    </row>
    <row r="225" spans="1:25" customFormat="1" ht="45" hidden="1" x14ac:dyDescent="0.25">
      <c r="A225" s="15"/>
      <c r="B225" s="24">
        <f t="shared" si="17"/>
        <v>27</v>
      </c>
      <c r="C225" s="1" t="str" cm="1">
        <f t="array" aca="1" ref="C225" ca="1">INDIRECT(CONCATENATE("'",$A$200,"'!A",B225),1)</f>
        <v>Проектирование баз данных и работа с ними</v>
      </c>
      <c r="D225" s="1" t="str" cm="1">
        <f t="array" aca="1" ref="D225" ca="1">INDIRECT(CONCATENATE("'",$A$200,"'!B",B225),1)</f>
        <v xml:space="preserve">09.04.01(09) </v>
      </c>
      <c r="E225" s="1" cm="1">
        <f t="array" aca="1" ref="E225" ca="1">INDIRECT(CONCATENATE("'",$A$200,"'!c",B225),1)</f>
        <v>4095</v>
      </c>
      <c r="F225" s="1" cm="1">
        <f t="array" aca="1" ref="F225" ca="1">INDIRECT(CONCATENATE("'",$A$200,"'!d",B225),1)</f>
        <v>3</v>
      </c>
      <c r="G225" s="1" cm="1">
        <f t="array" aca="1" ref="G225" ca="1">INDIRECT(CONCATENATE("'",$A$200,"'!e",B225),1)</f>
        <v>1</v>
      </c>
      <c r="H225" s="1" cm="1">
        <f t="array" aca="1" ref="H225" ca="1">INDIRECT(CONCATENATE("'",$A$200,"'!f",B225),1)</f>
        <v>20</v>
      </c>
      <c r="I225" s="1" t="str" cm="1">
        <f t="array" aca="1" ref="I225" ca="1">INDIRECT(CONCATENATE("'",$A$200,"'!g",B225),1)</f>
        <v>ЗАЧ</v>
      </c>
      <c r="J225" s="1" cm="1">
        <f t="array" aca="1" ref="J225" ca="1">INDIRECT(CONCATENATE("'",$A$200,"'!h",B225),1)</f>
        <v>4</v>
      </c>
      <c r="K225" s="1" cm="1">
        <f t="array" aca="1" ref="K225" ca="1">INDIRECT(CONCATENATE("'",$A$200,"'!i",B225),1)</f>
        <v>18</v>
      </c>
      <c r="L225" s="1" cm="1">
        <f t="array" aca="1" ref="L225" ca="1">INDIRECT(CONCATENATE("'",$A$200,"'!j",B225),1)</f>
        <v>0</v>
      </c>
      <c r="M225" s="1" cm="1">
        <f t="array" aca="1" ref="M225" ca="1">INDIRECT(CONCATENATE("'",$A$200,"'!k",B225),1)</f>
        <v>18</v>
      </c>
      <c r="N225" s="1" t="str" cm="1">
        <f t="array" aca="1" ref="N225" ca="1">INDIRECT(CONCATENATE("'",$A$200,"'!l",B225),1)</f>
        <v>Цымбалюк Л.Н.Цымбалюк А.Е.</v>
      </c>
      <c r="O225" s="1" cm="1">
        <f t="array" aca="1" ref="O225" ca="1">INDIRECT(CONCATENATE("'",$A$200,"'!m",B225),1)</f>
        <v>0</v>
      </c>
      <c r="P225" s="1" cm="1">
        <f t="array" aca="1" ref="P225" ca="1">INDIRECT(CONCATENATE("'",$A$200,"'!n",B225),1)</f>
        <v>0</v>
      </c>
      <c r="Q225" s="1" cm="1">
        <f t="array" aca="1" ref="Q225" ca="1">INDIRECT(CONCATENATE("'",$A$200,"'!o",B225),1)</f>
        <v>12</v>
      </c>
      <c r="R225" s="1" cm="1">
        <f t="array" aca="1" ref="R225" ca="1">INDIRECT(CONCATENATE("'",$A$200,"'!p",B225),1)</f>
        <v>0</v>
      </c>
      <c r="S225" s="1">
        <f t="shared" ca="1" si="16"/>
        <v>0</v>
      </c>
      <c r="T225" s="1" t="str" cm="1">
        <f t="array" aca="1" ref="T225" ca="1">INDIRECT(CONCATENATE("'",$A$200,"'!q",B225),1)</f>
        <v>Цымбалюк Л.Н.</v>
      </c>
      <c r="U225" s="1" cm="1">
        <f t="array" aca="1" ref="U225" ca="1">INDIRECT(CONCATENATE("'",$A$200,"'!r",B225),1)</f>
        <v>36</v>
      </c>
      <c r="V225" s="1" t="str" cm="1">
        <f t="array" aca="1" ref="V225" ca="1">INDIRECT(CONCATENATE("'",$A$200,"'!s",B225),1)</f>
        <v>Цымбалюк А.Е.</v>
      </c>
      <c r="W225" s="1" cm="1">
        <f t="array" aca="1" ref="W225" ca="1">INDIRECT(CONCATENATE("'",$A$200,"'!t",B225),1)</f>
        <v>12</v>
      </c>
      <c r="X225" s="1" cm="1">
        <f t="array" aca="1" ref="X225" ca="1">INDIRECT(CONCATENATE("'",$A$200,"'!u",B225),1)</f>
        <v>0</v>
      </c>
      <c r="Y225" s="1" cm="1">
        <f t="array" aca="1" ref="Y225" ca="1">INDIRECT(CONCATENATE("'",$A$200,"'!v",B225),1)</f>
        <v>0</v>
      </c>
    </row>
    <row r="226" spans="1:25" customFormat="1" ht="45" hidden="1" x14ac:dyDescent="0.25">
      <c r="A226" s="15"/>
      <c r="B226" s="24">
        <f t="shared" si="17"/>
        <v>28</v>
      </c>
      <c r="C226" s="1" t="str" cm="1">
        <f t="array" aca="1" ref="C226" ca="1">INDIRECT(CONCATENATE("'",$A$200,"'!A",B226),1)</f>
        <v>Проектирование баз данных и работа с ними</v>
      </c>
      <c r="D226" s="1" t="str" cm="1">
        <f t="array" aca="1" ref="D226" ca="1">INDIRECT(CONCATENATE("'",$A$200,"'!B",B226),1)</f>
        <v xml:space="preserve">09.04.01(09) </v>
      </c>
      <c r="E226" s="1" cm="1">
        <f t="array" aca="1" ref="E226" ca="1">INDIRECT(CONCATENATE("'",$A$200,"'!c",B226),1)</f>
        <v>4095</v>
      </c>
      <c r="F226" s="1" cm="1">
        <f t="array" aca="1" ref="F226" ca="1">INDIRECT(CONCATENATE("'",$A$200,"'!d",B226),1)</f>
        <v>3</v>
      </c>
      <c r="G226" s="1" cm="1">
        <f t="array" aca="1" ref="G226" ca="1">INDIRECT(CONCATENATE("'",$A$200,"'!e",B226),1)</f>
        <v>1</v>
      </c>
      <c r="H226" s="1" cm="1">
        <f t="array" aca="1" ref="H226" ca="1">INDIRECT(CONCATENATE("'",$A$200,"'!f",B226),1)</f>
        <v>20</v>
      </c>
      <c r="I226" s="1" t="str" cm="1">
        <f t="array" aca="1" ref="I226" ca="1">INDIRECT(CONCATENATE("'",$A$200,"'!g",B226),1)</f>
        <v>КР</v>
      </c>
      <c r="J226" s="1" cm="1">
        <f t="array" aca="1" ref="J226" ca="1">INDIRECT(CONCATENATE("'",$A$200,"'!h",B226),1)</f>
        <v>4</v>
      </c>
      <c r="K226" s="1" cm="1">
        <f t="array" aca="1" ref="K226" ca="1">INDIRECT(CONCATENATE("'",$A$200,"'!i",B226),1)</f>
        <v>0</v>
      </c>
      <c r="L226" s="1" cm="1">
        <f t="array" aca="1" ref="L226" ca="1">INDIRECT(CONCATENATE("'",$A$200,"'!j",B226),1)</f>
        <v>0</v>
      </c>
      <c r="M226" s="1" cm="1">
        <f t="array" aca="1" ref="M226" ca="1">INDIRECT(CONCATENATE("'",$A$200,"'!k",B226),1)</f>
        <v>0</v>
      </c>
      <c r="N226" s="1" t="str" cm="1">
        <f t="array" aca="1" ref="N226" ca="1">INDIRECT(CONCATENATE("'",$A$200,"'!l",B226),1)</f>
        <v>Цымбалюк Л.Н.Цымбалюк А.Е.</v>
      </c>
      <c r="O226" s="1" cm="1">
        <f t="array" aca="1" ref="O226" ca="1">INDIRECT(CONCATENATE("'",$A$200,"'!m",B226),1)</f>
        <v>0</v>
      </c>
      <c r="P226" s="1" cm="1">
        <f t="array" aca="1" ref="P226" ca="1">INDIRECT(CONCATENATE("'",$A$200,"'!n",B226),1)</f>
        <v>0</v>
      </c>
      <c r="Q226" s="1" cm="1">
        <f t="array" aca="1" ref="Q226" ca="1">INDIRECT(CONCATENATE("'",$A$200,"'!o",B226),1)</f>
        <v>30</v>
      </c>
      <c r="R226" s="1" cm="1">
        <f t="array" aca="1" ref="R226" ca="1">INDIRECT(CONCATENATE("'",$A$200,"'!p",B226),1)</f>
        <v>0</v>
      </c>
      <c r="S226" s="1">
        <f t="shared" ca="1" si="16"/>
        <v>0</v>
      </c>
      <c r="T226" s="1" t="str" cm="1">
        <f t="array" aca="1" ref="T226" ca="1">INDIRECT(CONCATENATE("'",$A$200,"'!q",B226),1)</f>
        <v>Цымбалюк Л.Н.</v>
      </c>
      <c r="U226" s="1" cm="1">
        <f t="array" aca="1" ref="U226" ca="1">INDIRECT(CONCATENATE("'",$A$200,"'!r",B226),1)</f>
        <v>10</v>
      </c>
      <c r="V226" s="1" t="str" cm="1">
        <f t="array" aca="1" ref="V226" ca="1">INDIRECT(CONCATENATE("'",$A$200,"'!s",B226),1)</f>
        <v>Цымбалюк А.Е.</v>
      </c>
      <c r="W226" s="1" cm="1">
        <f t="array" aca="1" ref="W226" ca="1">INDIRECT(CONCATENATE("'",$A$200,"'!t",B226),1)</f>
        <v>20</v>
      </c>
      <c r="X226" s="1" cm="1">
        <f t="array" aca="1" ref="X226" ca="1">INDIRECT(CONCATENATE("'",$A$200,"'!u",B226),1)</f>
        <v>0</v>
      </c>
      <c r="Y226" s="1" cm="1">
        <f t="array" aca="1" ref="Y226" ca="1">INDIRECT(CONCATENATE("'",$A$200,"'!v",B226),1)</f>
        <v>0</v>
      </c>
    </row>
    <row r="227" spans="1:25" customFormat="1" ht="45" hidden="1" x14ac:dyDescent="0.25">
      <c r="A227" s="15"/>
      <c r="B227" s="24">
        <f t="shared" si="17"/>
        <v>29</v>
      </c>
      <c r="C227" s="1" t="str" cm="1">
        <f t="array" aca="1" ref="C227" ca="1">INDIRECT(CONCATENATE("'",$A$200,"'!A",B227),1)</f>
        <v>Программные средства для искусственного интеллекта на языке Python</v>
      </c>
      <c r="D227" s="1" t="str" cm="1">
        <f t="array" aca="1" ref="D227" ca="1">INDIRECT(CONCATENATE("'",$A$200,"'!B",B227),1)</f>
        <v xml:space="preserve">09.04.01(09) </v>
      </c>
      <c r="E227" s="1" cm="1">
        <f t="array" aca="1" ref="E227" ca="1">INDIRECT(CONCATENATE("'",$A$200,"'!c",B227),1)</f>
        <v>4095</v>
      </c>
      <c r="F227" s="1" cm="1">
        <f t="array" aca="1" ref="F227" ca="1">INDIRECT(CONCATENATE("'",$A$200,"'!d",B227),1)</f>
        <v>3</v>
      </c>
      <c r="G227" s="1" cm="1">
        <f t="array" aca="1" ref="G227" ca="1">INDIRECT(CONCATENATE("'",$A$200,"'!e",B227),1)</f>
        <v>1</v>
      </c>
      <c r="H227" s="1" cm="1">
        <f t="array" aca="1" ref="H227" ca="1">INDIRECT(CONCATENATE("'",$A$200,"'!f",B227),1)</f>
        <v>20</v>
      </c>
      <c r="I227" s="1" t="str" cm="1">
        <f t="array" aca="1" ref="I227" ca="1">INDIRECT(CONCATENATE("'",$A$200,"'!g",B227),1)</f>
        <v>ЗАЧ</v>
      </c>
      <c r="J227" s="1" cm="1">
        <f t="array" aca="1" ref="J227" ca="1">INDIRECT(CONCATENATE("'",$A$200,"'!h",B227),1)</f>
        <v>4</v>
      </c>
      <c r="K227" s="1" cm="1">
        <f t="array" aca="1" ref="K227" ca="1">INDIRECT(CONCATENATE("'",$A$200,"'!i",B227),1)</f>
        <v>18</v>
      </c>
      <c r="L227" s="1" cm="1">
        <f t="array" aca="1" ref="L227" ca="1">INDIRECT(CONCATENATE("'",$A$200,"'!j",B227),1)</f>
        <v>0</v>
      </c>
      <c r="M227" s="1" cm="1">
        <f t="array" aca="1" ref="M227" ca="1">INDIRECT(CONCATENATE("'",$A$200,"'!k",B227),1)</f>
        <v>18</v>
      </c>
      <c r="N227" s="1" t="str" cm="1">
        <f t="array" aca="1" ref="N227" ca="1">INDIRECT(CONCATENATE("'",$A$200,"'!l",B227),1)</f>
        <v>Телина И.С.</v>
      </c>
      <c r="O227" s="1" cm="1">
        <f t="array" aca="1" ref="O227" ca="1">INDIRECT(CONCATENATE("'",$A$200,"'!m",B227),1)</f>
        <v>3312</v>
      </c>
      <c r="P227" s="1" t="str" cm="1">
        <f t="array" aca="1" ref="P227" ca="1">INDIRECT(CONCATENATE("'",$A$200,"'!n",B227),1)</f>
        <v>лр * 1</v>
      </c>
      <c r="Q227" s="1" cm="1">
        <f t="array" aca="1" ref="Q227" ca="1">INDIRECT(CONCATENATE("'",$A$200,"'!o",B227),1)</f>
        <v>12</v>
      </c>
      <c r="R227" s="1" cm="1">
        <f t="array" aca="1" ref="R227" ca="1">INDIRECT(CONCATENATE("'",$A$200,"'!p",B227),1)</f>
        <v>0</v>
      </c>
      <c r="S227" s="1">
        <f t="shared" ca="1" si="16"/>
        <v>0</v>
      </c>
      <c r="T227" s="1" t="str" cm="1">
        <f t="array" aca="1" ref="T227" ca="1">INDIRECT(CONCATENATE("'",$A$200,"'!q",B227),1)</f>
        <v>Телина И.С.</v>
      </c>
      <c r="U227" s="1" cm="1">
        <f t="array" aca="1" ref="U227" ca="1">INDIRECT(CONCATENATE("'",$A$200,"'!r",B227),1)</f>
        <v>48</v>
      </c>
      <c r="V227" s="1" cm="1">
        <f t="array" aca="1" ref="V227" ca="1">INDIRECT(CONCATENATE("'",$A$200,"'!s",B227),1)</f>
        <v>0</v>
      </c>
      <c r="W227" s="1" cm="1">
        <f t="array" aca="1" ref="W227" ca="1">INDIRECT(CONCATENATE("'",$A$200,"'!t",B227),1)</f>
        <v>0</v>
      </c>
      <c r="X227" s="1" cm="1">
        <f t="array" aca="1" ref="X227" ca="1">INDIRECT(CONCATENATE("'",$A$200,"'!u",B227),1)</f>
        <v>0</v>
      </c>
      <c r="Y227" s="1" cm="1">
        <f t="array" aca="1" ref="Y227" ca="1">INDIRECT(CONCATENATE("'",$A$200,"'!v",B227),1)</f>
        <v>0</v>
      </c>
    </row>
    <row r="228" spans="1:25" customFormat="1" ht="22.5" hidden="1" x14ac:dyDescent="0.25">
      <c r="A228" s="15"/>
      <c r="B228" s="24">
        <f t="shared" si="17"/>
        <v>30</v>
      </c>
      <c r="C228" s="1" t="str" cm="1">
        <f t="array" aca="1" ref="C228" ca="1">INDIRECT(CONCATENATE("'",$A$200,"'!A",B228),1)</f>
        <v>Язык R и базовая статистика</v>
      </c>
      <c r="D228" s="1" t="str" cm="1">
        <f t="array" aca="1" ref="D228" ca="1">INDIRECT(CONCATENATE("'",$A$200,"'!B",B228),1)</f>
        <v xml:space="preserve">09.04.01(09) </v>
      </c>
      <c r="E228" s="1" cm="1">
        <f t="array" aca="1" ref="E228" ca="1">INDIRECT(CONCATENATE("'",$A$200,"'!c",B228),1)</f>
        <v>4095</v>
      </c>
      <c r="F228" s="1" cm="1">
        <f t="array" aca="1" ref="F228" ca="1">INDIRECT(CONCATENATE("'",$A$200,"'!d",B228),1)</f>
        <v>3</v>
      </c>
      <c r="G228" s="1" cm="1">
        <f t="array" aca="1" ref="G228" ca="1">INDIRECT(CONCATENATE("'",$A$200,"'!e",B228),1)</f>
        <v>1</v>
      </c>
      <c r="H228" s="1" cm="1">
        <f t="array" aca="1" ref="H228" ca="1">INDIRECT(CONCATENATE("'",$A$200,"'!f",B228),1)</f>
        <v>20</v>
      </c>
      <c r="I228" s="1" t="str" cm="1">
        <f t="array" aca="1" ref="I228" ca="1">INDIRECT(CONCATENATE("'",$A$200,"'!g",B228),1)</f>
        <v>ЗАЧ</v>
      </c>
      <c r="J228" s="1" cm="1">
        <f t="array" aca="1" ref="J228" ca="1">INDIRECT(CONCATENATE("'",$A$200,"'!h",B228),1)</f>
        <v>4</v>
      </c>
      <c r="K228" s="1" cm="1">
        <f t="array" aca="1" ref="K228" ca="1">INDIRECT(CONCATENATE("'",$A$200,"'!i",B228),1)</f>
        <v>9</v>
      </c>
      <c r="L228" s="1" cm="1">
        <f t="array" aca="1" ref="L228" ca="1">INDIRECT(CONCATENATE("'",$A$200,"'!j",B228),1)</f>
        <v>0</v>
      </c>
      <c r="M228" s="1" cm="1">
        <f t="array" aca="1" ref="M228" ca="1">INDIRECT(CONCATENATE("'",$A$200,"'!k",B228),1)</f>
        <v>18</v>
      </c>
      <c r="N228" s="1" t="str" cm="1">
        <f t="array" aca="1" ref="N228" ca="1">INDIRECT(CONCATENATE("'",$A$200,"'!l",B228),1)</f>
        <v>Телина И.С.</v>
      </c>
      <c r="O228" s="1" cm="1">
        <f t="array" aca="1" ref="O228" ca="1">INDIRECT(CONCATENATE("'",$A$200,"'!m",B228),1)</f>
        <v>2407</v>
      </c>
      <c r="P228" s="1" t="str" cm="1">
        <f t="array" aca="1" ref="P228" ca="1">INDIRECT(CONCATENATE("'",$A$200,"'!n",B228),1)</f>
        <v>лр * 1</v>
      </c>
      <c r="Q228" s="1" cm="1">
        <f t="array" aca="1" ref="Q228" ca="1">INDIRECT(CONCATENATE("'",$A$200,"'!o",B228),1)</f>
        <v>9</v>
      </c>
      <c r="R228" s="1" cm="1">
        <f t="array" aca="1" ref="R228" ca="1">INDIRECT(CONCATENATE("'",$A$200,"'!p",B228),1)</f>
        <v>0</v>
      </c>
      <c r="S228" s="1">
        <f t="shared" ca="1" si="16"/>
        <v>0</v>
      </c>
      <c r="T228" s="1" t="str" cm="1">
        <f t="array" aca="1" ref="T228" ca="1">INDIRECT(CONCATENATE("'",$A$200,"'!q",B228),1)</f>
        <v>Телина И.С.</v>
      </c>
      <c r="U228" s="1" cm="1">
        <f t="array" aca="1" ref="U228" ca="1">INDIRECT(CONCATENATE("'",$A$200,"'!r",B228),1)</f>
        <v>36</v>
      </c>
      <c r="V228" s="1" cm="1">
        <f t="array" aca="1" ref="V228" ca="1">INDIRECT(CONCATENATE("'",$A$200,"'!s",B228),1)</f>
        <v>0</v>
      </c>
      <c r="W228" s="1" cm="1">
        <f t="array" aca="1" ref="W228" ca="1">INDIRECT(CONCATENATE("'",$A$200,"'!t",B228),1)</f>
        <v>0</v>
      </c>
      <c r="X228" s="1" cm="1">
        <f t="array" aca="1" ref="X228" ca="1">INDIRECT(CONCATENATE("'",$A$200,"'!u",B228),1)</f>
        <v>0</v>
      </c>
      <c r="Y228" s="1" cm="1">
        <f t="array" aca="1" ref="Y228" ca="1">INDIRECT(CONCATENATE("'",$A$200,"'!v",B228),1)</f>
        <v>0</v>
      </c>
    </row>
    <row r="229" spans="1:25" customFormat="1" ht="45" hidden="1" x14ac:dyDescent="0.25">
      <c r="A229" s="15"/>
      <c r="B229" s="24">
        <f t="shared" si="17"/>
        <v>31</v>
      </c>
      <c r="C229" s="1" t="str" cm="1">
        <f t="array" aca="1" ref="C229" ca="1">INDIRECT(CONCATENATE("'",$A$200,"'!A",B229),1)</f>
        <v>Технологии работы с естественным языком Natural Language Processing</v>
      </c>
      <c r="D229" s="1" t="str" cm="1">
        <f t="array" aca="1" ref="D229" ca="1">INDIRECT(CONCATENATE("'",$A$200,"'!B",B229),1)</f>
        <v xml:space="preserve">09.04.01(09) </v>
      </c>
      <c r="E229" s="1" cm="1">
        <f t="array" aca="1" ref="E229" ca="1">INDIRECT(CONCATENATE("'",$A$200,"'!c",B229),1)</f>
        <v>4095</v>
      </c>
      <c r="F229" s="1" cm="1">
        <f t="array" aca="1" ref="F229" ca="1">INDIRECT(CONCATENATE("'",$A$200,"'!d",B229),1)</f>
        <v>3</v>
      </c>
      <c r="G229" s="1" cm="1">
        <f t="array" aca="1" ref="G229" ca="1">INDIRECT(CONCATENATE("'",$A$200,"'!e",B229),1)</f>
        <v>1</v>
      </c>
      <c r="H229" s="1" cm="1">
        <f t="array" aca="1" ref="H229" ca="1">INDIRECT(CONCATENATE("'",$A$200,"'!f",B229),1)</f>
        <v>20</v>
      </c>
      <c r="I229" s="1" t="str" cm="1">
        <f t="array" aca="1" ref="I229" ca="1">INDIRECT(CONCATENATE("'",$A$200,"'!g",B229),1)</f>
        <v>ЗАЧ</v>
      </c>
      <c r="J229" s="1" cm="1">
        <f t="array" aca="1" ref="J229" ca="1">INDIRECT(CONCATENATE("'",$A$200,"'!h",B229),1)</f>
        <v>3</v>
      </c>
      <c r="K229" s="1" cm="1">
        <f t="array" aca="1" ref="K229" ca="1">INDIRECT(CONCATENATE("'",$A$200,"'!i",B229),1)</f>
        <v>9</v>
      </c>
      <c r="L229" s="1" cm="1">
        <f t="array" aca="1" ref="L229" ca="1">INDIRECT(CONCATENATE("'",$A$200,"'!j",B229),1)</f>
        <v>0</v>
      </c>
      <c r="M229" s="1" cm="1">
        <f t="array" aca="1" ref="M229" ca="1">INDIRECT(CONCATENATE("'",$A$200,"'!k",B229),1)</f>
        <v>18</v>
      </c>
      <c r="N229" s="1" t="str" cm="1">
        <f t="array" aca="1" ref="N229" ca="1">INDIRECT(CONCATENATE("'",$A$200,"'!l",B229),1)</f>
        <v>Попов В.С.</v>
      </c>
      <c r="O229" s="1" cm="1">
        <f t="array" aca="1" ref="O229" ca="1">INDIRECT(CONCATENATE("'",$A$200,"'!m",B229),1)</f>
        <v>3312</v>
      </c>
      <c r="P229" s="1" t="str" cm="1">
        <f t="array" aca="1" ref="P229" ca="1">INDIRECT(CONCATENATE("'",$A$200,"'!n",B229),1)</f>
        <v>лр * 1п</v>
      </c>
      <c r="Q229" s="1" cm="1">
        <f t="array" aca="1" ref="Q229" ca="1">INDIRECT(CONCATENATE("'",$A$200,"'!o",B229),1)</f>
        <v>9</v>
      </c>
      <c r="R229" s="1" cm="1">
        <f t="array" aca="1" ref="R229" ca="1">INDIRECT(CONCATENATE("'",$A$200,"'!p",B229),1)</f>
        <v>0</v>
      </c>
      <c r="S229" s="1">
        <f t="shared" ca="1" si="16"/>
        <v>0</v>
      </c>
      <c r="T229" s="1" t="str" cm="1">
        <f t="array" aca="1" ref="T229" ca="1">INDIRECT(CONCATENATE("'",$A$200,"'!q",B229),1)</f>
        <v>Попов В.С.</v>
      </c>
      <c r="U229" s="1" cm="1">
        <f t="array" aca="1" ref="U229" ca="1">INDIRECT(CONCATENATE("'",$A$200,"'!r",B229),1)</f>
        <v>36</v>
      </c>
      <c r="V229" s="1" cm="1">
        <f t="array" aca="1" ref="V229" ca="1">INDIRECT(CONCATENATE("'",$A$200,"'!s",B229),1)</f>
        <v>0</v>
      </c>
      <c r="W229" s="1" cm="1">
        <f t="array" aca="1" ref="W229" ca="1">INDIRECT(CONCATENATE("'",$A$200,"'!t",B229),1)</f>
        <v>0</v>
      </c>
      <c r="X229" s="1" cm="1">
        <f t="array" aca="1" ref="X229" ca="1">INDIRECT(CONCATENATE("'",$A$200,"'!u",B229),1)</f>
        <v>0</v>
      </c>
      <c r="Y229" s="1" cm="1">
        <f t="array" aca="1" ref="Y229" ca="1">INDIRECT(CONCATENATE("'",$A$200,"'!v",B229),1)</f>
        <v>0</v>
      </c>
    </row>
    <row r="230" spans="1:25" customFormat="1" ht="56.25" hidden="1" x14ac:dyDescent="0.25">
      <c r="A230" s="15"/>
      <c r="B230" s="24">
        <f t="shared" si="17"/>
        <v>32</v>
      </c>
      <c r="C230" s="1" t="str" cm="1">
        <f t="array" aca="1" ref="C230" ca="1">INDIRECT(CONCATENATE("'",$A$200,"'!A",B230),1)</f>
        <v>Практика производственная: Научно-исследовательская работа</v>
      </c>
      <c r="D230" s="1" t="str" cm="1">
        <f t="array" aca="1" ref="D230" ca="1">INDIRECT(CONCATENATE("'",$A$200,"'!B",B230),1)</f>
        <v xml:space="preserve">09.04.01(09) </v>
      </c>
      <c r="E230" s="1" cm="1">
        <f t="array" aca="1" ref="E230" ca="1">INDIRECT(CONCATENATE("'",$A$200,"'!c",B230),1)</f>
        <v>4095</v>
      </c>
      <c r="F230" s="1" cm="1">
        <f t="array" aca="1" ref="F230" ca="1">INDIRECT(CONCATENATE("'",$A$200,"'!d",B230),1)</f>
        <v>3</v>
      </c>
      <c r="G230" s="1" cm="1">
        <f t="array" aca="1" ref="G230" ca="1">INDIRECT(CONCATENATE("'",$A$200,"'!e",B230),1)</f>
        <v>1</v>
      </c>
      <c r="H230" s="1" cm="1">
        <f t="array" aca="1" ref="H230" ca="1">INDIRECT(CONCATENATE("'",$A$200,"'!f",B230),1)</f>
        <v>20</v>
      </c>
      <c r="I230" s="1" t="str" cm="1">
        <f t="array" aca="1" ref="I230" ca="1">INDIRECT(CONCATENATE("'",$A$200,"'!g",B230),1)</f>
        <v>ЭКЗ</v>
      </c>
      <c r="J230" s="1" cm="1">
        <f t="array" aca="1" ref="J230" ca="1">INDIRECT(CONCATENATE("'",$A$200,"'!h",B230),1)</f>
        <v>3</v>
      </c>
      <c r="K230" s="1" cm="1">
        <f t="array" aca="1" ref="K230" ca="1">INDIRECT(CONCATENATE("'",$A$200,"'!i",B230),1)</f>
        <v>0</v>
      </c>
      <c r="L230" s="1" cm="1">
        <f t="array" aca="1" ref="L230" ca="1">INDIRECT(CONCATENATE("'",$A$200,"'!j",B230),1)</f>
        <v>2</v>
      </c>
      <c r="M230" s="1" cm="1">
        <f t="array" aca="1" ref="M230" ca="1">INDIRECT(CONCATENATE("'",$A$200,"'!k",B230),1)</f>
        <v>0</v>
      </c>
      <c r="N230" s="1" t="str" cm="1">
        <f t="array" aca="1" ref="N230" ca="1">INDIRECT(CONCATENATE("'",$A$200,"'!l",B230),1)</f>
        <v>Макевич П.В.Архипова Г.А.Кулаков И.Ю.</v>
      </c>
      <c r="O230" s="1" t="str" cm="1">
        <f t="array" aca="1" ref="O230" ca="1">INDIRECT(CONCATENATE("'",$A$200,"'!m",B230),1)</f>
        <v>3312,3315,3305, 2407</v>
      </c>
      <c r="P230" s="1" cm="1">
        <f t="array" aca="1" ref="P230" ca="1">INDIRECT(CONCATENATE("'",$A$200,"'!n",B230),1)</f>
        <v>0</v>
      </c>
      <c r="Q230" s="1" cm="1">
        <f t="array" aca="1" ref="Q230" ca="1">INDIRECT(CONCATENATE("'",$A$200,"'!o",B230),1)</f>
        <v>48</v>
      </c>
      <c r="R230" s="1" cm="1">
        <f t="array" aca="1" ref="R230" ca="1">INDIRECT(CONCATENATE("'",$A$200,"'!p",B230),1)</f>
        <v>0</v>
      </c>
      <c r="S230" s="1">
        <f t="shared" ca="1" si="16"/>
        <v>0</v>
      </c>
      <c r="T230" s="1" t="str" cm="1">
        <f t="array" aca="1" ref="T230" ca="1">INDIRECT(CONCATENATE("'",$A$200,"'!q",B230),1)</f>
        <v>Макевич П.В.</v>
      </c>
      <c r="U230" s="1" cm="1">
        <f t="array" aca="1" ref="U230" ca="1">INDIRECT(CONCATENATE("'",$A$200,"'!r",B230),1)</f>
        <v>28</v>
      </c>
      <c r="V230" s="1" t="str" cm="1">
        <f t="array" aca="1" ref="V230" ca="1">INDIRECT(CONCATENATE("'",$A$200,"'!s",B230),1)</f>
        <v>Архипова Г.А.</v>
      </c>
      <c r="W230" s="1" cm="1">
        <f t="array" aca="1" ref="W230" ca="1">INDIRECT(CONCATENATE("'",$A$200,"'!t",B230),1)</f>
        <v>10</v>
      </c>
      <c r="X230" s="1" t="str" cm="1">
        <f t="array" aca="1" ref="X230" ca="1">INDIRECT(CONCATENATE("'",$A$200,"'!u",B230),1)</f>
        <v>Кулаков И.Ю.</v>
      </c>
      <c r="Y230" s="1" cm="1">
        <f t="array" aca="1" ref="Y230" ca="1">INDIRECT(CONCATENATE("'",$A$200,"'!v",B230),1)</f>
        <v>10</v>
      </c>
    </row>
    <row r="231" spans="1:25" customFormat="1" hidden="1" x14ac:dyDescent="0.25">
      <c r="A231" s="15"/>
      <c r="B231" s="24">
        <f t="shared" si="17"/>
        <v>33</v>
      </c>
      <c r="C231" s="1" cm="1">
        <f t="array" aca="1" ref="C231" ca="1">INDIRECT(CONCATENATE("'",$A$200,"'!A",B231),1)</f>
        <v>0</v>
      </c>
      <c r="D231" s="1" cm="1">
        <f t="array" aca="1" ref="D231" ca="1">INDIRECT(CONCATENATE("'",$A$200,"'!B",B231),1)</f>
        <v>0</v>
      </c>
      <c r="E231" s="1" cm="1">
        <f t="array" aca="1" ref="E231" ca="1">INDIRECT(CONCATENATE("'",$A$200,"'!c",B231),1)</f>
        <v>0</v>
      </c>
      <c r="F231" s="1" cm="1">
        <f t="array" aca="1" ref="F231" ca="1">INDIRECT(CONCATENATE("'",$A$200,"'!d",B231),1)</f>
        <v>0</v>
      </c>
      <c r="G231" s="1" cm="1">
        <f t="array" aca="1" ref="G231" ca="1">INDIRECT(CONCATENATE("'",$A$200,"'!e",B231),1)</f>
        <v>0</v>
      </c>
      <c r="H231" s="1" cm="1">
        <f t="array" aca="1" ref="H231" ca="1">INDIRECT(CONCATENATE("'",$A$200,"'!f",B231),1)</f>
        <v>0</v>
      </c>
      <c r="I231" s="1" cm="1">
        <f t="array" aca="1" ref="I231" ca="1">INDIRECT(CONCATENATE("'",$A$200,"'!g",B231),1)</f>
        <v>0</v>
      </c>
      <c r="J231" s="1" cm="1">
        <f t="array" aca="1" ref="J231" ca="1">INDIRECT(CONCATENATE("'",$A$200,"'!h",B231),1)</f>
        <v>0</v>
      </c>
      <c r="K231" s="1" cm="1">
        <f t="array" aca="1" ref="K231" ca="1">INDIRECT(CONCATENATE("'",$A$200,"'!i",B231),1)</f>
        <v>0</v>
      </c>
      <c r="L231" s="1" cm="1">
        <f t="array" aca="1" ref="L231" ca="1">INDIRECT(CONCATENATE("'",$A$200,"'!j",B231),1)</f>
        <v>0</v>
      </c>
      <c r="M231" s="1" cm="1">
        <f t="array" aca="1" ref="M231" ca="1">INDIRECT(CONCATENATE("'",$A$200,"'!k",B231),1)</f>
        <v>0</v>
      </c>
      <c r="N231" s="1" t="str" cm="1">
        <f t="array" aca="1" ref="N231" ca="1">INDIRECT(CONCATENATE("'",$A$200,"'!l",B231),1)</f>
        <v/>
      </c>
      <c r="O231" s="1" cm="1">
        <f t="array" aca="1" ref="O231" ca="1">INDIRECT(CONCATENATE("'",$A$200,"'!m",B231),1)</f>
        <v>0</v>
      </c>
      <c r="P231" s="1" cm="1">
        <f t="array" aca="1" ref="P231" ca="1">INDIRECT(CONCATENATE("'",$A$200,"'!n",B231),1)</f>
        <v>0</v>
      </c>
      <c r="Q231" s="1" cm="1">
        <f t="array" aca="1" ref="Q231" ca="1">INDIRECT(CONCATENATE("'",$A$200,"'!o",B231),1)</f>
        <v>0</v>
      </c>
      <c r="R231" s="1" cm="1">
        <f t="array" aca="1" ref="R231" ca="1">INDIRECT(CONCATENATE("'",$A$200,"'!p",B231),1)</f>
        <v>0</v>
      </c>
      <c r="S231" s="1">
        <f t="shared" ca="1" si="16"/>
        <v>0</v>
      </c>
      <c r="T231" s="1" cm="1">
        <f t="array" aca="1" ref="T231" ca="1">INDIRECT(CONCATENATE("'",$A$200,"'!q",B231),1)</f>
        <v>0</v>
      </c>
      <c r="U231" s="1" cm="1">
        <f t="array" aca="1" ref="U231" ca="1">INDIRECT(CONCATENATE("'",$A$200,"'!r",B231),1)</f>
        <v>0</v>
      </c>
      <c r="V231" s="1" cm="1">
        <f t="array" aca="1" ref="V231" ca="1">INDIRECT(CONCATENATE("'",$A$200,"'!s",B231),1)</f>
        <v>0</v>
      </c>
      <c r="W231" s="1" cm="1">
        <f t="array" aca="1" ref="W231" ca="1">INDIRECT(CONCATENATE("'",$A$200,"'!t",B231),1)</f>
        <v>0</v>
      </c>
      <c r="X231" s="1" cm="1">
        <f t="array" aca="1" ref="X231" ca="1">INDIRECT(CONCATENATE("'",$A$200,"'!u",B231),1)</f>
        <v>0</v>
      </c>
      <c r="Y231" s="1" cm="1">
        <f t="array" aca="1" ref="Y231" ca="1">INDIRECT(CONCATENATE("'",$A$200,"'!v",B231),1)</f>
        <v>0</v>
      </c>
    </row>
    <row r="232" spans="1:25" customFormat="1" ht="56.25" hidden="1" x14ac:dyDescent="0.25">
      <c r="A232" s="15"/>
      <c r="B232" s="24">
        <f t="shared" si="17"/>
        <v>34</v>
      </c>
      <c r="C232" s="1" t="str" cm="1">
        <f t="array" aca="1" ref="C232" ca="1">INDIRECT(CONCATENATE("'",$A$200,"'!A",B232),1)</f>
        <v>Практика производственная: Практика преддипломная</v>
      </c>
      <c r="D232" s="1" t="str" cm="1">
        <f t="array" aca="1" ref="D232" ca="1">INDIRECT(CONCATENATE("'",$A$200,"'!B",B232),1)</f>
        <v xml:space="preserve">09.04.01(09) </v>
      </c>
      <c r="E232" s="1" cm="1">
        <f t="array" aca="1" ref="E232" ca="1">INDIRECT(CONCATENATE("'",$A$200,"'!c",B232),1)</f>
        <v>4095</v>
      </c>
      <c r="F232" s="1" cm="1">
        <f t="array" aca="1" ref="F232" ca="1">INDIRECT(CONCATENATE("'",$A$200,"'!d",B232),1)</f>
        <v>4</v>
      </c>
      <c r="G232" s="1" cm="1">
        <f t="array" aca="1" ref="G232" ca="1">INDIRECT(CONCATENATE("'",$A$200,"'!e",B232),1)</f>
        <v>1</v>
      </c>
      <c r="H232" s="1" cm="1">
        <f t="array" aca="1" ref="H232" ca="1">INDIRECT(CONCATENATE("'",$A$200,"'!f",B232),1)</f>
        <v>20</v>
      </c>
      <c r="I232" s="1" t="str" cm="1">
        <f t="array" aca="1" ref="I232" ca="1">INDIRECT(CONCATENATE("'",$A$200,"'!g",B232),1)</f>
        <v>ДЗ</v>
      </c>
      <c r="J232" s="1" cm="1">
        <f t="array" aca="1" ref="J232" ca="1">INDIRECT(CONCATENATE("'",$A$200,"'!h",B232),1)</f>
        <v>18</v>
      </c>
      <c r="K232" s="1" cm="1">
        <f t="array" aca="1" ref="K232" ca="1">INDIRECT(CONCATENATE("'",$A$200,"'!i",B232),1)</f>
        <v>0</v>
      </c>
      <c r="L232" s="1" cm="1">
        <f t="array" aca="1" ref="L232" ca="1">INDIRECT(CONCATENATE("'",$A$200,"'!j",B232),1)</f>
        <v>2</v>
      </c>
      <c r="M232" s="1" cm="1">
        <f t="array" aca="1" ref="M232" ca="1">INDIRECT(CONCATENATE("'",$A$200,"'!k",B232),1)</f>
        <v>0</v>
      </c>
      <c r="N232" s="1" t="str" cm="1">
        <f t="array" aca="1" ref="N232" ca="1">INDIRECT(CONCATENATE("'",$A$200,"'!l",B232),1)</f>
        <v>Кулаков И.Ю.Макевич П.В.Архипова Г.А.</v>
      </c>
      <c r="O232" s="1" cm="1">
        <f t="array" aca="1" ref="O232" ca="1">INDIRECT(CONCATENATE("'",$A$200,"'!m",B232),1)</f>
        <v>2407.3312000000001</v>
      </c>
      <c r="P232" s="1" t="str" cm="1">
        <f t="array" aca="1" ref="P232" ca="1">INDIRECT(CONCATENATE("'",$A$200,"'!n",B232),1)</f>
        <v>консультации, защита практики, нормоконтроль</v>
      </c>
      <c r="Q232" s="1" cm="1">
        <f t="array" aca="1" ref="Q232" ca="1">INDIRECT(CONCATENATE("'",$A$200,"'!o",B232),1)</f>
        <v>288</v>
      </c>
      <c r="R232" s="1" cm="1">
        <f t="array" aca="1" ref="R232" ca="1">INDIRECT(CONCATENATE("'",$A$200,"'!p",B232),1)</f>
        <v>0</v>
      </c>
      <c r="S232" s="1">
        <f t="shared" ca="1" si="16"/>
        <v>0</v>
      </c>
      <c r="T232" s="1" t="str" cm="1">
        <f t="array" aca="1" ref="T232" ca="1">INDIRECT(CONCATENATE("'",$A$200,"'!q",B232),1)</f>
        <v>Кулаков И.Ю.</v>
      </c>
      <c r="U232" s="1" cm="1">
        <f t="array" aca="1" ref="U232" ca="1">INDIRECT(CONCATENATE("'",$A$200,"'!r",B232),1)</f>
        <v>242</v>
      </c>
      <c r="V232" s="1" t="str" cm="1">
        <f t="array" aca="1" ref="V232" ca="1">INDIRECT(CONCATENATE("'",$A$200,"'!s",B232),1)</f>
        <v>Макевич П.В.</v>
      </c>
      <c r="W232" s="1" cm="1">
        <f t="array" aca="1" ref="W232" ca="1">INDIRECT(CONCATENATE("'",$A$200,"'!t",B232),1)</f>
        <v>42</v>
      </c>
      <c r="X232" s="1" t="str" cm="1">
        <f t="array" aca="1" ref="X232" ca="1">INDIRECT(CONCATENATE("'",$A$200,"'!u",B232),1)</f>
        <v>Архипова Г.А.</v>
      </c>
      <c r="Y232" s="1" cm="1">
        <f t="array" aca="1" ref="Y232" ca="1">INDIRECT(CONCATENATE("'",$A$200,"'!v",B232),1)</f>
        <v>4</v>
      </c>
    </row>
    <row r="233" spans="1:25" customFormat="1" ht="45" hidden="1" x14ac:dyDescent="0.25">
      <c r="A233" s="15"/>
      <c r="B233" s="24">
        <f t="shared" si="17"/>
        <v>35</v>
      </c>
      <c r="C233" s="1" t="str" cm="1">
        <f t="array" aca="1" ref="C233" ca="1">INDIRECT(CONCATENATE("'",$A$200,"'!A",B233),1)</f>
        <v>Выполнение и защита выпускной квалификационной работы</v>
      </c>
      <c r="D233" s="1" t="str" cm="1">
        <f t="array" aca="1" ref="D233" ca="1">INDIRECT(CONCATENATE("'",$A$200,"'!B",B233),1)</f>
        <v xml:space="preserve">09.03.01(09у) </v>
      </c>
      <c r="E233" s="1" cm="1">
        <f t="array" aca="1" ref="E233" ca="1">INDIRECT(CONCATENATE("'",$A$200,"'!c",B233),1)</f>
        <v>4095</v>
      </c>
      <c r="F233" s="1" cm="1">
        <f t="array" aca="1" ref="F233" ca="1">INDIRECT(CONCATENATE("'",$A$200,"'!d",B233),1)</f>
        <v>4</v>
      </c>
      <c r="G233" s="1" cm="1">
        <f t="array" aca="1" ref="G233" ca="1">INDIRECT(CONCATENATE("'",$A$200,"'!e",B233),1)</f>
        <v>1</v>
      </c>
      <c r="H233" s="1" cm="1">
        <f t="array" aca="1" ref="H233" ca="1">INDIRECT(CONCATENATE("'",$A$200,"'!f",B233),1)</f>
        <v>23</v>
      </c>
      <c r="I233" s="1" t="str" cm="1">
        <f t="array" aca="1" ref="I233" ca="1">INDIRECT(CONCATENATE("'",$A$200,"'!g",B233),1)</f>
        <v>ДЗ</v>
      </c>
      <c r="J233" s="1" cm="1">
        <f t="array" aca="1" ref="J233" ca="1">INDIRECT(CONCATENATE("'",$A$200,"'!h",B233),1)</f>
        <v>9</v>
      </c>
      <c r="K233" s="1" cm="1">
        <f t="array" aca="1" ref="K233" ca="1">INDIRECT(CONCATENATE("'",$A$200,"'!i",B233),1)</f>
        <v>0</v>
      </c>
      <c r="L233" s="1" cm="1">
        <f t="array" aca="1" ref="L233" ca="1">INDIRECT(CONCATENATE("'",$A$200,"'!j",B233),1)</f>
        <v>2</v>
      </c>
      <c r="M233" s="1" cm="1">
        <f t="array" aca="1" ref="M233" ca="1">INDIRECT(CONCATENATE("'",$A$200,"'!k",B233),1)</f>
        <v>0</v>
      </c>
      <c r="N233" s="1" t="str" cm="1">
        <f t="array" aca="1" ref="N233" ca="1">INDIRECT(CONCATENATE("'",$A$200,"'!l",B233),1)</f>
        <v>Соколова Г.Ю.</v>
      </c>
      <c r="O233" s="1" cm="1">
        <f t="array" aca="1" ref="O233" ca="1">INDIRECT(CONCATENATE("'",$A$200,"'!m",B233),1)</f>
        <v>3300</v>
      </c>
      <c r="P233" s="1" t="str" cm="1">
        <f t="array" aca="1" ref="P233" ca="1">INDIRECT(CONCATENATE("'",$A$200,"'!n",B233),1)</f>
        <v>Проверка на антиплагиат
защита</v>
      </c>
      <c r="Q233" s="1" cm="1">
        <f t="array" aca="1" ref="Q233" ca="1">INDIRECT(CONCATENATE("'",$A$200,"'!o",B233),1)</f>
        <v>20</v>
      </c>
      <c r="R233" s="1" cm="1">
        <f t="array" aca="1" ref="R233" ca="1">INDIRECT(CONCATENATE("'",$A$200,"'!p",B233),1)</f>
        <v>0</v>
      </c>
      <c r="S233" s="1">
        <f t="shared" ca="1" si="16"/>
        <v>0</v>
      </c>
      <c r="T233" s="1" t="str" cm="1">
        <f t="array" aca="1" ref="T233" ca="1">INDIRECT(CONCATENATE("'",$A$200,"'!q",B233),1)</f>
        <v>Соколова Г.Ю.</v>
      </c>
      <c r="U233" s="1" cm="1">
        <f t="array" aca="1" ref="U233" ca="1">INDIRECT(CONCATENATE("'",$A$200,"'!r",B233),1)</f>
        <v>20</v>
      </c>
      <c r="V233" s="1" cm="1">
        <f t="array" aca="1" ref="V233" ca="1">INDIRECT(CONCATENATE("'",$A$200,"'!s",B233),1)</f>
        <v>0</v>
      </c>
      <c r="W233" s="1" cm="1">
        <f t="array" aca="1" ref="W233" ca="1">INDIRECT(CONCATENATE("'",$A$200,"'!t",B233),1)</f>
        <v>0</v>
      </c>
      <c r="X233" s="1" cm="1">
        <f t="array" aca="1" ref="X233" ca="1">INDIRECT(CONCATENATE("'",$A$200,"'!u",B233),1)</f>
        <v>0</v>
      </c>
      <c r="Y233" s="1" cm="1">
        <f t="array" aca="1" ref="Y233" ca="1">INDIRECT(CONCATENATE("'",$A$200,"'!v",B233),1)</f>
        <v>0</v>
      </c>
    </row>
    <row r="234" spans="1:25" customFormat="1" ht="45" hidden="1" x14ac:dyDescent="0.25">
      <c r="A234" s="15"/>
      <c r="B234" s="24">
        <f t="shared" si="17"/>
        <v>36</v>
      </c>
      <c r="C234" s="1" t="str" cm="1">
        <f t="array" aca="1" ref="C234" ca="1">INDIRECT(CONCATENATE("'",$A$200,"'!A",B234),1)</f>
        <v>Выполнение и защита выпускной квалификационной работы</v>
      </c>
      <c r="D234" s="1" t="str" cm="1">
        <f t="array" aca="1" ref="D234" ca="1">INDIRECT(CONCATENATE("'",$A$200,"'!B",B234),1)</f>
        <v xml:space="preserve">09.04.01(09) </v>
      </c>
      <c r="E234" s="1" cm="1">
        <f t="array" aca="1" ref="E234" ca="1">INDIRECT(CONCATENATE("'",$A$200,"'!c",B234),1)</f>
        <v>4095</v>
      </c>
      <c r="F234" s="1" cm="1">
        <f t="array" aca="1" ref="F234" ca="1">INDIRECT(CONCATENATE("'",$A$200,"'!d",B234),1)</f>
        <v>4</v>
      </c>
      <c r="G234" s="1" cm="1">
        <f t="array" aca="1" ref="G234" ca="1">INDIRECT(CONCATENATE("'",$A$200,"'!e",B234),1)</f>
        <v>1</v>
      </c>
      <c r="H234" s="1" cm="1">
        <f t="array" aca="1" ref="H234" ca="1">INDIRECT(CONCATENATE("'",$A$200,"'!f",B234),1)</f>
        <v>20</v>
      </c>
      <c r="I234" s="1" t="str" cm="1">
        <f t="array" aca="1" ref="I234" ca="1">INDIRECT(CONCATENATE("'",$A$200,"'!g",B234),1)</f>
        <v>ЭКЗ</v>
      </c>
      <c r="J234" s="1" cm="1">
        <f t="array" aca="1" ref="J234" ca="1">INDIRECT(CONCATENATE("'",$A$200,"'!h",B234),1)</f>
        <v>9</v>
      </c>
      <c r="K234" s="1" cm="1">
        <f t="array" aca="1" ref="K234" ca="1">INDIRECT(CONCATENATE("'",$A$200,"'!i",B234),1)</f>
        <v>0</v>
      </c>
      <c r="L234" s="1" cm="1">
        <f t="array" aca="1" ref="L234" ca="1">INDIRECT(CONCATENATE("'",$A$200,"'!j",B234),1)</f>
        <v>0</v>
      </c>
      <c r="M234" s="1" cm="1">
        <f t="array" aca="1" ref="M234" ca="1">INDIRECT(CONCATENATE("'",$A$200,"'!k",B234),1)</f>
        <v>0</v>
      </c>
      <c r="N234" s="1" t="str" cm="1">
        <f t="array" aca="1" ref="N234" ca="1">INDIRECT(CONCATENATE("'",$A$200,"'!l",B234),1)</f>
        <v>Кулаков И.Ю.Петров Р.В.Телина И.С.</v>
      </c>
      <c r="O234" s="1" cm="1">
        <f t="array" aca="1" ref="O234" ca="1">INDIRECT(CONCATENATE("'",$A$200,"'!m",B234),1)</f>
        <v>3312</v>
      </c>
      <c r="P234" s="1" t="str" cm="1">
        <f t="array" aca="1" ref="P234" ca="1">INDIRECT(CONCATENATE("'",$A$200,"'!n",B234),1)</f>
        <v>Руководство ДП 3 человека</v>
      </c>
      <c r="Q234" s="1" cm="1">
        <f t="array" aca="1" ref="Q234" ca="1">INDIRECT(CONCATENATE("'",$A$200,"'!o",B234),1)</f>
        <v>54</v>
      </c>
      <c r="R234" s="1" cm="1">
        <f t="array" aca="1" ref="R234" ca="1">INDIRECT(CONCATENATE("'",$A$200,"'!p",B234),1)</f>
        <v>0</v>
      </c>
      <c r="S234" s="1">
        <f t="shared" ca="1" si="16"/>
        <v>0</v>
      </c>
      <c r="T234" s="1" t="str" cm="1">
        <f t="array" aca="1" ref="T234" ca="1">INDIRECT(CONCATENATE("'",$A$200,"'!q",B234),1)</f>
        <v>Кулаков И.Ю.</v>
      </c>
      <c r="U234" s="1" cm="1">
        <f t="array" aca="1" ref="U234" ca="1">INDIRECT(CONCATENATE("'",$A$200,"'!r",B234),1)</f>
        <v>18</v>
      </c>
      <c r="V234" s="1" t="str" cm="1">
        <f t="array" aca="1" ref="V234" ca="1">INDIRECT(CONCATENATE("'",$A$200,"'!s",B234),1)</f>
        <v>Петров Р.В.</v>
      </c>
      <c r="W234" s="1" cm="1">
        <f t="array" aca="1" ref="W234" ca="1">INDIRECT(CONCATENATE("'",$A$200,"'!t",B234),1)</f>
        <v>18</v>
      </c>
      <c r="X234" s="1" t="str" cm="1">
        <f t="array" aca="1" ref="X234" ca="1">INDIRECT(CONCATENATE("'",$A$200,"'!u",B234),1)</f>
        <v>Телина И.С.</v>
      </c>
      <c r="Y234" s="1" cm="1">
        <f t="array" aca="1" ref="Y234" ca="1">INDIRECT(CONCATENATE("'",$A$200,"'!v",B234),1)</f>
        <v>18</v>
      </c>
    </row>
    <row r="235" spans="1:25" customFormat="1" ht="45" hidden="1" x14ac:dyDescent="0.25">
      <c r="A235" s="15"/>
      <c r="B235" s="24">
        <f t="shared" si="17"/>
        <v>37</v>
      </c>
      <c r="C235" s="1" t="str" cm="1">
        <f t="array" aca="1" ref="C235" ca="1">INDIRECT(CONCATENATE("'",$A$200,"'!A",B235),1)</f>
        <v>Выполнение и защита выпускной квалификационной работы</v>
      </c>
      <c r="D235" s="1" t="str" cm="1">
        <f t="array" aca="1" ref="D235" ca="1">INDIRECT(CONCATENATE("'",$A$200,"'!B",B235),1)</f>
        <v xml:space="preserve">09.04.01(09) </v>
      </c>
      <c r="E235" s="1" cm="1">
        <f t="array" aca="1" ref="E235" ca="1">INDIRECT(CONCATENATE("'",$A$200,"'!c",B235),1)</f>
        <v>4095</v>
      </c>
      <c r="F235" s="1" cm="1">
        <f t="array" aca="1" ref="F235" ca="1">INDIRECT(CONCATENATE("'",$A$200,"'!d",B235),1)</f>
        <v>4</v>
      </c>
      <c r="G235" s="1" cm="1">
        <f t="array" aca="1" ref="G235" ca="1">INDIRECT(CONCATENATE("'",$A$200,"'!e",B235),1)</f>
        <v>1</v>
      </c>
      <c r="H235" s="1" cm="1">
        <f t="array" aca="1" ref="H235" ca="1">INDIRECT(CONCATENATE("'",$A$200,"'!f",B235),1)</f>
        <v>20</v>
      </c>
      <c r="I235" s="1" t="str" cm="1">
        <f t="array" aca="1" ref="I235" ca="1">INDIRECT(CONCATENATE("'",$A$200,"'!g",B235),1)</f>
        <v>ЭКЗ</v>
      </c>
      <c r="J235" s="1" cm="1">
        <f t="array" aca="1" ref="J235" ca="1">INDIRECT(CONCATENATE("'",$A$200,"'!h",B235),1)</f>
        <v>9</v>
      </c>
      <c r="K235" s="1" cm="1">
        <f t="array" aca="1" ref="K235" ca="1">INDIRECT(CONCATENATE("'",$A$200,"'!i",B235),1)</f>
        <v>0</v>
      </c>
      <c r="L235" s="1" cm="1">
        <f t="array" aca="1" ref="L235" ca="1">INDIRECT(CONCATENATE("'",$A$200,"'!j",B235),1)</f>
        <v>0</v>
      </c>
      <c r="M235" s="1" cm="1">
        <f t="array" aca="1" ref="M235" ca="1">INDIRECT(CONCATENATE("'",$A$200,"'!k",B235),1)</f>
        <v>0</v>
      </c>
      <c r="N235" s="1" t="str" cm="1">
        <f t="array" aca="1" ref="N235" ca="1">INDIRECT(CONCATENATE("'",$A$200,"'!l",B235),1)</f>
        <v>Соколова Г.Ю.Эминов С.И.Винник Л.И.</v>
      </c>
      <c r="O235" s="1" cm="1">
        <f t="array" aca="1" ref="O235" ca="1">INDIRECT(CONCATENATE("'",$A$200,"'!m",B235),1)</f>
        <v>3312</v>
      </c>
      <c r="P235" s="1" t="str" cm="1">
        <f t="array" aca="1" ref="P235" ca="1">INDIRECT(CONCATENATE("'",$A$200,"'!n",B235),1)</f>
        <v>Руководство ДП 3 человека</v>
      </c>
      <c r="Q235" s="1" cm="1">
        <f t="array" aca="1" ref="Q235" ca="1">INDIRECT(CONCATENATE("'",$A$200,"'!o",B235),1)</f>
        <v>54</v>
      </c>
      <c r="R235" s="1" cm="1">
        <f t="array" aca="1" ref="R235" ca="1">INDIRECT(CONCATENATE("'",$A$200,"'!p",B235),1)</f>
        <v>0</v>
      </c>
      <c r="S235" s="1">
        <f t="shared" ca="1" si="16"/>
        <v>0</v>
      </c>
      <c r="T235" s="1" t="str" cm="1">
        <f t="array" aca="1" ref="T235" ca="1">INDIRECT(CONCATENATE("'",$A$200,"'!q",B235),1)</f>
        <v>Соколова Г.Ю.</v>
      </c>
      <c r="U235" s="1" cm="1">
        <f t="array" aca="1" ref="U235" ca="1">INDIRECT(CONCATENATE("'",$A$200,"'!r",B235),1)</f>
        <v>18</v>
      </c>
      <c r="V235" s="1" t="str" cm="1">
        <f t="array" aca="1" ref="V235" ca="1">INDIRECT(CONCATENATE("'",$A$200,"'!s",B235),1)</f>
        <v>Эминов С.И.</v>
      </c>
      <c r="W235" s="1" cm="1">
        <f t="array" aca="1" ref="W235" ca="1">INDIRECT(CONCATENATE("'",$A$200,"'!t",B235),1)</f>
        <v>18</v>
      </c>
      <c r="X235" s="1" t="str" cm="1">
        <f t="array" aca="1" ref="X235" ca="1">INDIRECT(CONCATENATE("'",$A$200,"'!u",B235),1)</f>
        <v>Винник Л.И.</v>
      </c>
      <c r="Y235" s="1" cm="1">
        <f t="array" aca="1" ref="Y235" ca="1">INDIRECT(CONCATENATE("'",$A$200,"'!v",B235),1)</f>
        <v>18</v>
      </c>
    </row>
    <row r="236" spans="1:25" customFormat="1" ht="45" hidden="1" x14ac:dyDescent="0.25">
      <c r="A236" s="15"/>
      <c r="B236" s="24">
        <f t="shared" si="17"/>
        <v>38</v>
      </c>
      <c r="C236" s="1" t="str" cm="1">
        <f t="array" aca="1" ref="C236" ca="1">INDIRECT(CONCATENATE("'",$A$200,"'!A",B236),1)</f>
        <v>Выполнение и защита выпускной квалификационной работы</v>
      </c>
      <c r="D236" s="1" t="str" cm="1">
        <f t="array" aca="1" ref="D236" ca="1">INDIRECT(CONCATENATE("'",$A$200,"'!B",B236),1)</f>
        <v xml:space="preserve">09.04.01(09) </v>
      </c>
      <c r="E236" s="1" cm="1">
        <f t="array" aca="1" ref="E236" ca="1">INDIRECT(CONCATENATE("'",$A$200,"'!c",B236),1)</f>
        <v>4095</v>
      </c>
      <c r="F236" s="1" cm="1">
        <f t="array" aca="1" ref="F236" ca="1">INDIRECT(CONCATENATE("'",$A$200,"'!d",B236),1)</f>
        <v>4</v>
      </c>
      <c r="G236" s="1" cm="1">
        <f t="array" aca="1" ref="G236" ca="1">INDIRECT(CONCATENATE("'",$A$200,"'!e",B236),1)</f>
        <v>1</v>
      </c>
      <c r="H236" s="1" cm="1">
        <f t="array" aca="1" ref="H236" ca="1">INDIRECT(CONCATENATE("'",$A$200,"'!f",B236),1)</f>
        <v>20</v>
      </c>
      <c r="I236" s="1" t="str" cm="1">
        <f t="array" aca="1" ref="I236" ca="1">INDIRECT(CONCATENATE("'",$A$200,"'!g",B236),1)</f>
        <v>ЭКЗ</v>
      </c>
      <c r="J236" s="1" cm="1">
        <f t="array" aca="1" ref="J236" ca="1">INDIRECT(CONCATENATE("'",$A$200,"'!h",B236),1)</f>
        <v>9</v>
      </c>
      <c r="K236" s="1" cm="1">
        <f t="array" aca="1" ref="K236" ca="1">INDIRECT(CONCATENATE("'",$A$200,"'!i",B236),1)</f>
        <v>0</v>
      </c>
      <c r="L236" s="1" cm="1">
        <f t="array" aca="1" ref="L236" ca="1">INDIRECT(CONCATENATE("'",$A$200,"'!j",B236),1)</f>
        <v>0</v>
      </c>
      <c r="M236" s="1" cm="1">
        <f t="array" aca="1" ref="M236" ca="1">INDIRECT(CONCATENATE("'",$A$200,"'!k",B236),1)</f>
        <v>0</v>
      </c>
      <c r="N236" s="1" t="str" cm="1">
        <f t="array" aca="1" ref="N236" ca="1">INDIRECT(CONCATENATE("'",$A$200,"'!l",B236),1)</f>
        <v>Михайлов Д.В.</v>
      </c>
      <c r="O236" s="1" cm="1">
        <f t="array" aca="1" ref="O236" ca="1">INDIRECT(CONCATENATE("'",$A$200,"'!m",B236),1)</f>
        <v>3312</v>
      </c>
      <c r="P236" s="1" t="str" cm="1">
        <f t="array" aca="1" ref="P236" ca="1">INDIRECT(CONCATENATE("'",$A$200,"'!n",B236),1)</f>
        <v>руководство ДП 2 человека</v>
      </c>
      <c r="Q236" s="1" cm="1">
        <f t="array" aca="1" ref="Q236" ca="1">INDIRECT(CONCATENATE("'",$A$200,"'!o",B236),1)</f>
        <v>16</v>
      </c>
      <c r="R236" s="1" cm="1">
        <f t="array" aca="1" ref="R236" ca="1">INDIRECT(CONCATENATE("'",$A$200,"'!p",B236),1)</f>
        <v>0</v>
      </c>
      <c r="S236" s="1">
        <f t="shared" ca="1" si="16"/>
        <v>0</v>
      </c>
      <c r="T236" s="1" t="str" cm="1">
        <f t="array" aca="1" ref="T236" ca="1">INDIRECT(CONCATENATE("'",$A$200,"'!q",B236),1)</f>
        <v>Михайлов Д.В.</v>
      </c>
      <c r="U236" s="1" cm="1">
        <f t="array" aca="1" ref="U236" ca="1">INDIRECT(CONCATENATE("'",$A$200,"'!r",B236),1)</f>
        <v>16</v>
      </c>
      <c r="V236" s="1" cm="1">
        <f t="array" aca="1" ref="V236" ca="1">INDIRECT(CONCATENATE("'",$A$200,"'!s",B236),1)</f>
        <v>0</v>
      </c>
      <c r="W236" s="1" cm="1">
        <f t="array" aca="1" ref="W236" ca="1">INDIRECT(CONCATENATE("'",$A$200,"'!t",B236),1)</f>
        <v>0</v>
      </c>
      <c r="X236" s="1" cm="1">
        <f t="array" aca="1" ref="X236" ca="1">INDIRECT(CONCATENATE("'",$A$200,"'!u",B236),1)</f>
        <v>0</v>
      </c>
      <c r="Y236" s="1" cm="1">
        <f t="array" aca="1" ref="Y236" ca="1">INDIRECT(CONCATENATE("'",$A$200,"'!v",B236),1)</f>
        <v>0</v>
      </c>
    </row>
    <row r="237" spans="1:25" customFormat="1" ht="45" hidden="1" x14ac:dyDescent="0.25">
      <c r="A237" s="15"/>
      <c r="B237" s="24">
        <f t="shared" si="17"/>
        <v>39</v>
      </c>
      <c r="C237" s="1" t="str" cm="1">
        <f t="array" aca="1" ref="C237" ca="1">INDIRECT(CONCATENATE("'",$A$200,"'!A",B237),1)</f>
        <v>Выполнение и защита выпускной квалификационной работы</v>
      </c>
      <c r="D237" s="1" t="str" cm="1">
        <f t="array" aca="1" ref="D237" ca="1">INDIRECT(CONCATENATE("'",$A$200,"'!B",B237),1)</f>
        <v xml:space="preserve">09.04.01(09) </v>
      </c>
      <c r="E237" s="1" cm="1">
        <f t="array" aca="1" ref="E237" ca="1">INDIRECT(CONCATENATE("'",$A$200,"'!c",B237),1)</f>
        <v>4095</v>
      </c>
      <c r="F237" s="1" cm="1">
        <f t="array" aca="1" ref="F237" ca="1">INDIRECT(CONCATENATE("'",$A$200,"'!d",B237),1)</f>
        <v>4</v>
      </c>
      <c r="G237" s="1" cm="1">
        <f t="array" aca="1" ref="G237" ca="1">INDIRECT(CONCATENATE("'",$A$200,"'!e",B237),1)</f>
        <v>1</v>
      </c>
      <c r="H237" s="1" cm="1">
        <f t="array" aca="1" ref="H237" ca="1">INDIRECT(CONCATENATE("'",$A$200,"'!f",B237),1)</f>
        <v>20</v>
      </c>
      <c r="I237" s="1" t="str" cm="1">
        <f t="array" aca="1" ref="I237" ca="1">INDIRECT(CONCATENATE("'",$A$200,"'!g",B237),1)</f>
        <v>ЭКЗ</v>
      </c>
      <c r="J237" s="1" cm="1">
        <f t="array" aca="1" ref="J237" ca="1">INDIRECT(CONCATENATE("'",$A$200,"'!h",B237),1)</f>
        <v>9</v>
      </c>
      <c r="K237" s="1" cm="1">
        <f t="array" aca="1" ref="K237" ca="1">INDIRECT(CONCATENATE("'",$A$200,"'!i",B237),1)</f>
        <v>0</v>
      </c>
      <c r="L237" s="1" cm="1">
        <f t="array" aca="1" ref="L237" ca="1">INDIRECT(CONCATENATE("'",$A$200,"'!j",B237),1)</f>
        <v>0</v>
      </c>
      <c r="M237" s="1" cm="1">
        <f t="array" aca="1" ref="M237" ca="1">INDIRECT(CONCATENATE("'",$A$200,"'!k",B237),1)</f>
        <v>0</v>
      </c>
      <c r="N237" s="1" t="str" cm="1">
        <f t="array" aca="1" ref="N237" ca="1">INDIRECT(CONCATENATE("'",$A$200,"'!l",B237),1)</f>
        <v>ЧленКомиссии1ЧленКомиссии2ЧленКомиссии3</v>
      </c>
      <c r="O237" s="1" cm="1">
        <f t="array" aca="1" ref="O237" ca="1">INDIRECT(CONCATENATE("'",$A$200,"'!m",B237),1)</f>
        <v>3315</v>
      </c>
      <c r="P237" s="1" t="str" cm="1">
        <f t="array" aca="1" ref="P237" ca="1">INDIRECT(CONCATENATE("'",$A$200,"'!n",B237),1)</f>
        <v>защита дипломных проектов</v>
      </c>
      <c r="Q237" s="1" cm="1">
        <f t="array" aca="1" ref="Q237" ca="1">INDIRECT(CONCATENATE("'",$A$200,"'!o",B237),1)</f>
        <v>18</v>
      </c>
      <c r="R237" s="1" cm="1">
        <f t="array" aca="1" ref="R237" ca="1">INDIRECT(CONCATENATE("'",$A$200,"'!p",B237),1)</f>
        <v>0</v>
      </c>
      <c r="S237" s="1">
        <f t="shared" ca="1" si="16"/>
        <v>0</v>
      </c>
      <c r="T237" s="1" t="str" cm="1">
        <f t="array" aca="1" ref="T237" ca="1">INDIRECT(CONCATENATE("'",$A$200,"'!q",B237),1)</f>
        <v>ЧленКомиссии1</v>
      </c>
      <c r="U237" s="1" cm="1">
        <f t="array" aca="1" ref="U237" ca="1">INDIRECT(CONCATENATE("'",$A$200,"'!r",B237),1)</f>
        <v>6</v>
      </c>
      <c r="V237" s="1" t="str" cm="1">
        <f t="array" aca="1" ref="V237" ca="1">INDIRECT(CONCATENATE("'",$A$200,"'!s",B237),1)</f>
        <v>ЧленКомиссии2</v>
      </c>
      <c r="W237" s="1" cm="1">
        <f t="array" aca="1" ref="W237" ca="1">INDIRECT(CONCATENATE("'",$A$200,"'!t",B237),1)</f>
        <v>6</v>
      </c>
      <c r="X237" s="1" t="str" cm="1">
        <f t="array" aca="1" ref="X237" ca="1">INDIRECT(CONCATENATE("'",$A$200,"'!u",B237),1)</f>
        <v>ЧленКомиссии3</v>
      </c>
      <c r="Y237" s="1" cm="1">
        <f t="array" aca="1" ref="Y237" ca="1">INDIRECT(CONCATENATE("'",$A$200,"'!v",B237),1)</f>
        <v>6</v>
      </c>
    </row>
    <row r="238" spans="1:25" customFormat="1" ht="45" hidden="1" x14ac:dyDescent="0.25">
      <c r="A238" s="15"/>
      <c r="B238" s="24">
        <f t="shared" si="17"/>
        <v>40</v>
      </c>
      <c r="C238" s="1" t="str" cm="1">
        <f t="array" aca="1" ref="C238" ca="1">INDIRECT(CONCATENATE("'",$A$200,"'!A",B238),1)</f>
        <v>Выполнение и защита выпускной квалификационной работы</v>
      </c>
      <c r="D238" s="1" t="str" cm="1">
        <f t="array" aca="1" ref="D238" ca="1">INDIRECT(CONCATENATE("'",$A$200,"'!B",B238),1)</f>
        <v xml:space="preserve">09.04.01(09) </v>
      </c>
      <c r="E238" s="1" cm="1">
        <f t="array" aca="1" ref="E238" ca="1">INDIRECT(CONCATENATE("'",$A$200,"'!c",B238),1)</f>
        <v>4095</v>
      </c>
      <c r="F238" s="1" cm="1">
        <f t="array" aca="1" ref="F238" ca="1">INDIRECT(CONCATENATE("'",$A$200,"'!d",B238),1)</f>
        <v>4</v>
      </c>
      <c r="G238" s="1" cm="1">
        <f t="array" aca="1" ref="G238" ca="1">INDIRECT(CONCATENATE("'",$A$200,"'!e",B238),1)</f>
        <v>1</v>
      </c>
      <c r="H238" s="1" cm="1">
        <f t="array" aca="1" ref="H238" ca="1">INDIRECT(CONCATENATE("'",$A$200,"'!f",B238),1)</f>
        <v>20</v>
      </c>
      <c r="I238" s="1" t="str" cm="1">
        <f t="array" aca="1" ref="I238" ca="1">INDIRECT(CONCATENATE("'",$A$200,"'!g",B238),1)</f>
        <v>ЭКЗ</v>
      </c>
      <c r="J238" s="1" cm="1">
        <f t="array" aca="1" ref="J238" ca="1">INDIRECT(CONCATENATE("'",$A$200,"'!h",B238),1)</f>
        <v>9</v>
      </c>
      <c r="K238" s="1" cm="1">
        <f t="array" aca="1" ref="K238" ca="1">INDIRECT(CONCATENATE("'",$A$200,"'!i",B238),1)</f>
        <v>0</v>
      </c>
      <c r="L238" s="1" cm="1">
        <f t="array" aca="1" ref="L238" ca="1">INDIRECT(CONCATENATE("'",$A$200,"'!j",B238),1)</f>
        <v>0</v>
      </c>
      <c r="M238" s="1" cm="1">
        <f t="array" aca="1" ref="M238" ca="1">INDIRECT(CONCATENATE("'",$A$200,"'!k",B238),1)</f>
        <v>0</v>
      </c>
      <c r="N238" s="1" t="str" cm="1">
        <f t="array" aca="1" ref="N238" ca="1">INDIRECT(CONCATENATE("'",$A$200,"'!l",B238),1)</f>
        <v>Эминов С.И.Соколова Г.Ю.Цымбалюк Л.Н.</v>
      </c>
      <c r="O238" s="1" cm="1">
        <f t="array" aca="1" ref="O238" ca="1">INDIRECT(CONCATENATE("'",$A$200,"'!m",B238),1)</f>
        <v>3315</v>
      </c>
      <c r="P238" s="1" t="str" cm="1">
        <f t="array" aca="1" ref="P238" ca="1">INDIRECT(CONCATENATE("'",$A$200,"'!n",B238),1)</f>
        <v>защита дипломных проектов</v>
      </c>
      <c r="Q238" s="1" cm="1">
        <f t="array" aca="1" ref="Q238" ca="1">INDIRECT(CONCATENATE("'",$A$200,"'!o",B238),1)</f>
        <v>18</v>
      </c>
      <c r="R238" s="1" cm="1">
        <f t="array" aca="1" ref="R238" ca="1">INDIRECT(CONCATENATE("'",$A$200,"'!p",B238),1)</f>
        <v>0</v>
      </c>
      <c r="S238" s="1">
        <f t="shared" ca="1" si="16"/>
        <v>0</v>
      </c>
      <c r="T238" s="1" t="str" cm="1">
        <f t="array" aca="1" ref="T238" ca="1">INDIRECT(CONCATENATE("'",$A$200,"'!q",B238),1)</f>
        <v>Эминов С.И.</v>
      </c>
      <c r="U238" s="1" cm="1">
        <f t="array" aca="1" ref="U238" ca="1">INDIRECT(CONCATENATE("'",$A$200,"'!r",B238),1)</f>
        <v>6</v>
      </c>
      <c r="V238" s="1" t="str" cm="1">
        <f t="array" aca="1" ref="V238" ca="1">INDIRECT(CONCATENATE("'",$A$200,"'!s",B238),1)</f>
        <v>Соколова Г.Ю.</v>
      </c>
      <c r="W238" s="1" cm="1">
        <f t="array" aca="1" ref="W238" ca="1">INDIRECT(CONCATENATE("'",$A$200,"'!t",B238),1)</f>
        <v>6</v>
      </c>
      <c r="X238" s="1" t="str" cm="1">
        <f t="array" aca="1" ref="X238" ca="1">INDIRECT(CONCATENATE("'",$A$200,"'!u",B238),1)</f>
        <v>Цымбалюк Л.Н.</v>
      </c>
      <c r="Y238" s="1" cm="1">
        <f t="array" aca="1" ref="Y238" ca="1">INDIRECT(CONCATENATE("'",$A$200,"'!v",B238),1)</f>
        <v>6</v>
      </c>
    </row>
    <row r="239" spans="1:25" customFormat="1" ht="45" hidden="1" x14ac:dyDescent="0.25">
      <c r="A239" s="15"/>
      <c r="B239" s="24">
        <f t="shared" si="17"/>
        <v>41</v>
      </c>
      <c r="C239" s="1" t="str" cm="1">
        <f t="array" aca="1" ref="C239" ca="1">INDIRECT(CONCATENATE("'",$A$200,"'!A",B239),1)</f>
        <v>Выполнение и защита выпускной квалификационной работы</v>
      </c>
      <c r="D239" s="1" t="str" cm="1">
        <f t="array" aca="1" ref="D239" ca="1">INDIRECT(CONCATENATE("'",$A$200,"'!B",B239),1)</f>
        <v xml:space="preserve">09.04.01(09) </v>
      </c>
      <c r="E239" s="1" cm="1">
        <f t="array" aca="1" ref="E239" ca="1">INDIRECT(CONCATENATE("'",$A$200,"'!c",B239),1)</f>
        <v>4095</v>
      </c>
      <c r="F239" s="1" cm="1">
        <f t="array" aca="1" ref="F239" ca="1">INDIRECT(CONCATENATE("'",$A$200,"'!d",B239),1)</f>
        <v>4</v>
      </c>
      <c r="G239" s="1" cm="1">
        <f t="array" aca="1" ref="G239" ca="1">INDIRECT(CONCATENATE("'",$A$200,"'!e",B239),1)</f>
        <v>1</v>
      </c>
      <c r="H239" s="1" cm="1">
        <f t="array" aca="1" ref="H239" ca="1">INDIRECT(CONCATENATE("'",$A$200,"'!f",B239),1)</f>
        <v>20</v>
      </c>
      <c r="I239" s="1" t="str" cm="1">
        <f t="array" aca="1" ref="I239" ca="1">INDIRECT(CONCATENATE("'",$A$200,"'!g",B239),1)</f>
        <v>ЭКЗ</v>
      </c>
      <c r="J239" s="1" cm="1">
        <f t="array" aca="1" ref="J239" ca="1">INDIRECT(CONCATENATE("'",$A$200,"'!h",B239),1)</f>
        <v>9</v>
      </c>
      <c r="K239" s="1" cm="1">
        <f t="array" aca="1" ref="K239" ca="1">INDIRECT(CONCATENATE("'",$A$200,"'!i",B239),1)</f>
        <v>0</v>
      </c>
      <c r="L239" s="1" cm="1">
        <f t="array" aca="1" ref="L239" ca="1">INDIRECT(CONCATENATE("'",$A$200,"'!j",B239),1)</f>
        <v>0</v>
      </c>
      <c r="M239" s="1" cm="1">
        <f t="array" aca="1" ref="M239" ca="1">INDIRECT(CONCATENATE("'",$A$200,"'!k",B239),1)</f>
        <v>0</v>
      </c>
      <c r="N239" s="1" t="str" cm="1">
        <f t="array" aca="1" ref="N239" ca="1">INDIRECT(CONCATENATE("'",$A$200,"'!l",B239),1)</f>
        <v>Михайлов Д.В.Соколова Г.Ю.Кулаков И.Ю.</v>
      </c>
      <c r="O239" s="1" cm="1">
        <f t="array" aca="1" ref="O239" ca="1">INDIRECT(CONCATENATE("'",$A$200,"'!m",B239),1)</f>
        <v>3315</v>
      </c>
      <c r="P239" s="1" t="str" cm="1">
        <f t="array" aca="1" ref="P239" ca="1">INDIRECT(CONCATENATE("'",$A$200,"'!n",B239),1)</f>
        <v>предзащита дипломных проектов</v>
      </c>
      <c r="Q239" s="1" cm="1">
        <f t="array" aca="1" ref="Q239" ca="1">INDIRECT(CONCATENATE("'",$A$200,"'!o",B239),1)</f>
        <v>24</v>
      </c>
      <c r="R239" s="1" cm="1">
        <f t="array" aca="1" ref="R239" ca="1">INDIRECT(CONCATENATE("'",$A$200,"'!p",B239),1)</f>
        <v>0</v>
      </c>
      <c r="S239" s="1">
        <f t="shared" ca="1" si="16"/>
        <v>0</v>
      </c>
      <c r="T239" s="1" t="str" cm="1">
        <f t="array" aca="1" ref="T239" ca="1">INDIRECT(CONCATENATE("'",$A$200,"'!q",B239),1)</f>
        <v>Михайлов Д.В.</v>
      </c>
      <c r="U239" s="1" cm="1">
        <f t="array" aca="1" ref="U239" ca="1">INDIRECT(CONCATENATE("'",$A$200,"'!r",B239),1)</f>
        <v>8</v>
      </c>
      <c r="V239" s="1" t="str" cm="1">
        <f t="array" aca="1" ref="V239" ca="1">INDIRECT(CONCATENATE("'",$A$200,"'!s",B239),1)</f>
        <v>Соколова Г.Ю.</v>
      </c>
      <c r="W239" s="1" cm="1">
        <f t="array" aca="1" ref="W239" ca="1">INDIRECT(CONCATENATE("'",$A$200,"'!t",B239),1)</f>
        <v>8</v>
      </c>
      <c r="X239" s="1" t="str" cm="1">
        <f t="array" aca="1" ref="X239" ca="1">INDIRECT(CONCATENATE("'",$A$200,"'!u",B239),1)</f>
        <v>Кулаков И.Ю.</v>
      </c>
      <c r="Y239" s="1" cm="1">
        <f t="array" aca="1" ref="Y239" ca="1">INDIRECT(CONCATENATE("'",$A$200,"'!v",B239),1)</f>
        <v>8</v>
      </c>
    </row>
    <row r="240" spans="1:25" customFormat="1" hidden="1" x14ac:dyDescent="0.25">
      <c r="A240" s="15"/>
      <c r="B240" s="24">
        <f t="shared" si="17"/>
        <v>42</v>
      </c>
      <c r="C240" s="1" cm="1">
        <f t="array" aca="1" ref="C240" ca="1">INDIRECT(CONCATENATE("'",$A$200,"'!A",B240),1)</f>
        <v>0</v>
      </c>
      <c r="D240" s="1" cm="1">
        <f t="array" aca="1" ref="D240" ca="1">INDIRECT(CONCATENATE("'",$A$200,"'!B",B240),1)</f>
        <v>0</v>
      </c>
      <c r="E240" s="1" cm="1">
        <f t="array" aca="1" ref="E240" ca="1">INDIRECT(CONCATENATE("'",$A$200,"'!c",B240),1)</f>
        <v>0</v>
      </c>
      <c r="F240" s="1" cm="1">
        <f t="array" aca="1" ref="F240" ca="1">INDIRECT(CONCATENATE("'",$A$200,"'!d",B240),1)</f>
        <v>0</v>
      </c>
      <c r="G240" s="1" cm="1">
        <f t="array" aca="1" ref="G240" ca="1">INDIRECT(CONCATENATE("'",$A$200,"'!e",B240),1)</f>
        <v>0</v>
      </c>
      <c r="H240" s="1" cm="1">
        <f t="array" aca="1" ref="H240" ca="1">INDIRECT(CONCATENATE("'",$A$200,"'!f",B240),1)</f>
        <v>0</v>
      </c>
      <c r="I240" s="1" cm="1">
        <f t="array" aca="1" ref="I240" ca="1">INDIRECT(CONCATENATE("'",$A$200,"'!g",B240),1)</f>
        <v>0</v>
      </c>
      <c r="J240" s="1" cm="1">
        <f t="array" aca="1" ref="J240" ca="1">INDIRECT(CONCATENATE("'",$A$200,"'!h",B240),1)</f>
        <v>0</v>
      </c>
      <c r="K240" s="1" cm="1">
        <f t="array" aca="1" ref="K240" ca="1">INDIRECT(CONCATENATE("'",$A$200,"'!i",B240),1)</f>
        <v>0</v>
      </c>
      <c r="L240" s="1" cm="1">
        <f t="array" aca="1" ref="L240" ca="1">INDIRECT(CONCATENATE("'",$A$200,"'!j",B240),1)</f>
        <v>0</v>
      </c>
      <c r="M240" s="1" cm="1">
        <f t="array" aca="1" ref="M240" ca="1">INDIRECT(CONCATENATE("'",$A$200,"'!k",B240),1)</f>
        <v>0</v>
      </c>
      <c r="N240" s="1" cm="1">
        <f t="array" aca="1" ref="N240" ca="1">INDIRECT(CONCATENATE("'",$A$200,"'!l",B240),1)</f>
        <v>0</v>
      </c>
      <c r="O240" s="1" cm="1">
        <f t="array" aca="1" ref="O240" ca="1">INDIRECT(CONCATENATE("'",$A$200,"'!m",B240),1)</f>
        <v>0</v>
      </c>
      <c r="P240" s="1" cm="1">
        <f t="array" aca="1" ref="P240" ca="1">INDIRECT(CONCATENATE("'",$A$200,"'!n",B240),1)</f>
        <v>0</v>
      </c>
      <c r="Q240" s="1" cm="1">
        <f t="array" aca="1" ref="Q240" ca="1">INDIRECT(CONCATENATE("'",$A$200,"'!o",B240),1)</f>
        <v>0</v>
      </c>
      <c r="R240" s="1" cm="1">
        <f t="array" aca="1" ref="R240" ca="1">INDIRECT(CONCATENATE("'",$A$200,"'!p",B240),1)</f>
        <v>0</v>
      </c>
      <c r="S240" s="1">
        <f t="shared" ca="1" si="16"/>
        <v>0</v>
      </c>
      <c r="T240" s="1" cm="1">
        <f t="array" aca="1" ref="T240" ca="1">INDIRECT(CONCATENATE("'",$A$200,"'!q",B240),1)</f>
        <v>0</v>
      </c>
      <c r="U240" s="1" cm="1">
        <f t="array" aca="1" ref="U240" ca="1">INDIRECT(CONCATENATE("'",$A$200,"'!r",B240),1)</f>
        <v>0</v>
      </c>
      <c r="V240" s="1" cm="1">
        <f t="array" aca="1" ref="V240" ca="1">INDIRECT(CONCATENATE("'",$A$200,"'!s",B240),1)</f>
        <v>0</v>
      </c>
      <c r="W240" s="1" cm="1">
        <f t="array" aca="1" ref="W240" ca="1">INDIRECT(CONCATENATE("'",$A$200,"'!t",B240),1)</f>
        <v>0</v>
      </c>
      <c r="X240" s="1" cm="1">
        <f t="array" aca="1" ref="X240" ca="1">INDIRECT(CONCATENATE("'",$A$200,"'!u",B240),1)</f>
        <v>0</v>
      </c>
      <c r="Y240" s="1" cm="1">
        <f t="array" aca="1" ref="Y240" ca="1">INDIRECT(CONCATENATE("'",$A$200,"'!v",B240),1)</f>
        <v>0</v>
      </c>
    </row>
    <row r="241" spans="1:25" customFormat="1" hidden="1" x14ac:dyDescent="0.25">
      <c r="A241" s="15"/>
      <c r="B241" s="24">
        <f t="shared" si="17"/>
        <v>43</v>
      </c>
      <c r="C241" s="1" cm="1">
        <f t="array" aca="1" ref="C241" ca="1">INDIRECT(CONCATENATE("'",$A$200,"'!A",B241),1)</f>
        <v>0</v>
      </c>
      <c r="D241" s="1" cm="1">
        <f t="array" aca="1" ref="D241" ca="1">INDIRECT(CONCATENATE("'",$A$200,"'!B",B241),1)</f>
        <v>0</v>
      </c>
      <c r="E241" s="1" cm="1">
        <f t="array" aca="1" ref="E241" ca="1">INDIRECT(CONCATENATE("'",$A$200,"'!c",B241),1)</f>
        <v>0</v>
      </c>
      <c r="F241" s="1" cm="1">
        <f t="array" aca="1" ref="F241" ca="1">INDIRECT(CONCATENATE("'",$A$200,"'!d",B241),1)</f>
        <v>0</v>
      </c>
      <c r="G241" s="1" cm="1">
        <f t="array" aca="1" ref="G241" ca="1">INDIRECT(CONCATENATE("'",$A$200,"'!e",B241),1)</f>
        <v>0</v>
      </c>
      <c r="H241" s="1" cm="1">
        <f t="array" aca="1" ref="H241" ca="1">INDIRECT(CONCATENATE("'",$A$200,"'!f",B241),1)</f>
        <v>0</v>
      </c>
      <c r="I241" s="1" cm="1">
        <f t="array" aca="1" ref="I241" ca="1">INDIRECT(CONCATENATE("'",$A$200,"'!g",B241),1)</f>
        <v>0</v>
      </c>
      <c r="J241" s="1" cm="1">
        <f t="array" aca="1" ref="J241" ca="1">INDIRECT(CONCATENATE("'",$A$200,"'!h",B241),1)</f>
        <v>0</v>
      </c>
      <c r="K241" s="1" cm="1">
        <f t="array" aca="1" ref="K241" ca="1">INDIRECT(CONCATENATE("'",$A$200,"'!i",B241),1)</f>
        <v>0</v>
      </c>
      <c r="L241" s="1" cm="1">
        <f t="array" aca="1" ref="L241" ca="1">INDIRECT(CONCATENATE("'",$A$200,"'!j",B241),1)</f>
        <v>0</v>
      </c>
      <c r="M241" s="1" cm="1">
        <f t="array" aca="1" ref="M241" ca="1">INDIRECT(CONCATENATE("'",$A$200,"'!k",B241),1)</f>
        <v>0</v>
      </c>
      <c r="N241" s="1" cm="1">
        <f t="array" aca="1" ref="N241" ca="1">INDIRECT(CONCATENATE("'",$A$200,"'!l",B241),1)</f>
        <v>0</v>
      </c>
      <c r="O241" s="1" cm="1">
        <f t="array" aca="1" ref="O241" ca="1">INDIRECT(CONCATENATE("'",$A$200,"'!m",B241),1)</f>
        <v>0</v>
      </c>
      <c r="P241" s="1" cm="1">
        <f t="array" aca="1" ref="P241" ca="1">INDIRECT(CONCATENATE("'",$A$200,"'!n",B241),1)</f>
        <v>0</v>
      </c>
      <c r="Q241" s="1" cm="1">
        <f t="array" aca="1" ref="Q241" ca="1">INDIRECT(CONCATENATE("'",$A$200,"'!o",B241),1)</f>
        <v>0</v>
      </c>
      <c r="R241" s="1" cm="1">
        <f t="array" aca="1" ref="R241" ca="1">INDIRECT(CONCATENATE("'",$A$200,"'!p",B241),1)</f>
        <v>0</v>
      </c>
      <c r="S241" s="1">
        <f t="shared" ca="1" si="16"/>
        <v>0</v>
      </c>
      <c r="T241" s="1" cm="1">
        <f t="array" aca="1" ref="T241" ca="1">INDIRECT(CONCATENATE("'",$A$200,"'!q",B241),1)</f>
        <v>0</v>
      </c>
      <c r="U241" s="1" cm="1">
        <f t="array" aca="1" ref="U241" ca="1">INDIRECT(CONCATENATE("'",$A$200,"'!r",B241),1)</f>
        <v>0</v>
      </c>
      <c r="V241" s="1" cm="1">
        <f t="array" aca="1" ref="V241" ca="1">INDIRECT(CONCATENATE("'",$A$200,"'!s",B241),1)</f>
        <v>0</v>
      </c>
      <c r="W241" s="1" cm="1">
        <f t="array" aca="1" ref="W241" ca="1">INDIRECT(CONCATENATE("'",$A$200,"'!t",B241),1)</f>
        <v>0</v>
      </c>
      <c r="X241" s="1" cm="1">
        <f t="array" aca="1" ref="X241" ca="1">INDIRECT(CONCATENATE("'",$A$200,"'!u",B241),1)</f>
        <v>0</v>
      </c>
      <c r="Y241" s="1" cm="1">
        <f t="array" aca="1" ref="Y241" ca="1">INDIRECT(CONCATENATE("'",$A$200,"'!v",B241),1)</f>
        <v>0</v>
      </c>
    </row>
    <row r="242" spans="1:25" customFormat="1" hidden="1" x14ac:dyDescent="0.25">
      <c r="A242" s="15"/>
      <c r="B242" s="24">
        <f t="shared" si="17"/>
        <v>44</v>
      </c>
      <c r="C242" s="1" cm="1">
        <f t="array" aca="1" ref="C242" ca="1">INDIRECT(CONCATENATE("'",$A$200,"'!A",B242),1)</f>
        <v>0</v>
      </c>
      <c r="D242" s="1" cm="1">
        <f t="array" aca="1" ref="D242" ca="1">INDIRECT(CONCATENATE("'",$A$200,"'!B",B242),1)</f>
        <v>0</v>
      </c>
      <c r="E242" s="1" cm="1">
        <f t="array" aca="1" ref="E242" ca="1">INDIRECT(CONCATENATE("'",$A$200,"'!c",B242),1)</f>
        <v>0</v>
      </c>
      <c r="F242" s="1" cm="1">
        <f t="array" aca="1" ref="F242" ca="1">INDIRECT(CONCATENATE("'",$A$200,"'!d",B242),1)</f>
        <v>0</v>
      </c>
      <c r="G242" s="1" cm="1">
        <f t="array" aca="1" ref="G242" ca="1">INDIRECT(CONCATENATE("'",$A$200,"'!e",B242),1)</f>
        <v>0</v>
      </c>
      <c r="H242" s="1" cm="1">
        <f t="array" aca="1" ref="H242" ca="1">INDIRECT(CONCATENATE("'",$A$200,"'!f",B242),1)</f>
        <v>0</v>
      </c>
      <c r="I242" s="1" cm="1">
        <f t="array" aca="1" ref="I242" ca="1">INDIRECT(CONCATENATE("'",$A$200,"'!g",B242),1)</f>
        <v>0</v>
      </c>
      <c r="J242" s="1" cm="1">
        <f t="array" aca="1" ref="J242" ca="1">INDIRECT(CONCATENATE("'",$A$200,"'!h",B242),1)</f>
        <v>0</v>
      </c>
      <c r="K242" s="1" cm="1">
        <f t="array" aca="1" ref="K242" ca="1">INDIRECT(CONCATENATE("'",$A$200,"'!i",B242),1)</f>
        <v>0</v>
      </c>
      <c r="L242" s="1" cm="1">
        <f t="array" aca="1" ref="L242" ca="1">INDIRECT(CONCATENATE("'",$A$200,"'!j",B242),1)</f>
        <v>0</v>
      </c>
      <c r="M242" s="1" cm="1">
        <f t="array" aca="1" ref="M242" ca="1">INDIRECT(CONCATENATE("'",$A$200,"'!k",B242),1)</f>
        <v>0</v>
      </c>
      <c r="N242" s="1" cm="1">
        <f t="array" aca="1" ref="N242" ca="1">INDIRECT(CONCATENATE("'",$A$200,"'!l",B242),1)</f>
        <v>0</v>
      </c>
      <c r="O242" s="1" cm="1">
        <f t="array" aca="1" ref="O242" ca="1">INDIRECT(CONCATENATE("'",$A$200,"'!m",B242),1)</f>
        <v>0</v>
      </c>
      <c r="P242" s="1" cm="1">
        <f t="array" aca="1" ref="P242" ca="1">INDIRECT(CONCATENATE("'",$A$200,"'!n",B242),1)</f>
        <v>0</v>
      </c>
      <c r="Q242" s="1" cm="1">
        <f t="array" aca="1" ref="Q242" ca="1">INDIRECT(CONCATENATE("'",$A$200,"'!o",B242),1)</f>
        <v>0</v>
      </c>
      <c r="R242" s="1" cm="1">
        <f t="array" aca="1" ref="R242" ca="1">INDIRECT(CONCATENATE("'",$A$200,"'!p",B242),1)</f>
        <v>0</v>
      </c>
      <c r="S242" s="1">
        <f t="shared" ca="1" si="16"/>
        <v>0</v>
      </c>
      <c r="T242" s="1" cm="1">
        <f t="array" aca="1" ref="T242" ca="1">INDIRECT(CONCATENATE("'",$A$200,"'!q",B242),1)</f>
        <v>0</v>
      </c>
      <c r="U242" s="1" cm="1">
        <f t="array" aca="1" ref="U242" ca="1">INDIRECT(CONCATENATE("'",$A$200,"'!r",B242),1)</f>
        <v>0</v>
      </c>
      <c r="V242" s="1" cm="1">
        <f t="array" aca="1" ref="V242" ca="1">INDIRECT(CONCATENATE("'",$A$200,"'!s",B242),1)</f>
        <v>0</v>
      </c>
      <c r="W242" s="1" cm="1">
        <f t="array" aca="1" ref="W242" ca="1">INDIRECT(CONCATENATE("'",$A$200,"'!t",B242),1)</f>
        <v>0</v>
      </c>
      <c r="X242" s="1" cm="1">
        <f t="array" aca="1" ref="X242" ca="1">INDIRECT(CONCATENATE("'",$A$200,"'!u",B242),1)</f>
        <v>0</v>
      </c>
      <c r="Y242" s="1" cm="1">
        <f t="array" aca="1" ref="Y242" ca="1">INDIRECT(CONCATENATE("'",$A$200,"'!v",B242),1)</f>
        <v>0</v>
      </c>
    </row>
    <row r="243" spans="1:25" customFormat="1" hidden="1" x14ac:dyDescent="0.25">
      <c r="A243" s="15"/>
      <c r="B243" s="24">
        <f t="shared" si="17"/>
        <v>45</v>
      </c>
      <c r="C243" s="1" cm="1">
        <f t="array" aca="1" ref="C243" ca="1">INDIRECT(CONCATENATE("'",$A$200,"'!A",B243),1)</f>
        <v>0</v>
      </c>
      <c r="D243" s="1" cm="1">
        <f t="array" aca="1" ref="D243" ca="1">INDIRECT(CONCATENATE("'",$A$200,"'!B",B243),1)</f>
        <v>0</v>
      </c>
      <c r="E243" s="1" cm="1">
        <f t="array" aca="1" ref="E243" ca="1">INDIRECT(CONCATENATE("'",$A$200,"'!c",B243),1)</f>
        <v>0</v>
      </c>
      <c r="F243" s="1" cm="1">
        <f t="array" aca="1" ref="F243" ca="1">INDIRECT(CONCATENATE("'",$A$200,"'!d",B243),1)</f>
        <v>0</v>
      </c>
      <c r="G243" s="1" cm="1">
        <f t="array" aca="1" ref="G243" ca="1">INDIRECT(CONCATENATE("'",$A$200,"'!e",B243),1)</f>
        <v>0</v>
      </c>
      <c r="H243" s="1" cm="1">
        <f t="array" aca="1" ref="H243" ca="1">INDIRECT(CONCATENATE("'",$A$200,"'!f",B243),1)</f>
        <v>0</v>
      </c>
      <c r="I243" s="1" cm="1">
        <f t="array" aca="1" ref="I243" ca="1">INDIRECT(CONCATENATE("'",$A$200,"'!g",B243),1)</f>
        <v>0</v>
      </c>
      <c r="J243" s="1" cm="1">
        <f t="array" aca="1" ref="J243" ca="1">INDIRECT(CONCATENATE("'",$A$200,"'!h",B243),1)</f>
        <v>0</v>
      </c>
      <c r="K243" s="1" cm="1">
        <f t="array" aca="1" ref="K243" ca="1">INDIRECT(CONCATENATE("'",$A$200,"'!i",B243),1)</f>
        <v>0</v>
      </c>
      <c r="L243" s="1" cm="1">
        <f t="array" aca="1" ref="L243" ca="1">INDIRECT(CONCATENATE("'",$A$200,"'!j",B243),1)</f>
        <v>0</v>
      </c>
      <c r="M243" s="1" cm="1">
        <f t="array" aca="1" ref="M243" ca="1">INDIRECT(CONCATENATE("'",$A$200,"'!k",B243),1)</f>
        <v>0</v>
      </c>
      <c r="N243" s="1" cm="1">
        <f t="array" aca="1" ref="N243" ca="1">INDIRECT(CONCATENATE("'",$A$200,"'!l",B243),1)</f>
        <v>0</v>
      </c>
      <c r="O243" s="1" cm="1">
        <f t="array" aca="1" ref="O243" ca="1">INDIRECT(CONCATENATE("'",$A$200,"'!m",B243),1)</f>
        <v>0</v>
      </c>
      <c r="P243" s="1" cm="1">
        <f t="array" aca="1" ref="P243" ca="1">INDIRECT(CONCATENATE("'",$A$200,"'!n",B243),1)</f>
        <v>0</v>
      </c>
      <c r="Q243" s="1" cm="1">
        <f t="array" aca="1" ref="Q243" ca="1">INDIRECT(CONCATENATE("'",$A$200,"'!o",B243),1)</f>
        <v>0</v>
      </c>
      <c r="R243" s="1" cm="1">
        <f t="array" aca="1" ref="R243" ca="1">INDIRECT(CONCATENATE("'",$A$200,"'!p",B243),1)</f>
        <v>0</v>
      </c>
      <c r="S243" s="1">
        <f t="shared" ca="1" si="16"/>
        <v>0</v>
      </c>
      <c r="T243" s="1" cm="1">
        <f t="array" aca="1" ref="T243" ca="1">INDIRECT(CONCATENATE("'",$A$200,"'!q",B243),1)</f>
        <v>0</v>
      </c>
      <c r="U243" s="1" cm="1">
        <f t="array" aca="1" ref="U243" ca="1">INDIRECT(CONCATENATE("'",$A$200,"'!r",B243),1)</f>
        <v>0</v>
      </c>
      <c r="V243" s="1" cm="1">
        <f t="array" aca="1" ref="V243" ca="1">INDIRECT(CONCATENATE("'",$A$200,"'!s",B243),1)</f>
        <v>0</v>
      </c>
      <c r="W243" s="1" cm="1">
        <f t="array" aca="1" ref="W243" ca="1">INDIRECT(CONCATENATE("'",$A$200,"'!t",B243),1)</f>
        <v>0</v>
      </c>
      <c r="X243" s="1" cm="1">
        <f t="array" aca="1" ref="X243" ca="1">INDIRECT(CONCATENATE("'",$A$200,"'!u",B243),1)</f>
        <v>0</v>
      </c>
      <c r="Y243" s="1" cm="1">
        <f t="array" aca="1" ref="Y243" ca="1">INDIRECT(CONCATENATE("'",$A$200,"'!v",B243),1)</f>
        <v>0</v>
      </c>
    </row>
    <row r="244" spans="1:25" customFormat="1" hidden="1" x14ac:dyDescent="0.25">
      <c r="A244" s="15"/>
      <c r="B244" s="24">
        <f t="shared" si="17"/>
        <v>46</v>
      </c>
      <c r="C244" s="1" cm="1">
        <f t="array" aca="1" ref="C244" ca="1">INDIRECT(CONCATENATE("'",$A$200,"'!A",B244),1)</f>
        <v>0</v>
      </c>
      <c r="D244" s="1" cm="1">
        <f t="array" aca="1" ref="D244" ca="1">INDIRECT(CONCATENATE("'",$A$200,"'!B",B244),1)</f>
        <v>0</v>
      </c>
      <c r="E244" s="1" cm="1">
        <f t="array" aca="1" ref="E244" ca="1">INDIRECT(CONCATENATE("'",$A$200,"'!c",B244),1)</f>
        <v>0</v>
      </c>
      <c r="F244" s="1" cm="1">
        <f t="array" aca="1" ref="F244" ca="1">INDIRECT(CONCATENATE("'",$A$200,"'!d",B244),1)</f>
        <v>0</v>
      </c>
      <c r="G244" s="1" cm="1">
        <f t="array" aca="1" ref="G244" ca="1">INDIRECT(CONCATENATE("'",$A$200,"'!e",B244),1)</f>
        <v>0</v>
      </c>
      <c r="H244" s="1" cm="1">
        <f t="array" aca="1" ref="H244" ca="1">INDIRECT(CONCATENATE("'",$A$200,"'!f",B244),1)</f>
        <v>0</v>
      </c>
      <c r="I244" s="1" cm="1">
        <f t="array" aca="1" ref="I244" ca="1">INDIRECT(CONCATENATE("'",$A$200,"'!g",B244),1)</f>
        <v>0</v>
      </c>
      <c r="J244" s="1" cm="1">
        <f t="array" aca="1" ref="J244" ca="1">INDIRECT(CONCATENATE("'",$A$200,"'!h",B244),1)</f>
        <v>0</v>
      </c>
      <c r="K244" s="1" cm="1">
        <f t="array" aca="1" ref="K244" ca="1">INDIRECT(CONCATENATE("'",$A$200,"'!i",B244),1)</f>
        <v>0</v>
      </c>
      <c r="L244" s="1" cm="1">
        <f t="array" aca="1" ref="L244" ca="1">INDIRECT(CONCATENATE("'",$A$200,"'!j",B244),1)</f>
        <v>0</v>
      </c>
      <c r="M244" s="1" cm="1">
        <f t="array" aca="1" ref="M244" ca="1">INDIRECT(CONCATENATE("'",$A$200,"'!k",B244),1)</f>
        <v>0</v>
      </c>
      <c r="N244" s="1" cm="1">
        <f t="array" aca="1" ref="N244" ca="1">INDIRECT(CONCATENATE("'",$A$200,"'!l",B244),1)</f>
        <v>0</v>
      </c>
      <c r="O244" s="1" cm="1">
        <f t="array" aca="1" ref="O244" ca="1">INDIRECT(CONCATENATE("'",$A$200,"'!m",B244),1)</f>
        <v>0</v>
      </c>
      <c r="P244" s="1" cm="1">
        <f t="array" aca="1" ref="P244" ca="1">INDIRECT(CONCATENATE("'",$A$200,"'!n",B244),1)</f>
        <v>0</v>
      </c>
      <c r="Q244" s="1" cm="1">
        <f t="array" aca="1" ref="Q244" ca="1">INDIRECT(CONCATENATE("'",$A$200,"'!o",B244),1)</f>
        <v>0</v>
      </c>
      <c r="R244" s="1" cm="1">
        <f t="array" aca="1" ref="R244" ca="1">INDIRECT(CONCATENATE("'",$A$200,"'!p",B244),1)</f>
        <v>0</v>
      </c>
      <c r="S244" s="1">
        <f t="shared" ca="1" si="16"/>
        <v>0</v>
      </c>
      <c r="T244" s="1" cm="1">
        <f t="array" aca="1" ref="T244" ca="1">INDIRECT(CONCATENATE("'",$A$200,"'!q",B244),1)</f>
        <v>0</v>
      </c>
      <c r="U244" s="1" cm="1">
        <f t="array" aca="1" ref="U244" ca="1">INDIRECT(CONCATENATE("'",$A$200,"'!r",B244),1)</f>
        <v>0</v>
      </c>
      <c r="V244" s="1" cm="1">
        <f t="array" aca="1" ref="V244" ca="1">INDIRECT(CONCATENATE("'",$A$200,"'!s",B244),1)</f>
        <v>0</v>
      </c>
      <c r="W244" s="1" cm="1">
        <f t="array" aca="1" ref="W244" ca="1">INDIRECT(CONCATENATE("'",$A$200,"'!t",B244),1)</f>
        <v>0</v>
      </c>
      <c r="X244" s="1" cm="1">
        <f t="array" aca="1" ref="X244" ca="1">INDIRECT(CONCATENATE("'",$A$200,"'!u",B244),1)</f>
        <v>0</v>
      </c>
      <c r="Y244" s="1" cm="1">
        <f t="array" aca="1" ref="Y244" ca="1">INDIRECT(CONCATENATE("'",$A$200,"'!v",B244),1)</f>
        <v>0</v>
      </c>
    </row>
    <row r="245" spans="1:25" customFormat="1" hidden="1" x14ac:dyDescent="0.25">
      <c r="A245" s="15"/>
      <c r="B245" s="24">
        <f t="shared" si="17"/>
        <v>47</v>
      </c>
      <c r="C245" s="1" cm="1">
        <f t="array" aca="1" ref="C245" ca="1">INDIRECT(CONCATENATE("'",$A$200,"'!A",B245),1)</f>
        <v>0</v>
      </c>
      <c r="D245" s="1" cm="1">
        <f t="array" aca="1" ref="D245" ca="1">INDIRECT(CONCATENATE("'",$A$200,"'!B",B245),1)</f>
        <v>0</v>
      </c>
      <c r="E245" s="1" cm="1">
        <f t="array" aca="1" ref="E245" ca="1">INDIRECT(CONCATENATE("'",$A$200,"'!c",B245),1)</f>
        <v>0</v>
      </c>
      <c r="F245" s="1" cm="1">
        <f t="array" aca="1" ref="F245" ca="1">INDIRECT(CONCATENATE("'",$A$200,"'!d",B245),1)</f>
        <v>0</v>
      </c>
      <c r="G245" s="1" cm="1">
        <f t="array" aca="1" ref="G245" ca="1">INDIRECT(CONCATENATE("'",$A$200,"'!e",B245),1)</f>
        <v>0</v>
      </c>
      <c r="H245" s="1" cm="1">
        <f t="array" aca="1" ref="H245" ca="1">INDIRECT(CONCATENATE("'",$A$200,"'!f",B245),1)</f>
        <v>0</v>
      </c>
      <c r="I245" s="1" cm="1">
        <f t="array" aca="1" ref="I245" ca="1">INDIRECT(CONCATENATE("'",$A$200,"'!g",B245),1)</f>
        <v>0</v>
      </c>
      <c r="J245" s="1" cm="1">
        <f t="array" aca="1" ref="J245" ca="1">INDIRECT(CONCATENATE("'",$A$200,"'!h",B245),1)</f>
        <v>0</v>
      </c>
      <c r="K245" s="1" cm="1">
        <f t="array" aca="1" ref="K245" ca="1">INDIRECT(CONCATENATE("'",$A$200,"'!i",B245),1)</f>
        <v>0</v>
      </c>
      <c r="L245" s="1" cm="1">
        <f t="array" aca="1" ref="L245" ca="1">INDIRECT(CONCATENATE("'",$A$200,"'!j",B245),1)</f>
        <v>0</v>
      </c>
      <c r="M245" s="1" cm="1">
        <f t="array" aca="1" ref="M245" ca="1">INDIRECT(CONCATENATE("'",$A$200,"'!k",B245),1)</f>
        <v>0</v>
      </c>
      <c r="N245" s="1" cm="1">
        <f t="array" aca="1" ref="N245" ca="1">INDIRECT(CONCATENATE("'",$A$200,"'!l",B245),1)</f>
        <v>0</v>
      </c>
      <c r="O245" s="1" cm="1">
        <f t="array" aca="1" ref="O245" ca="1">INDIRECT(CONCATENATE("'",$A$200,"'!m",B245),1)</f>
        <v>0</v>
      </c>
      <c r="P245" s="1" cm="1">
        <f t="array" aca="1" ref="P245" ca="1">INDIRECT(CONCATENATE("'",$A$200,"'!n",B245),1)</f>
        <v>0</v>
      </c>
      <c r="Q245" s="1" cm="1">
        <f t="array" aca="1" ref="Q245" ca="1">INDIRECT(CONCATENATE("'",$A$200,"'!o",B245),1)</f>
        <v>0</v>
      </c>
      <c r="R245" s="1" cm="1">
        <f t="array" aca="1" ref="R245" ca="1">INDIRECT(CONCATENATE("'",$A$200,"'!p",B245),1)</f>
        <v>0</v>
      </c>
      <c r="S245" s="1">
        <f t="shared" ca="1" si="16"/>
        <v>0</v>
      </c>
      <c r="T245" s="1" cm="1">
        <f t="array" aca="1" ref="T245" ca="1">INDIRECT(CONCATENATE("'",$A$200,"'!q",B245),1)</f>
        <v>0</v>
      </c>
      <c r="U245" s="1" cm="1">
        <f t="array" aca="1" ref="U245" ca="1">INDIRECT(CONCATENATE("'",$A$200,"'!r",B245),1)</f>
        <v>0</v>
      </c>
      <c r="V245" s="1" cm="1">
        <f t="array" aca="1" ref="V245" ca="1">INDIRECT(CONCATENATE("'",$A$200,"'!s",B245),1)</f>
        <v>0</v>
      </c>
      <c r="W245" s="1" cm="1">
        <f t="array" aca="1" ref="W245" ca="1">INDIRECT(CONCATENATE("'",$A$200,"'!t",B245),1)</f>
        <v>0</v>
      </c>
      <c r="X245" s="1" cm="1">
        <f t="array" aca="1" ref="X245" ca="1">INDIRECT(CONCATENATE("'",$A$200,"'!u",B245),1)</f>
        <v>0</v>
      </c>
      <c r="Y245" s="1" cm="1">
        <f t="array" aca="1" ref="Y245" ca="1">INDIRECT(CONCATENATE("'",$A$200,"'!v",B245),1)</f>
        <v>0</v>
      </c>
    </row>
    <row r="246" spans="1:25" customFormat="1" hidden="1" x14ac:dyDescent="0.25">
      <c r="A246" s="15"/>
      <c r="B246" s="24">
        <f t="shared" si="17"/>
        <v>48</v>
      </c>
      <c r="C246" s="1" cm="1">
        <f t="array" aca="1" ref="C246" ca="1">INDIRECT(CONCATENATE("'",$A$200,"'!A",B246),1)</f>
        <v>0</v>
      </c>
      <c r="D246" s="1" cm="1">
        <f t="array" aca="1" ref="D246" ca="1">INDIRECT(CONCATENATE("'",$A$200,"'!B",B246),1)</f>
        <v>0</v>
      </c>
      <c r="E246" s="1" cm="1">
        <f t="array" aca="1" ref="E246" ca="1">INDIRECT(CONCATENATE("'",$A$200,"'!c",B246),1)</f>
        <v>0</v>
      </c>
      <c r="F246" s="1" cm="1">
        <f t="array" aca="1" ref="F246" ca="1">INDIRECT(CONCATENATE("'",$A$200,"'!d",B246),1)</f>
        <v>0</v>
      </c>
      <c r="G246" s="1" cm="1">
        <f t="array" aca="1" ref="G246" ca="1">INDIRECT(CONCATENATE("'",$A$200,"'!e",B246),1)</f>
        <v>0</v>
      </c>
      <c r="H246" s="1" cm="1">
        <f t="array" aca="1" ref="H246" ca="1">INDIRECT(CONCATENATE("'",$A$200,"'!f",B246),1)</f>
        <v>0</v>
      </c>
      <c r="I246" s="1" cm="1">
        <f t="array" aca="1" ref="I246" ca="1">INDIRECT(CONCATENATE("'",$A$200,"'!g",B246),1)</f>
        <v>0</v>
      </c>
      <c r="J246" s="1" cm="1">
        <f t="array" aca="1" ref="J246" ca="1">INDIRECT(CONCATENATE("'",$A$200,"'!h",B246),1)</f>
        <v>0</v>
      </c>
      <c r="K246" s="1" cm="1">
        <f t="array" aca="1" ref="K246" ca="1">INDIRECT(CONCATENATE("'",$A$200,"'!i",B246),1)</f>
        <v>0</v>
      </c>
      <c r="L246" s="1" cm="1">
        <f t="array" aca="1" ref="L246" ca="1">INDIRECT(CONCATENATE("'",$A$200,"'!j",B246),1)</f>
        <v>0</v>
      </c>
      <c r="M246" s="1" cm="1">
        <f t="array" aca="1" ref="M246" ca="1">INDIRECT(CONCATENATE("'",$A$200,"'!k",B246),1)</f>
        <v>0</v>
      </c>
      <c r="N246" s="1" cm="1">
        <f t="array" aca="1" ref="N246" ca="1">INDIRECT(CONCATENATE("'",$A$200,"'!l",B246),1)</f>
        <v>0</v>
      </c>
      <c r="O246" s="1" cm="1">
        <f t="array" aca="1" ref="O246" ca="1">INDIRECT(CONCATENATE("'",$A$200,"'!m",B246),1)</f>
        <v>0</v>
      </c>
      <c r="P246" s="1" cm="1">
        <f t="array" aca="1" ref="P246" ca="1">INDIRECT(CONCATENATE("'",$A$200,"'!n",B246),1)</f>
        <v>0</v>
      </c>
      <c r="Q246" s="1" cm="1">
        <f t="array" aca="1" ref="Q246" ca="1">INDIRECT(CONCATENATE("'",$A$200,"'!o",B246),1)</f>
        <v>0</v>
      </c>
      <c r="R246" s="1" cm="1">
        <f t="array" aca="1" ref="R246" ca="1">INDIRECT(CONCATENATE("'",$A$200,"'!p",B246),1)</f>
        <v>0</v>
      </c>
      <c r="S246" s="1">
        <f t="shared" ca="1" si="16"/>
        <v>0</v>
      </c>
      <c r="T246" s="1" cm="1">
        <f t="array" aca="1" ref="T246" ca="1">INDIRECT(CONCATENATE("'",$A$200,"'!q",B246),1)</f>
        <v>0</v>
      </c>
      <c r="U246" s="1" cm="1">
        <f t="array" aca="1" ref="U246" ca="1">INDIRECT(CONCATENATE("'",$A$200,"'!r",B246),1)</f>
        <v>0</v>
      </c>
      <c r="V246" s="1" cm="1">
        <f t="array" aca="1" ref="V246" ca="1">INDIRECT(CONCATENATE("'",$A$200,"'!s",B246),1)</f>
        <v>0</v>
      </c>
      <c r="W246" s="1" cm="1">
        <f t="array" aca="1" ref="W246" ca="1">INDIRECT(CONCATENATE("'",$A$200,"'!t",B246),1)</f>
        <v>0</v>
      </c>
      <c r="X246" s="1" cm="1">
        <f t="array" aca="1" ref="X246" ca="1">INDIRECT(CONCATENATE("'",$A$200,"'!u",B246),1)</f>
        <v>0</v>
      </c>
      <c r="Y246" s="1" cm="1">
        <f t="array" aca="1" ref="Y246" ca="1">INDIRECT(CONCATENATE("'",$A$200,"'!v",B246),1)</f>
        <v>0</v>
      </c>
    </row>
    <row r="247" spans="1:25" customFormat="1" hidden="1" x14ac:dyDescent="0.25">
      <c r="A247" s="15"/>
      <c r="B247" s="24">
        <f t="shared" si="17"/>
        <v>49</v>
      </c>
      <c r="C247" s="1" cm="1">
        <f t="array" aca="1" ref="C247" ca="1">INDIRECT(CONCATENATE("'",$A$200,"'!A",B247),1)</f>
        <v>0</v>
      </c>
      <c r="D247" s="1" cm="1">
        <f t="array" aca="1" ref="D247" ca="1">INDIRECT(CONCATENATE("'",$A$200,"'!B",B247),1)</f>
        <v>0</v>
      </c>
      <c r="E247" s="1" cm="1">
        <f t="array" aca="1" ref="E247" ca="1">INDIRECT(CONCATENATE("'",$A$200,"'!c",B247),1)</f>
        <v>0</v>
      </c>
      <c r="F247" s="1" cm="1">
        <f t="array" aca="1" ref="F247" ca="1">INDIRECT(CONCATENATE("'",$A$200,"'!d",B247),1)</f>
        <v>0</v>
      </c>
      <c r="G247" s="1" cm="1">
        <f t="array" aca="1" ref="G247" ca="1">INDIRECT(CONCATENATE("'",$A$200,"'!e",B247),1)</f>
        <v>0</v>
      </c>
      <c r="H247" s="1" cm="1">
        <f t="array" aca="1" ref="H247" ca="1">INDIRECT(CONCATENATE("'",$A$200,"'!f",B247),1)</f>
        <v>0</v>
      </c>
      <c r="I247" s="1" cm="1">
        <f t="array" aca="1" ref="I247" ca="1">INDIRECT(CONCATENATE("'",$A$200,"'!g",B247),1)</f>
        <v>0</v>
      </c>
      <c r="J247" s="1" cm="1">
        <f t="array" aca="1" ref="J247" ca="1">INDIRECT(CONCATENATE("'",$A$200,"'!h",B247),1)</f>
        <v>0</v>
      </c>
      <c r="K247" s="1" cm="1">
        <f t="array" aca="1" ref="K247" ca="1">INDIRECT(CONCATENATE("'",$A$200,"'!i",B247),1)</f>
        <v>0</v>
      </c>
      <c r="L247" s="1" cm="1">
        <f t="array" aca="1" ref="L247" ca="1">INDIRECT(CONCATENATE("'",$A$200,"'!j",B247),1)</f>
        <v>0</v>
      </c>
      <c r="M247" s="1" cm="1">
        <f t="array" aca="1" ref="M247" ca="1">INDIRECT(CONCATENATE("'",$A$200,"'!k",B247),1)</f>
        <v>0</v>
      </c>
      <c r="N247" s="1" cm="1">
        <f t="array" aca="1" ref="N247" ca="1">INDIRECT(CONCATENATE("'",$A$200,"'!l",B247),1)</f>
        <v>0</v>
      </c>
      <c r="O247" s="1" cm="1">
        <f t="array" aca="1" ref="O247" ca="1">INDIRECT(CONCATENATE("'",$A$200,"'!m",B247),1)</f>
        <v>0</v>
      </c>
      <c r="P247" s="1" cm="1">
        <f t="array" aca="1" ref="P247" ca="1">INDIRECT(CONCATENATE("'",$A$200,"'!n",B247),1)</f>
        <v>0</v>
      </c>
      <c r="Q247" s="1" cm="1">
        <f t="array" aca="1" ref="Q247" ca="1">INDIRECT(CONCATENATE("'",$A$200,"'!o",B247),1)</f>
        <v>0</v>
      </c>
      <c r="R247" s="1" cm="1">
        <f t="array" aca="1" ref="R247" ca="1">INDIRECT(CONCATENATE("'",$A$200,"'!p",B247),1)</f>
        <v>0</v>
      </c>
      <c r="S247" s="1">
        <f t="shared" ca="1" si="16"/>
        <v>0</v>
      </c>
      <c r="T247" s="1" cm="1">
        <f t="array" aca="1" ref="T247" ca="1">INDIRECT(CONCATENATE("'",$A$200,"'!q",B247),1)</f>
        <v>0</v>
      </c>
      <c r="U247" s="1" cm="1">
        <f t="array" aca="1" ref="U247" ca="1">INDIRECT(CONCATENATE("'",$A$200,"'!r",B247),1)</f>
        <v>0</v>
      </c>
      <c r="V247" s="1" cm="1">
        <f t="array" aca="1" ref="V247" ca="1">INDIRECT(CONCATENATE("'",$A$200,"'!s",B247),1)</f>
        <v>0</v>
      </c>
      <c r="W247" s="1" cm="1">
        <f t="array" aca="1" ref="W247" ca="1">INDIRECT(CONCATENATE("'",$A$200,"'!t",B247),1)</f>
        <v>0</v>
      </c>
      <c r="X247" s="1" cm="1">
        <f t="array" aca="1" ref="X247" ca="1">INDIRECT(CONCATENATE("'",$A$200,"'!u",B247),1)</f>
        <v>0</v>
      </c>
      <c r="Y247" s="1" cm="1">
        <f t="array" aca="1" ref="Y247" ca="1">INDIRECT(CONCATENATE("'",$A$200,"'!v",B247),1)</f>
        <v>0</v>
      </c>
    </row>
    <row r="248" spans="1:25" customFormat="1" hidden="1" x14ac:dyDescent="0.25">
      <c r="A248" s="15"/>
      <c r="B248" s="24">
        <f t="shared" si="17"/>
        <v>50</v>
      </c>
      <c r="C248" s="1" cm="1">
        <f t="array" aca="1" ref="C248" ca="1">INDIRECT(CONCATENATE("'",$A$200,"'!A",B248),1)</f>
        <v>0</v>
      </c>
      <c r="D248" s="1" cm="1">
        <f t="array" aca="1" ref="D248" ca="1">INDIRECT(CONCATENATE("'",$A$200,"'!B",B248),1)</f>
        <v>0</v>
      </c>
      <c r="E248" s="1" cm="1">
        <f t="array" aca="1" ref="E248" ca="1">INDIRECT(CONCATENATE("'",$A$200,"'!c",B248),1)</f>
        <v>0</v>
      </c>
      <c r="F248" s="1" cm="1">
        <f t="array" aca="1" ref="F248" ca="1">INDIRECT(CONCATENATE("'",$A$200,"'!d",B248),1)</f>
        <v>0</v>
      </c>
      <c r="G248" s="1" cm="1">
        <f t="array" aca="1" ref="G248" ca="1">INDIRECT(CONCATENATE("'",$A$200,"'!e",B248),1)</f>
        <v>0</v>
      </c>
      <c r="H248" s="1" cm="1">
        <f t="array" aca="1" ref="H248" ca="1">INDIRECT(CONCATENATE("'",$A$200,"'!f",B248),1)</f>
        <v>0</v>
      </c>
      <c r="I248" s="1" cm="1">
        <f t="array" aca="1" ref="I248" ca="1">INDIRECT(CONCATENATE("'",$A$200,"'!g",B248),1)</f>
        <v>0</v>
      </c>
      <c r="J248" s="1" cm="1">
        <f t="array" aca="1" ref="J248" ca="1">INDIRECT(CONCATENATE("'",$A$200,"'!h",B248),1)</f>
        <v>0</v>
      </c>
      <c r="K248" s="1" cm="1">
        <f t="array" aca="1" ref="K248" ca="1">INDIRECT(CONCATENATE("'",$A$200,"'!i",B248),1)</f>
        <v>0</v>
      </c>
      <c r="L248" s="1" cm="1">
        <f t="array" aca="1" ref="L248" ca="1">INDIRECT(CONCATENATE("'",$A$200,"'!j",B248),1)</f>
        <v>0</v>
      </c>
      <c r="M248" s="1" cm="1">
        <f t="array" aca="1" ref="M248" ca="1">INDIRECT(CONCATENATE("'",$A$200,"'!k",B248),1)</f>
        <v>0</v>
      </c>
      <c r="N248" s="1" cm="1">
        <f t="array" aca="1" ref="N248" ca="1">INDIRECT(CONCATENATE("'",$A$200,"'!l",B248),1)</f>
        <v>0</v>
      </c>
      <c r="O248" s="1" cm="1">
        <f t="array" aca="1" ref="O248" ca="1">INDIRECT(CONCATENATE("'",$A$200,"'!m",B248),1)</f>
        <v>0</v>
      </c>
      <c r="P248" s="1" cm="1">
        <f t="array" aca="1" ref="P248" ca="1">INDIRECT(CONCATENATE("'",$A$200,"'!n",B248),1)</f>
        <v>0</v>
      </c>
      <c r="Q248" s="1" cm="1">
        <f t="array" aca="1" ref="Q248" ca="1">INDIRECT(CONCATENATE("'",$A$200,"'!o",B248),1)</f>
        <v>0</v>
      </c>
      <c r="R248" s="1" cm="1">
        <f t="array" aca="1" ref="R248" ca="1">INDIRECT(CONCATENATE("'",$A$200,"'!p",B248),1)</f>
        <v>0</v>
      </c>
      <c r="S248" s="1">
        <f t="shared" ca="1" si="16"/>
        <v>0</v>
      </c>
      <c r="T248" s="1" cm="1">
        <f t="array" aca="1" ref="T248" ca="1">INDIRECT(CONCATENATE("'",$A$200,"'!q",B248),1)</f>
        <v>0</v>
      </c>
      <c r="U248" s="1" cm="1">
        <f t="array" aca="1" ref="U248" ca="1">INDIRECT(CONCATENATE("'",$A$200,"'!r",B248),1)</f>
        <v>0</v>
      </c>
      <c r="V248" s="1" cm="1">
        <f t="array" aca="1" ref="V248" ca="1">INDIRECT(CONCATENATE("'",$A$200,"'!s",B248),1)</f>
        <v>0</v>
      </c>
      <c r="W248" s="1" cm="1">
        <f t="array" aca="1" ref="W248" ca="1">INDIRECT(CONCATENATE("'",$A$200,"'!t",B248),1)</f>
        <v>0</v>
      </c>
      <c r="X248" s="1" cm="1">
        <f t="array" aca="1" ref="X248" ca="1">INDIRECT(CONCATENATE("'",$A$200,"'!u",B248),1)</f>
        <v>0</v>
      </c>
      <c r="Y248" s="1" cm="1">
        <f t="array" aca="1" ref="Y248" ca="1">INDIRECT(CONCATENATE("'",$A$200,"'!v",B248),1)</f>
        <v>0</v>
      </c>
    </row>
    <row r="249" spans="1:25" customFormat="1" hidden="1" x14ac:dyDescent="0.25">
      <c r="A249" s="15"/>
      <c r="B249" s="24">
        <f t="shared" si="17"/>
        <v>51</v>
      </c>
      <c r="C249" s="1" cm="1">
        <f t="array" aca="1" ref="C249" ca="1">INDIRECT(CONCATENATE("'",$A$200,"'!A",B249),1)</f>
        <v>0</v>
      </c>
      <c r="D249" s="1" cm="1">
        <f t="array" aca="1" ref="D249" ca="1">INDIRECT(CONCATENATE("'",$A$200,"'!B",B249),1)</f>
        <v>0</v>
      </c>
      <c r="E249" s="1" cm="1">
        <f t="array" aca="1" ref="E249" ca="1">INDIRECT(CONCATENATE("'",$A$200,"'!c",B249),1)</f>
        <v>0</v>
      </c>
      <c r="F249" s="1" cm="1">
        <f t="array" aca="1" ref="F249" ca="1">INDIRECT(CONCATENATE("'",$A$200,"'!d",B249),1)</f>
        <v>0</v>
      </c>
      <c r="G249" s="1" cm="1">
        <f t="array" aca="1" ref="G249" ca="1">INDIRECT(CONCATENATE("'",$A$200,"'!e",B249),1)</f>
        <v>0</v>
      </c>
      <c r="H249" s="1" cm="1">
        <f t="array" aca="1" ref="H249" ca="1">INDIRECT(CONCATENATE("'",$A$200,"'!f",B249),1)</f>
        <v>0</v>
      </c>
      <c r="I249" s="1" cm="1">
        <f t="array" aca="1" ref="I249" ca="1">INDIRECT(CONCATENATE("'",$A$200,"'!g",B249),1)</f>
        <v>0</v>
      </c>
      <c r="J249" s="1" cm="1">
        <f t="array" aca="1" ref="J249" ca="1">INDIRECT(CONCATENATE("'",$A$200,"'!h",B249),1)</f>
        <v>0</v>
      </c>
      <c r="K249" s="1" cm="1">
        <f t="array" aca="1" ref="K249" ca="1">INDIRECT(CONCATENATE("'",$A$200,"'!i",B249),1)</f>
        <v>0</v>
      </c>
      <c r="L249" s="1" cm="1">
        <f t="array" aca="1" ref="L249" ca="1">INDIRECT(CONCATENATE("'",$A$200,"'!j",B249),1)</f>
        <v>0</v>
      </c>
      <c r="M249" s="1" cm="1">
        <f t="array" aca="1" ref="M249" ca="1">INDIRECT(CONCATENATE("'",$A$200,"'!k",B249),1)</f>
        <v>0</v>
      </c>
      <c r="N249" s="1" cm="1">
        <f t="array" aca="1" ref="N249" ca="1">INDIRECT(CONCATENATE("'",$A$200,"'!l",B249),1)</f>
        <v>0</v>
      </c>
      <c r="O249" s="1" cm="1">
        <f t="array" aca="1" ref="O249" ca="1">INDIRECT(CONCATENATE("'",$A$200,"'!m",B249),1)</f>
        <v>0</v>
      </c>
      <c r="P249" s="1" cm="1">
        <f t="array" aca="1" ref="P249" ca="1">INDIRECT(CONCATENATE("'",$A$200,"'!n",B249),1)</f>
        <v>0</v>
      </c>
      <c r="Q249" s="1" cm="1">
        <f t="array" aca="1" ref="Q249" ca="1">INDIRECT(CONCATENATE("'",$A$200,"'!o",B249),1)</f>
        <v>0</v>
      </c>
      <c r="R249" s="1" cm="1">
        <f t="array" aca="1" ref="R249" ca="1">INDIRECT(CONCATENATE("'",$A$200,"'!p",B249),1)</f>
        <v>0</v>
      </c>
      <c r="S249" s="1">
        <f t="shared" ca="1" si="16"/>
        <v>0</v>
      </c>
      <c r="T249" s="1" cm="1">
        <f t="array" aca="1" ref="T249" ca="1">INDIRECT(CONCATENATE("'",$A$200,"'!q",B249),1)</f>
        <v>0</v>
      </c>
      <c r="U249" s="1" cm="1">
        <f t="array" aca="1" ref="U249" ca="1">INDIRECT(CONCATENATE("'",$A$200,"'!r",B249),1)</f>
        <v>0</v>
      </c>
      <c r="V249" s="1" cm="1">
        <f t="array" aca="1" ref="V249" ca="1">INDIRECT(CONCATENATE("'",$A$200,"'!s",B249),1)</f>
        <v>0</v>
      </c>
      <c r="W249" s="1" cm="1">
        <f t="array" aca="1" ref="W249" ca="1">INDIRECT(CONCATENATE("'",$A$200,"'!t",B249),1)</f>
        <v>0</v>
      </c>
      <c r="X249" s="1" cm="1">
        <f t="array" aca="1" ref="X249" ca="1">INDIRECT(CONCATENATE("'",$A$200,"'!u",B249),1)</f>
        <v>0</v>
      </c>
      <c r="Y249" s="1" cm="1">
        <f t="array" aca="1" ref="Y249" ca="1">INDIRECT(CONCATENATE("'",$A$200,"'!v",B249),1)</f>
        <v>0</v>
      </c>
    </row>
    <row r="250" spans="1:25" customFormat="1" hidden="1" x14ac:dyDescent="0.25">
      <c r="A250" s="15"/>
      <c r="B250" s="24">
        <f t="shared" si="17"/>
        <v>52</v>
      </c>
      <c r="C250" s="1" cm="1">
        <f t="array" aca="1" ref="C250" ca="1">INDIRECT(CONCATENATE("'",$A$200,"'!A",B250),1)</f>
        <v>0</v>
      </c>
      <c r="D250" s="1" cm="1">
        <f t="array" aca="1" ref="D250" ca="1">INDIRECT(CONCATENATE("'",$A$200,"'!B",B250),1)</f>
        <v>0</v>
      </c>
      <c r="E250" s="1" cm="1">
        <f t="array" aca="1" ref="E250" ca="1">INDIRECT(CONCATENATE("'",$A$200,"'!c",B250),1)</f>
        <v>0</v>
      </c>
      <c r="F250" s="1" cm="1">
        <f t="array" aca="1" ref="F250" ca="1">INDIRECT(CONCATENATE("'",$A$200,"'!d",B250),1)</f>
        <v>0</v>
      </c>
      <c r="G250" s="1" cm="1">
        <f t="array" aca="1" ref="G250" ca="1">INDIRECT(CONCATENATE("'",$A$200,"'!e",B250),1)</f>
        <v>0</v>
      </c>
      <c r="H250" s="1" cm="1">
        <f t="array" aca="1" ref="H250" ca="1">INDIRECT(CONCATENATE("'",$A$200,"'!f",B250),1)</f>
        <v>0</v>
      </c>
      <c r="I250" s="1" cm="1">
        <f t="array" aca="1" ref="I250" ca="1">INDIRECT(CONCATENATE("'",$A$200,"'!g",B250),1)</f>
        <v>0</v>
      </c>
      <c r="J250" s="1" cm="1">
        <f t="array" aca="1" ref="J250" ca="1">INDIRECT(CONCATENATE("'",$A$200,"'!h",B250),1)</f>
        <v>0</v>
      </c>
      <c r="K250" s="1" cm="1">
        <f t="array" aca="1" ref="K250" ca="1">INDIRECT(CONCATENATE("'",$A$200,"'!i",B250),1)</f>
        <v>0</v>
      </c>
      <c r="L250" s="1" cm="1">
        <f t="array" aca="1" ref="L250" ca="1">INDIRECT(CONCATENATE("'",$A$200,"'!j",B250),1)</f>
        <v>0</v>
      </c>
      <c r="M250" s="1" cm="1">
        <f t="array" aca="1" ref="M250" ca="1">INDIRECT(CONCATENATE("'",$A$200,"'!k",B250),1)</f>
        <v>0</v>
      </c>
      <c r="N250" s="1" cm="1">
        <f t="array" aca="1" ref="N250" ca="1">INDIRECT(CONCATENATE("'",$A$200,"'!l",B250),1)</f>
        <v>0</v>
      </c>
      <c r="O250" s="1" cm="1">
        <f t="array" aca="1" ref="O250" ca="1">INDIRECT(CONCATENATE("'",$A$200,"'!m",B250),1)</f>
        <v>0</v>
      </c>
      <c r="P250" s="1" cm="1">
        <f t="array" aca="1" ref="P250" ca="1">INDIRECT(CONCATENATE("'",$A$200,"'!n",B250),1)</f>
        <v>0</v>
      </c>
      <c r="Q250" s="1" cm="1">
        <f t="array" aca="1" ref="Q250" ca="1">INDIRECT(CONCATENATE("'",$A$200,"'!o",B250),1)</f>
        <v>0</v>
      </c>
      <c r="R250" s="1" cm="1">
        <f t="array" aca="1" ref="R250" ca="1">INDIRECT(CONCATENATE("'",$A$200,"'!p",B250),1)</f>
        <v>0</v>
      </c>
      <c r="S250" s="1">
        <f t="shared" ref="S250:S264" ca="1" si="18">SUMIFS(U250,T250,$N$1)+SUMIFS(W250,V250,$N$1)+SUMIFS(Y250,X250,$N$1)</f>
        <v>0</v>
      </c>
      <c r="T250" s="1" cm="1">
        <f t="array" aca="1" ref="T250" ca="1">INDIRECT(CONCATENATE("'",$A$200,"'!q",B250),1)</f>
        <v>0</v>
      </c>
      <c r="U250" s="1" cm="1">
        <f t="array" aca="1" ref="U250" ca="1">INDIRECT(CONCATENATE("'",$A$200,"'!r",B250),1)</f>
        <v>0</v>
      </c>
      <c r="V250" s="1" cm="1">
        <f t="array" aca="1" ref="V250" ca="1">INDIRECT(CONCATENATE("'",$A$200,"'!s",B250),1)</f>
        <v>0</v>
      </c>
      <c r="W250" s="1" cm="1">
        <f t="array" aca="1" ref="W250" ca="1">INDIRECT(CONCATENATE("'",$A$200,"'!t",B250),1)</f>
        <v>0</v>
      </c>
      <c r="X250" s="1" cm="1">
        <f t="array" aca="1" ref="X250" ca="1">INDIRECT(CONCATENATE("'",$A$200,"'!u",B250),1)</f>
        <v>0</v>
      </c>
      <c r="Y250" s="1" cm="1">
        <f t="array" aca="1" ref="Y250" ca="1">INDIRECT(CONCATENATE("'",$A$200,"'!v",B250),1)</f>
        <v>0</v>
      </c>
    </row>
    <row r="251" spans="1:25" customFormat="1" hidden="1" x14ac:dyDescent="0.25">
      <c r="A251" s="15"/>
      <c r="B251" s="24">
        <f t="shared" si="17"/>
        <v>53</v>
      </c>
      <c r="C251" s="1" cm="1">
        <f t="array" aca="1" ref="C251" ca="1">INDIRECT(CONCATENATE("'",$A$200,"'!A",B251),1)</f>
        <v>0</v>
      </c>
      <c r="D251" s="1" cm="1">
        <f t="array" aca="1" ref="D251" ca="1">INDIRECT(CONCATENATE("'",$A$200,"'!B",B251),1)</f>
        <v>0</v>
      </c>
      <c r="E251" s="1" cm="1">
        <f t="array" aca="1" ref="E251" ca="1">INDIRECT(CONCATENATE("'",$A$200,"'!c",B251),1)</f>
        <v>0</v>
      </c>
      <c r="F251" s="1" cm="1">
        <f t="array" aca="1" ref="F251" ca="1">INDIRECT(CONCATENATE("'",$A$200,"'!d",B251),1)</f>
        <v>0</v>
      </c>
      <c r="G251" s="1" cm="1">
        <f t="array" aca="1" ref="G251" ca="1">INDIRECT(CONCATENATE("'",$A$200,"'!e",B251),1)</f>
        <v>0</v>
      </c>
      <c r="H251" s="1" cm="1">
        <f t="array" aca="1" ref="H251" ca="1">INDIRECT(CONCATENATE("'",$A$200,"'!f",B251),1)</f>
        <v>0</v>
      </c>
      <c r="I251" s="1" cm="1">
        <f t="array" aca="1" ref="I251" ca="1">INDIRECT(CONCATENATE("'",$A$200,"'!g",B251),1)</f>
        <v>0</v>
      </c>
      <c r="J251" s="1" cm="1">
        <f t="array" aca="1" ref="J251" ca="1">INDIRECT(CONCATENATE("'",$A$200,"'!h",B251),1)</f>
        <v>0</v>
      </c>
      <c r="K251" s="1" cm="1">
        <f t="array" aca="1" ref="K251" ca="1">INDIRECT(CONCATENATE("'",$A$200,"'!i",B251),1)</f>
        <v>0</v>
      </c>
      <c r="L251" s="1" cm="1">
        <f t="array" aca="1" ref="L251" ca="1">INDIRECT(CONCATENATE("'",$A$200,"'!j",B251),1)</f>
        <v>0</v>
      </c>
      <c r="M251" s="1" cm="1">
        <f t="array" aca="1" ref="M251" ca="1">INDIRECT(CONCATENATE("'",$A$200,"'!k",B251),1)</f>
        <v>0</v>
      </c>
      <c r="N251" s="1" cm="1">
        <f t="array" aca="1" ref="N251" ca="1">INDIRECT(CONCATENATE("'",$A$200,"'!l",B251),1)</f>
        <v>0</v>
      </c>
      <c r="O251" s="1" cm="1">
        <f t="array" aca="1" ref="O251" ca="1">INDIRECT(CONCATENATE("'",$A$200,"'!m",B251),1)</f>
        <v>0</v>
      </c>
      <c r="P251" s="1" cm="1">
        <f t="array" aca="1" ref="P251" ca="1">INDIRECT(CONCATENATE("'",$A$200,"'!n",B251),1)</f>
        <v>0</v>
      </c>
      <c r="Q251" s="1" cm="1">
        <f t="array" aca="1" ref="Q251" ca="1">INDIRECT(CONCATENATE("'",$A$200,"'!o",B251),1)</f>
        <v>0</v>
      </c>
      <c r="R251" s="1" cm="1">
        <f t="array" aca="1" ref="R251" ca="1">INDIRECT(CONCATENATE("'",$A$200,"'!p",B251),1)</f>
        <v>0</v>
      </c>
      <c r="S251" s="1">
        <f t="shared" ca="1" si="18"/>
        <v>0</v>
      </c>
      <c r="T251" s="1" cm="1">
        <f t="array" aca="1" ref="T251" ca="1">INDIRECT(CONCATENATE("'",$A$200,"'!q",B251),1)</f>
        <v>0</v>
      </c>
      <c r="U251" s="1" cm="1">
        <f t="array" aca="1" ref="U251" ca="1">INDIRECT(CONCATENATE("'",$A$200,"'!r",B251),1)</f>
        <v>0</v>
      </c>
      <c r="V251" s="1" cm="1">
        <f t="array" aca="1" ref="V251" ca="1">INDIRECT(CONCATENATE("'",$A$200,"'!s",B251),1)</f>
        <v>0</v>
      </c>
      <c r="W251" s="1" cm="1">
        <f t="array" aca="1" ref="W251" ca="1">INDIRECT(CONCATENATE("'",$A$200,"'!t",B251),1)</f>
        <v>0</v>
      </c>
      <c r="X251" s="1" cm="1">
        <f t="array" aca="1" ref="X251" ca="1">INDIRECT(CONCATENATE("'",$A$200,"'!u",B251),1)</f>
        <v>0</v>
      </c>
      <c r="Y251" s="1" cm="1">
        <f t="array" aca="1" ref="Y251" ca="1">INDIRECT(CONCATENATE("'",$A$200,"'!v",B251),1)</f>
        <v>0</v>
      </c>
    </row>
    <row r="252" spans="1:25" customFormat="1" hidden="1" x14ac:dyDescent="0.25">
      <c r="A252" s="15"/>
      <c r="B252" s="24">
        <f t="shared" si="17"/>
        <v>54</v>
      </c>
      <c r="C252" s="1" cm="1">
        <f t="array" aca="1" ref="C252" ca="1">INDIRECT(CONCATENATE("'",$A$200,"'!A",B252),1)</f>
        <v>0</v>
      </c>
      <c r="D252" s="1" cm="1">
        <f t="array" aca="1" ref="D252" ca="1">INDIRECT(CONCATENATE("'",$A$200,"'!B",B252),1)</f>
        <v>0</v>
      </c>
      <c r="E252" s="1" cm="1">
        <f t="array" aca="1" ref="E252" ca="1">INDIRECT(CONCATENATE("'",$A$200,"'!c",B252),1)</f>
        <v>0</v>
      </c>
      <c r="F252" s="1" cm="1">
        <f t="array" aca="1" ref="F252" ca="1">INDIRECT(CONCATENATE("'",$A$200,"'!d",B252),1)</f>
        <v>0</v>
      </c>
      <c r="G252" s="1" cm="1">
        <f t="array" aca="1" ref="G252" ca="1">INDIRECT(CONCATENATE("'",$A$200,"'!e",B252),1)</f>
        <v>0</v>
      </c>
      <c r="H252" s="1" cm="1">
        <f t="array" aca="1" ref="H252" ca="1">INDIRECT(CONCATENATE("'",$A$200,"'!f",B252),1)</f>
        <v>0</v>
      </c>
      <c r="I252" s="1" cm="1">
        <f t="array" aca="1" ref="I252" ca="1">INDIRECT(CONCATENATE("'",$A$200,"'!g",B252),1)</f>
        <v>0</v>
      </c>
      <c r="J252" s="1" cm="1">
        <f t="array" aca="1" ref="J252" ca="1">INDIRECT(CONCATENATE("'",$A$200,"'!h",B252),1)</f>
        <v>0</v>
      </c>
      <c r="K252" s="1" cm="1">
        <f t="array" aca="1" ref="K252" ca="1">INDIRECT(CONCATENATE("'",$A$200,"'!i",B252),1)</f>
        <v>0</v>
      </c>
      <c r="L252" s="1" cm="1">
        <f t="array" aca="1" ref="L252" ca="1">INDIRECT(CONCATENATE("'",$A$200,"'!j",B252),1)</f>
        <v>0</v>
      </c>
      <c r="M252" s="1" cm="1">
        <f t="array" aca="1" ref="M252" ca="1">INDIRECT(CONCATENATE("'",$A$200,"'!k",B252),1)</f>
        <v>0</v>
      </c>
      <c r="N252" s="1" cm="1">
        <f t="array" aca="1" ref="N252" ca="1">INDIRECT(CONCATENATE("'",$A$200,"'!l",B252),1)</f>
        <v>0</v>
      </c>
      <c r="O252" s="1" cm="1">
        <f t="array" aca="1" ref="O252" ca="1">INDIRECT(CONCATENATE("'",$A$200,"'!m",B252),1)</f>
        <v>0</v>
      </c>
      <c r="P252" s="1" cm="1">
        <f t="array" aca="1" ref="P252" ca="1">INDIRECT(CONCATENATE("'",$A$200,"'!n",B252),1)</f>
        <v>0</v>
      </c>
      <c r="Q252" s="1" cm="1">
        <f t="array" aca="1" ref="Q252" ca="1">INDIRECT(CONCATENATE("'",$A$200,"'!o",B252),1)</f>
        <v>0</v>
      </c>
      <c r="R252" s="1" cm="1">
        <f t="array" aca="1" ref="R252" ca="1">INDIRECT(CONCATENATE("'",$A$200,"'!p",B252),1)</f>
        <v>0</v>
      </c>
      <c r="S252" s="1">
        <f t="shared" ca="1" si="18"/>
        <v>0</v>
      </c>
      <c r="T252" s="1" cm="1">
        <f t="array" aca="1" ref="T252" ca="1">INDIRECT(CONCATENATE("'",$A$200,"'!q",B252),1)</f>
        <v>0</v>
      </c>
      <c r="U252" s="1" cm="1">
        <f t="array" aca="1" ref="U252" ca="1">INDIRECT(CONCATENATE("'",$A$200,"'!r",B252),1)</f>
        <v>0</v>
      </c>
      <c r="V252" s="1" cm="1">
        <f t="array" aca="1" ref="V252" ca="1">INDIRECT(CONCATENATE("'",$A$200,"'!s",B252),1)</f>
        <v>0</v>
      </c>
      <c r="W252" s="1" cm="1">
        <f t="array" aca="1" ref="W252" ca="1">INDIRECT(CONCATENATE("'",$A$200,"'!t",B252),1)</f>
        <v>0</v>
      </c>
      <c r="X252" s="1" cm="1">
        <f t="array" aca="1" ref="X252" ca="1">INDIRECT(CONCATENATE("'",$A$200,"'!u",B252),1)</f>
        <v>0</v>
      </c>
      <c r="Y252" s="1" cm="1">
        <f t="array" aca="1" ref="Y252" ca="1">INDIRECT(CONCATENATE("'",$A$200,"'!v",B252),1)</f>
        <v>0</v>
      </c>
    </row>
    <row r="253" spans="1:25" customFormat="1" hidden="1" x14ac:dyDescent="0.25">
      <c r="A253" s="15"/>
      <c r="B253" s="24">
        <f t="shared" si="17"/>
        <v>55</v>
      </c>
      <c r="C253" s="1" cm="1">
        <f t="array" aca="1" ref="C253" ca="1">INDIRECT(CONCATENATE("'",$A$200,"'!A",B253),1)</f>
        <v>0</v>
      </c>
      <c r="D253" s="1" cm="1">
        <f t="array" aca="1" ref="D253" ca="1">INDIRECT(CONCATENATE("'",$A$200,"'!B",B253),1)</f>
        <v>0</v>
      </c>
      <c r="E253" s="1" cm="1">
        <f t="array" aca="1" ref="E253" ca="1">INDIRECT(CONCATENATE("'",$A$200,"'!c",B253),1)</f>
        <v>0</v>
      </c>
      <c r="F253" s="1" cm="1">
        <f t="array" aca="1" ref="F253" ca="1">INDIRECT(CONCATENATE("'",$A$200,"'!d",B253),1)</f>
        <v>0</v>
      </c>
      <c r="G253" s="1" cm="1">
        <f t="array" aca="1" ref="G253" ca="1">INDIRECT(CONCATENATE("'",$A$200,"'!e",B253),1)</f>
        <v>0</v>
      </c>
      <c r="H253" s="1" cm="1">
        <f t="array" aca="1" ref="H253" ca="1">INDIRECT(CONCATENATE("'",$A$200,"'!f",B253),1)</f>
        <v>0</v>
      </c>
      <c r="I253" s="1" cm="1">
        <f t="array" aca="1" ref="I253" ca="1">INDIRECT(CONCATENATE("'",$A$200,"'!g",B253),1)</f>
        <v>0</v>
      </c>
      <c r="J253" s="1" cm="1">
        <f t="array" aca="1" ref="J253" ca="1">INDIRECT(CONCATENATE("'",$A$200,"'!h",B253),1)</f>
        <v>0</v>
      </c>
      <c r="K253" s="1" cm="1">
        <f t="array" aca="1" ref="K253" ca="1">INDIRECT(CONCATENATE("'",$A$200,"'!i",B253),1)</f>
        <v>0</v>
      </c>
      <c r="L253" s="1" cm="1">
        <f t="array" aca="1" ref="L253" ca="1">INDIRECT(CONCATENATE("'",$A$200,"'!j",B253),1)</f>
        <v>0</v>
      </c>
      <c r="M253" s="1" cm="1">
        <f t="array" aca="1" ref="M253" ca="1">INDIRECT(CONCATENATE("'",$A$200,"'!k",B253),1)</f>
        <v>0</v>
      </c>
      <c r="N253" s="1" cm="1">
        <f t="array" aca="1" ref="N253" ca="1">INDIRECT(CONCATENATE("'",$A$200,"'!l",B253),1)</f>
        <v>0</v>
      </c>
      <c r="O253" s="1" cm="1">
        <f t="array" aca="1" ref="O253" ca="1">INDIRECT(CONCATENATE("'",$A$200,"'!m",B253),1)</f>
        <v>0</v>
      </c>
      <c r="P253" s="1" cm="1">
        <f t="array" aca="1" ref="P253" ca="1">INDIRECT(CONCATENATE("'",$A$200,"'!n",B253),1)</f>
        <v>0</v>
      </c>
      <c r="Q253" s="1" cm="1">
        <f t="array" aca="1" ref="Q253" ca="1">INDIRECT(CONCATENATE("'",$A$200,"'!o",B253),1)</f>
        <v>0</v>
      </c>
      <c r="R253" s="1" cm="1">
        <f t="array" aca="1" ref="R253" ca="1">INDIRECT(CONCATENATE("'",$A$200,"'!p",B253),1)</f>
        <v>0</v>
      </c>
      <c r="S253" s="1">
        <f t="shared" ca="1" si="18"/>
        <v>0</v>
      </c>
      <c r="T253" s="1" cm="1">
        <f t="array" aca="1" ref="T253" ca="1">INDIRECT(CONCATENATE("'",$A$200,"'!q",B253),1)</f>
        <v>0</v>
      </c>
      <c r="U253" s="1" cm="1">
        <f t="array" aca="1" ref="U253" ca="1">INDIRECT(CONCATENATE("'",$A$200,"'!r",B253),1)</f>
        <v>0</v>
      </c>
      <c r="V253" s="1" cm="1">
        <f t="array" aca="1" ref="V253" ca="1">INDIRECT(CONCATENATE("'",$A$200,"'!s",B253),1)</f>
        <v>0</v>
      </c>
      <c r="W253" s="1" cm="1">
        <f t="array" aca="1" ref="W253" ca="1">INDIRECT(CONCATENATE("'",$A$200,"'!t",B253),1)</f>
        <v>0</v>
      </c>
      <c r="X253" s="1" cm="1">
        <f t="array" aca="1" ref="X253" ca="1">INDIRECT(CONCATENATE("'",$A$200,"'!u",B253),1)</f>
        <v>0</v>
      </c>
      <c r="Y253" s="1" cm="1">
        <f t="array" aca="1" ref="Y253" ca="1">INDIRECT(CONCATENATE("'",$A$200,"'!v",B253),1)</f>
        <v>0</v>
      </c>
    </row>
    <row r="254" spans="1:25" customFormat="1" hidden="1" x14ac:dyDescent="0.25">
      <c r="A254" s="15"/>
      <c r="B254" s="24">
        <f t="shared" si="17"/>
        <v>56</v>
      </c>
      <c r="C254" s="1" cm="1">
        <f t="array" aca="1" ref="C254" ca="1">INDIRECT(CONCATENATE("'",$A$200,"'!A",B254),1)</f>
        <v>0</v>
      </c>
      <c r="D254" s="1" cm="1">
        <f t="array" aca="1" ref="D254" ca="1">INDIRECT(CONCATENATE("'",$A$200,"'!B",B254),1)</f>
        <v>0</v>
      </c>
      <c r="E254" s="1" cm="1">
        <f t="array" aca="1" ref="E254" ca="1">INDIRECT(CONCATENATE("'",$A$200,"'!c",B254),1)</f>
        <v>0</v>
      </c>
      <c r="F254" s="1" cm="1">
        <f t="array" aca="1" ref="F254" ca="1">INDIRECT(CONCATENATE("'",$A$200,"'!d",B254),1)</f>
        <v>0</v>
      </c>
      <c r="G254" s="1" cm="1">
        <f t="array" aca="1" ref="G254" ca="1">INDIRECT(CONCATENATE("'",$A$200,"'!e",B254),1)</f>
        <v>0</v>
      </c>
      <c r="H254" s="1" cm="1">
        <f t="array" aca="1" ref="H254" ca="1">INDIRECT(CONCATENATE("'",$A$200,"'!f",B254),1)</f>
        <v>0</v>
      </c>
      <c r="I254" s="1" cm="1">
        <f t="array" aca="1" ref="I254" ca="1">INDIRECT(CONCATENATE("'",$A$200,"'!g",B254),1)</f>
        <v>0</v>
      </c>
      <c r="J254" s="1" cm="1">
        <f t="array" aca="1" ref="J254" ca="1">INDIRECT(CONCATENATE("'",$A$200,"'!h",B254),1)</f>
        <v>0</v>
      </c>
      <c r="K254" s="1" cm="1">
        <f t="array" aca="1" ref="K254" ca="1">INDIRECT(CONCATENATE("'",$A$200,"'!i",B254),1)</f>
        <v>0</v>
      </c>
      <c r="L254" s="1" cm="1">
        <f t="array" aca="1" ref="L254" ca="1">INDIRECT(CONCATENATE("'",$A$200,"'!j",B254),1)</f>
        <v>0</v>
      </c>
      <c r="M254" s="1" cm="1">
        <f t="array" aca="1" ref="M254" ca="1">INDIRECT(CONCATENATE("'",$A$200,"'!k",B254),1)</f>
        <v>0</v>
      </c>
      <c r="N254" s="1" cm="1">
        <f t="array" aca="1" ref="N254" ca="1">INDIRECT(CONCATENATE("'",$A$200,"'!l",B254),1)</f>
        <v>0</v>
      </c>
      <c r="O254" s="1" cm="1">
        <f t="array" aca="1" ref="O254" ca="1">INDIRECT(CONCATENATE("'",$A$200,"'!m",B254),1)</f>
        <v>0</v>
      </c>
      <c r="P254" s="1" cm="1">
        <f t="array" aca="1" ref="P254" ca="1">INDIRECT(CONCATENATE("'",$A$200,"'!n",B254),1)</f>
        <v>0</v>
      </c>
      <c r="Q254" s="1" cm="1">
        <f t="array" aca="1" ref="Q254" ca="1">INDIRECT(CONCATENATE("'",$A$200,"'!o",B254),1)</f>
        <v>0</v>
      </c>
      <c r="R254" s="1" cm="1">
        <f t="array" aca="1" ref="R254" ca="1">INDIRECT(CONCATENATE("'",$A$200,"'!p",B254),1)</f>
        <v>0</v>
      </c>
      <c r="S254" s="1">
        <f t="shared" ca="1" si="18"/>
        <v>0</v>
      </c>
      <c r="T254" s="1" cm="1">
        <f t="array" aca="1" ref="T254" ca="1">INDIRECT(CONCATENATE("'",$A$200,"'!q",B254),1)</f>
        <v>0</v>
      </c>
      <c r="U254" s="1" cm="1">
        <f t="array" aca="1" ref="U254" ca="1">INDIRECT(CONCATENATE("'",$A$200,"'!r",B254),1)</f>
        <v>0</v>
      </c>
      <c r="V254" s="1" cm="1">
        <f t="array" aca="1" ref="V254" ca="1">INDIRECT(CONCATENATE("'",$A$200,"'!s",B254),1)</f>
        <v>0</v>
      </c>
      <c r="W254" s="1" cm="1">
        <f t="array" aca="1" ref="W254" ca="1">INDIRECT(CONCATENATE("'",$A$200,"'!t",B254),1)</f>
        <v>0</v>
      </c>
      <c r="X254" s="1" cm="1">
        <f t="array" aca="1" ref="X254" ca="1">INDIRECT(CONCATENATE("'",$A$200,"'!u",B254),1)</f>
        <v>0</v>
      </c>
      <c r="Y254" s="1" cm="1">
        <f t="array" aca="1" ref="Y254" ca="1">INDIRECT(CONCATENATE("'",$A$200,"'!v",B254),1)</f>
        <v>0</v>
      </c>
    </row>
    <row r="255" spans="1:25" customFormat="1" hidden="1" x14ac:dyDescent="0.25">
      <c r="A255" s="15"/>
      <c r="B255" s="24">
        <f t="shared" si="17"/>
        <v>57</v>
      </c>
      <c r="C255" s="1" cm="1">
        <f t="array" aca="1" ref="C255" ca="1">INDIRECT(CONCATENATE("'",$A$200,"'!A",B255),1)</f>
        <v>0</v>
      </c>
      <c r="D255" s="1" cm="1">
        <f t="array" aca="1" ref="D255" ca="1">INDIRECT(CONCATENATE("'",$A$200,"'!B",B255),1)</f>
        <v>0</v>
      </c>
      <c r="E255" s="1" cm="1">
        <f t="array" aca="1" ref="E255" ca="1">INDIRECT(CONCATENATE("'",$A$200,"'!c",B255),1)</f>
        <v>0</v>
      </c>
      <c r="F255" s="1" cm="1">
        <f t="array" aca="1" ref="F255" ca="1">INDIRECT(CONCATENATE("'",$A$200,"'!d",B255),1)</f>
        <v>0</v>
      </c>
      <c r="G255" s="1" cm="1">
        <f t="array" aca="1" ref="G255" ca="1">INDIRECT(CONCATENATE("'",$A$200,"'!e",B255),1)</f>
        <v>0</v>
      </c>
      <c r="H255" s="1" cm="1">
        <f t="array" aca="1" ref="H255" ca="1">INDIRECT(CONCATENATE("'",$A$200,"'!f",B255),1)</f>
        <v>0</v>
      </c>
      <c r="I255" s="1" cm="1">
        <f t="array" aca="1" ref="I255" ca="1">INDIRECT(CONCATENATE("'",$A$200,"'!g",B255),1)</f>
        <v>0</v>
      </c>
      <c r="J255" s="1" cm="1">
        <f t="array" aca="1" ref="J255" ca="1">INDIRECT(CONCATENATE("'",$A$200,"'!h",B255),1)</f>
        <v>0</v>
      </c>
      <c r="K255" s="1" cm="1">
        <f t="array" aca="1" ref="K255" ca="1">INDIRECT(CONCATENATE("'",$A$200,"'!i",B255),1)</f>
        <v>0</v>
      </c>
      <c r="L255" s="1" cm="1">
        <f t="array" aca="1" ref="L255" ca="1">INDIRECT(CONCATENATE("'",$A$200,"'!j",B255),1)</f>
        <v>0</v>
      </c>
      <c r="M255" s="1" cm="1">
        <f t="array" aca="1" ref="M255" ca="1">INDIRECT(CONCATENATE("'",$A$200,"'!k",B255),1)</f>
        <v>0</v>
      </c>
      <c r="N255" s="1" cm="1">
        <f t="array" aca="1" ref="N255" ca="1">INDIRECT(CONCATENATE("'",$A$200,"'!l",B255),1)</f>
        <v>0</v>
      </c>
      <c r="O255" s="1" cm="1">
        <f t="array" aca="1" ref="O255" ca="1">INDIRECT(CONCATENATE("'",$A$200,"'!m",B255),1)</f>
        <v>0</v>
      </c>
      <c r="P255" s="1" cm="1">
        <f t="array" aca="1" ref="P255" ca="1">INDIRECT(CONCATENATE("'",$A$200,"'!n",B255),1)</f>
        <v>0</v>
      </c>
      <c r="Q255" s="1" cm="1">
        <f t="array" aca="1" ref="Q255" ca="1">INDIRECT(CONCATENATE("'",$A$200,"'!o",B255),1)</f>
        <v>0</v>
      </c>
      <c r="R255" s="1" cm="1">
        <f t="array" aca="1" ref="R255" ca="1">INDIRECT(CONCATENATE("'",$A$200,"'!p",B255),1)</f>
        <v>0</v>
      </c>
      <c r="S255" s="1">
        <f t="shared" ca="1" si="18"/>
        <v>0</v>
      </c>
      <c r="T255" s="1" cm="1">
        <f t="array" aca="1" ref="T255" ca="1">INDIRECT(CONCATENATE("'",$A$200,"'!q",B255),1)</f>
        <v>0</v>
      </c>
      <c r="U255" s="1" cm="1">
        <f t="array" aca="1" ref="U255" ca="1">INDIRECT(CONCATENATE("'",$A$200,"'!r",B255),1)</f>
        <v>0</v>
      </c>
      <c r="V255" s="1" cm="1">
        <f t="array" aca="1" ref="V255" ca="1">INDIRECT(CONCATENATE("'",$A$200,"'!s",B255),1)</f>
        <v>0</v>
      </c>
      <c r="W255" s="1" cm="1">
        <f t="array" aca="1" ref="W255" ca="1">INDIRECT(CONCATENATE("'",$A$200,"'!t",B255),1)</f>
        <v>0</v>
      </c>
      <c r="X255" s="1" cm="1">
        <f t="array" aca="1" ref="X255" ca="1">INDIRECT(CONCATENATE("'",$A$200,"'!u",B255),1)</f>
        <v>0</v>
      </c>
      <c r="Y255" s="1" cm="1">
        <f t="array" aca="1" ref="Y255" ca="1">INDIRECT(CONCATENATE("'",$A$200,"'!v",B255),1)</f>
        <v>0</v>
      </c>
    </row>
    <row r="256" spans="1:25" customFormat="1" hidden="1" x14ac:dyDescent="0.25">
      <c r="A256" s="15"/>
      <c r="B256" s="24">
        <f t="shared" si="17"/>
        <v>58</v>
      </c>
      <c r="C256" s="1" cm="1">
        <f t="array" aca="1" ref="C256" ca="1">INDIRECT(CONCATENATE("'",$A$200,"'!A",B256),1)</f>
        <v>0</v>
      </c>
      <c r="D256" s="1" cm="1">
        <f t="array" aca="1" ref="D256" ca="1">INDIRECT(CONCATENATE("'",$A$200,"'!B",B256),1)</f>
        <v>0</v>
      </c>
      <c r="E256" s="1" cm="1">
        <f t="array" aca="1" ref="E256" ca="1">INDIRECT(CONCATENATE("'",$A$200,"'!c",B256),1)</f>
        <v>0</v>
      </c>
      <c r="F256" s="1" cm="1">
        <f t="array" aca="1" ref="F256" ca="1">INDIRECT(CONCATENATE("'",$A$200,"'!d",B256),1)</f>
        <v>0</v>
      </c>
      <c r="G256" s="1" cm="1">
        <f t="array" aca="1" ref="G256" ca="1">INDIRECT(CONCATENATE("'",$A$200,"'!e",B256),1)</f>
        <v>0</v>
      </c>
      <c r="H256" s="1" cm="1">
        <f t="array" aca="1" ref="H256" ca="1">INDIRECT(CONCATENATE("'",$A$200,"'!f",B256),1)</f>
        <v>0</v>
      </c>
      <c r="I256" s="1" cm="1">
        <f t="array" aca="1" ref="I256" ca="1">INDIRECT(CONCATENATE("'",$A$200,"'!g",B256),1)</f>
        <v>0</v>
      </c>
      <c r="J256" s="1" cm="1">
        <f t="array" aca="1" ref="J256" ca="1">INDIRECT(CONCATENATE("'",$A$200,"'!h",B256),1)</f>
        <v>0</v>
      </c>
      <c r="K256" s="1" cm="1">
        <f t="array" aca="1" ref="K256" ca="1">INDIRECT(CONCATENATE("'",$A$200,"'!i",B256),1)</f>
        <v>0</v>
      </c>
      <c r="L256" s="1" cm="1">
        <f t="array" aca="1" ref="L256" ca="1">INDIRECT(CONCATENATE("'",$A$200,"'!j",B256),1)</f>
        <v>0</v>
      </c>
      <c r="M256" s="1" cm="1">
        <f t="array" aca="1" ref="M256" ca="1">INDIRECT(CONCATENATE("'",$A$200,"'!k",B256),1)</f>
        <v>0</v>
      </c>
      <c r="N256" s="1" cm="1">
        <f t="array" aca="1" ref="N256" ca="1">INDIRECT(CONCATENATE("'",$A$200,"'!l",B256),1)</f>
        <v>0</v>
      </c>
      <c r="O256" s="1" cm="1">
        <f t="array" aca="1" ref="O256" ca="1">INDIRECT(CONCATENATE("'",$A$200,"'!m",B256),1)</f>
        <v>0</v>
      </c>
      <c r="P256" s="1" cm="1">
        <f t="array" aca="1" ref="P256" ca="1">INDIRECT(CONCATENATE("'",$A$200,"'!n",B256),1)</f>
        <v>0</v>
      </c>
      <c r="Q256" s="1" cm="1">
        <f t="array" aca="1" ref="Q256" ca="1">INDIRECT(CONCATENATE("'",$A$200,"'!o",B256),1)</f>
        <v>0</v>
      </c>
      <c r="R256" s="1" cm="1">
        <f t="array" aca="1" ref="R256" ca="1">INDIRECT(CONCATENATE("'",$A$200,"'!p",B256),1)</f>
        <v>0</v>
      </c>
      <c r="S256" s="1">
        <f t="shared" ca="1" si="18"/>
        <v>0</v>
      </c>
      <c r="T256" s="1" cm="1">
        <f t="array" aca="1" ref="T256" ca="1">INDIRECT(CONCATENATE("'",$A$200,"'!q",B256),1)</f>
        <v>0</v>
      </c>
      <c r="U256" s="1" cm="1">
        <f t="array" aca="1" ref="U256" ca="1">INDIRECT(CONCATENATE("'",$A$200,"'!r",B256),1)</f>
        <v>0</v>
      </c>
      <c r="V256" s="1" cm="1">
        <f t="array" aca="1" ref="V256" ca="1">INDIRECT(CONCATENATE("'",$A$200,"'!s",B256),1)</f>
        <v>0</v>
      </c>
      <c r="W256" s="1" cm="1">
        <f t="array" aca="1" ref="W256" ca="1">INDIRECT(CONCATENATE("'",$A$200,"'!t",B256),1)</f>
        <v>0</v>
      </c>
      <c r="X256" s="1" cm="1">
        <f t="array" aca="1" ref="X256" ca="1">INDIRECT(CONCATENATE("'",$A$200,"'!u",B256),1)</f>
        <v>0</v>
      </c>
      <c r="Y256" s="1" cm="1">
        <f t="array" aca="1" ref="Y256" ca="1">INDIRECT(CONCATENATE("'",$A$200,"'!v",B256),1)</f>
        <v>0</v>
      </c>
    </row>
    <row r="257" spans="1:25" customFormat="1" hidden="1" x14ac:dyDescent="0.25">
      <c r="A257" s="15"/>
      <c r="B257" s="24">
        <f t="shared" si="17"/>
        <v>59</v>
      </c>
      <c r="C257" s="1" cm="1">
        <f t="array" aca="1" ref="C257" ca="1">INDIRECT(CONCATENATE("'",$A$200,"'!A",B257),1)</f>
        <v>0</v>
      </c>
      <c r="D257" s="1" cm="1">
        <f t="array" aca="1" ref="D257" ca="1">INDIRECT(CONCATENATE("'",$A$200,"'!B",B257),1)</f>
        <v>0</v>
      </c>
      <c r="E257" s="1" cm="1">
        <f t="array" aca="1" ref="E257" ca="1">INDIRECT(CONCATENATE("'",$A$200,"'!c",B257),1)</f>
        <v>0</v>
      </c>
      <c r="F257" s="1" cm="1">
        <f t="array" aca="1" ref="F257" ca="1">INDIRECT(CONCATENATE("'",$A$200,"'!d",B257),1)</f>
        <v>0</v>
      </c>
      <c r="G257" s="1" cm="1">
        <f t="array" aca="1" ref="G257" ca="1">INDIRECT(CONCATENATE("'",$A$200,"'!e",B257),1)</f>
        <v>0</v>
      </c>
      <c r="H257" s="1" cm="1">
        <f t="array" aca="1" ref="H257" ca="1">INDIRECT(CONCATENATE("'",$A$200,"'!f",B257),1)</f>
        <v>0</v>
      </c>
      <c r="I257" s="1" cm="1">
        <f t="array" aca="1" ref="I257" ca="1">INDIRECT(CONCATENATE("'",$A$200,"'!g",B257),1)</f>
        <v>0</v>
      </c>
      <c r="J257" s="1" cm="1">
        <f t="array" aca="1" ref="J257" ca="1">INDIRECT(CONCATENATE("'",$A$200,"'!h",B257),1)</f>
        <v>0</v>
      </c>
      <c r="K257" s="1" cm="1">
        <f t="array" aca="1" ref="K257" ca="1">INDIRECT(CONCATENATE("'",$A$200,"'!i",B257),1)</f>
        <v>0</v>
      </c>
      <c r="L257" s="1" cm="1">
        <f t="array" aca="1" ref="L257" ca="1">INDIRECT(CONCATENATE("'",$A$200,"'!j",B257),1)</f>
        <v>0</v>
      </c>
      <c r="M257" s="1" cm="1">
        <f t="array" aca="1" ref="M257" ca="1">INDIRECT(CONCATENATE("'",$A$200,"'!k",B257),1)</f>
        <v>0</v>
      </c>
      <c r="N257" s="1" cm="1">
        <f t="array" aca="1" ref="N257" ca="1">INDIRECT(CONCATENATE("'",$A$200,"'!l",B257),1)</f>
        <v>0</v>
      </c>
      <c r="O257" s="1" cm="1">
        <f t="array" aca="1" ref="O257" ca="1">INDIRECT(CONCATENATE("'",$A$200,"'!m",B257),1)</f>
        <v>0</v>
      </c>
      <c r="P257" s="1" cm="1">
        <f t="array" aca="1" ref="P257" ca="1">INDIRECT(CONCATENATE("'",$A$200,"'!n",B257),1)</f>
        <v>0</v>
      </c>
      <c r="Q257" s="1" cm="1">
        <f t="array" aca="1" ref="Q257" ca="1">INDIRECT(CONCATENATE("'",$A$200,"'!o",B257),1)</f>
        <v>0</v>
      </c>
      <c r="R257" s="1" cm="1">
        <f t="array" aca="1" ref="R257" ca="1">INDIRECT(CONCATENATE("'",$A$200,"'!p",B257),1)</f>
        <v>0</v>
      </c>
      <c r="S257" s="1">
        <f t="shared" ca="1" si="18"/>
        <v>0</v>
      </c>
      <c r="T257" s="1" cm="1">
        <f t="array" aca="1" ref="T257" ca="1">INDIRECT(CONCATENATE("'",$A$200,"'!q",B257),1)</f>
        <v>0</v>
      </c>
      <c r="U257" s="1" cm="1">
        <f t="array" aca="1" ref="U257" ca="1">INDIRECT(CONCATENATE("'",$A$200,"'!r",B257),1)</f>
        <v>0</v>
      </c>
      <c r="V257" s="1" cm="1">
        <f t="array" aca="1" ref="V257" ca="1">INDIRECT(CONCATENATE("'",$A$200,"'!s",B257),1)</f>
        <v>0</v>
      </c>
      <c r="W257" s="1" cm="1">
        <f t="array" aca="1" ref="W257" ca="1">INDIRECT(CONCATENATE("'",$A$200,"'!t",B257),1)</f>
        <v>0</v>
      </c>
      <c r="X257" s="1" cm="1">
        <f t="array" aca="1" ref="X257" ca="1">INDIRECT(CONCATENATE("'",$A$200,"'!u",B257),1)</f>
        <v>0</v>
      </c>
      <c r="Y257" s="1" cm="1">
        <f t="array" aca="1" ref="Y257" ca="1">INDIRECT(CONCATENATE("'",$A$200,"'!v",B257),1)</f>
        <v>0</v>
      </c>
    </row>
    <row r="258" spans="1:25" customFormat="1" hidden="1" x14ac:dyDescent="0.25">
      <c r="A258" s="15"/>
      <c r="B258" s="24">
        <f t="shared" si="17"/>
        <v>60</v>
      </c>
      <c r="C258" s="1" cm="1">
        <f t="array" aca="1" ref="C258" ca="1">INDIRECT(CONCATENATE("'",$A$200,"'!A",B258),1)</f>
        <v>0</v>
      </c>
      <c r="D258" s="1" cm="1">
        <f t="array" aca="1" ref="D258" ca="1">INDIRECT(CONCATENATE("'",$A$200,"'!B",B258),1)</f>
        <v>0</v>
      </c>
      <c r="E258" s="1" cm="1">
        <f t="array" aca="1" ref="E258" ca="1">INDIRECT(CONCATENATE("'",$A$200,"'!c",B258),1)</f>
        <v>0</v>
      </c>
      <c r="F258" s="1" cm="1">
        <f t="array" aca="1" ref="F258" ca="1">INDIRECT(CONCATENATE("'",$A$200,"'!d",B258),1)</f>
        <v>0</v>
      </c>
      <c r="G258" s="1" cm="1">
        <f t="array" aca="1" ref="G258" ca="1">INDIRECT(CONCATENATE("'",$A$200,"'!e",B258),1)</f>
        <v>0</v>
      </c>
      <c r="H258" s="1" cm="1">
        <f t="array" aca="1" ref="H258" ca="1">INDIRECT(CONCATENATE("'",$A$200,"'!f",B258),1)</f>
        <v>0</v>
      </c>
      <c r="I258" s="1" cm="1">
        <f t="array" aca="1" ref="I258" ca="1">INDIRECT(CONCATENATE("'",$A$200,"'!g",B258),1)</f>
        <v>0</v>
      </c>
      <c r="J258" s="1" cm="1">
        <f t="array" aca="1" ref="J258" ca="1">INDIRECT(CONCATENATE("'",$A$200,"'!h",B258),1)</f>
        <v>0</v>
      </c>
      <c r="K258" s="1" cm="1">
        <f t="array" aca="1" ref="K258" ca="1">INDIRECT(CONCATENATE("'",$A$200,"'!i",B258),1)</f>
        <v>0</v>
      </c>
      <c r="L258" s="1" cm="1">
        <f t="array" aca="1" ref="L258" ca="1">INDIRECT(CONCATENATE("'",$A$200,"'!j",B258),1)</f>
        <v>0</v>
      </c>
      <c r="M258" s="1" cm="1">
        <f t="array" aca="1" ref="M258" ca="1">INDIRECT(CONCATENATE("'",$A$200,"'!k",B258),1)</f>
        <v>0</v>
      </c>
      <c r="N258" s="1" cm="1">
        <f t="array" aca="1" ref="N258" ca="1">INDIRECT(CONCATENATE("'",$A$200,"'!l",B258),1)</f>
        <v>0</v>
      </c>
      <c r="O258" s="1" cm="1">
        <f t="array" aca="1" ref="O258" ca="1">INDIRECT(CONCATENATE("'",$A$200,"'!m",B258),1)</f>
        <v>0</v>
      </c>
      <c r="P258" s="1" cm="1">
        <f t="array" aca="1" ref="P258" ca="1">INDIRECT(CONCATENATE("'",$A$200,"'!n",B258),1)</f>
        <v>0</v>
      </c>
      <c r="Q258" s="1" cm="1">
        <f t="array" aca="1" ref="Q258" ca="1">INDIRECT(CONCATENATE("'",$A$200,"'!o",B258),1)</f>
        <v>0</v>
      </c>
      <c r="R258" s="1" cm="1">
        <f t="array" aca="1" ref="R258" ca="1">INDIRECT(CONCATENATE("'",$A$200,"'!p",B258),1)</f>
        <v>0</v>
      </c>
      <c r="S258" s="1">
        <f t="shared" ca="1" si="18"/>
        <v>0</v>
      </c>
      <c r="T258" s="1" cm="1">
        <f t="array" aca="1" ref="T258" ca="1">INDIRECT(CONCATENATE("'",$A$200,"'!q",B258),1)</f>
        <v>0</v>
      </c>
      <c r="U258" s="1" cm="1">
        <f t="array" aca="1" ref="U258" ca="1">INDIRECT(CONCATENATE("'",$A$200,"'!r",B258),1)</f>
        <v>0</v>
      </c>
      <c r="V258" s="1" cm="1">
        <f t="array" aca="1" ref="V258" ca="1">INDIRECT(CONCATENATE("'",$A$200,"'!s",B258),1)</f>
        <v>0</v>
      </c>
      <c r="W258" s="1" cm="1">
        <f t="array" aca="1" ref="W258" ca="1">INDIRECT(CONCATENATE("'",$A$200,"'!t",B258),1)</f>
        <v>0</v>
      </c>
      <c r="X258" s="1" cm="1">
        <f t="array" aca="1" ref="X258" ca="1">INDIRECT(CONCATENATE("'",$A$200,"'!u",B258),1)</f>
        <v>0</v>
      </c>
      <c r="Y258" s="1" cm="1">
        <f t="array" aca="1" ref="Y258" ca="1">INDIRECT(CONCATENATE("'",$A$200,"'!v",B258),1)</f>
        <v>0</v>
      </c>
    </row>
    <row r="259" spans="1:25" customFormat="1" hidden="1" x14ac:dyDescent="0.25">
      <c r="A259" s="15"/>
      <c r="B259" s="24">
        <f t="shared" si="17"/>
        <v>61</v>
      </c>
      <c r="C259" s="1" cm="1">
        <f t="array" aca="1" ref="C259" ca="1">INDIRECT(CONCATENATE("'",$A$200,"'!A",B259),1)</f>
        <v>0</v>
      </c>
      <c r="D259" s="1" cm="1">
        <f t="array" aca="1" ref="D259" ca="1">INDIRECT(CONCATENATE("'",$A$200,"'!B",B259),1)</f>
        <v>0</v>
      </c>
      <c r="E259" s="1" cm="1">
        <f t="array" aca="1" ref="E259" ca="1">INDIRECT(CONCATENATE("'",$A$200,"'!c",B259),1)</f>
        <v>0</v>
      </c>
      <c r="F259" s="1" cm="1">
        <f t="array" aca="1" ref="F259" ca="1">INDIRECT(CONCATENATE("'",$A$200,"'!d",B259),1)</f>
        <v>0</v>
      </c>
      <c r="G259" s="1" cm="1">
        <f t="array" aca="1" ref="G259" ca="1">INDIRECT(CONCATENATE("'",$A$200,"'!e",B259),1)</f>
        <v>0</v>
      </c>
      <c r="H259" s="1" cm="1">
        <f t="array" aca="1" ref="H259" ca="1">INDIRECT(CONCATENATE("'",$A$200,"'!f",B259),1)</f>
        <v>0</v>
      </c>
      <c r="I259" s="1" cm="1">
        <f t="array" aca="1" ref="I259" ca="1">INDIRECT(CONCATENATE("'",$A$200,"'!g",B259),1)</f>
        <v>0</v>
      </c>
      <c r="J259" s="1" cm="1">
        <f t="array" aca="1" ref="J259" ca="1">INDIRECT(CONCATENATE("'",$A$200,"'!h",B259),1)</f>
        <v>0</v>
      </c>
      <c r="K259" s="1" cm="1">
        <f t="array" aca="1" ref="K259" ca="1">INDIRECT(CONCATENATE("'",$A$200,"'!i",B259),1)</f>
        <v>0</v>
      </c>
      <c r="L259" s="1" cm="1">
        <f t="array" aca="1" ref="L259" ca="1">INDIRECT(CONCATENATE("'",$A$200,"'!j",B259),1)</f>
        <v>0</v>
      </c>
      <c r="M259" s="1" cm="1">
        <f t="array" aca="1" ref="M259" ca="1">INDIRECT(CONCATENATE("'",$A$200,"'!k",B259),1)</f>
        <v>0</v>
      </c>
      <c r="N259" s="1" cm="1">
        <f t="array" aca="1" ref="N259" ca="1">INDIRECT(CONCATENATE("'",$A$200,"'!l",B259),1)</f>
        <v>0</v>
      </c>
      <c r="O259" s="1" cm="1">
        <f t="array" aca="1" ref="O259" ca="1">INDIRECT(CONCATENATE("'",$A$200,"'!m",B259),1)</f>
        <v>0</v>
      </c>
      <c r="P259" s="1" cm="1">
        <f t="array" aca="1" ref="P259" ca="1">INDIRECT(CONCATENATE("'",$A$200,"'!n",B259),1)</f>
        <v>0</v>
      </c>
      <c r="Q259" s="1" cm="1">
        <f t="array" aca="1" ref="Q259" ca="1">INDIRECT(CONCATENATE("'",$A$200,"'!o",B259),1)</f>
        <v>0</v>
      </c>
      <c r="R259" s="1" cm="1">
        <f t="array" aca="1" ref="R259" ca="1">INDIRECT(CONCATENATE("'",$A$200,"'!p",B259),1)</f>
        <v>0</v>
      </c>
      <c r="S259" s="1">
        <f t="shared" ca="1" si="18"/>
        <v>0</v>
      </c>
      <c r="T259" s="1" cm="1">
        <f t="array" aca="1" ref="T259" ca="1">INDIRECT(CONCATENATE("'",$A$200,"'!q",B259),1)</f>
        <v>0</v>
      </c>
      <c r="U259" s="1" cm="1">
        <f t="array" aca="1" ref="U259" ca="1">INDIRECT(CONCATENATE("'",$A$200,"'!r",B259),1)</f>
        <v>0</v>
      </c>
      <c r="V259" s="1" cm="1">
        <f t="array" aca="1" ref="V259" ca="1">INDIRECT(CONCATENATE("'",$A$200,"'!s",B259),1)</f>
        <v>0</v>
      </c>
      <c r="W259" s="1" cm="1">
        <f t="array" aca="1" ref="W259" ca="1">INDIRECT(CONCATENATE("'",$A$200,"'!t",B259),1)</f>
        <v>0</v>
      </c>
      <c r="X259" s="1" cm="1">
        <f t="array" aca="1" ref="X259" ca="1">INDIRECT(CONCATENATE("'",$A$200,"'!u",B259),1)</f>
        <v>0</v>
      </c>
      <c r="Y259" s="1" cm="1">
        <f t="array" aca="1" ref="Y259" ca="1">INDIRECT(CONCATENATE("'",$A$200,"'!v",B259),1)</f>
        <v>0</v>
      </c>
    </row>
    <row r="260" spans="1:25" customFormat="1" hidden="1" x14ac:dyDescent="0.25">
      <c r="A260" s="15"/>
      <c r="B260" s="24">
        <f t="shared" si="17"/>
        <v>62</v>
      </c>
      <c r="C260" s="1" cm="1">
        <f t="array" aca="1" ref="C260" ca="1">INDIRECT(CONCATENATE("'",$A$200,"'!A",B260),1)</f>
        <v>0</v>
      </c>
      <c r="D260" s="1" cm="1">
        <f t="array" aca="1" ref="D260" ca="1">INDIRECT(CONCATENATE("'",$A$200,"'!B",B260),1)</f>
        <v>0</v>
      </c>
      <c r="E260" s="1" cm="1">
        <f t="array" aca="1" ref="E260" ca="1">INDIRECT(CONCATENATE("'",$A$200,"'!c",B260),1)</f>
        <v>0</v>
      </c>
      <c r="F260" s="1" cm="1">
        <f t="array" aca="1" ref="F260" ca="1">INDIRECT(CONCATENATE("'",$A$200,"'!d",B260),1)</f>
        <v>0</v>
      </c>
      <c r="G260" s="1" cm="1">
        <f t="array" aca="1" ref="G260" ca="1">INDIRECT(CONCATENATE("'",$A$200,"'!e",B260),1)</f>
        <v>0</v>
      </c>
      <c r="H260" s="1" cm="1">
        <f t="array" aca="1" ref="H260" ca="1">INDIRECT(CONCATENATE("'",$A$200,"'!f",B260),1)</f>
        <v>0</v>
      </c>
      <c r="I260" s="1" cm="1">
        <f t="array" aca="1" ref="I260" ca="1">INDIRECT(CONCATENATE("'",$A$200,"'!g",B260),1)</f>
        <v>0</v>
      </c>
      <c r="J260" s="1" cm="1">
        <f t="array" aca="1" ref="J260" ca="1">INDIRECT(CONCATENATE("'",$A$200,"'!h",B260),1)</f>
        <v>0</v>
      </c>
      <c r="K260" s="1" cm="1">
        <f t="array" aca="1" ref="K260" ca="1">INDIRECT(CONCATENATE("'",$A$200,"'!i",B260),1)</f>
        <v>0</v>
      </c>
      <c r="L260" s="1" cm="1">
        <f t="array" aca="1" ref="L260" ca="1">INDIRECT(CONCATENATE("'",$A$200,"'!j",B260),1)</f>
        <v>0</v>
      </c>
      <c r="M260" s="1" cm="1">
        <f t="array" aca="1" ref="M260" ca="1">INDIRECT(CONCATENATE("'",$A$200,"'!k",B260),1)</f>
        <v>0</v>
      </c>
      <c r="N260" s="1" cm="1">
        <f t="array" aca="1" ref="N260" ca="1">INDIRECT(CONCATENATE("'",$A$200,"'!l",B260),1)</f>
        <v>0</v>
      </c>
      <c r="O260" s="1" cm="1">
        <f t="array" aca="1" ref="O260" ca="1">INDIRECT(CONCATENATE("'",$A$200,"'!m",B260),1)</f>
        <v>0</v>
      </c>
      <c r="P260" s="1" cm="1">
        <f t="array" aca="1" ref="P260" ca="1">INDIRECT(CONCATENATE("'",$A$200,"'!n",B260),1)</f>
        <v>0</v>
      </c>
      <c r="Q260" s="1" cm="1">
        <f t="array" aca="1" ref="Q260" ca="1">INDIRECT(CONCATENATE("'",$A$200,"'!o",B260),1)</f>
        <v>0</v>
      </c>
      <c r="R260" s="1" cm="1">
        <f t="array" aca="1" ref="R260" ca="1">INDIRECT(CONCATENATE("'",$A$200,"'!p",B260),1)</f>
        <v>0</v>
      </c>
      <c r="S260" s="1">
        <f t="shared" ca="1" si="18"/>
        <v>0</v>
      </c>
      <c r="T260" s="1" cm="1">
        <f t="array" aca="1" ref="T260" ca="1">INDIRECT(CONCATENATE("'",$A$200,"'!q",B260),1)</f>
        <v>0</v>
      </c>
      <c r="U260" s="1" cm="1">
        <f t="array" aca="1" ref="U260" ca="1">INDIRECT(CONCATENATE("'",$A$200,"'!r",B260),1)</f>
        <v>0</v>
      </c>
      <c r="V260" s="1" cm="1">
        <f t="array" aca="1" ref="V260" ca="1">INDIRECT(CONCATENATE("'",$A$200,"'!s",B260),1)</f>
        <v>0</v>
      </c>
      <c r="W260" s="1" cm="1">
        <f t="array" aca="1" ref="W260" ca="1">INDIRECT(CONCATENATE("'",$A$200,"'!t",B260),1)</f>
        <v>0</v>
      </c>
      <c r="X260" s="1" cm="1">
        <f t="array" aca="1" ref="X260" ca="1">INDIRECT(CONCATENATE("'",$A$200,"'!u",B260),1)</f>
        <v>0</v>
      </c>
      <c r="Y260" s="1" cm="1">
        <f t="array" aca="1" ref="Y260" ca="1">INDIRECT(CONCATENATE("'",$A$200,"'!v",B260),1)</f>
        <v>0</v>
      </c>
    </row>
    <row r="261" spans="1:25" customFormat="1" hidden="1" x14ac:dyDescent="0.25">
      <c r="A261" s="15"/>
      <c r="B261" s="24">
        <f t="shared" si="17"/>
        <v>63</v>
      </c>
      <c r="C261" s="1" cm="1">
        <f t="array" aca="1" ref="C261" ca="1">INDIRECT(CONCATENATE("'",$A$200,"'!A",B261),1)</f>
        <v>0</v>
      </c>
      <c r="D261" s="1" cm="1">
        <f t="array" aca="1" ref="D261" ca="1">INDIRECT(CONCATENATE("'",$A$200,"'!B",B261),1)</f>
        <v>0</v>
      </c>
      <c r="E261" s="1" cm="1">
        <f t="array" aca="1" ref="E261" ca="1">INDIRECT(CONCATENATE("'",$A$200,"'!c",B261),1)</f>
        <v>0</v>
      </c>
      <c r="F261" s="1" cm="1">
        <f t="array" aca="1" ref="F261" ca="1">INDIRECT(CONCATENATE("'",$A$200,"'!d",B261),1)</f>
        <v>0</v>
      </c>
      <c r="G261" s="1" cm="1">
        <f t="array" aca="1" ref="G261" ca="1">INDIRECT(CONCATENATE("'",$A$200,"'!e",B261),1)</f>
        <v>0</v>
      </c>
      <c r="H261" s="1" cm="1">
        <f t="array" aca="1" ref="H261" ca="1">INDIRECT(CONCATENATE("'",$A$200,"'!f",B261),1)</f>
        <v>0</v>
      </c>
      <c r="I261" s="1" cm="1">
        <f t="array" aca="1" ref="I261" ca="1">INDIRECT(CONCATENATE("'",$A$200,"'!g",B261),1)</f>
        <v>0</v>
      </c>
      <c r="J261" s="1" cm="1">
        <f t="array" aca="1" ref="J261" ca="1">INDIRECT(CONCATENATE("'",$A$200,"'!h",B261),1)</f>
        <v>0</v>
      </c>
      <c r="K261" s="1" cm="1">
        <f t="array" aca="1" ref="K261" ca="1">INDIRECT(CONCATENATE("'",$A$200,"'!i",B261),1)</f>
        <v>0</v>
      </c>
      <c r="L261" s="1" cm="1">
        <f t="array" aca="1" ref="L261" ca="1">INDIRECT(CONCATENATE("'",$A$200,"'!j",B261),1)</f>
        <v>0</v>
      </c>
      <c r="M261" s="1" cm="1">
        <f t="array" aca="1" ref="M261" ca="1">INDIRECT(CONCATENATE("'",$A$200,"'!k",B261),1)</f>
        <v>0</v>
      </c>
      <c r="N261" s="1" cm="1">
        <f t="array" aca="1" ref="N261" ca="1">INDIRECT(CONCATENATE("'",$A$200,"'!l",B261),1)</f>
        <v>0</v>
      </c>
      <c r="O261" s="1" cm="1">
        <f t="array" aca="1" ref="O261" ca="1">INDIRECT(CONCATENATE("'",$A$200,"'!m",B261),1)</f>
        <v>0</v>
      </c>
      <c r="P261" s="1" cm="1">
        <f t="array" aca="1" ref="P261" ca="1">INDIRECT(CONCATENATE("'",$A$200,"'!n",B261),1)</f>
        <v>0</v>
      </c>
      <c r="Q261" s="1" cm="1">
        <f t="array" aca="1" ref="Q261" ca="1">INDIRECT(CONCATENATE("'",$A$200,"'!o",B261),1)</f>
        <v>0</v>
      </c>
      <c r="R261" s="1" cm="1">
        <f t="array" aca="1" ref="R261" ca="1">INDIRECT(CONCATENATE("'",$A$200,"'!p",B261),1)</f>
        <v>0</v>
      </c>
      <c r="S261" s="1">
        <f t="shared" ca="1" si="18"/>
        <v>0</v>
      </c>
      <c r="T261" s="1" cm="1">
        <f t="array" aca="1" ref="T261" ca="1">INDIRECT(CONCATENATE("'",$A$200,"'!q",B261),1)</f>
        <v>0</v>
      </c>
      <c r="U261" s="1" cm="1">
        <f t="array" aca="1" ref="U261" ca="1">INDIRECT(CONCATENATE("'",$A$200,"'!r",B261),1)</f>
        <v>0</v>
      </c>
      <c r="V261" s="1" cm="1">
        <f t="array" aca="1" ref="V261" ca="1">INDIRECT(CONCATENATE("'",$A$200,"'!s",B261),1)</f>
        <v>0</v>
      </c>
      <c r="W261" s="1" cm="1">
        <f t="array" aca="1" ref="W261" ca="1">INDIRECT(CONCATENATE("'",$A$200,"'!t",B261),1)</f>
        <v>0</v>
      </c>
      <c r="X261" s="1" cm="1">
        <f t="array" aca="1" ref="X261" ca="1">INDIRECT(CONCATENATE("'",$A$200,"'!u",B261),1)</f>
        <v>0</v>
      </c>
      <c r="Y261" s="1" cm="1">
        <f t="array" aca="1" ref="Y261" ca="1">INDIRECT(CONCATENATE("'",$A$200,"'!v",B261),1)</f>
        <v>0</v>
      </c>
    </row>
    <row r="262" spans="1:25" customFormat="1" hidden="1" x14ac:dyDescent="0.25">
      <c r="A262" s="15"/>
      <c r="B262" s="24">
        <f t="shared" si="17"/>
        <v>64</v>
      </c>
      <c r="C262" s="1" cm="1">
        <f t="array" aca="1" ref="C262" ca="1">INDIRECT(CONCATENATE("'",$A$200,"'!A",B262),1)</f>
        <v>0</v>
      </c>
      <c r="D262" s="1" cm="1">
        <f t="array" aca="1" ref="D262" ca="1">INDIRECT(CONCATENATE("'",$A$200,"'!B",B262),1)</f>
        <v>0</v>
      </c>
      <c r="E262" s="1" cm="1">
        <f t="array" aca="1" ref="E262" ca="1">INDIRECT(CONCATENATE("'",$A$200,"'!c",B262),1)</f>
        <v>0</v>
      </c>
      <c r="F262" s="1" cm="1">
        <f t="array" aca="1" ref="F262" ca="1">INDIRECT(CONCATENATE("'",$A$200,"'!d",B262),1)</f>
        <v>0</v>
      </c>
      <c r="G262" s="1" cm="1">
        <f t="array" aca="1" ref="G262" ca="1">INDIRECT(CONCATENATE("'",$A$200,"'!e",B262),1)</f>
        <v>0</v>
      </c>
      <c r="H262" s="1" cm="1">
        <f t="array" aca="1" ref="H262" ca="1">INDIRECT(CONCATENATE("'",$A$200,"'!f",B262),1)</f>
        <v>0</v>
      </c>
      <c r="I262" s="1" cm="1">
        <f t="array" aca="1" ref="I262" ca="1">INDIRECT(CONCATENATE("'",$A$200,"'!g",B262),1)</f>
        <v>0</v>
      </c>
      <c r="J262" s="1" cm="1">
        <f t="array" aca="1" ref="J262" ca="1">INDIRECT(CONCATENATE("'",$A$200,"'!h",B262),1)</f>
        <v>0</v>
      </c>
      <c r="K262" s="1" cm="1">
        <f t="array" aca="1" ref="K262" ca="1">INDIRECT(CONCATENATE("'",$A$200,"'!i",B262),1)</f>
        <v>0</v>
      </c>
      <c r="L262" s="1" cm="1">
        <f t="array" aca="1" ref="L262" ca="1">INDIRECT(CONCATENATE("'",$A$200,"'!j",B262),1)</f>
        <v>0</v>
      </c>
      <c r="M262" s="1" cm="1">
        <f t="array" aca="1" ref="M262" ca="1">INDIRECT(CONCATENATE("'",$A$200,"'!k",B262),1)</f>
        <v>0</v>
      </c>
      <c r="N262" s="1" cm="1">
        <f t="array" aca="1" ref="N262" ca="1">INDIRECT(CONCATENATE("'",$A$200,"'!l",B262),1)</f>
        <v>0</v>
      </c>
      <c r="O262" s="1" cm="1">
        <f t="array" aca="1" ref="O262" ca="1">INDIRECT(CONCATENATE("'",$A$200,"'!m",B262),1)</f>
        <v>0</v>
      </c>
      <c r="P262" s="1" cm="1">
        <f t="array" aca="1" ref="P262" ca="1">INDIRECT(CONCATENATE("'",$A$200,"'!n",B262),1)</f>
        <v>0</v>
      </c>
      <c r="Q262" s="1" cm="1">
        <f t="array" aca="1" ref="Q262" ca="1">INDIRECT(CONCATENATE("'",$A$200,"'!o",B262),1)</f>
        <v>0</v>
      </c>
      <c r="R262" s="1" cm="1">
        <f t="array" aca="1" ref="R262" ca="1">INDIRECT(CONCATENATE("'",$A$200,"'!p",B262),1)</f>
        <v>0</v>
      </c>
      <c r="S262" s="1">
        <f t="shared" ca="1" si="18"/>
        <v>0</v>
      </c>
      <c r="T262" s="1" cm="1">
        <f t="array" aca="1" ref="T262" ca="1">INDIRECT(CONCATENATE("'",$A$200,"'!q",B262),1)</f>
        <v>0</v>
      </c>
      <c r="U262" s="1" cm="1">
        <f t="array" aca="1" ref="U262" ca="1">INDIRECT(CONCATENATE("'",$A$200,"'!r",B262),1)</f>
        <v>0</v>
      </c>
      <c r="V262" s="1" cm="1">
        <f t="array" aca="1" ref="V262" ca="1">INDIRECT(CONCATENATE("'",$A$200,"'!s",B262),1)</f>
        <v>0</v>
      </c>
      <c r="W262" s="1" cm="1">
        <f t="array" aca="1" ref="W262" ca="1">INDIRECT(CONCATENATE("'",$A$200,"'!t",B262),1)</f>
        <v>0</v>
      </c>
      <c r="X262" s="1" cm="1">
        <f t="array" aca="1" ref="X262" ca="1">INDIRECT(CONCATENATE("'",$A$200,"'!u",B262),1)</f>
        <v>0</v>
      </c>
      <c r="Y262" s="1" cm="1">
        <f t="array" aca="1" ref="Y262" ca="1">INDIRECT(CONCATENATE("'",$A$200,"'!v",B262),1)</f>
        <v>0</v>
      </c>
    </row>
    <row r="263" spans="1:25" customFormat="1" hidden="1" x14ac:dyDescent="0.25">
      <c r="A263" s="15"/>
      <c r="B263" s="24">
        <f t="shared" si="17"/>
        <v>65</v>
      </c>
      <c r="C263" s="1" cm="1">
        <f t="array" aca="1" ref="C263" ca="1">INDIRECT(CONCATENATE("'",$A$200,"'!A",B263),1)</f>
        <v>0</v>
      </c>
      <c r="D263" s="1" cm="1">
        <f t="array" aca="1" ref="D263" ca="1">INDIRECT(CONCATENATE("'",$A$200,"'!B",B263),1)</f>
        <v>0</v>
      </c>
      <c r="E263" s="1" cm="1">
        <f t="array" aca="1" ref="E263" ca="1">INDIRECT(CONCATENATE("'",$A$200,"'!c",B263),1)</f>
        <v>0</v>
      </c>
      <c r="F263" s="1" cm="1">
        <f t="array" aca="1" ref="F263" ca="1">INDIRECT(CONCATENATE("'",$A$200,"'!d",B263),1)</f>
        <v>0</v>
      </c>
      <c r="G263" s="1" cm="1">
        <f t="array" aca="1" ref="G263" ca="1">INDIRECT(CONCATENATE("'",$A$200,"'!e",B263),1)</f>
        <v>0</v>
      </c>
      <c r="H263" s="1" cm="1">
        <f t="array" aca="1" ref="H263" ca="1">INDIRECT(CONCATENATE("'",$A$200,"'!f",B263),1)</f>
        <v>0</v>
      </c>
      <c r="I263" s="1" cm="1">
        <f t="array" aca="1" ref="I263" ca="1">INDIRECT(CONCATENATE("'",$A$200,"'!g",B263),1)</f>
        <v>0</v>
      </c>
      <c r="J263" s="1" cm="1">
        <f t="array" aca="1" ref="J263" ca="1">INDIRECT(CONCATENATE("'",$A$200,"'!h",B263),1)</f>
        <v>0</v>
      </c>
      <c r="K263" s="1" cm="1">
        <f t="array" aca="1" ref="K263" ca="1">INDIRECT(CONCATENATE("'",$A$200,"'!i",B263),1)</f>
        <v>0</v>
      </c>
      <c r="L263" s="1" cm="1">
        <f t="array" aca="1" ref="L263" ca="1">INDIRECT(CONCATENATE("'",$A$200,"'!j",B263),1)</f>
        <v>0</v>
      </c>
      <c r="M263" s="1" cm="1">
        <f t="array" aca="1" ref="M263" ca="1">INDIRECT(CONCATENATE("'",$A$200,"'!k",B263),1)</f>
        <v>0</v>
      </c>
      <c r="N263" s="1" cm="1">
        <f t="array" aca="1" ref="N263" ca="1">INDIRECT(CONCATENATE("'",$A$200,"'!l",B263),1)</f>
        <v>0</v>
      </c>
      <c r="O263" s="1" cm="1">
        <f t="array" aca="1" ref="O263" ca="1">INDIRECT(CONCATENATE("'",$A$200,"'!m",B263),1)</f>
        <v>0</v>
      </c>
      <c r="P263" s="1" cm="1">
        <f t="array" aca="1" ref="P263" ca="1">INDIRECT(CONCATENATE("'",$A$200,"'!n",B263),1)</f>
        <v>0</v>
      </c>
      <c r="Q263" s="1" cm="1">
        <f t="array" aca="1" ref="Q263" ca="1">INDIRECT(CONCATENATE("'",$A$200,"'!o",B263),1)</f>
        <v>0</v>
      </c>
      <c r="R263" s="1" cm="1">
        <f t="array" aca="1" ref="R263" ca="1">INDIRECT(CONCATENATE("'",$A$200,"'!p",B263),1)</f>
        <v>0</v>
      </c>
      <c r="S263" s="1">
        <f t="shared" ca="1" si="18"/>
        <v>0</v>
      </c>
      <c r="T263" s="1" cm="1">
        <f t="array" aca="1" ref="T263" ca="1">INDIRECT(CONCATENATE("'",$A$200,"'!q",B263),1)</f>
        <v>0</v>
      </c>
      <c r="U263" s="1" cm="1">
        <f t="array" aca="1" ref="U263" ca="1">INDIRECT(CONCATENATE("'",$A$200,"'!r",B263),1)</f>
        <v>0</v>
      </c>
      <c r="V263" s="1" cm="1">
        <f t="array" aca="1" ref="V263" ca="1">INDIRECT(CONCATENATE("'",$A$200,"'!s",B263),1)</f>
        <v>0</v>
      </c>
      <c r="W263" s="1" cm="1">
        <f t="array" aca="1" ref="W263" ca="1">INDIRECT(CONCATENATE("'",$A$200,"'!t",B263),1)</f>
        <v>0</v>
      </c>
      <c r="X263" s="1" cm="1">
        <f t="array" aca="1" ref="X263" ca="1">INDIRECT(CONCATENATE("'",$A$200,"'!u",B263),1)</f>
        <v>0</v>
      </c>
      <c r="Y263" s="1" cm="1">
        <f t="array" aca="1" ref="Y263" ca="1">INDIRECT(CONCATENATE("'",$A$200,"'!v",B263),1)</f>
        <v>0</v>
      </c>
    </row>
    <row r="264" spans="1:25" customFormat="1" hidden="1" x14ac:dyDescent="0.25">
      <c r="A264" s="15"/>
      <c r="B264" s="24">
        <f t="shared" si="17"/>
        <v>66</v>
      </c>
      <c r="C264" s="1" cm="1">
        <f t="array" aca="1" ref="C264" ca="1">INDIRECT(CONCATENATE("'",$A$200,"'!A",B264),1)</f>
        <v>0</v>
      </c>
      <c r="D264" s="1" cm="1">
        <f t="array" aca="1" ref="D264" ca="1">INDIRECT(CONCATENATE("'",$A$200,"'!B",B264),1)</f>
        <v>0</v>
      </c>
      <c r="E264" s="1" cm="1">
        <f t="array" aca="1" ref="E264" ca="1">INDIRECT(CONCATENATE("'",$A$200,"'!c",B264),1)</f>
        <v>0</v>
      </c>
      <c r="F264" s="1" cm="1">
        <f t="array" aca="1" ref="F264" ca="1">INDIRECT(CONCATENATE("'",$A$200,"'!d",B264),1)</f>
        <v>0</v>
      </c>
      <c r="G264" s="1" cm="1">
        <f t="array" aca="1" ref="G264" ca="1">INDIRECT(CONCATENATE("'",$A$200,"'!e",B264),1)</f>
        <v>0</v>
      </c>
      <c r="H264" s="1" cm="1">
        <f t="array" aca="1" ref="H264" ca="1">INDIRECT(CONCATENATE("'",$A$200,"'!f",B264),1)</f>
        <v>0</v>
      </c>
      <c r="I264" s="1" cm="1">
        <f t="array" aca="1" ref="I264" ca="1">INDIRECT(CONCATENATE("'",$A$200,"'!g",B264),1)</f>
        <v>0</v>
      </c>
      <c r="J264" s="1" cm="1">
        <f t="array" aca="1" ref="J264" ca="1">INDIRECT(CONCATENATE("'",$A$200,"'!h",B264),1)</f>
        <v>0</v>
      </c>
      <c r="K264" s="1" cm="1">
        <f t="array" aca="1" ref="K264" ca="1">INDIRECT(CONCATENATE("'",$A$200,"'!i",B264),1)</f>
        <v>0</v>
      </c>
      <c r="L264" s="1" cm="1">
        <f t="array" aca="1" ref="L264" ca="1">INDIRECT(CONCATENATE("'",$A$200,"'!j",B264),1)</f>
        <v>0</v>
      </c>
      <c r="M264" s="1" cm="1">
        <f t="array" aca="1" ref="M264" ca="1">INDIRECT(CONCATENATE("'",$A$200,"'!k",B264),1)</f>
        <v>0</v>
      </c>
      <c r="N264" s="1" cm="1">
        <f t="array" aca="1" ref="N264" ca="1">INDIRECT(CONCATENATE("'",$A$200,"'!l",B264),1)</f>
        <v>0</v>
      </c>
      <c r="O264" s="1" cm="1">
        <f t="array" aca="1" ref="O264" ca="1">INDIRECT(CONCATENATE("'",$A$200,"'!m",B264),1)</f>
        <v>0</v>
      </c>
      <c r="P264" s="1" cm="1">
        <f t="array" aca="1" ref="P264" ca="1">INDIRECT(CONCATENATE("'",$A$200,"'!n",B264),1)</f>
        <v>0</v>
      </c>
      <c r="Q264" s="1" cm="1">
        <f t="array" aca="1" ref="Q264" ca="1">INDIRECT(CONCATENATE("'",$A$200,"'!o",B264),1)</f>
        <v>0</v>
      </c>
      <c r="R264" s="1" cm="1">
        <f t="array" aca="1" ref="R264" ca="1">INDIRECT(CONCATENATE("'",$A$200,"'!p",B264),1)</f>
        <v>0</v>
      </c>
      <c r="S264" s="1">
        <f t="shared" ca="1" si="18"/>
        <v>0</v>
      </c>
      <c r="T264" s="1" cm="1">
        <f t="array" aca="1" ref="T264" ca="1">INDIRECT(CONCATENATE("'",$A$200,"'!q",B264),1)</f>
        <v>0</v>
      </c>
      <c r="U264" s="1" cm="1">
        <f t="array" aca="1" ref="U264" ca="1">INDIRECT(CONCATENATE("'",$A$200,"'!r",B264),1)</f>
        <v>0</v>
      </c>
      <c r="V264" s="1" cm="1">
        <f t="array" aca="1" ref="V264" ca="1">INDIRECT(CONCATENATE("'",$A$200,"'!s",B264),1)</f>
        <v>0</v>
      </c>
      <c r="W264" s="1" cm="1">
        <f t="array" aca="1" ref="W264" ca="1">INDIRECT(CONCATENATE("'",$A$200,"'!t",B264),1)</f>
        <v>0</v>
      </c>
      <c r="X264" s="1" cm="1">
        <f t="array" aca="1" ref="X264" ca="1">INDIRECT(CONCATENATE("'",$A$200,"'!u",B264),1)</f>
        <v>0</v>
      </c>
      <c r="Y264" s="1" cm="1">
        <f t="array" aca="1" ref="Y264" ca="1">INDIRECT(CONCATENATE("'",$A$200,"'!v",B264),1)</f>
        <v>0</v>
      </c>
    </row>
    <row r="265" spans="1:25" customFormat="1" hidden="1" x14ac:dyDescent="0.25">
      <c r="A265" s="15"/>
      <c r="B265" s="24">
        <f t="shared" si="17"/>
        <v>67</v>
      </c>
      <c r="C265" s="1" cm="1">
        <f t="array" aca="1" ref="C265" ca="1">INDIRECT(CONCATENATE("'",$A$200,"'!A",B265),1)</f>
        <v>0</v>
      </c>
      <c r="D265" s="1" cm="1">
        <f t="array" aca="1" ref="D265" ca="1">INDIRECT(CONCATENATE("'",$A$200,"'!B",B265),1)</f>
        <v>0</v>
      </c>
      <c r="E265" s="1" cm="1">
        <f t="array" aca="1" ref="E265" ca="1">INDIRECT(CONCATENATE("'",$A$200,"'!c",B265),1)</f>
        <v>0</v>
      </c>
      <c r="F265" s="1" cm="1">
        <f t="array" aca="1" ref="F265" ca="1">INDIRECT(CONCATENATE("'",$A$200,"'!d",B265),1)</f>
        <v>0</v>
      </c>
      <c r="G265" s="1" cm="1">
        <f t="array" aca="1" ref="G265" ca="1">INDIRECT(CONCATENATE("'",$A$200,"'!e",B265),1)</f>
        <v>0</v>
      </c>
      <c r="H265" s="1" cm="1">
        <f t="array" aca="1" ref="H265" ca="1">INDIRECT(CONCATENATE("'",$A$200,"'!f",B265),1)</f>
        <v>0</v>
      </c>
      <c r="I265" s="1" cm="1">
        <f t="array" aca="1" ref="I265" ca="1">INDIRECT(CONCATENATE("'",$A$200,"'!g",B265),1)</f>
        <v>0</v>
      </c>
      <c r="J265" s="1" cm="1">
        <f t="array" aca="1" ref="J265" ca="1">INDIRECT(CONCATENATE("'",$A$200,"'!h",B265),1)</f>
        <v>0</v>
      </c>
      <c r="K265" s="1" cm="1">
        <f t="array" aca="1" ref="K265" ca="1">INDIRECT(CONCATENATE("'",$A$200,"'!i",B265),1)</f>
        <v>0</v>
      </c>
      <c r="L265" s="1" cm="1">
        <f t="array" aca="1" ref="L265" ca="1">INDIRECT(CONCATENATE("'",$A$200,"'!j",B265),1)</f>
        <v>0</v>
      </c>
      <c r="M265" s="1" cm="1">
        <f t="array" aca="1" ref="M265" ca="1">INDIRECT(CONCATENATE("'",$A$200,"'!k",B265),1)</f>
        <v>0</v>
      </c>
      <c r="N265" s="1" cm="1">
        <f t="array" aca="1" ref="N265" ca="1">INDIRECT(CONCATENATE("'",$A$200,"'!l",B265),1)</f>
        <v>0</v>
      </c>
      <c r="O265" s="1" cm="1">
        <f t="array" aca="1" ref="O265" ca="1">INDIRECT(CONCATENATE("'",$A$200,"'!m",B265),1)</f>
        <v>0</v>
      </c>
      <c r="P265" s="1" cm="1">
        <f t="array" aca="1" ref="P265" ca="1">INDIRECT(CONCATENATE("'",$A$200,"'!n",B265),1)</f>
        <v>0</v>
      </c>
      <c r="Q265" s="1" cm="1">
        <f t="array" aca="1" ref="Q265" ca="1">INDIRECT(CONCATENATE("'",$A$200,"'!o",B265),1)</f>
        <v>0</v>
      </c>
      <c r="R265" s="1" cm="1">
        <f t="array" aca="1" ref="R265" ca="1">INDIRECT(CONCATENATE("'",$A$200,"'!p",B265),1)</f>
        <v>0</v>
      </c>
      <c r="S265" s="1">
        <f t="shared" ref="S265" ca="1" si="19">SUMIFS(U265,T265,$N$1)+SUMIFS(W265,V265,$N$1)+SUMIFS(Y265,X265,$N$1)</f>
        <v>0</v>
      </c>
      <c r="T265" s="1" cm="1">
        <f t="array" aca="1" ref="T265" ca="1">INDIRECT(CONCATENATE("'",$A$200,"'!q",B265),1)</f>
        <v>0</v>
      </c>
      <c r="U265" s="1" cm="1">
        <f t="array" aca="1" ref="U265" ca="1">INDIRECT(CONCATENATE("'",$A$200,"'!r",B265),1)</f>
        <v>0</v>
      </c>
      <c r="V265" s="1" cm="1">
        <f t="array" aca="1" ref="V265" ca="1">INDIRECT(CONCATENATE("'",$A$200,"'!s",B265),1)</f>
        <v>0</v>
      </c>
      <c r="W265" s="1" cm="1">
        <f t="array" aca="1" ref="W265" ca="1">INDIRECT(CONCATENATE("'",$A$200,"'!t",B265),1)</f>
        <v>0</v>
      </c>
      <c r="X265" s="1" cm="1">
        <f t="array" aca="1" ref="X265" ca="1">INDIRECT(CONCATENATE("'",$A$200,"'!u",B265),1)</f>
        <v>0</v>
      </c>
      <c r="Y265" s="1" cm="1">
        <f t="array" aca="1" ref="Y265" ca="1">INDIRECT(CONCATENATE("'",$A$200,"'!v",B265),1)</f>
        <v>0</v>
      </c>
    </row>
    <row r="266" spans="1:25" customFormat="1" hidden="1" x14ac:dyDescent="0.25">
      <c r="A266" s="15"/>
      <c r="B266" s="24">
        <f t="shared" ref="B266:B299" si="20">B265+1</f>
        <v>68</v>
      </c>
      <c r="C266" s="1" cm="1">
        <f t="array" aca="1" ref="C266" ca="1">INDIRECT(CONCATENATE("'",$A$200,"'!A",B266),1)</f>
        <v>0</v>
      </c>
      <c r="D266" s="1" cm="1">
        <f t="array" aca="1" ref="D266" ca="1">INDIRECT(CONCATENATE("'",$A$200,"'!B",B266),1)</f>
        <v>0</v>
      </c>
      <c r="E266" s="1" cm="1">
        <f t="array" aca="1" ref="E266" ca="1">INDIRECT(CONCATENATE("'",$A$200,"'!c",B266),1)</f>
        <v>0</v>
      </c>
      <c r="F266" s="1" cm="1">
        <f t="array" aca="1" ref="F266" ca="1">INDIRECT(CONCATENATE("'",$A$200,"'!d",B266),1)</f>
        <v>0</v>
      </c>
      <c r="G266" s="1" cm="1">
        <f t="array" aca="1" ref="G266" ca="1">INDIRECT(CONCATENATE("'",$A$200,"'!e",B266),1)</f>
        <v>0</v>
      </c>
      <c r="H266" s="1" cm="1">
        <f t="array" aca="1" ref="H266" ca="1">INDIRECT(CONCATENATE("'",$A$200,"'!f",B266),1)</f>
        <v>0</v>
      </c>
      <c r="I266" s="1" cm="1">
        <f t="array" aca="1" ref="I266" ca="1">INDIRECT(CONCATENATE("'",$A$200,"'!g",B266),1)</f>
        <v>0</v>
      </c>
      <c r="J266" s="1" cm="1">
        <f t="array" aca="1" ref="J266" ca="1">INDIRECT(CONCATENATE("'",$A$200,"'!h",B266),1)</f>
        <v>0</v>
      </c>
      <c r="K266" s="1" cm="1">
        <f t="array" aca="1" ref="K266" ca="1">INDIRECT(CONCATENATE("'",$A$200,"'!i",B266),1)</f>
        <v>0</v>
      </c>
      <c r="L266" s="1" cm="1">
        <f t="array" aca="1" ref="L266" ca="1">INDIRECT(CONCATENATE("'",$A$200,"'!j",B266),1)</f>
        <v>0</v>
      </c>
      <c r="M266" s="1" cm="1">
        <f t="array" aca="1" ref="M266" ca="1">INDIRECT(CONCATENATE("'",$A$200,"'!k",B266),1)</f>
        <v>0</v>
      </c>
      <c r="N266" s="1" cm="1">
        <f t="array" aca="1" ref="N266" ca="1">INDIRECT(CONCATENATE("'",$A$200,"'!l",B266),1)</f>
        <v>0</v>
      </c>
      <c r="O266" s="1" cm="1">
        <f t="array" aca="1" ref="O266" ca="1">INDIRECT(CONCATENATE("'",$A$200,"'!m",B266),1)</f>
        <v>0</v>
      </c>
      <c r="P266" s="1" cm="1">
        <f t="array" aca="1" ref="P266" ca="1">INDIRECT(CONCATENATE("'",$A$200,"'!n",B266),1)</f>
        <v>0</v>
      </c>
      <c r="Q266" s="1" cm="1">
        <f t="array" aca="1" ref="Q266" ca="1">INDIRECT(CONCATENATE("'",$A$200,"'!o",B266),1)</f>
        <v>0</v>
      </c>
      <c r="R266" s="1" cm="1">
        <f t="array" aca="1" ref="R266" ca="1">INDIRECT(CONCATENATE("'",$A$200,"'!p",B266),1)</f>
        <v>0</v>
      </c>
      <c r="S266" s="1">
        <f t="shared" ref="S266:S276" ca="1" si="21">SUMIFS(U266,T266,$N$1)+SUMIFS(W266,V266,$N$1)+SUMIFS(Y266,X266,$N$1)</f>
        <v>0</v>
      </c>
      <c r="T266" s="1" cm="1">
        <f t="array" aca="1" ref="T266" ca="1">INDIRECT(CONCATENATE("'",$A$200,"'!q",B266),1)</f>
        <v>0</v>
      </c>
      <c r="U266" s="1" cm="1">
        <f t="array" aca="1" ref="U266" ca="1">INDIRECT(CONCATENATE("'",$A$200,"'!r",B266),1)</f>
        <v>0</v>
      </c>
      <c r="V266" s="1" cm="1">
        <f t="array" aca="1" ref="V266" ca="1">INDIRECT(CONCATENATE("'",$A$200,"'!s",B266),1)</f>
        <v>0</v>
      </c>
      <c r="W266" s="1" cm="1">
        <f t="array" aca="1" ref="W266" ca="1">INDIRECT(CONCATENATE("'",$A$200,"'!t",B266),1)</f>
        <v>0</v>
      </c>
      <c r="X266" s="1" cm="1">
        <f t="array" aca="1" ref="X266" ca="1">INDIRECT(CONCATENATE("'",$A$200,"'!u",B266),1)</f>
        <v>0</v>
      </c>
      <c r="Y266" s="1" cm="1">
        <f t="array" aca="1" ref="Y266" ca="1">INDIRECT(CONCATENATE("'",$A$200,"'!v",B266),1)</f>
        <v>0</v>
      </c>
    </row>
    <row r="267" spans="1:25" customFormat="1" hidden="1" x14ac:dyDescent="0.25">
      <c r="A267" s="15"/>
      <c r="B267" s="24">
        <f t="shared" si="20"/>
        <v>69</v>
      </c>
      <c r="C267" s="1" cm="1">
        <f t="array" aca="1" ref="C267" ca="1">INDIRECT(CONCATENATE("'",$A$200,"'!A",B267),1)</f>
        <v>0</v>
      </c>
      <c r="D267" s="1" cm="1">
        <f t="array" aca="1" ref="D267" ca="1">INDIRECT(CONCATENATE("'",$A$200,"'!B",B267),1)</f>
        <v>0</v>
      </c>
      <c r="E267" s="1" cm="1">
        <f t="array" aca="1" ref="E267" ca="1">INDIRECT(CONCATENATE("'",$A$200,"'!c",B267),1)</f>
        <v>0</v>
      </c>
      <c r="F267" s="1" cm="1">
        <f t="array" aca="1" ref="F267" ca="1">INDIRECT(CONCATENATE("'",$A$200,"'!d",B267),1)</f>
        <v>0</v>
      </c>
      <c r="G267" s="1" cm="1">
        <f t="array" aca="1" ref="G267" ca="1">INDIRECT(CONCATENATE("'",$A$200,"'!e",B267),1)</f>
        <v>0</v>
      </c>
      <c r="H267" s="1" cm="1">
        <f t="array" aca="1" ref="H267" ca="1">INDIRECT(CONCATENATE("'",$A$200,"'!f",B267),1)</f>
        <v>0</v>
      </c>
      <c r="I267" s="1" cm="1">
        <f t="array" aca="1" ref="I267" ca="1">INDIRECT(CONCATENATE("'",$A$200,"'!g",B267),1)</f>
        <v>0</v>
      </c>
      <c r="J267" s="1" cm="1">
        <f t="array" aca="1" ref="J267" ca="1">INDIRECT(CONCATENATE("'",$A$200,"'!h",B267),1)</f>
        <v>0</v>
      </c>
      <c r="K267" s="1" cm="1">
        <f t="array" aca="1" ref="K267" ca="1">INDIRECT(CONCATENATE("'",$A$200,"'!i",B267),1)</f>
        <v>0</v>
      </c>
      <c r="L267" s="1" cm="1">
        <f t="array" aca="1" ref="L267" ca="1">INDIRECT(CONCATENATE("'",$A$200,"'!j",B267),1)</f>
        <v>0</v>
      </c>
      <c r="M267" s="1" cm="1">
        <f t="array" aca="1" ref="M267" ca="1">INDIRECT(CONCATENATE("'",$A$200,"'!k",B267),1)</f>
        <v>0</v>
      </c>
      <c r="N267" s="1" cm="1">
        <f t="array" aca="1" ref="N267" ca="1">INDIRECT(CONCATENATE("'",$A$200,"'!l",B267),1)</f>
        <v>0</v>
      </c>
      <c r="O267" s="1" cm="1">
        <f t="array" aca="1" ref="O267" ca="1">INDIRECT(CONCATENATE("'",$A$200,"'!m",B267),1)</f>
        <v>0</v>
      </c>
      <c r="P267" s="1" cm="1">
        <f t="array" aca="1" ref="P267" ca="1">INDIRECT(CONCATENATE("'",$A$200,"'!n",B267),1)</f>
        <v>0</v>
      </c>
      <c r="Q267" s="1" cm="1">
        <f t="array" aca="1" ref="Q267" ca="1">INDIRECT(CONCATENATE("'",$A$200,"'!o",B267),1)</f>
        <v>0</v>
      </c>
      <c r="R267" s="1" cm="1">
        <f t="array" aca="1" ref="R267" ca="1">INDIRECT(CONCATENATE("'",$A$200,"'!p",B267),1)</f>
        <v>0</v>
      </c>
      <c r="S267" s="1">
        <f t="shared" ca="1" si="21"/>
        <v>0</v>
      </c>
      <c r="T267" s="1" cm="1">
        <f t="array" aca="1" ref="T267" ca="1">INDIRECT(CONCATENATE("'",$A$200,"'!q",B267),1)</f>
        <v>0</v>
      </c>
      <c r="U267" s="1" cm="1">
        <f t="array" aca="1" ref="U267" ca="1">INDIRECT(CONCATENATE("'",$A$200,"'!r",B267),1)</f>
        <v>0</v>
      </c>
      <c r="V267" s="1" cm="1">
        <f t="array" aca="1" ref="V267" ca="1">INDIRECT(CONCATENATE("'",$A$200,"'!s",B267),1)</f>
        <v>0</v>
      </c>
      <c r="W267" s="1" cm="1">
        <f t="array" aca="1" ref="W267" ca="1">INDIRECT(CONCATENATE("'",$A$200,"'!t",B267),1)</f>
        <v>0</v>
      </c>
      <c r="X267" s="1" cm="1">
        <f t="array" aca="1" ref="X267" ca="1">INDIRECT(CONCATENATE("'",$A$200,"'!u",B267),1)</f>
        <v>0</v>
      </c>
      <c r="Y267" s="1" cm="1">
        <f t="array" aca="1" ref="Y267" ca="1">INDIRECT(CONCATENATE("'",$A$200,"'!v",B267),1)</f>
        <v>0</v>
      </c>
    </row>
    <row r="268" spans="1:25" customFormat="1" hidden="1" x14ac:dyDescent="0.25">
      <c r="A268" s="15"/>
      <c r="B268" s="24">
        <f t="shared" si="20"/>
        <v>70</v>
      </c>
      <c r="C268" s="1" cm="1">
        <f t="array" aca="1" ref="C268" ca="1">INDIRECT(CONCATENATE("'",$A$200,"'!A",B268),1)</f>
        <v>0</v>
      </c>
      <c r="D268" s="1" cm="1">
        <f t="array" aca="1" ref="D268" ca="1">INDIRECT(CONCATENATE("'",$A$200,"'!B",B268),1)</f>
        <v>0</v>
      </c>
      <c r="E268" s="1" cm="1">
        <f t="array" aca="1" ref="E268" ca="1">INDIRECT(CONCATENATE("'",$A$200,"'!c",B268),1)</f>
        <v>0</v>
      </c>
      <c r="F268" s="1" cm="1">
        <f t="array" aca="1" ref="F268" ca="1">INDIRECT(CONCATENATE("'",$A$200,"'!d",B268),1)</f>
        <v>0</v>
      </c>
      <c r="G268" s="1" cm="1">
        <f t="array" aca="1" ref="G268" ca="1">INDIRECT(CONCATENATE("'",$A$200,"'!e",B268),1)</f>
        <v>0</v>
      </c>
      <c r="H268" s="1" cm="1">
        <f t="array" aca="1" ref="H268" ca="1">INDIRECT(CONCATENATE("'",$A$200,"'!f",B268),1)</f>
        <v>0</v>
      </c>
      <c r="I268" s="1" cm="1">
        <f t="array" aca="1" ref="I268" ca="1">INDIRECT(CONCATENATE("'",$A$200,"'!g",B268),1)</f>
        <v>0</v>
      </c>
      <c r="J268" s="1" cm="1">
        <f t="array" aca="1" ref="J268" ca="1">INDIRECT(CONCATENATE("'",$A$200,"'!h",B268),1)</f>
        <v>0</v>
      </c>
      <c r="K268" s="1" cm="1">
        <f t="array" aca="1" ref="K268" ca="1">INDIRECT(CONCATENATE("'",$A$200,"'!i",B268),1)</f>
        <v>0</v>
      </c>
      <c r="L268" s="1" cm="1">
        <f t="array" aca="1" ref="L268" ca="1">INDIRECT(CONCATENATE("'",$A$200,"'!j",B268),1)</f>
        <v>0</v>
      </c>
      <c r="M268" s="1" cm="1">
        <f t="array" aca="1" ref="M268" ca="1">INDIRECT(CONCATENATE("'",$A$200,"'!k",B268),1)</f>
        <v>0</v>
      </c>
      <c r="N268" s="1" cm="1">
        <f t="array" aca="1" ref="N268" ca="1">INDIRECT(CONCATENATE("'",$A$200,"'!l",B268),1)</f>
        <v>0</v>
      </c>
      <c r="O268" s="1" cm="1">
        <f t="array" aca="1" ref="O268" ca="1">INDIRECT(CONCATENATE("'",$A$200,"'!m",B268),1)</f>
        <v>0</v>
      </c>
      <c r="P268" s="1" cm="1">
        <f t="array" aca="1" ref="P268" ca="1">INDIRECT(CONCATENATE("'",$A$200,"'!n",B268),1)</f>
        <v>0</v>
      </c>
      <c r="Q268" s="1" cm="1">
        <f t="array" aca="1" ref="Q268" ca="1">INDIRECT(CONCATENATE("'",$A$200,"'!o",B268),1)</f>
        <v>0</v>
      </c>
      <c r="R268" s="1" cm="1">
        <f t="array" aca="1" ref="R268" ca="1">INDIRECT(CONCATENATE("'",$A$200,"'!p",B268),1)</f>
        <v>0</v>
      </c>
      <c r="S268" s="1">
        <f t="shared" ca="1" si="21"/>
        <v>0</v>
      </c>
      <c r="T268" s="1" cm="1">
        <f t="array" aca="1" ref="T268" ca="1">INDIRECT(CONCATENATE("'",$A$200,"'!q",B268),1)</f>
        <v>0</v>
      </c>
      <c r="U268" s="1" cm="1">
        <f t="array" aca="1" ref="U268" ca="1">INDIRECT(CONCATENATE("'",$A$200,"'!r",B268),1)</f>
        <v>0</v>
      </c>
      <c r="V268" s="1" cm="1">
        <f t="array" aca="1" ref="V268" ca="1">INDIRECT(CONCATENATE("'",$A$200,"'!s",B268),1)</f>
        <v>0</v>
      </c>
      <c r="W268" s="1" cm="1">
        <f t="array" aca="1" ref="W268" ca="1">INDIRECT(CONCATENATE("'",$A$200,"'!t",B268),1)</f>
        <v>0</v>
      </c>
      <c r="X268" s="1" cm="1">
        <f t="array" aca="1" ref="X268" ca="1">INDIRECT(CONCATENATE("'",$A$200,"'!u",B268),1)</f>
        <v>0</v>
      </c>
      <c r="Y268" s="1" cm="1">
        <f t="array" aca="1" ref="Y268" ca="1">INDIRECT(CONCATENATE("'",$A$200,"'!v",B268),1)</f>
        <v>0</v>
      </c>
    </row>
    <row r="269" spans="1:25" customFormat="1" hidden="1" x14ac:dyDescent="0.25">
      <c r="A269" s="15"/>
      <c r="B269" s="24">
        <f t="shared" si="20"/>
        <v>71</v>
      </c>
      <c r="C269" s="1" cm="1">
        <f t="array" aca="1" ref="C269" ca="1">INDIRECT(CONCATENATE("'",$A$200,"'!A",B269),1)</f>
        <v>0</v>
      </c>
      <c r="D269" s="1" cm="1">
        <f t="array" aca="1" ref="D269" ca="1">INDIRECT(CONCATENATE("'",$A$200,"'!B",B269),1)</f>
        <v>0</v>
      </c>
      <c r="E269" s="1" cm="1">
        <f t="array" aca="1" ref="E269" ca="1">INDIRECT(CONCATENATE("'",$A$200,"'!c",B269),1)</f>
        <v>0</v>
      </c>
      <c r="F269" s="1" cm="1">
        <f t="array" aca="1" ref="F269" ca="1">INDIRECT(CONCATENATE("'",$A$200,"'!d",B269),1)</f>
        <v>0</v>
      </c>
      <c r="G269" s="1" cm="1">
        <f t="array" aca="1" ref="G269" ca="1">INDIRECT(CONCATENATE("'",$A$200,"'!e",B269),1)</f>
        <v>0</v>
      </c>
      <c r="H269" s="1" cm="1">
        <f t="array" aca="1" ref="H269" ca="1">INDIRECT(CONCATENATE("'",$A$200,"'!f",B269),1)</f>
        <v>0</v>
      </c>
      <c r="I269" s="1" cm="1">
        <f t="array" aca="1" ref="I269" ca="1">INDIRECT(CONCATENATE("'",$A$200,"'!g",B269),1)</f>
        <v>0</v>
      </c>
      <c r="J269" s="1" cm="1">
        <f t="array" aca="1" ref="J269" ca="1">INDIRECT(CONCATENATE("'",$A$200,"'!h",B269),1)</f>
        <v>0</v>
      </c>
      <c r="K269" s="1" cm="1">
        <f t="array" aca="1" ref="K269" ca="1">INDIRECT(CONCATENATE("'",$A$200,"'!i",B269),1)</f>
        <v>0</v>
      </c>
      <c r="L269" s="1" cm="1">
        <f t="array" aca="1" ref="L269" ca="1">INDIRECT(CONCATENATE("'",$A$200,"'!j",B269),1)</f>
        <v>0</v>
      </c>
      <c r="M269" s="1" cm="1">
        <f t="array" aca="1" ref="M269" ca="1">INDIRECT(CONCATENATE("'",$A$200,"'!k",B269),1)</f>
        <v>0</v>
      </c>
      <c r="N269" s="1" cm="1">
        <f t="array" aca="1" ref="N269" ca="1">INDIRECT(CONCATENATE("'",$A$200,"'!l",B269),1)</f>
        <v>0</v>
      </c>
      <c r="O269" s="1" cm="1">
        <f t="array" aca="1" ref="O269" ca="1">INDIRECT(CONCATENATE("'",$A$200,"'!m",B269),1)</f>
        <v>0</v>
      </c>
      <c r="P269" s="1" cm="1">
        <f t="array" aca="1" ref="P269" ca="1">INDIRECT(CONCATENATE("'",$A$200,"'!n",B269),1)</f>
        <v>0</v>
      </c>
      <c r="Q269" s="1" cm="1">
        <f t="array" aca="1" ref="Q269" ca="1">INDIRECT(CONCATENATE("'",$A$200,"'!o",B269),1)</f>
        <v>0</v>
      </c>
      <c r="R269" s="1" cm="1">
        <f t="array" aca="1" ref="R269" ca="1">INDIRECT(CONCATENATE("'",$A$200,"'!p",B269),1)</f>
        <v>0</v>
      </c>
      <c r="S269" s="1">
        <f t="shared" ca="1" si="21"/>
        <v>0</v>
      </c>
      <c r="T269" s="1" cm="1">
        <f t="array" aca="1" ref="T269" ca="1">INDIRECT(CONCATENATE("'",$A$200,"'!q",B269),1)</f>
        <v>0</v>
      </c>
      <c r="U269" s="1" cm="1">
        <f t="array" aca="1" ref="U269" ca="1">INDIRECT(CONCATENATE("'",$A$200,"'!r",B269),1)</f>
        <v>0</v>
      </c>
      <c r="V269" s="1" cm="1">
        <f t="array" aca="1" ref="V269" ca="1">INDIRECT(CONCATENATE("'",$A$200,"'!s",B269),1)</f>
        <v>0</v>
      </c>
      <c r="W269" s="1" cm="1">
        <f t="array" aca="1" ref="W269" ca="1">INDIRECT(CONCATENATE("'",$A$200,"'!t",B269),1)</f>
        <v>0</v>
      </c>
      <c r="X269" s="1" cm="1">
        <f t="array" aca="1" ref="X269" ca="1">INDIRECT(CONCATENATE("'",$A$200,"'!u",B269),1)</f>
        <v>0</v>
      </c>
      <c r="Y269" s="1" cm="1">
        <f t="array" aca="1" ref="Y269" ca="1">INDIRECT(CONCATENATE("'",$A$200,"'!v",B269),1)</f>
        <v>0</v>
      </c>
    </row>
    <row r="270" spans="1:25" customFormat="1" hidden="1" x14ac:dyDescent="0.25">
      <c r="A270" s="15"/>
      <c r="B270" s="24">
        <f t="shared" si="20"/>
        <v>72</v>
      </c>
      <c r="C270" s="1" cm="1">
        <f t="array" aca="1" ref="C270" ca="1">INDIRECT(CONCATENATE("'",$A$200,"'!A",B270),1)</f>
        <v>0</v>
      </c>
      <c r="D270" s="1" cm="1">
        <f t="array" aca="1" ref="D270" ca="1">INDIRECT(CONCATENATE("'",$A$200,"'!B",B270),1)</f>
        <v>0</v>
      </c>
      <c r="E270" s="1" cm="1">
        <f t="array" aca="1" ref="E270" ca="1">INDIRECT(CONCATENATE("'",$A$200,"'!c",B270),1)</f>
        <v>0</v>
      </c>
      <c r="F270" s="1" cm="1">
        <f t="array" aca="1" ref="F270" ca="1">INDIRECT(CONCATENATE("'",$A$200,"'!d",B270),1)</f>
        <v>0</v>
      </c>
      <c r="G270" s="1" cm="1">
        <f t="array" aca="1" ref="G270" ca="1">INDIRECT(CONCATENATE("'",$A$200,"'!e",B270),1)</f>
        <v>0</v>
      </c>
      <c r="H270" s="1" cm="1">
        <f t="array" aca="1" ref="H270" ca="1">INDIRECT(CONCATENATE("'",$A$200,"'!f",B270),1)</f>
        <v>0</v>
      </c>
      <c r="I270" s="1" cm="1">
        <f t="array" aca="1" ref="I270" ca="1">INDIRECT(CONCATENATE("'",$A$200,"'!g",B270),1)</f>
        <v>0</v>
      </c>
      <c r="J270" s="1" cm="1">
        <f t="array" aca="1" ref="J270" ca="1">INDIRECT(CONCATENATE("'",$A$200,"'!h",B270),1)</f>
        <v>0</v>
      </c>
      <c r="K270" s="1" cm="1">
        <f t="array" aca="1" ref="K270" ca="1">INDIRECT(CONCATENATE("'",$A$200,"'!i",B270),1)</f>
        <v>0</v>
      </c>
      <c r="L270" s="1" cm="1">
        <f t="array" aca="1" ref="L270" ca="1">INDIRECT(CONCATENATE("'",$A$200,"'!j",B270),1)</f>
        <v>0</v>
      </c>
      <c r="M270" s="1" cm="1">
        <f t="array" aca="1" ref="M270" ca="1">INDIRECT(CONCATENATE("'",$A$200,"'!k",B270),1)</f>
        <v>0</v>
      </c>
      <c r="N270" s="1" cm="1">
        <f t="array" aca="1" ref="N270" ca="1">INDIRECT(CONCATENATE("'",$A$200,"'!l",B270),1)</f>
        <v>0</v>
      </c>
      <c r="O270" s="1" cm="1">
        <f t="array" aca="1" ref="O270" ca="1">INDIRECT(CONCATENATE("'",$A$200,"'!m",B270),1)</f>
        <v>0</v>
      </c>
      <c r="P270" s="1" cm="1">
        <f t="array" aca="1" ref="P270" ca="1">INDIRECT(CONCATENATE("'",$A$200,"'!n",B270),1)</f>
        <v>0</v>
      </c>
      <c r="Q270" s="1" cm="1">
        <f t="array" aca="1" ref="Q270" ca="1">INDIRECT(CONCATENATE("'",$A$200,"'!o",B270),1)</f>
        <v>0</v>
      </c>
      <c r="R270" s="1" cm="1">
        <f t="array" aca="1" ref="R270" ca="1">INDIRECT(CONCATENATE("'",$A$200,"'!p",B270),1)</f>
        <v>0</v>
      </c>
      <c r="S270" s="1">
        <f t="shared" ca="1" si="21"/>
        <v>0</v>
      </c>
      <c r="T270" s="1" cm="1">
        <f t="array" aca="1" ref="T270" ca="1">INDIRECT(CONCATENATE("'",$A$200,"'!q",B270),1)</f>
        <v>0</v>
      </c>
      <c r="U270" s="1" cm="1">
        <f t="array" aca="1" ref="U270" ca="1">INDIRECT(CONCATENATE("'",$A$200,"'!r",B270),1)</f>
        <v>0</v>
      </c>
      <c r="V270" s="1" cm="1">
        <f t="array" aca="1" ref="V270" ca="1">INDIRECT(CONCATENATE("'",$A$200,"'!s",B270),1)</f>
        <v>0</v>
      </c>
      <c r="W270" s="1" cm="1">
        <f t="array" aca="1" ref="W270" ca="1">INDIRECT(CONCATENATE("'",$A$200,"'!t",B270),1)</f>
        <v>0</v>
      </c>
      <c r="X270" s="1" cm="1">
        <f t="array" aca="1" ref="X270" ca="1">INDIRECT(CONCATENATE("'",$A$200,"'!u",B270),1)</f>
        <v>0</v>
      </c>
      <c r="Y270" s="1" cm="1">
        <f t="array" aca="1" ref="Y270" ca="1">INDIRECT(CONCATENATE("'",$A$200,"'!v",B270),1)</f>
        <v>0</v>
      </c>
    </row>
    <row r="271" spans="1:25" customFormat="1" hidden="1" x14ac:dyDescent="0.25">
      <c r="A271" s="15"/>
      <c r="B271" s="24">
        <f t="shared" si="20"/>
        <v>73</v>
      </c>
      <c r="C271" s="1" cm="1">
        <f t="array" aca="1" ref="C271" ca="1">INDIRECT(CONCATENATE("'",$A$200,"'!A",B271),1)</f>
        <v>0</v>
      </c>
      <c r="D271" s="1" cm="1">
        <f t="array" aca="1" ref="D271" ca="1">INDIRECT(CONCATENATE("'",$A$200,"'!B",B271),1)</f>
        <v>0</v>
      </c>
      <c r="E271" s="1" cm="1">
        <f t="array" aca="1" ref="E271" ca="1">INDIRECT(CONCATENATE("'",$A$200,"'!c",B271),1)</f>
        <v>0</v>
      </c>
      <c r="F271" s="1" cm="1">
        <f t="array" aca="1" ref="F271" ca="1">INDIRECT(CONCATENATE("'",$A$200,"'!d",B271),1)</f>
        <v>0</v>
      </c>
      <c r="G271" s="1" cm="1">
        <f t="array" aca="1" ref="G271" ca="1">INDIRECT(CONCATENATE("'",$A$200,"'!e",B271),1)</f>
        <v>0</v>
      </c>
      <c r="H271" s="1" cm="1">
        <f t="array" aca="1" ref="H271" ca="1">INDIRECT(CONCATENATE("'",$A$200,"'!f",B271),1)</f>
        <v>0</v>
      </c>
      <c r="I271" s="1" cm="1">
        <f t="array" aca="1" ref="I271" ca="1">INDIRECT(CONCATENATE("'",$A$200,"'!g",B271),1)</f>
        <v>0</v>
      </c>
      <c r="J271" s="1" cm="1">
        <f t="array" aca="1" ref="J271" ca="1">INDIRECT(CONCATENATE("'",$A$200,"'!h",B271),1)</f>
        <v>0</v>
      </c>
      <c r="K271" s="1" cm="1">
        <f t="array" aca="1" ref="K271" ca="1">INDIRECT(CONCATENATE("'",$A$200,"'!i",B271),1)</f>
        <v>0</v>
      </c>
      <c r="L271" s="1" cm="1">
        <f t="array" aca="1" ref="L271" ca="1">INDIRECT(CONCATENATE("'",$A$200,"'!j",B271),1)</f>
        <v>0</v>
      </c>
      <c r="M271" s="1" cm="1">
        <f t="array" aca="1" ref="M271" ca="1">INDIRECT(CONCATENATE("'",$A$200,"'!k",B271),1)</f>
        <v>0</v>
      </c>
      <c r="N271" s="1" cm="1">
        <f t="array" aca="1" ref="N271" ca="1">INDIRECT(CONCATENATE("'",$A$200,"'!l",B271),1)</f>
        <v>0</v>
      </c>
      <c r="O271" s="1" cm="1">
        <f t="array" aca="1" ref="O271" ca="1">INDIRECT(CONCATENATE("'",$A$200,"'!m",B271),1)</f>
        <v>0</v>
      </c>
      <c r="P271" s="1" cm="1">
        <f t="array" aca="1" ref="P271" ca="1">INDIRECT(CONCATENATE("'",$A$200,"'!n",B271),1)</f>
        <v>0</v>
      </c>
      <c r="Q271" s="1" cm="1">
        <f t="array" aca="1" ref="Q271" ca="1">INDIRECT(CONCATENATE("'",$A$200,"'!o",B271),1)</f>
        <v>0</v>
      </c>
      <c r="R271" s="1" cm="1">
        <f t="array" aca="1" ref="R271" ca="1">INDIRECT(CONCATENATE("'",$A$200,"'!p",B271),1)</f>
        <v>0</v>
      </c>
      <c r="S271" s="1">
        <f t="shared" ca="1" si="21"/>
        <v>0</v>
      </c>
      <c r="T271" s="1" cm="1">
        <f t="array" aca="1" ref="T271" ca="1">INDIRECT(CONCATENATE("'",$A$200,"'!q",B271),1)</f>
        <v>0</v>
      </c>
      <c r="U271" s="1" cm="1">
        <f t="array" aca="1" ref="U271" ca="1">INDIRECT(CONCATENATE("'",$A$200,"'!r",B271),1)</f>
        <v>0</v>
      </c>
      <c r="V271" s="1" cm="1">
        <f t="array" aca="1" ref="V271" ca="1">INDIRECT(CONCATENATE("'",$A$200,"'!s",B271),1)</f>
        <v>0</v>
      </c>
      <c r="W271" s="1" cm="1">
        <f t="array" aca="1" ref="W271" ca="1">INDIRECT(CONCATENATE("'",$A$200,"'!t",B271),1)</f>
        <v>0</v>
      </c>
      <c r="X271" s="1" cm="1">
        <f t="array" aca="1" ref="X271" ca="1">INDIRECT(CONCATENATE("'",$A$200,"'!u",B271),1)</f>
        <v>0</v>
      </c>
      <c r="Y271" s="1" cm="1">
        <f t="array" aca="1" ref="Y271" ca="1">INDIRECT(CONCATENATE("'",$A$200,"'!v",B271),1)</f>
        <v>0</v>
      </c>
    </row>
    <row r="272" spans="1:25" customFormat="1" hidden="1" x14ac:dyDescent="0.25">
      <c r="A272" s="15"/>
      <c r="B272" s="24">
        <f t="shared" si="20"/>
        <v>74</v>
      </c>
      <c r="C272" s="1" cm="1">
        <f t="array" aca="1" ref="C272" ca="1">INDIRECT(CONCATENATE("'",$A$200,"'!A",B272),1)</f>
        <v>0</v>
      </c>
      <c r="D272" s="1" cm="1">
        <f t="array" aca="1" ref="D272" ca="1">INDIRECT(CONCATENATE("'",$A$200,"'!B",B272),1)</f>
        <v>0</v>
      </c>
      <c r="E272" s="1" cm="1">
        <f t="array" aca="1" ref="E272" ca="1">INDIRECT(CONCATENATE("'",$A$200,"'!c",B272),1)</f>
        <v>0</v>
      </c>
      <c r="F272" s="1" cm="1">
        <f t="array" aca="1" ref="F272" ca="1">INDIRECT(CONCATENATE("'",$A$200,"'!d",B272),1)</f>
        <v>0</v>
      </c>
      <c r="G272" s="1" cm="1">
        <f t="array" aca="1" ref="G272" ca="1">INDIRECT(CONCATENATE("'",$A$200,"'!e",B272),1)</f>
        <v>0</v>
      </c>
      <c r="H272" s="1" cm="1">
        <f t="array" aca="1" ref="H272" ca="1">INDIRECT(CONCATENATE("'",$A$200,"'!f",B272),1)</f>
        <v>0</v>
      </c>
      <c r="I272" s="1" cm="1">
        <f t="array" aca="1" ref="I272" ca="1">INDIRECT(CONCATENATE("'",$A$200,"'!g",B272),1)</f>
        <v>0</v>
      </c>
      <c r="J272" s="1" cm="1">
        <f t="array" aca="1" ref="J272" ca="1">INDIRECT(CONCATENATE("'",$A$200,"'!h",B272),1)</f>
        <v>0</v>
      </c>
      <c r="K272" s="1" cm="1">
        <f t="array" aca="1" ref="K272" ca="1">INDIRECT(CONCATENATE("'",$A$200,"'!i",B272),1)</f>
        <v>0</v>
      </c>
      <c r="L272" s="1" cm="1">
        <f t="array" aca="1" ref="L272" ca="1">INDIRECT(CONCATENATE("'",$A$200,"'!j",B272),1)</f>
        <v>0</v>
      </c>
      <c r="M272" s="1" cm="1">
        <f t="array" aca="1" ref="M272" ca="1">INDIRECT(CONCATENATE("'",$A$200,"'!k",B272),1)</f>
        <v>0</v>
      </c>
      <c r="N272" s="1" cm="1">
        <f t="array" aca="1" ref="N272" ca="1">INDIRECT(CONCATENATE("'",$A$200,"'!l",B272),1)</f>
        <v>0</v>
      </c>
      <c r="O272" s="1" cm="1">
        <f t="array" aca="1" ref="O272" ca="1">INDIRECT(CONCATENATE("'",$A$200,"'!m",B272),1)</f>
        <v>0</v>
      </c>
      <c r="P272" s="1" cm="1">
        <f t="array" aca="1" ref="P272" ca="1">INDIRECT(CONCATENATE("'",$A$200,"'!n",B272),1)</f>
        <v>0</v>
      </c>
      <c r="Q272" s="1" cm="1">
        <f t="array" aca="1" ref="Q272" ca="1">INDIRECT(CONCATENATE("'",$A$200,"'!o",B272),1)</f>
        <v>0</v>
      </c>
      <c r="R272" s="1" cm="1">
        <f t="array" aca="1" ref="R272" ca="1">INDIRECT(CONCATENATE("'",$A$200,"'!p",B272),1)</f>
        <v>0</v>
      </c>
      <c r="S272" s="1">
        <f t="shared" ca="1" si="21"/>
        <v>0</v>
      </c>
      <c r="T272" s="1" cm="1">
        <f t="array" aca="1" ref="T272" ca="1">INDIRECT(CONCATENATE("'",$A$200,"'!q",B272),1)</f>
        <v>0</v>
      </c>
      <c r="U272" s="1" cm="1">
        <f t="array" aca="1" ref="U272" ca="1">INDIRECT(CONCATENATE("'",$A$200,"'!r",B272),1)</f>
        <v>0</v>
      </c>
      <c r="V272" s="1" cm="1">
        <f t="array" aca="1" ref="V272" ca="1">INDIRECT(CONCATENATE("'",$A$200,"'!s",B272),1)</f>
        <v>0</v>
      </c>
      <c r="W272" s="1" cm="1">
        <f t="array" aca="1" ref="W272" ca="1">INDIRECT(CONCATENATE("'",$A$200,"'!t",B272),1)</f>
        <v>0</v>
      </c>
      <c r="X272" s="1" cm="1">
        <f t="array" aca="1" ref="X272" ca="1">INDIRECT(CONCATENATE("'",$A$200,"'!u",B272),1)</f>
        <v>0</v>
      </c>
      <c r="Y272" s="1" cm="1">
        <f t="array" aca="1" ref="Y272" ca="1">INDIRECT(CONCATENATE("'",$A$200,"'!v",B272),1)</f>
        <v>0</v>
      </c>
    </row>
    <row r="273" spans="1:25" customFormat="1" hidden="1" x14ac:dyDescent="0.25">
      <c r="A273" s="15"/>
      <c r="B273" s="24">
        <f t="shared" si="20"/>
        <v>75</v>
      </c>
      <c r="C273" s="1" cm="1">
        <f t="array" aca="1" ref="C273" ca="1">INDIRECT(CONCATENATE("'",$A$200,"'!A",B273),1)</f>
        <v>0</v>
      </c>
      <c r="D273" s="1" cm="1">
        <f t="array" aca="1" ref="D273" ca="1">INDIRECT(CONCATENATE("'",$A$200,"'!B",B273),1)</f>
        <v>0</v>
      </c>
      <c r="E273" s="1" cm="1">
        <f t="array" aca="1" ref="E273" ca="1">INDIRECT(CONCATENATE("'",$A$200,"'!c",B273),1)</f>
        <v>0</v>
      </c>
      <c r="F273" s="1" cm="1">
        <f t="array" aca="1" ref="F273" ca="1">INDIRECT(CONCATENATE("'",$A$200,"'!d",B273),1)</f>
        <v>0</v>
      </c>
      <c r="G273" s="1" cm="1">
        <f t="array" aca="1" ref="G273" ca="1">INDIRECT(CONCATENATE("'",$A$200,"'!e",B273),1)</f>
        <v>0</v>
      </c>
      <c r="H273" s="1" cm="1">
        <f t="array" aca="1" ref="H273" ca="1">INDIRECT(CONCATENATE("'",$A$200,"'!f",B273),1)</f>
        <v>0</v>
      </c>
      <c r="I273" s="1" cm="1">
        <f t="array" aca="1" ref="I273" ca="1">INDIRECT(CONCATENATE("'",$A$200,"'!g",B273),1)</f>
        <v>0</v>
      </c>
      <c r="J273" s="1" cm="1">
        <f t="array" aca="1" ref="J273" ca="1">INDIRECT(CONCATENATE("'",$A$200,"'!h",B273),1)</f>
        <v>0</v>
      </c>
      <c r="K273" s="1" cm="1">
        <f t="array" aca="1" ref="K273" ca="1">INDIRECT(CONCATENATE("'",$A$200,"'!i",B273),1)</f>
        <v>0</v>
      </c>
      <c r="L273" s="1" cm="1">
        <f t="array" aca="1" ref="L273" ca="1">INDIRECT(CONCATENATE("'",$A$200,"'!j",B273),1)</f>
        <v>0</v>
      </c>
      <c r="M273" s="1" cm="1">
        <f t="array" aca="1" ref="M273" ca="1">INDIRECT(CONCATENATE("'",$A$200,"'!k",B273),1)</f>
        <v>0</v>
      </c>
      <c r="N273" s="1" cm="1">
        <f t="array" aca="1" ref="N273" ca="1">INDIRECT(CONCATENATE("'",$A$200,"'!l",B273),1)</f>
        <v>0</v>
      </c>
      <c r="O273" s="1" cm="1">
        <f t="array" aca="1" ref="O273" ca="1">INDIRECT(CONCATENATE("'",$A$200,"'!m",B273),1)</f>
        <v>0</v>
      </c>
      <c r="P273" s="1" cm="1">
        <f t="array" aca="1" ref="P273" ca="1">INDIRECT(CONCATENATE("'",$A$200,"'!n",B273),1)</f>
        <v>0</v>
      </c>
      <c r="Q273" s="1" cm="1">
        <f t="array" aca="1" ref="Q273" ca="1">INDIRECT(CONCATENATE("'",$A$200,"'!o",B273),1)</f>
        <v>0</v>
      </c>
      <c r="R273" s="1" cm="1">
        <f t="array" aca="1" ref="R273" ca="1">INDIRECT(CONCATENATE("'",$A$200,"'!p",B273),1)</f>
        <v>0</v>
      </c>
      <c r="S273" s="1">
        <f t="shared" ca="1" si="21"/>
        <v>0</v>
      </c>
      <c r="T273" s="1" cm="1">
        <f t="array" aca="1" ref="T273" ca="1">INDIRECT(CONCATENATE("'",$A$200,"'!q",B273),1)</f>
        <v>0</v>
      </c>
      <c r="U273" s="1" cm="1">
        <f t="array" aca="1" ref="U273" ca="1">INDIRECT(CONCATENATE("'",$A$200,"'!r",B273),1)</f>
        <v>0</v>
      </c>
      <c r="V273" s="1" cm="1">
        <f t="array" aca="1" ref="V273" ca="1">INDIRECT(CONCATENATE("'",$A$200,"'!s",B273),1)</f>
        <v>0</v>
      </c>
      <c r="W273" s="1" cm="1">
        <f t="array" aca="1" ref="W273" ca="1">INDIRECT(CONCATENATE("'",$A$200,"'!t",B273),1)</f>
        <v>0</v>
      </c>
      <c r="X273" s="1" cm="1">
        <f t="array" aca="1" ref="X273" ca="1">INDIRECT(CONCATENATE("'",$A$200,"'!u",B273),1)</f>
        <v>0</v>
      </c>
      <c r="Y273" s="1" cm="1">
        <f t="array" aca="1" ref="Y273" ca="1">INDIRECT(CONCATENATE("'",$A$200,"'!v",B273),1)</f>
        <v>0</v>
      </c>
    </row>
    <row r="274" spans="1:25" customFormat="1" hidden="1" x14ac:dyDescent="0.25">
      <c r="A274" s="15"/>
      <c r="B274" s="24">
        <f t="shared" si="20"/>
        <v>76</v>
      </c>
      <c r="C274" s="1" cm="1">
        <f t="array" aca="1" ref="C274" ca="1">INDIRECT(CONCATENATE("'",$A$200,"'!A",B274),1)</f>
        <v>0</v>
      </c>
      <c r="D274" s="1" cm="1">
        <f t="array" aca="1" ref="D274" ca="1">INDIRECT(CONCATENATE("'",$A$200,"'!B",B274),1)</f>
        <v>0</v>
      </c>
      <c r="E274" s="1" cm="1">
        <f t="array" aca="1" ref="E274" ca="1">INDIRECT(CONCATENATE("'",$A$200,"'!c",B274),1)</f>
        <v>0</v>
      </c>
      <c r="F274" s="1" cm="1">
        <f t="array" aca="1" ref="F274" ca="1">INDIRECT(CONCATENATE("'",$A$200,"'!d",B274),1)</f>
        <v>0</v>
      </c>
      <c r="G274" s="1" cm="1">
        <f t="array" aca="1" ref="G274" ca="1">INDIRECT(CONCATENATE("'",$A$200,"'!e",B274),1)</f>
        <v>0</v>
      </c>
      <c r="H274" s="1" cm="1">
        <f t="array" aca="1" ref="H274" ca="1">INDIRECT(CONCATENATE("'",$A$200,"'!f",B274),1)</f>
        <v>0</v>
      </c>
      <c r="I274" s="1" cm="1">
        <f t="array" aca="1" ref="I274" ca="1">INDIRECT(CONCATENATE("'",$A$200,"'!g",B274),1)</f>
        <v>0</v>
      </c>
      <c r="J274" s="1" cm="1">
        <f t="array" aca="1" ref="J274" ca="1">INDIRECT(CONCATENATE("'",$A$200,"'!h",B274),1)</f>
        <v>0</v>
      </c>
      <c r="K274" s="1" cm="1">
        <f t="array" aca="1" ref="K274" ca="1">INDIRECT(CONCATENATE("'",$A$200,"'!i",B274),1)</f>
        <v>0</v>
      </c>
      <c r="L274" s="1" cm="1">
        <f t="array" aca="1" ref="L274" ca="1">INDIRECT(CONCATENATE("'",$A$200,"'!j",B274),1)</f>
        <v>0</v>
      </c>
      <c r="M274" s="1" cm="1">
        <f t="array" aca="1" ref="M274" ca="1">INDIRECT(CONCATENATE("'",$A$200,"'!k",B274),1)</f>
        <v>0</v>
      </c>
      <c r="N274" s="1" cm="1">
        <f t="array" aca="1" ref="N274" ca="1">INDIRECT(CONCATENATE("'",$A$200,"'!l",B274),1)</f>
        <v>0</v>
      </c>
      <c r="O274" s="1" cm="1">
        <f t="array" aca="1" ref="O274" ca="1">INDIRECT(CONCATENATE("'",$A$200,"'!m",B274),1)</f>
        <v>0</v>
      </c>
      <c r="P274" s="1" cm="1">
        <f t="array" aca="1" ref="P274" ca="1">INDIRECT(CONCATENATE("'",$A$200,"'!n",B274),1)</f>
        <v>0</v>
      </c>
      <c r="Q274" s="1" cm="1">
        <f t="array" aca="1" ref="Q274" ca="1">INDIRECT(CONCATENATE("'",$A$200,"'!o",B274),1)</f>
        <v>0</v>
      </c>
      <c r="R274" s="1" cm="1">
        <f t="array" aca="1" ref="R274" ca="1">INDIRECT(CONCATENATE("'",$A$200,"'!p",B274),1)</f>
        <v>0</v>
      </c>
      <c r="S274" s="1">
        <f t="shared" ca="1" si="21"/>
        <v>0</v>
      </c>
      <c r="T274" s="1" cm="1">
        <f t="array" aca="1" ref="T274" ca="1">INDIRECT(CONCATENATE("'",$A$200,"'!q",B274),1)</f>
        <v>0</v>
      </c>
      <c r="U274" s="1" cm="1">
        <f t="array" aca="1" ref="U274" ca="1">INDIRECT(CONCATENATE("'",$A$200,"'!r",B274),1)</f>
        <v>0</v>
      </c>
      <c r="V274" s="1" cm="1">
        <f t="array" aca="1" ref="V274" ca="1">INDIRECT(CONCATENATE("'",$A$200,"'!s",B274),1)</f>
        <v>0</v>
      </c>
      <c r="W274" s="1" cm="1">
        <f t="array" aca="1" ref="W274" ca="1">INDIRECT(CONCATENATE("'",$A$200,"'!t",B274),1)</f>
        <v>0</v>
      </c>
      <c r="X274" s="1" cm="1">
        <f t="array" aca="1" ref="X274" ca="1">INDIRECT(CONCATENATE("'",$A$200,"'!u",B274),1)</f>
        <v>0</v>
      </c>
      <c r="Y274" s="1" cm="1">
        <f t="array" aca="1" ref="Y274" ca="1">INDIRECT(CONCATENATE("'",$A$200,"'!v",B274),1)</f>
        <v>0</v>
      </c>
    </row>
    <row r="275" spans="1:25" customFormat="1" hidden="1" x14ac:dyDescent="0.25">
      <c r="A275" s="15"/>
      <c r="B275" s="24">
        <f t="shared" si="20"/>
        <v>77</v>
      </c>
      <c r="C275" s="1" cm="1">
        <f t="array" aca="1" ref="C275" ca="1">INDIRECT(CONCATENATE("'",$A$200,"'!A",B275),1)</f>
        <v>0</v>
      </c>
      <c r="D275" s="1" cm="1">
        <f t="array" aca="1" ref="D275" ca="1">INDIRECT(CONCATENATE("'",$A$200,"'!B",B275),1)</f>
        <v>0</v>
      </c>
      <c r="E275" s="1" cm="1">
        <f t="array" aca="1" ref="E275" ca="1">INDIRECT(CONCATENATE("'",$A$200,"'!c",B275),1)</f>
        <v>0</v>
      </c>
      <c r="F275" s="1" cm="1">
        <f t="array" aca="1" ref="F275" ca="1">INDIRECT(CONCATENATE("'",$A$200,"'!d",B275),1)</f>
        <v>0</v>
      </c>
      <c r="G275" s="1" cm="1">
        <f t="array" aca="1" ref="G275" ca="1">INDIRECT(CONCATENATE("'",$A$200,"'!e",B275),1)</f>
        <v>0</v>
      </c>
      <c r="H275" s="1" cm="1">
        <f t="array" aca="1" ref="H275" ca="1">INDIRECT(CONCATENATE("'",$A$200,"'!f",B275),1)</f>
        <v>0</v>
      </c>
      <c r="I275" s="1" cm="1">
        <f t="array" aca="1" ref="I275" ca="1">INDIRECT(CONCATENATE("'",$A$200,"'!g",B275),1)</f>
        <v>0</v>
      </c>
      <c r="J275" s="1" cm="1">
        <f t="array" aca="1" ref="J275" ca="1">INDIRECT(CONCATENATE("'",$A$200,"'!h",B275),1)</f>
        <v>0</v>
      </c>
      <c r="K275" s="1" cm="1">
        <f t="array" aca="1" ref="K275" ca="1">INDIRECT(CONCATENATE("'",$A$200,"'!i",B275),1)</f>
        <v>0</v>
      </c>
      <c r="L275" s="1" cm="1">
        <f t="array" aca="1" ref="L275" ca="1">INDIRECT(CONCATENATE("'",$A$200,"'!j",B275),1)</f>
        <v>0</v>
      </c>
      <c r="M275" s="1" cm="1">
        <f t="array" aca="1" ref="M275" ca="1">INDIRECT(CONCATENATE("'",$A$200,"'!k",B275),1)</f>
        <v>0</v>
      </c>
      <c r="N275" s="1" cm="1">
        <f t="array" aca="1" ref="N275" ca="1">INDIRECT(CONCATENATE("'",$A$200,"'!l",B275),1)</f>
        <v>0</v>
      </c>
      <c r="O275" s="1" cm="1">
        <f t="array" aca="1" ref="O275" ca="1">INDIRECT(CONCATENATE("'",$A$200,"'!m",B275),1)</f>
        <v>0</v>
      </c>
      <c r="P275" s="1" cm="1">
        <f t="array" aca="1" ref="P275" ca="1">INDIRECT(CONCATENATE("'",$A$200,"'!n",B275),1)</f>
        <v>0</v>
      </c>
      <c r="Q275" s="1" cm="1">
        <f t="array" aca="1" ref="Q275" ca="1">INDIRECT(CONCATENATE("'",$A$200,"'!o",B275),1)</f>
        <v>0</v>
      </c>
      <c r="R275" s="1" cm="1">
        <f t="array" aca="1" ref="R275" ca="1">INDIRECT(CONCATENATE("'",$A$200,"'!p",B275),1)</f>
        <v>0</v>
      </c>
      <c r="S275" s="1">
        <f t="shared" ca="1" si="21"/>
        <v>0</v>
      </c>
      <c r="T275" s="1" cm="1">
        <f t="array" aca="1" ref="T275" ca="1">INDIRECT(CONCATENATE("'",$A$200,"'!q",B275),1)</f>
        <v>0</v>
      </c>
      <c r="U275" s="1" cm="1">
        <f t="array" aca="1" ref="U275" ca="1">INDIRECT(CONCATENATE("'",$A$200,"'!r",B275),1)</f>
        <v>0</v>
      </c>
      <c r="V275" s="1" cm="1">
        <f t="array" aca="1" ref="V275" ca="1">INDIRECT(CONCATENATE("'",$A$200,"'!s",B275),1)</f>
        <v>0</v>
      </c>
      <c r="W275" s="1" cm="1">
        <f t="array" aca="1" ref="W275" ca="1">INDIRECT(CONCATENATE("'",$A$200,"'!t",B275),1)</f>
        <v>0</v>
      </c>
      <c r="X275" s="1" cm="1">
        <f t="array" aca="1" ref="X275" ca="1">INDIRECT(CONCATENATE("'",$A$200,"'!u",B275),1)</f>
        <v>0</v>
      </c>
      <c r="Y275" s="1" cm="1">
        <f t="array" aca="1" ref="Y275" ca="1">INDIRECT(CONCATENATE("'",$A$200,"'!v",B275),1)</f>
        <v>0</v>
      </c>
    </row>
    <row r="276" spans="1:25" customFormat="1" hidden="1" x14ac:dyDescent="0.25">
      <c r="A276" s="15"/>
      <c r="B276" s="24">
        <f t="shared" si="20"/>
        <v>78</v>
      </c>
      <c r="C276" s="1" cm="1">
        <f t="array" aca="1" ref="C276" ca="1">INDIRECT(CONCATENATE("'",$A$200,"'!A",B276),1)</f>
        <v>0</v>
      </c>
      <c r="D276" s="1" cm="1">
        <f t="array" aca="1" ref="D276" ca="1">INDIRECT(CONCATENATE("'",$A$200,"'!B",B276),1)</f>
        <v>0</v>
      </c>
      <c r="E276" s="1" cm="1">
        <f t="array" aca="1" ref="E276" ca="1">INDIRECT(CONCATENATE("'",$A$200,"'!c",B276),1)</f>
        <v>0</v>
      </c>
      <c r="F276" s="1" cm="1">
        <f t="array" aca="1" ref="F276" ca="1">INDIRECT(CONCATENATE("'",$A$200,"'!d",B276),1)</f>
        <v>0</v>
      </c>
      <c r="G276" s="1" cm="1">
        <f t="array" aca="1" ref="G276" ca="1">INDIRECT(CONCATENATE("'",$A$200,"'!e",B276),1)</f>
        <v>0</v>
      </c>
      <c r="H276" s="1" cm="1">
        <f t="array" aca="1" ref="H276" ca="1">INDIRECT(CONCATENATE("'",$A$200,"'!f",B276),1)</f>
        <v>0</v>
      </c>
      <c r="I276" s="1" cm="1">
        <f t="array" aca="1" ref="I276" ca="1">INDIRECT(CONCATENATE("'",$A$200,"'!g",B276),1)</f>
        <v>0</v>
      </c>
      <c r="J276" s="1" cm="1">
        <f t="array" aca="1" ref="J276" ca="1">INDIRECT(CONCATENATE("'",$A$200,"'!h",B276),1)</f>
        <v>0</v>
      </c>
      <c r="K276" s="1" cm="1">
        <f t="array" aca="1" ref="K276" ca="1">INDIRECT(CONCATENATE("'",$A$200,"'!i",B276),1)</f>
        <v>0</v>
      </c>
      <c r="L276" s="1" cm="1">
        <f t="array" aca="1" ref="L276" ca="1">INDIRECT(CONCATENATE("'",$A$200,"'!j",B276),1)</f>
        <v>0</v>
      </c>
      <c r="M276" s="1" cm="1">
        <f t="array" aca="1" ref="M276" ca="1">INDIRECT(CONCATENATE("'",$A$200,"'!k",B276),1)</f>
        <v>0</v>
      </c>
      <c r="N276" s="1" cm="1">
        <f t="array" aca="1" ref="N276" ca="1">INDIRECT(CONCATENATE("'",$A$200,"'!l",B276),1)</f>
        <v>0</v>
      </c>
      <c r="O276" s="1" cm="1">
        <f t="array" aca="1" ref="O276" ca="1">INDIRECT(CONCATENATE("'",$A$200,"'!m",B276),1)</f>
        <v>0</v>
      </c>
      <c r="P276" s="1" cm="1">
        <f t="array" aca="1" ref="P276" ca="1">INDIRECT(CONCATENATE("'",$A$200,"'!n",B276),1)</f>
        <v>0</v>
      </c>
      <c r="Q276" s="1" cm="1">
        <f t="array" aca="1" ref="Q276" ca="1">INDIRECT(CONCATENATE("'",$A$200,"'!o",B276),1)</f>
        <v>0</v>
      </c>
      <c r="R276" s="1" cm="1">
        <f t="array" aca="1" ref="R276" ca="1">INDIRECT(CONCATENATE("'",$A$200,"'!p",B276),1)</f>
        <v>0</v>
      </c>
      <c r="S276" s="1">
        <f t="shared" ca="1" si="21"/>
        <v>0</v>
      </c>
      <c r="T276" s="1" cm="1">
        <f t="array" aca="1" ref="T276" ca="1">INDIRECT(CONCATENATE("'",$A$200,"'!q",B276),1)</f>
        <v>0</v>
      </c>
      <c r="U276" s="1" cm="1">
        <f t="array" aca="1" ref="U276" ca="1">INDIRECT(CONCATENATE("'",$A$200,"'!r",B276),1)</f>
        <v>0</v>
      </c>
      <c r="V276" s="1" cm="1">
        <f t="array" aca="1" ref="V276" ca="1">INDIRECT(CONCATENATE("'",$A$200,"'!s",B276),1)</f>
        <v>0</v>
      </c>
      <c r="W276" s="1" cm="1">
        <f t="array" aca="1" ref="W276" ca="1">INDIRECT(CONCATENATE("'",$A$200,"'!t",B276),1)</f>
        <v>0</v>
      </c>
      <c r="X276" s="1" cm="1">
        <f t="array" aca="1" ref="X276" ca="1">INDIRECT(CONCATENATE("'",$A$200,"'!u",B276),1)</f>
        <v>0</v>
      </c>
      <c r="Y276" s="1" cm="1">
        <f t="array" aca="1" ref="Y276" ca="1">INDIRECT(CONCATENATE("'",$A$200,"'!v",B276),1)</f>
        <v>0</v>
      </c>
    </row>
    <row r="277" spans="1:25" customFormat="1" hidden="1" x14ac:dyDescent="0.25">
      <c r="A277" s="15"/>
      <c r="B277" s="24">
        <f t="shared" si="20"/>
        <v>79</v>
      </c>
      <c r="C277" s="1" cm="1">
        <f t="array" aca="1" ref="C277" ca="1">INDIRECT(CONCATENATE("'",$A$200,"'!A",B277),1)</f>
        <v>0</v>
      </c>
      <c r="D277" s="1" cm="1">
        <f t="array" aca="1" ref="D277" ca="1">INDIRECT(CONCATENATE("'",$A$200,"'!B",B277),1)</f>
        <v>0</v>
      </c>
      <c r="E277" s="1" cm="1">
        <f t="array" aca="1" ref="E277" ca="1">INDIRECT(CONCATENATE("'",$A$200,"'!c",B277),1)</f>
        <v>0</v>
      </c>
      <c r="F277" s="1" cm="1">
        <f t="array" aca="1" ref="F277" ca="1">INDIRECT(CONCATENATE("'",$A$200,"'!d",B277),1)</f>
        <v>0</v>
      </c>
      <c r="G277" s="1" cm="1">
        <f t="array" aca="1" ref="G277" ca="1">INDIRECT(CONCATENATE("'",$A$200,"'!e",B277),1)</f>
        <v>0</v>
      </c>
      <c r="H277" s="1" cm="1">
        <f t="array" aca="1" ref="H277" ca="1">INDIRECT(CONCATENATE("'",$A$200,"'!f",B277),1)</f>
        <v>0</v>
      </c>
      <c r="I277" s="1" cm="1">
        <f t="array" aca="1" ref="I277" ca="1">INDIRECT(CONCATENATE("'",$A$200,"'!g",B277),1)</f>
        <v>0</v>
      </c>
      <c r="J277" s="1" cm="1">
        <f t="array" aca="1" ref="J277" ca="1">INDIRECT(CONCATENATE("'",$A$200,"'!h",B277),1)</f>
        <v>0</v>
      </c>
      <c r="K277" s="1" cm="1">
        <f t="array" aca="1" ref="K277" ca="1">INDIRECT(CONCATENATE("'",$A$200,"'!i",B277),1)</f>
        <v>0</v>
      </c>
      <c r="L277" s="1" cm="1">
        <f t="array" aca="1" ref="L277" ca="1">INDIRECT(CONCATENATE("'",$A$200,"'!j",B277),1)</f>
        <v>0</v>
      </c>
      <c r="M277" s="1" cm="1">
        <f t="array" aca="1" ref="M277" ca="1">INDIRECT(CONCATENATE("'",$A$200,"'!k",B277),1)</f>
        <v>0</v>
      </c>
      <c r="N277" s="1" cm="1">
        <f t="array" aca="1" ref="N277" ca="1">INDIRECT(CONCATENATE("'",$A$200,"'!l",B277),1)</f>
        <v>0</v>
      </c>
      <c r="O277" s="1" cm="1">
        <f t="array" aca="1" ref="O277" ca="1">INDIRECT(CONCATENATE("'",$A$200,"'!m",B277),1)</f>
        <v>0</v>
      </c>
      <c r="P277" s="1" cm="1">
        <f t="array" aca="1" ref="P277" ca="1">INDIRECT(CONCATENATE("'",$A$200,"'!n",B277),1)</f>
        <v>0</v>
      </c>
      <c r="Q277" s="1" cm="1">
        <f t="array" aca="1" ref="Q277" ca="1">INDIRECT(CONCATENATE("'",$A$200,"'!o",B277),1)</f>
        <v>0</v>
      </c>
      <c r="R277" s="1" cm="1">
        <f t="array" aca="1" ref="R277" ca="1">INDIRECT(CONCATENATE("'",$A$200,"'!p",B277),1)</f>
        <v>0</v>
      </c>
      <c r="S277" s="1">
        <f t="shared" ref="S277:S320" ca="1" si="22">SUMIFS(U277,T277,$N$1)+SUMIFS(W277,V277,$N$1)+SUMIFS(Y277,X277,$N$1)</f>
        <v>0</v>
      </c>
      <c r="T277" s="1" cm="1">
        <f t="array" aca="1" ref="T277" ca="1">INDIRECT(CONCATENATE("'",$A$200,"'!q",B277),1)</f>
        <v>0</v>
      </c>
      <c r="U277" s="1" cm="1">
        <f t="array" aca="1" ref="U277" ca="1">INDIRECT(CONCATENATE("'",$A$200,"'!r",B277),1)</f>
        <v>0</v>
      </c>
      <c r="V277" s="1" cm="1">
        <f t="array" aca="1" ref="V277" ca="1">INDIRECT(CONCATENATE("'",$A$200,"'!s",B277),1)</f>
        <v>0</v>
      </c>
      <c r="W277" s="1" cm="1">
        <f t="array" aca="1" ref="W277" ca="1">INDIRECT(CONCATENATE("'",$A$200,"'!t",B277),1)</f>
        <v>0</v>
      </c>
      <c r="X277" s="1" cm="1">
        <f t="array" aca="1" ref="X277" ca="1">INDIRECT(CONCATENATE("'",$A$200,"'!u",B277),1)</f>
        <v>0</v>
      </c>
      <c r="Y277" s="1" cm="1">
        <f t="array" aca="1" ref="Y277" ca="1">INDIRECT(CONCATENATE("'",$A$200,"'!v",B277),1)</f>
        <v>0</v>
      </c>
    </row>
    <row r="278" spans="1:25" customFormat="1" hidden="1" x14ac:dyDescent="0.25">
      <c r="A278" s="15"/>
      <c r="B278" s="24">
        <f t="shared" si="20"/>
        <v>80</v>
      </c>
      <c r="C278" s="1" cm="1">
        <f t="array" aca="1" ref="C278" ca="1">INDIRECT(CONCATENATE("'",$A$200,"'!A",B278),1)</f>
        <v>0</v>
      </c>
      <c r="D278" s="1" cm="1">
        <f t="array" aca="1" ref="D278" ca="1">INDIRECT(CONCATENATE("'",$A$200,"'!B",B278),1)</f>
        <v>0</v>
      </c>
      <c r="E278" s="1" cm="1">
        <f t="array" aca="1" ref="E278" ca="1">INDIRECT(CONCATENATE("'",$A$200,"'!c",B278),1)</f>
        <v>0</v>
      </c>
      <c r="F278" s="1" cm="1">
        <f t="array" aca="1" ref="F278" ca="1">INDIRECT(CONCATENATE("'",$A$200,"'!d",B278),1)</f>
        <v>0</v>
      </c>
      <c r="G278" s="1" cm="1">
        <f t="array" aca="1" ref="G278" ca="1">INDIRECT(CONCATENATE("'",$A$200,"'!e",B278),1)</f>
        <v>0</v>
      </c>
      <c r="H278" s="1" cm="1">
        <f t="array" aca="1" ref="H278" ca="1">INDIRECT(CONCATENATE("'",$A$200,"'!f",B278),1)</f>
        <v>0</v>
      </c>
      <c r="I278" s="1" cm="1">
        <f t="array" aca="1" ref="I278" ca="1">INDIRECT(CONCATENATE("'",$A$200,"'!g",B278),1)</f>
        <v>0</v>
      </c>
      <c r="J278" s="1" cm="1">
        <f t="array" aca="1" ref="J278" ca="1">INDIRECT(CONCATENATE("'",$A$200,"'!h",B278),1)</f>
        <v>0</v>
      </c>
      <c r="K278" s="1" cm="1">
        <f t="array" aca="1" ref="K278" ca="1">INDIRECT(CONCATENATE("'",$A$200,"'!i",B278),1)</f>
        <v>0</v>
      </c>
      <c r="L278" s="1" cm="1">
        <f t="array" aca="1" ref="L278" ca="1">INDIRECT(CONCATENATE("'",$A$200,"'!j",B278),1)</f>
        <v>0</v>
      </c>
      <c r="M278" s="1" cm="1">
        <f t="array" aca="1" ref="M278" ca="1">INDIRECT(CONCATENATE("'",$A$200,"'!k",B278),1)</f>
        <v>0</v>
      </c>
      <c r="N278" s="1" cm="1">
        <f t="array" aca="1" ref="N278" ca="1">INDIRECT(CONCATENATE("'",$A$200,"'!l",B278),1)</f>
        <v>0</v>
      </c>
      <c r="O278" s="1" cm="1">
        <f t="array" aca="1" ref="O278" ca="1">INDIRECT(CONCATENATE("'",$A$200,"'!m",B278),1)</f>
        <v>0</v>
      </c>
      <c r="P278" s="1" cm="1">
        <f t="array" aca="1" ref="P278" ca="1">INDIRECT(CONCATENATE("'",$A$200,"'!n",B278),1)</f>
        <v>0</v>
      </c>
      <c r="Q278" s="1" cm="1">
        <f t="array" aca="1" ref="Q278" ca="1">INDIRECT(CONCATENATE("'",$A$200,"'!o",B278),1)</f>
        <v>0</v>
      </c>
      <c r="R278" s="1" cm="1">
        <f t="array" aca="1" ref="R278" ca="1">INDIRECT(CONCATENATE("'",$A$200,"'!p",B278),1)</f>
        <v>0</v>
      </c>
      <c r="S278" s="1">
        <f t="shared" ca="1" si="22"/>
        <v>0</v>
      </c>
      <c r="T278" s="1" cm="1">
        <f t="array" aca="1" ref="T278" ca="1">INDIRECT(CONCATENATE("'",$A$200,"'!q",B278),1)</f>
        <v>0</v>
      </c>
      <c r="U278" s="1" cm="1">
        <f t="array" aca="1" ref="U278" ca="1">INDIRECT(CONCATENATE("'",$A$200,"'!r",B278),1)</f>
        <v>0</v>
      </c>
      <c r="V278" s="1" cm="1">
        <f t="array" aca="1" ref="V278" ca="1">INDIRECT(CONCATENATE("'",$A$200,"'!s",B278),1)</f>
        <v>0</v>
      </c>
      <c r="W278" s="1" cm="1">
        <f t="array" aca="1" ref="W278" ca="1">INDIRECT(CONCATENATE("'",$A$200,"'!t",B278),1)</f>
        <v>0</v>
      </c>
      <c r="X278" s="1" cm="1">
        <f t="array" aca="1" ref="X278" ca="1">INDIRECT(CONCATENATE("'",$A$200,"'!u",B278),1)</f>
        <v>0</v>
      </c>
      <c r="Y278" s="1" cm="1">
        <f t="array" aca="1" ref="Y278" ca="1">INDIRECT(CONCATENATE("'",$A$200,"'!v",B278),1)</f>
        <v>0</v>
      </c>
    </row>
    <row r="279" spans="1:25" customFormat="1" hidden="1" x14ac:dyDescent="0.25">
      <c r="A279" s="15"/>
      <c r="B279" s="24">
        <f t="shared" si="20"/>
        <v>81</v>
      </c>
      <c r="C279" s="1" cm="1">
        <f t="array" aca="1" ref="C279" ca="1">INDIRECT(CONCATENATE("'",$A$200,"'!A",B279),1)</f>
        <v>0</v>
      </c>
      <c r="D279" s="1" cm="1">
        <f t="array" aca="1" ref="D279" ca="1">INDIRECT(CONCATENATE("'",$A$200,"'!B",B279),1)</f>
        <v>0</v>
      </c>
      <c r="E279" s="1" cm="1">
        <f t="array" aca="1" ref="E279" ca="1">INDIRECT(CONCATENATE("'",$A$200,"'!c",B279),1)</f>
        <v>0</v>
      </c>
      <c r="F279" s="1" cm="1">
        <f t="array" aca="1" ref="F279" ca="1">INDIRECT(CONCATENATE("'",$A$200,"'!d",B279),1)</f>
        <v>0</v>
      </c>
      <c r="G279" s="1" cm="1">
        <f t="array" aca="1" ref="G279" ca="1">INDIRECT(CONCATENATE("'",$A$200,"'!e",B279),1)</f>
        <v>0</v>
      </c>
      <c r="H279" s="1" cm="1">
        <f t="array" aca="1" ref="H279" ca="1">INDIRECT(CONCATENATE("'",$A$200,"'!f",B279),1)</f>
        <v>0</v>
      </c>
      <c r="I279" s="1" cm="1">
        <f t="array" aca="1" ref="I279" ca="1">INDIRECT(CONCATENATE("'",$A$200,"'!g",B279),1)</f>
        <v>0</v>
      </c>
      <c r="J279" s="1" cm="1">
        <f t="array" aca="1" ref="J279" ca="1">INDIRECT(CONCATENATE("'",$A$200,"'!h",B279),1)</f>
        <v>0</v>
      </c>
      <c r="K279" s="1" cm="1">
        <f t="array" aca="1" ref="K279" ca="1">INDIRECT(CONCATENATE("'",$A$200,"'!i",B279),1)</f>
        <v>0</v>
      </c>
      <c r="L279" s="1" cm="1">
        <f t="array" aca="1" ref="L279" ca="1">INDIRECT(CONCATENATE("'",$A$200,"'!j",B279),1)</f>
        <v>0</v>
      </c>
      <c r="M279" s="1" cm="1">
        <f t="array" aca="1" ref="M279" ca="1">INDIRECT(CONCATENATE("'",$A$200,"'!k",B279),1)</f>
        <v>0</v>
      </c>
      <c r="N279" s="1" cm="1">
        <f t="array" aca="1" ref="N279" ca="1">INDIRECT(CONCATENATE("'",$A$200,"'!l",B279),1)</f>
        <v>0</v>
      </c>
      <c r="O279" s="1" cm="1">
        <f t="array" aca="1" ref="O279" ca="1">INDIRECT(CONCATENATE("'",$A$200,"'!m",B279),1)</f>
        <v>0</v>
      </c>
      <c r="P279" s="1" cm="1">
        <f t="array" aca="1" ref="P279" ca="1">INDIRECT(CONCATENATE("'",$A$200,"'!n",B279),1)</f>
        <v>0</v>
      </c>
      <c r="Q279" s="1" cm="1">
        <f t="array" aca="1" ref="Q279" ca="1">INDIRECT(CONCATENATE("'",$A$200,"'!o",B279),1)</f>
        <v>0</v>
      </c>
      <c r="R279" s="1" cm="1">
        <f t="array" aca="1" ref="R279" ca="1">INDIRECT(CONCATENATE("'",$A$200,"'!p",B279),1)</f>
        <v>0</v>
      </c>
      <c r="S279" s="1">
        <f t="shared" ca="1" si="22"/>
        <v>0</v>
      </c>
      <c r="T279" s="1" cm="1">
        <f t="array" aca="1" ref="T279" ca="1">INDIRECT(CONCATENATE("'",$A$200,"'!q",B279),1)</f>
        <v>0</v>
      </c>
      <c r="U279" s="1" cm="1">
        <f t="array" aca="1" ref="U279" ca="1">INDIRECT(CONCATENATE("'",$A$200,"'!r",B279),1)</f>
        <v>0</v>
      </c>
      <c r="V279" s="1" cm="1">
        <f t="array" aca="1" ref="V279" ca="1">INDIRECT(CONCATENATE("'",$A$200,"'!s",B279),1)</f>
        <v>0</v>
      </c>
      <c r="W279" s="1" cm="1">
        <f t="array" aca="1" ref="W279" ca="1">INDIRECT(CONCATENATE("'",$A$200,"'!t",B279),1)</f>
        <v>0</v>
      </c>
      <c r="X279" s="1" cm="1">
        <f t="array" aca="1" ref="X279" ca="1">INDIRECT(CONCATENATE("'",$A$200,"'!u",B279),1)</f>
        <v>0</v>
      </c>
      <c r="Y279" s="1" cm="1">
        <f t="array" aca="1" ref="Y279" ca="1">INDIRECT(CONCATENATE("'",$A$200,"'!v",B279),1)</f>
        <v>0</v>
      </c>
    </row>
    <row r="280" spans="1:25" customFormat="1" hidden="1" x14ac:dyDescent="0.25">
      <c r="A280" s="15"/>
      <c r="B280" s="24">
        <f t="shared" si="20"/>
        <v>82</v>
      </c>
      <c r="C280" s="1" cm="1">
        <f t="array" aca="1" ref="C280" ca="1">INDIRECT(CONCATENATE("'",$A$200,"'!A",B280),1)</f>
        <v>0</v>
      </c>
      <c r="D280" s="1" cm="1">
        <f t="array" aca="1" ref="D280" ca="1">INDIRECT(CONCATENATE("'",$A$200,"'!B",B280),1)</f>
        <v>0</v>
      </c>
      <c r="E280" s="1" cm="1">
        <f t="array" aca="1" ref="E280" ca="1">INDIRECT(CONCATENATE("'",$A$200,"'!c",B280),1)</f>
        <v>0</v>
      </c>
      <c r="F280" s="1" cm="1">
        <f t="array" aca="1" ref="F280" ca="1">INDIRECT(CONCATENATE("'",$A$200,"'!d",B280),1)</f>
        <v>0</v>
      </c>
      <c r="G280" s="1" cm="1">
        <f t="array" aca="1" ref="G280" ca="1">INDIRECT(CONCATENATE("'",$A$200,"'!e",B280),1)</f>
        <v>0</v>
      </c>
      <c r="H280" s="1" cm="1">
        <f t="array" aca="1" ref="H280" ca="1">INDIRECT(CONCATENATE("'",$A$200,"'!f",B280),1)</f>
        <v>0</v>
      </c>
      <c r="I280" s="1" cm="1">
        <f t="array" aca="1" ref="I280" ca="1">INDIRECT(CONCATENATE("'",$A$200,"'!g",B280),1)</f>
        <v>0</v>
      </c>
      <c r="J280" s="1" cm="1">
        <f t="array" aca="1" ref="J280" ca="1">INDIRECT(CONCATENATE("'",$A$200,"'!h",B280),1)</f>
        <v>0</v>
      </c>
      <c r="K280" s="1" cm="1">
        <f t="array" aca="1" ref="K280" ca="1">INDIRECT(CONCATENATE("'",$A$200,"'!i",B280),1)</f>
        <v>0</v>
      </c>
      <c r="L280" s="1" cm="1">
        <f t="array" aca="1" ref="L280" ca="1">INDIRECT(CONCATENATE("'",$A$200,"'!j",B280),1)</f>
        <v>0</v>
      </c>
      <c r="M280" s="1" cm="1">
        <f t="array" aca="1" ref="M280" ca="1">INDIRECT(CONCATENATE("'",$A$200,"'!k",B280),1)</f>
        <v>0</v>
      </c>
      <c r="N280" s="1" cm="1">
        <f t="array" aca="1" ref="N280" ca="1">INDIRECT(CONCATENATE("'",$A$200,"'!l",B280),1)</f>
        <v>0</v>
      </c>
      <c r="O280" s="1" cm="1">
        <f t="array" aca="1" ref="O280" ca="1">INDIRECT(CONCATENATE("'",$A$200,"'!m",B280),1)</f>
        <v>0</v>
      </c>
      <c r="P280" s="1" cm="1">
        <f t="array" aca="1" ref="P280" ca="1">INDIRECT(CONCATENATE("'",$A$200,"'!n",B280),1)</f>
        <v>0</v>
      </c>
      <c r="Q280" s="1" cm="1">
        <f t="array" aca="1" ref="Q280" ca="1">INDIRECT(CONCATENATE("'",$A$200,"'!o",B280),1)</f>
        <v>0</v>
      </c>
      <c r="R280" s="1" cm="1">
        <f t="array" aca="1" ref="R280" ca="1">INDIRECT(CONCATENATE("'",$A$200,"'!p",B280),1)</f>
        <v>0</v>
      </c>
      <c r="S280" s="1">
        <f t="shared" ca="1" si="22"/>
        <v>0</v>
      </c>
      <c r="T280" s="1" cm="1">
        <f t="array" aca="1" ref="T280" ca="1">INDIRECT(CONCATENATE("'",$A$200,"'!q",B280),1)</f>
        <v>0</v>
      </c>
      <c r="U280" s="1" cm="1">
        <f t="array" aca="1" ref="U280" ca="1">INDIRECT(CONCATENATE("'",$A$200,"'!r",B280),1)</f>
        <v>0</v>
      </c>
      <c r="V280" s="1" cm="1">
        <f t="array" aca="1" ref="V280" ca="1">INDIRECT(CONCATENATE("'",$A$200,"'!s",B280),1)</f>
        <v>0</v>
      </c>
      <c r="W280" s="1" cm="1">
        <f t="array" aca="1" ref="W280" ca="1">INDIRECT(CONCATENATE("'",$A$200,"'!t",B280),1)</f>
        <v>0</v>
      </c>
      <c r="X280" s="1" cm="1">
        <f t="array" aca="1" ref="X280" ca="1">INDIRECT(CONCATENATE("'",$A$200,"'!u",B280),1)</f>
        <v>0</v>
      </c>
      <c r="Y280" s="1" cm="1">
        <f t="array" aca="1" ref="Y280" ca="1">INDIRECT(CONCATENATE("'",$A$200,"'!v",B280),1)</f>
        <v>0</v>
      </c>
    </row>
    <row r="281" spans="1:25" customFormat="1" hidden="1" x14ac:dyDescent="0.25">
      <c r="A281" s="15"/>
      <c r="B281" s="24">
        <f t="shared" si="20"/>
        <v>83</v>
      </c>
      <c r="C281" s="1" cm="1">
        <f t="array" aca="1" ref="C281" ca="1">INDIRECT(CONCATENATE("'",$A$200,"'!A",B281),1)</f>
        <v>0</v>
      </c>
      <c r="D281" s="1" cm="1">
        <f t="array" aca="1" ref="D281" ca="1">INDIRECT(CONCATENATE("'",$A$200,"'!B",B281),1)</f>
        <v>0</v>
      </c>
      <c r="E281" s="1" cm="1">
        <f t="array" aca="1" ref="E281" ca="1">INDIRECT(CONCATENATE("'",$A$200,"'!c",B281),1)</f>
        <v>0</v>
      </c>
      <c r="F281" s="1" cm="1">
        <f t="array" aca="1" ref="F281" ca="1">INDIRECT(CONCATENATE("'",$A$200,"'!d",B281),1)</f>
        <v>0</v>
      </c>
      <c r="G281" s="1" cm="1">
        <f t="array" aca="1" ref="G281" ca="1">INDIRECT(CONCATENATE("'",$A$200,"'!e",B281),1)</f>
        <v>0</v>
      </c>
      <c r="H281" s="1" cm="1">
        <f t="array" aca="1" ref="H281" ca="1">INDIRECT(CONCATENATE("'",$A$200,"'!f",B281),1)</f>
        <v>0</v>
      </c>
      <c r="I281" s="1" cm="1">
        <f t="array" aca="1" ref="I281" ca="1">INDIRECT(CONCATENATE("'",$A$200,"'!g",B281),1)</f>
        <v>0</v>
      </c>
      <c r="J281" s="1" cm="1">
        <f t="array" aca="1" ref="J281" ca="1">INDIRECT(CONCATENATE("'",$A$200,"'!h",B281),1)</f>
        <v>0</v>
      </c>
      <c r="K281" s="1" cm="1">
        <f t="array" aca="1" ref="K281" ca="1">INDIRECT(CONCATENATE("'",$A$200,"'!i",B281),1)</f>
        <v>0</v>
      </c>
      <c r="L281" s="1" cm="1">
        <f t="array" aca="1" ref="L281" ca="1">INDIRECT(CONCATENATE("'",$A$200,"'!j",B281),1)</f>
        <v>0</v>
      </c>
      <c r="M281" s="1" cm="1">
        <f t="array" aca="1" ref="M281" ca="1">INDIRECT(CONCATENATE("'",$A$200,"'!k",B281),1)</f>
        <v>0</v>
      </c>
      <c r="N281" s="1" cm="1">
        <f t="array" aca="1" ref="N281" ca="1">INDIRECT(CONCATENATE("'",$A$200,"'!l",B281),1)</f>
        <v>0</v>
      </c>
      <c r="O281" s="1" cm="1">
        <f t="array" aca="1" ref="O281" ca="1">INDIRECT(CONCATENATE("'",$A$200,"'!m",B281),1)</f>
        <v>0</v>
      </c>
      <c r="P281" s="1" cm="1">
        <f t="array" aca="1" ref="P281" ca="1">INDIRECT(CONCATENATE("'",$A$200,"'!n",B281),1)</f>
        <v>0</v>
      </c>
      <c r="Q281" s="1" cm="1">
        <f t="array" aca="1" ref="Q281" ca="1">INDIRECT(CONCATENATE("'",$A$200,"'!o",B281),1)</f>
        <v>0</v>
      </c>
      <c r="R281" s="1" cm="1">
        <f t="array" aca="1" ref="R281" ca="1">INDIRECT(CONCATENATE("'",$A$200,"'!p",B281),1)</f>
        <v>0</v>
      </c>
      <c r="S281" s="1">
        <f t="shared" ca="1" si="22"/>
        <v>0</v>
      </c>
      <c r="T281" s="1" cm="1">
        <f t="array" aca="1" ref="T281" ca="1">INDIRECT(CONCATENATE("'",$A$200,"'!q",B281),1)</f>
        <v>0</v>
      </c>
      <c r="U281" s="1" cm="1">
        <f t="array" aca="1" ref="U281" ca="1">INDIRECT(CONCATENATE("'",$A$200,"'!r",B281),1)</f>
        <v>0</v>
      </c>
      <c r="V281" s="1" cm="1">
        <f t="array" aca="1" ref="V281" ca="1">INDIRECT(CONCATENATE("'",$A$200,"'!s",B281),1)</f>
        <v>0</v>
      </c>
      <c r="W281" s="1" cm="1">
        <f t="array" aca="1" ref="W281" ca="1">INDIRECT(CONCATENATE("'",$A$200,"'!t",B281),1)</f>
        <v>0</v>
      </c>
      <c r="X281" s="1" cm="1">
        <f t="array" aca="1" ref="X281" ca="1">INDIRECT(CONCATENATE("'",$A$200,"'!u",B281),1)</f>
        <v>0</v>
      </c>
      <c r="Y281" s="1" cm="1">
        <f t="array" aca="1" ref="Y281" ca="1">INDIRECT(CONCATENATE("'",$A$200,"'!v",B281),1)</f>
        <v>0</v>
      </c>
    </row>
    <row r="282" spans="1:25" customFormat="1" hidden="1" x14ac:dyDescent="0.25">
      <c r="A282" s="15"/>
      <c r="B282" s="24">
        <f t="shared" si="20"/>
        <v>84</v>
      </c>
      <c r="C282" s="1" cm="1">
        <f t="array" aca="1" ref="C282" ca="1">INDIRECT(CONCATENATE("'",$A$200,"'!A",B282),1)</f>
        <v>0</v>
      </c>
      <c r="D282" s="1" cm="1">
        <f t="array" aca="1" ref="D282" ca="1">INDIRECT(CONCATENATE("'",$A$200,"'!B",B282),1)</f>
        <v>0</v>
      </c>
      <c r="E282" s="1" cm="1">
        <f t="array" aca="1" ref="E282" ca="1">INDIRECT(CONCATENATE("'",$A$200,"'!c",B282),1)</f>
        <v>0</v>
      </c>
      <c r="F282" s="1" cm="1">
        <f t="array" aca="1" ref="F282" ca="1">INDIRECT(CONCATENATE("'",$A$200,"'!d",B282),1)</f>
        <v>0</v>
      </c>
      <c r="G282" s="1" cm="1">
        <f t="array" aca="1" ref="G282" ca="1">INDIRECT(CONCATENATE("'",$A$200,"'!e",B282),1)</f>
        <v>0</v>
      </c>
      <c r="H282" s="1" cm="1">
        <f t="array" aca="1" ref="H282" ca="1">INDIRECT(CONCATENATE("'",$A$200,"'!f",B282),1)</f>
        <v>0</v>
      </c>
      <c r="I282" s="1" cm="1">
        <f t="array" aca="1" ref="I282" ca="1">INDIRECT(CONCATENATE("'",$A$200,"'!g",B282),1)</f>
        <v>0</v>
      </c>
      <c r="J282" s="1" cm="1">
        <f t="array" aca="1" ref="J282" ca="1">INDIRECT(CONCATENATE("'",$A$200,"'!h",B282),1)</f>
        <v>0</v>
      </c>
      <c r="K282" s="1" cm="1">
        <f t="array" aca="1" ref="K282" ca="1">INDIRECT(CONCATENATE("'",$A$200,"'!i",B282),1)</f>
        <v>0</v>
      </c>
      <c r="L282" s="1" cm="1">
        <f t="array" aca="1" ref="L282" ca="1">INDIRECT(CONCATENATE("'",$A$200,"'!j",B282),1)</f>
        <v>0</v>
      </c>
      <c r="M282" s="1" cm="1">
        <f t="array" aca="1" ref="M282" ca="1">INDIRECT(CONCATENATE("'",$A$200,"'!k",B282),1)</f>
        <v>0</v>
      </c>
      <c r="N282" s="1" cm="1">
        <f t="array" aca="1" ref="N282" ca="1">INDIRECT(CONCATENATE("'",$A$200,"'!l",B282),1)</f>
        <v>0</v>
      </c>
      <c r="O282" s="1" cm="1">
        <f t="array" aca="1" ref="O282" ca="1">INDIRECT(CONCATENATE("'",$A$200,"'!m",B282),1)</f>
        <v>0</v>
      </c>
      <c r="P282" s="1" cm="1">
        <f t="array" aca="1" ref="P282" ca="1">INDIRECT(CONCATENATE("'",$A$200,"'!n",B282),1)</f>
        <v>0</v>
      </c>
      <c r="Q282" s="1" cm="1">
        <f t="array" aca="1" ref="Q282" ca="1">INDIRECT(CONCATENATE("'",$A$200,"'!o",B282),1)</f>
        <v>0</v>
      </c>
      <c r="R282" s="1" cm="1">
        <f t="array" aca="1" ref="R282" ca="1">INDIRECT(CONCATENATE("'",$A$200,"'!p",B282),1)</f>
        <v>0</v>
      </c>
      <c r="S282" s="1">
        <f t="shared" ca="1" si="22"/>
        <v>0</v>
      </c>
      <c r="T282" s="1" cm="1">
        <f t="array" aca="1" ref="T282" ca="1">INDIRECT(CONCATENATE("'",$A$200,"'!q",B282),1)</f>
        <v>0</v>
      </c>
      <c r="U282" s="1" cm="1">
        <f t="array" aca="1" ref="U282" ca="1">INDIRECT(CONCATENATE("'",$A$200,"'!r",B282),1)</f>
        <v>0</v>
      </c>
      <c r="V282" s="1" cm="1">
        <f t="array" aca="1" ref="V282" ca="1">INDIRECT(CONCATENATE("'",$A$200,"'!s",B282),1)</f>
        <v>0</v>
      </c>
      <c r="W282" s="1" cm="1">
        <f t="array" aca="1" ref="W282" ca="1">INDIRECT(CONCATENATE("'",$A$200,"'!t",B282),1)</f>
        <v>0</v>
      </c>
      <c r="X282" s="1" cm="1">
        <f t="array" aca="1" ref="X282" ca="1">INDIRECT(CONCATENATE("'",$A$200,"'!u",B282),1)</f>
        <v>0</v>
      </c>
      <c r="Y282" s="1" cm="1">
        <f t="array" aca="1" ref="Y282" ca="1">INDIRECT(CONCATENATE("'",$A$200,"'!v",B282),1)</f>
        <v>0</v>
      </c>
    </row>
    <row r="283" spans="1:25" customFormat="1" hidden="1" x14ac:dyDescent="0.25">
      <c r="A283" s="15"/>
      <c r="B283" s="24">
        <f t="shared" si="20"/>
        <v>85</v>
      </c>
      <c r="C283" s="1" cm="1">
        <f t="array" aca="1" ref="C283" ca="1">INDIRECT(CONCATENATE("'",$A$200,"'!A",B283),1)</f>
        <v>0</v>
      </c>
      <c r="D283" s="1" cm="1">
        <f t="array" aca="1" ref="D283" ca="1">INDIRECT(CONCATENATE("'",$A$200,"'!B",B283),1)</f>
        <v>0</v>
      </c>
      <c r="E283" s="1" cm="1">
        <f t="array" aca="1" ref="E283" ca="1">INDIRECT(CONCATENATE("'",$A$200,"'!c",B283),1)</f>
        <v>0</v>
      </c>
      <c r="F283" s="1" cm="1">
        <f t="array" aca="1" ref="F283" ca="1">INDIRECT(CONCATENATE("'",$A$200,"'!d",B283),1)</f>
        <v>0</v>
      </c>
      <c r="G283" s="1" cm="1">
        <f t="array" aca="1" ref="G283" ca="1">INDIRECT(CONCATENATE("'",$A$200,"'!e",B283),1)</f>
        <v>0</v>
      </c>
      <c r="H283" s="1" cm="1">
        <f t="array" aca="1" ref="H283" ca="1">INDIRECT(CONCATENATE("'",$A$200,"'!f",B283),1)</f>
        <v>0</v>
      </c>
      <c r="I283" s="1" cm="1">
        <f t="array" aca="1" ref="I283" ca="1">INDIRECT(CONCATENATE("'",$A$200,"'!g",B283),1)</f>
        <v>0</v>
      </c>
      <c r="J283" s="1" cm="1">
        <f t="array" aca="1" ref="J283" ca="1">INDIRECT(CONCATENATE("'",$A$200,"'!h",B283),1)</f>
        <v>0</v>
      </c>
      <c r="K283" s="1" cm="1">
        <f t="array" aca="1" ref="K283" ca="1">INDIRECT(CONCATENATE("'",$A$200,"'!i",B283),1)</f>
        <v>0</v>
      </c>
      <c r="L283" s="1" cm="1">
        <f t="array" aca="1" ref="L283" ca="1">INDIRECT(CONCATENATE("'",$A$200,"'!j",B283),1)</f>
        <v>0</v>
      </c>
      <c r="M283" s="1" cm="1">
        <f t="array" aca="1" ref="M283" ca="1">INDIRECT(CONCATENATE("'",$A$200,"'!k",B283),1)</f>
        <v>0</v>
      </c>
      <c r="N283" s="1" cm="1">
        <f t="array" aca="1" ref="N283" ca="1">INDIRECT(CONCATENATE("'",$A$200,"'!l",B283),1)</f>
        <v>0</v>
      </c>
      <c r="O283" s="1" cm="1">
        <f t="array" aca="1" ref="O283" ca="1">INDIRECT(CONCATENATE("'",$A$200,"'!m",B283),1)</f>
        <v>0</v>
      </c>
      <c r="P283" s="1" cm="1">
        <f t="array" aca="1" ref="P283" ca="1">INDIRECT(CONCATENATE("'",$A$200,"'!n",B283),1)</f>
        <v>0</v>
      </c>
      <c r="Q283" s="1" cm="1">
        <f t="array" aca="1" ref="Q283" ca="1">INDIRECT(CONCATENATE("'",$A$200,"'!o",B283),1)</f>
        <v>0</v>
      </c>
      <c r="R283" s="1" cm="1">
        <f t="array" aca="1" ref="R283" ca="1">INDIRECT(CONCATENATE("'",$A$200,"'!p",B283),1)</f>
        <v>0</v>
      </c>
      <c r="S283" s="1">
        <f t="shared" ca="1" si="22"/>
        <v>0</v>
      </c>
      <c r="T283" s="1" cm="1">
        <f t="array" aca="1" ref="T283" ca="1">INDIRECT(CONCATENATE("'",$A$200,"'!q",B283),1)</f>
        <v>0</v>
      </c>
      <c r="U283" s="1" cm="1">
        <f t="array" aca="1" ref="U283" ca="1">INDIRECT(CONCATENATE("'",$A$200,"'!r",B283),1)</f>
        <v>0</v>
      </c>
      <c r="V283" s="1" cm="1">
        <f t="array" aca="1" ref="V283" ca="1">INDIRECT(CONCATENATE("'",$A$200,"'!s",B283),1)</f>
        <v>0</v>
      </c>
      <c r="W283" s="1" cm="1">
        <f t="array" aca="1" ref="W283" ca="1">INDIRECT(CONCATENATE("'",$A$200,"'!t",B283),1)</f>
        <v>0</v>
      </c>
      <c r="X283" s="1" cm="1">
        <f t="array" aca="1" ref="X283" ca="1">INDIRECT(CONCATENATE("'",$A$200,"'!u",B283),1)</f>
        <v>0</v>
      </c>
      <c r="Y283" s="1" cm="1">
        <f t="array" aca="1" ref="Y283" ca="1">INDIRECT(CONCATENATE("'",$A$200,"'!v",B283),1)</f>
        <v>0</v>
      </c>
    </row>
    <row r="284" spans="1:25" customFormat="1" hidden="1" x14ac:dyDescent="0.25">
      <c r="A284" s="15"/>
      <c r="B284" s="24">
        <f t="shared" si="20"/>
        <v>86</v>
      </c>
      <c r="C284" s="1" cm="1">
        <f t="array" aca="1" ref="C284" ca="1">INDIRECT(CONCATENATE("'",$A$200,"'!A",B284),1)</f>
        <v>0</v>
      </c>
      <c r="D284" s="1" cm="1">
        <f t="array" aca="1" ref="D284" ca="1">INDIRECT(CONCATENATE("'",$A$200,"'!B",B284),1)</f>
        <v>0</v>
      </c>
      <c r="E284" s="1" cm="1">
        <f t="array" aca="1" ref="E284" ca="1">INDIRECT(CONCATENATE("'",$A$200,"'!c",B284),1)</f>
        <v>0</v>
      </c>
      <c r="F284" s="1" cm="1">
        <f t="array" aca="1" ref="F284" ca="1">INDIRECT(CONCATENATE("'",$A$200,"'!d",B284),1)</f>
        <v>0</v>
      </c>
      <c r="G284" s="1" cm="1">
        <f t="array" aca="1" ref="G284" ca="1">INDIRECT(CONCATENATE("'",$A$200,"'!e",B284),1)</f>
        <v>0</v>
      </c>
      <c r="H284" s="1" cm="1">
        <f t="array" aca="1" ref="H284" ca="1">INDIRECT(CONCATENATE("'",$A$200,"'!f",B284),1)</f>
        <v>0</v>
      </c>
      <c r="I284" s="1" cm="1">
        <f t="array" aca="1" ref="I284" ca="1">INDIRECT(CONCATENATE("'",$A$200,"'!g",B284),1)</f>
        <v>0</v>
      </c>
      <c r="J284" s="1" cm="1">
        <f t="array" aca="1" ref="J284" ca="1">INDIRECT(CONCATENATE("'",$A$200,"'!h",B284),1)</f>
        <v>0</v>
      </c>
      <c r="K284" s="1" cm="1">
        <f t="array" aca="1" ref="K284" ca="1">INDIRECT(CONCATENATE("'",$A$200,"'!i",B284),1)</f>
        <v>0</v>
      </c>
      <c r="L284" s="1" cm="1">
        <f t="array" aca="1" ref="L284" ca="1">INDIRECT(CONCATENATE("'",$A$200,"'!j",B284),1)</f>
        <v>0</v>
      </c>
      <c r="M284" s="1" cm="1">
        <f t="array" aca="1" ref="M284" ca="1">INDIRECT(CONCATENATE("'",$A$200,"'!k",B284),1)</f>
        <v>0</v>
      </c>
      <c r="N284" s="1" cm="1">
        <f t="array" aca="1" ref="N284" ca="1">INDIRECT(CONCATENATE("'",$A$200,"'!l",B284),1)</f>
        <v>0</v>
      </c>
      <c r="O284" s="1" cm="1">
        <f t="array" aca="1" ref="O284" ca="1">INDIRECT(CONCATENATE("'",$A$200,"'!m",B284),1)</f>
        <v>0</v>
      </c>
      <c r="P284" s="1" cm="1">
        <f t="array" aca="1" ref="P284" ca="1">INDIRECT(CONCATENATE("'",$A$200,"'!n",B284),1)</f>
        <v>0</v>
      </c>
      <c r="Q284" s="1" cm="1">
        <f t="array" aca="1" ref="Q284" ca="1">INDIRECT(CONCATENATE("'",$A$200,"'!o",B284),1)</f>
        <v>0</v>
      </c>
      <c r="R284" s="1" cm="1">
        <f t="array" aca="1" ref="R284" ca="1">INDIRECT(CONCATENATE("'",$A$200,"'!p",B284),1)</f>
        <v>0</v>
      </c>
      <c r="S284" s="1">
        <f t="shared" ca="1" si="22"/>
        <v>0</v>
      </c>
      <c r="T284" s="1" cm="1">
        <f t="array" aca="1" ref="T284" ca="1">INDIRECT(CONCATENATE("'",$A$200,"'!q",B284),1)</f>
        <v>0</v>
      </c>
      <c r="U284" s="1" cm="1">
        <f t="array" aca="1" ref="U284" ca="1">INDIRECT(CONCATENATE("'",$A$200,"'!r",B284),1)</f>
        <v>0</v>
      </c>
      <c r="V284" s="1" cm="1">
        <f t="array" aca="1" ref="V284" ca="1">INDIRECT(CONCATENATE("'",$A$200,"'!s",B284),1)</f>
        <v>0</v>
      </c>
      <c r="W284" s="1" cm="1">
        <f t="array" aca="1" ref="W284" ca="1">INDIRECT(CONCATENATE("'",$A$200,"'!t",B284),1)</f>
        <v>0</v>
      </c>
      <c r="X284" s="1" cm="1">
        <f t="array" aca="1" ref="X284" ca="1">INDIRECT(CONCATENATE("'",$A$200,"'!u",B284),1)</f>
        <v>0</v>
      </c>
      <c r="Y284" s="1" cm="1">
        <f t="array" aca="1" ref="Y284" ca="1">INDIRECT(CONCATENATE("'",$A$200,"'!v",B284),1)</f>
        <v>0</v>
      </c>
    </row>
    <row r="285" spans="1:25" customFormat="1" hidden="1" x14ac:dyDescent="0.25">
      <c r="A285" s="15"/>
      <c r="B285" s="24">
        <f t="shared" si="20"/>
        <v>87</v>
      </c>
      <c r="C285" s="1" cm="1">
        <f t="array" aca="1" ref="C285" ca="1">INDIRECT(CONCATENATE("'",$A$200,"'!A",B285),1)</f>
        <v>0</v>
      </c>
      <c r="D285" s="1" cm="1">
        <f t="array" aca="1" ref="D285" ca="1">INDIRECT(CONCATENATE("'",$A$200,"'!B",B285),1)</f>
        <v>0</v>
      </c>
      <c r="E285" s="1" cm="1">
        <f t="array" aca="1" ref="E285" ca="1">INDIRECT(CONCATENATE("'",$A$200,"'!c",B285),1)</f>
        <v>0</v>
      </c>
      <c r="F285" s="1" cm="1">
        <f t="array" aca="1" ref="F285" ca="1">INDIRECT(CONCATENATE("'",$A$200,"'!d",B285),1)</f>
        <v>0</v>
      </c>
      <c r="G285" s="1" cm="1">
        <f t="array" aca="1" ref="G285" ca="1">INDIRECT(CONCATENATE("'",$A$200,"'!e",B285),1)</f>
        <v>0</v>
      </c>
      <c r="H285" s="1" cm="1">
        <f t="array" aca="1" ref="H285" ca="1">INDIRECT(CONCATENATE("'",$A$200,"'!f",B285),1)</f>
        <v>0</v>
      </c>
      <c r="I285" s="1" cm="1">
        <f t="array" aca="1" ref="I285" ca="1">INDIRECT(CONCATENATE("'",$A$200,"'!g",B285),1)</f>
        <v>0</v>
      </c>
      <c r="J285" s="1" cm="1">
        <f t="array" aca="1" ref="J285" ca="1">INDIRECT(CONCATENATE("'",$A$200,"'!h",B285),1)</f>
        <v>0</v>
      </c>
      <c r="K285" s="1" cm="1">
        <f t="array" aca="1" ref="K285" ca="1">INDIRECT(CONCATENATE("'",$A$200,"'!i",B285),1)</f>
        <v>0</v>
      </c>
      <c r="L285" s="1" cm="1">
        <f t="array" aca="1" ref="L285" ca="1">INDIRECT(CONCATENATE("'",$A$200,"'!j",B285),1)</f>
        <v>0</v>
      </c>
      <c r="M285" s="1" cm="1">
        <f t="array" aca="1" ref="M285" ca="1">INDIRECT(CONCATENATE("'",$A$200,"'!k",B285),1)</f>
        <v>0</v>
      </c>
      <c r="N285" s="1" cm="1">
        <f t="array" aca="1" ref="N285" ca="1">INDIRECT(CONCATENATE("'",$A$200,"'!l",B285),1)</f>
        <v>0</v>
      </c>
      <c r="O285" s="1" cm="1">
        <f t="array" aca="1" ref="O285" ca="1">INDIRECT(CONCATENATE("'",$A$200,"'!m",B285),1)</f>
        <v>0</v>
      </c>
      <c r="P285" s="1" cm="1">
        <f t="array" aca="1" ref="P285" ca="1">INDIRECT(CONCATENATE("'",$A$200,"'!n",B285),1)</f>
        <v>0</v>
      </c>
      <c r="Q285" s="1" cm="1">
        <f t="array" aca="1" ref="Q285" ca="1">INDIRECT(CONCATENATE("'",$A$200,"'!o",B285),1)</f>
        <v>0</v>
      </c>
      <c r="R285" s="1" cm="1">
        <f t="array" aca="1" ref="R285" ca="1">INDIRECT(CONCATENATE("'",$A$200,"'!p",B285),1)</f>
        <v>0</v>
      </c>
      <c r="S285" s="1">
        <f t="shared" ca="1" si="22"/>
        <v>0</v>
      </c>
      <c r="T285" s="1" cm="1">
        <f t="array" aca="1" ref="T285" ca="1">INDIRECT(CONCATENATE("'",$A$200,"'!q",B285),1)</f>
        <v>0</v>
      </c>
      <c r="U285" s="1" cm="1">
        <f t="array" aca="1" ref="U285" ca="1">INDIRECT(CONCATENATE("'",$A$200,"'!r",B285),1)</f>
        <v>0</v>
      </c>
      <c r="V285" s="1" cm="1">
        <f t="array" aca="1" ref="V285" ca="1">INDIRECT(CONCATENATE("'",$A$200,"'!s",B285),1)</f>
        <v>0</v>
      </c>
      <c r="W285" s="1" cm="1">
        <f t="array" aca="1" ref="W285" ca="1">INDIRECT(CONCATENATE("'",$A$200,"'!t",B285),1)</f>
        <v>0</v>
      </c>
      <c r="X285" s="1" cm="1">
        <f t="array" aca="1" ref="X285" ca="1">INDIRECT(CONCATENATE("'",$A$200,"'!u",B285),1)</f>
        <v>0</v>
      </c>
      <c r="Y285" s="1" cm="1">
        <f t="array" aca="1" ref="Y285" ca="1">INDIRECT(CONCATENATE("'",$A$200,"'!v",B285),1)</f>
        <v>0</v>
      </c>
    </row>
    <row r="286" spans="1:25" customFormat="1" hidden="1" x14ac:dyDescent="0.25">
      <c r="A286" s="15"/>
      <c r="B286" s="24">
        <f t="shared" si="20"/>
        <v>88</v>
      </c>
      <c r="C286" s="1" cm="1">
        <f t="array" aca="1" ref="C286" ca="1">INDIRECT(CONCATENATE("'",$A$200,"'!A",B286),1)</f>
        <v>0</v>
      </c>
      <c r="D286" s="1" cm="1">
        <f t="array" aca="1" ref="D286" ca="1">INDIRECT(CONCATENATE("'",$A$200,"'!B",B286),1)</f>
        <v>0</v>
      </c>
      <c r="E286" s="1" cm="1">
        <f t="array" aca="1" ref="E286" ca="1">INDIRECT(CONCATENATE("'",$A$200,"'!c",B286),1)</f>
        <v>0</v>
      </c>
      <c r="F286" s="1" cm="1">
        <f t="array" aca="1" ref="F286" ca="1">INDIRECT(CONCATENATE("'",$A$200,"'!d",B286),1)</f>
        <v>0</v>
      </c>
      <c r="G286" s="1" cm="1">
        <f t="array" aca="1" ref="G286" ca="1">INDIRECT(CONCATENATE("'",$A$200,"'!e",B286),1)</f>
        <v>0</v>
      </c>
      <c r="H286" s="1" cm="1">
        <f t="array" aca="1" ref="H286" ca="1">INDIRECT(CONCATENATE("'",$A$200,"'!f",B286),1)</f>
        <v>0</v>
      </c>
      <c r="I286" s="1" cm="1">
        <f t="array" aca="1" ref="I286" ca="1">INDIRECT(CONCATENATE("'",$A$200,"'!g",B286),1)</f>
        <v>0</v>
      </c>
      <c r="J286" s="1" cm="1">
        <f t="array" aca="1" ref="J286" ca="1">INDIRECT(CONCATENATE("'",$A$200,"'!h",B286),1)</f>
        <v>0</v>
      </c>
      <c r="K286" s="1" cm="1">
        <f t="array" aca="1" ref="K286" ca="1">INDIRECT(CONCATENATE("'",$A$200,"'!i",B286),1)</f>
        <v>0</v>
      </c>
      <c r="L286" s="1" cm="1">
        <f t="array" aca="1" ref="L286" ca="1">INDIRECT(CONCATENATE("'",$A$200,"'!j",B286),1)</f>
        <v>0</v>
      </c>
      <c r="M286" s="1" cm="1">
        <f t="array" aca="1" ref="M286" ca="1">INDIRECT(CONCATENATE("'",$A$200,"'!k",B286),1)</f>
        <v>0</v>
      </c>
      <c r="N286" s="1" cm="1">
        <f t="array" aca="1" ref="N286" ca="1">INDIRECT(CONCATENATE("'",$A$200,"'!l",B286),1)</f>
        <v>0</v>
      </c>
      <c r="O286" s="1" cm="1">
        <f t="array" aca="1" ref="O286" ca="1">INDIRECT(CONCATENATE("'",$A$200,"'!m",B286),1)</f>
        <v>0</v>
      </c>
      <c r="P286" s="1" cm="1">
        <f t="array" aca="1" ref="P286" ca="1">INDIRECT(CONCATENATE("'",$A$200,"'!n",B286),1)</f>
        <v>0</v>
      </c>
      <c r="Q286" s="1" cm="1">
        <f t="array" aca="1" ref="Q286" ca="1">INDIRECT(CONCATENATE("'",$A$200,"'!o",B286),1)</f>
        <v>0</v>
      </c>
      <c r="R286" s="1" cm="1">
        <f t="array" aca="1" ref="R286" ca="1">INDIRECT(CONCATENATE("'",$A$200,"'!p",B286),1)</f>
        <v>0</v>
      </c>
      <c r="S286" s="1">
        <f t="shared" ca="1" si="22"/>
        <v>0</v>
      </c>
      <c r="T286" s="1" cm="1">
        <f t="array" aca="1" ref="T286" ca="1">INDIRECT(CONCATENATE("'",$A$200,"'!q",B286),1)</f>
        <v>0</v>
      </c>
      <c r="U286" s="1" cm="1">
        <f t="array" aca="1" ref="U286" ca="1">INDIRECT(CONCATENATE("'",$A$200,"'!r",B286),1)</f>
        <v>0</v>
      </c>
      <c r="V286" s="1" cm="1">
        <f t="array" aca="1" ref="V286" ca="1">INDIRECT(CONCATENATE("'",$A$200,"'!s",B286),1)</f>
        <v>0</v>
      </c>
      <c r="W286" s="1" cm="1">
        <f t="array" aca="1" ref="W286" ca="1">INDIRECT(CONCATENATE("'",$A$200,"'!t",B286),1)</f>
        <v>0</v>
      </c>
      <c r="X286" s="1" cm="1">
        <f t="array" aca="1" ref="X286" ca="1">INDIRECT(CONCATENATE("'",$A$200,"'!u",B286),1)</f>
        <v>0</v>
      </c>
      <c r="Y286" s="1" cm="1">
        <f t="array" aca="1" ref="Y286" ca="1">INDIRECT(CONCATENATE("'",$A$200,"'!v",B286),1)</f>
        <v>0</v>
      </c>
    </row>
    <row r="287" spans="1:25" customFormat="1" hidden="1" x14ac:dyDescent="0.25">
      <c r="A287" s="15"/>
      <c r="B287" s="24">
        <f t="shared" si="20"/>
        <v>89</v>
      </c>
      <c r="C287" s="1" cm="1">
        <f t="array" aca="1" ref="C287" ca="1">INDIRECT(CONCATENATE("'",$A$200,"'!A",B287),1)</f>
        <v>0</v>
      </c>
      <c r="D287" s="1" cm="1">
        <f t="array" aca="1" ref="D287" ca="1">INDIRECT(CONCATENATE("'",$A$200,"'!B",B287),1)</f>
        <v>0</v>
      </c>
      <c r="E287" s="1" cm="1">
        <f t="array" aca="1" ref="E287" ca="1">INDIRECT(CONCATENATE("'",$A$200,"'!c",B287),1)</f>
        <v>0</v>
      </c>
      <c r="F287" s="1" cm="1">
        <f t="array" aca="1" ref="F287" ca="1">INDIRECT(CONCATENATE("'",$A$200,"'!d",B287),1)</f>
        <v>0</v>
      </c>
      <c r="G287" s="1" cm="1">
        <f t="array" aca="1" ref="G287" ca="1">INDIRECT(CONCATENATE("'",$A$200,"'!e",B287),1)</f>
        <v>0</v>
      </c>
      <c r="H287" s="1" cm="1">
        <f t="array" aca="1" ref="H287" ca="1">INDIRECT(CONCATENATE("'",$A$200,"'!f",B287),1)</f>
        <v>0</v>
      </c>
      <c r="I287" s="1" cm="1">
        <f t="array" aca="1" ref="I287" ca="1">INDIRECT(CONCATENATE("'",$A$200,"'!g",B287),1)</f>
        <v>0</v>
      </c>
      <c r="J287" s="1" cm="1">
        <f t="array" aca="1" ref="J287" ca="1">INDIRECT(CONCATENATE("'",$A$200,"'!h",B287),1)</f>
        <v>0</v>
      </c>
      <c r="K287" s="1" cm="1">
        <f t="array" aca="1" ref="K287" ca="1">INDIRECT(CONCATENATE("'",$A$200,"'!i",B287),1)</f>
        <v>0</v>
      </c>
      <c r="L287" s="1" cm="1">
        <f t="array" aca="1" ref="L287" ca="1">INDIRECT(CONCATENATE("'",$A$200,"'!j",B287),1)</f>
        <v>0</v>
      </c>
      <c r="M287" s="1" cm="1">
        <f t="array" aca="1" ref="M287" ca="1">INDIRECT(CONCATENATE("'",$A$200,"'!k",B287),1)</f>
        <v>0</v>
      </c>
      <c r="N287" s="1" cm="1">
        <f t="array" aca="1" ref="N287" ca="1">INDIRECT(CONCATENATE("'",$A$200,"'!l",B287),1)</f>
        <v>0</v>
      </c>
      <c r="O287" s="1" cm="1">
        <f t="array" aca="1" ref="O287" ca="1">INDIRECT(CONCATENATE("'",$A$200,"'!m",B287),1)</f>
        <v>0</v>
      </c>
      <c r="P287" s="1" cm="1">
        <f t="array" aca="1" ref="P287" ca="1">INDIRECT(CONCATENATE("'",$A$200,"'!n",B287),1)</f>
        <v>0</v>
      </c>
      <c r="Q287" s="1" cm="1">
        <f t="array" aca="1" ref="Q287" ca="1">INDIRECT(CONCATENATE("'",$A$200,"'!o",B287),1)</f>
        <v>0</v>
      </c>
      <c r="R287" s="1" cm="1">
        <f t="array" aca="1" ref="R287" ca="1">INDIRECT(CONCATENATE("'",$A$200,"'!p",B287),1)</f>
        <v>0</v>
      </c>
      <c r="S287" s="1">
        <f t="shared" ca="1" si="22"/>
        <v>0</v>
      </c>
      <c r="T287" s="1" cm="1">
        <f t="array" aca="1" ref="T287" ca="1">INDIRECT(CONCATENATE("'",$A$200,"'!q",B287),1)</f>
        <v>0</v>
      </c>
      <c r="U287" s="1" cm="1">
        <f t="array" aca="1" ref="U287" ca="1">INDIRECT(CONCATENATE("'",$A$200,"'!r",B287),1)</f>
        <v>0</v>
      </c>
      <c r="V287" s="1" cm="1">
        <f t="array" aca="1" ref="V287" ca="1">INDIRECT(CONCATENATE("'",$A$200,"'!s",B287),1)</f>
        <v>0</v>
      </c>
      <c r="W287" s="1" cm="1">
        <f t="array" aca="1" ref="W287" ca="1">INDIRECT(CONCATENATE("'",$A$200,"'!t",B287),1)</f>
        <v>0</v>
      </c>
      <c r="X287" s="1" cm="1">
        <f t="array" aca="1" ref="X287" ca="1">INDIRECT(CONCATENATE("'",$A$200,"'!u",B287),1)</f>
        <v>0</v>
      </c>
      <c r="Y287" s="1" cm="1">
        <f t="array" aca="1" ref="Y287" ca="1">INDIRECT(CONCATENATE("'",$A$200,"'!v",B287),1)</f>
        <v>0</v>
      </c>
    </row>
    <row r="288" spans="1:25" customFormat="1" hidden="1" x14ac:dyDescent="0.25">
      <c r="A288" s="15"/>
      <c r="B288" s="24">
        <f t="shared" si="20"/>
        <v>90</v>
      </c>
      <c r="C288" s="1" cm="1">
        <f t="array" aca="1" ref="C288" ca="1">INDIRECT(CONCATENATE("'",$A$200,"'!A",B288),1)</f>
        <v>0</v>
      </c>
      <c r="D288" s="1" cm="1">
        <f t="array" aca="1" ref="D288" ca="1">INDIRECT(CONCATENATE("'",$A$200,"'!B",B288),1)</f>
        <v>0</v>
      </c>
      <c r="E288" s="1" cm="1">
        <f t="array" aca="1" ref="E288" ca="1">INDIRECT(CONCATENATE("'",$A$200,"'!c",B288),1)</f>
        <v>0</v>
      </c>
      <c r="F288" s="1" cm="1">
        <f t="array" aca="1" ref="F288" ca="1">INDIRECT(CONCATENATE("'",$A$200,"'!d",B288),1)</f>
        <v>0</v>
      </c>
      <c r="G288" s="1" cm="1">
        <f t="array" aca="1" ref="G288" ca="1">INDIRECT(CONCATENATE("'",$A$200,"'!e",B288),1)</f>
        <v>0</v>
      </c>
      <c r="H288" s="1" cm="1">
        <f t="array" aca="1" ref="H288" ca="1">INDIRECT(CONCATENATE("'",$A$200,"'!f",B288),1)</f>
        <v>0</v>
      </c>
      <c r="I288" s="1" cm="1">
        <f t="array" aca="1" ref="I288" ca="1">INDIRECT(CONCATENATE("'",$A$200,"'!g",B288),1)</f>
        <v>0</v>
      </c>
      <c r="J288" s="1" cm="1">
        <f t="array" aca="1" ref="J288" ca="1">INDIRECT(CONCATENATE("'",$A$200,"'!h",B288),1)</f>
        <v>0</v>
      </c>
      <c r="K288" s="1" cm="1">
        <f t="array" aca="1" ref="K288" ca="1">INDIRECT(CONCATENATE("'",$A$200,"'!i",B288),1)</f>
        <v>0</v>
      </c>
      <c r="L288" s="1" cm="1">
        <f t="array" aca="1" ref="L288" ca="1">INDIRECT(CONCATENATE("'",$A$200,"'!j",B288),1)</f>
        <v>0</v>
      </c>
      <c r="M288" s="1" cm="1">
        <f t="array" aca="1" ref="M288" ca="1">INDIRECT(CONCATENATE("'",$A$200,"'!k",B288),1)</f>
        <v>0</v>
      </c>
      <c r="N288" s="1" cm="1">
        <f t="array" aca="1" ref="N288" ca="1">INDIRECT(CONCATENATE("'",$A$200,"'!l",B288),1)</f>
        <v>0</v>
      </c>
      <c r="O288" s="1" cm="1">
        <f t="array" aca="1" ref="O288" ca="1">INDIRECT(CONCATENATE("'",$A$200,"'!m",B288),1)</f>
        <v>0</v>
      </c>
      <c r="P288" s="1" cm="1">
        <f t="array" aca="1" ref="P288" ca="1">INDIRECT(CONCATENATE("'",$A$200,"'!n",B288),1)</f>
        <v>0</v>
      </c>
      <c r="Q288" s="1" cm="1">
        <f t="array" aca="1" ref="Q288" ca="1">INDIRECT(CONCATENATE("'",$A$200,"'!o",B288),1)</f>
        <v>0</v>
      </c>
      <c r="R288" s="1" cm="1">
        <f t="array" aca="1" ref="R288" ca="1">INDIRECT(CONCATENATE("'",$A$200,"'!p",B288),1)</f>
        <v>0</v>
      </c>
      <c r="S288" s="1">
        <f t="shared" ca="1" si="22"/>
        <v>0</v>
      </c>
      <c r="T288" s="1" cm="1">
        <f t="array" aca="1" ref="T288" ca="1">INDIRECT(CONCATENATE("'",$A$200,"'!q",B288),1)</f>
        <v>0</v>
      </c>
      <c r="U288" s="1" cm="1">
        <f t="array" aca="1" ref="U288" ca="1">INDIRECT(CONCATENATE("'",$A$200,"'!r",B288),1)</f>
        <v>0</v>
      </c>
      <c r="V288" s="1" cm="1">
        <f t="array" aca="1" ref="V288" ca="1">INDIRECT(CONCATENATE("'",$A$200,"'!s",B288),1)</f>
        <v>0</v>
      </c>
      <c r="W288" s="1" cm="1">
        <f t="array" aca="1" ref="W288" ca="1">INDIRECT(CONCATENATE("'",$A$200,"'!t",B288),1)</f>
        <v>0</v>
      </c>
      <c r="X288" s="1" cm="1">
        <f t="array" aca="1" ref="X288" ca="1">INDIRECT(CONCATENATE("'",$A$200,"'!u",B288),1)</f>
        <v>0</v>
      </c>
      <c r="Y288" s="1" cm="1">
        <f t="array" aca="1" ref="Y288" ca="1">INDIRECT(CONCATENATE("'",$A$200,"'!v",B288),1)</f>
        <v>0</v>
      </c>
    </row>
    <row r="289" spans="1:25" customFormat="1" hidden="1" x14ac:dyDescent="0.25">
      <c r="A289" s="15"/>
      <c r="B289" s="24">
        <f t="shared" si="20"/>
        <v>91</v>
      </c>
      <c r="C289" s="1" cm="1">
        <f t="array" aca="1" ref="C289" ca="1">INDIRECT(CONCATENATE("'",$A$200,"'!A",B289),1)</f>
        <v>0</v>
      </c>
      <c r="D289" s="1" cm="1">
        <f t="array" aca="1" ref="D289" ca="1">INDIRECT(CONCATENATE("'",$A$200,"'!B",B289),1)</f>
        <v>0</v>
      </c>
      <c r="E289" s="1" cm="1">
        <f t="array" aca="1" ref="E289" ca="1">INDIRECT(CONCATENATE("'",$A$200,"'!c",B289),1)</f>
        <v>0</v>
      </c>
      <c r="F289" s="1" cm="1">
        <f t="array" aca="1" ref="F289" ca="1">INDIRECT(CONCATENATE("'",$A$200,"'!d",B289),1)</f>
        <v>0</v>
      </c>
      <c r="G289" s="1" cm="1">
        <f t="array" aca="1" ref="G289" ca="1">INDIRECT(CONCATENATE("'",$A$200,"'!e",B289),1)</f>
        <v>0</v>
      </c>
      <c r="H289" s="1" cm="1">
        <f t="array" aca="1" ref="H289" ca="1">INDIRECT(CONCATENATE("'",$A$200,"'!f",B289),1)</f>
        <v>0</v>
      </c>
      <c r="I289" s="1" cm="1">
        <f t="array" aca="1" ref="I289" ca="1">INDIRECT(CONCATENATE("'",$A$200,"'!g",B289),1)</f>
        <v>0</v>
      </c>
      <c r="J289" s="1" cm="1">
        <f t="array" aca="1" ref="J289" ca="1">INDIRECT(CONCATENATE("'",$A$200,"'!h",B289),1)</f>
        <v>0</v>
      </c>
      <c r="K289" s="1" cm="1">
        <f t="array" aca="1" ref="K289" ca="1">INDIRECT(CONCATENATE("'",$A$200,"'!i",B289),1)</f>
        <v>0</v>
      </c>
      <c r="L289" s="1" cm="1">
        <f t="array" aca="1" ref="L289" ca="1">INDIRECT(CONCATENATE("'",$A$200,"'!j",B289),1)</f>
        <v>0</v>
      </c>
      <c r="M289" s="1" cm="1">
        <f t="array" aca="1" ref="M289" ca="1">INDIRECT(CONCATENATE("'",$A$200,"'!k",B289),1)</f>
        <v>0</v>
      </c>
      <c r="N289" s="1" cm="1">
        <f t="array" aca="1" ref="N289" ca="1">INDIRECT(CONCATENATE("'",$A$200,"'!l",B289),1)</f>
        <v>0</v>
      </c>
      <c r="O289" s="1" cm="1">
        <f t="array" aca="1" ref="O289" ca="1">INDIRECT(CONCATENATE("'",$A$200,"'!m",B289),1)</f>
        <v>0</v>
      </c>
      <c r="P289" s="1" cm="1">
        <f t="array" aca="1" ref="P289" ca="1">INDIRECT(CONCATENATE("'",$A$200,"'!n",B289),1)</f>
        <v>0</v>
      </c>
      <c r="Q289" s="1" cm="1">
        <f t="array" aca="1" ref="Q289" ca="1">INDIRECT(CONCATENATE("'",$A$200,"'!o",B289),1)</f>
        <v>0</v>
      </c>
      <c r="R289" s="1" cm="1">
        <f t="array" aca="1" ref="R289" ca="1">INDIRECT(CONCATENATE("'",$A$200,"'!p",B289),1)</f>
        <v>0</v>
      </c>
      <c r="S289" s="1">
        <f t="shared" ca="1" si="22"/>
        <v>0</v>
      </c>
      <c r="T289" s="1" cm="1">
        <f t="array" aca="1" ref="T289" ca="1">INDIRECT(CONCATENATE("'",$A$200,"'!q",B289),1)</f>
        <v>0</v>
      </c>
      <c r="U289" s="1" cm="1">
        <f t="array" aca="1" ref="U289" ca="1">INDIRECT(CONCATENATE("'",$A$200,"'!r",B289),1)</f>
        <v>0</v>
      </c>
      <c r="V289" s="1" cm="1">
        <f t="array" aca="1" ref="V289" ca="1">INDIRECT(CONCATENATE("'",$A$200,"'!s",B289),1)</f>
        <v>0</v>
      </c>
      <c r="W289" s="1" cm="1">
        <f t="array" aca="1" ref="W289" ca="1">INDIRECT(CONCATENATE("'",$A$200,"'!t",B289),1)</f>
        <v>0</v>
      </c>
      <c r="X289" s="1" cm="1">
        <f t="array" aca="1" ref="X289" ca="1">INDIRECT(CONCATENATE("'",$A$200,"'!u",B289),1)</f>
        <v>0</v>
      </c>
      <c r="Y289" s="1" cm="1">
        <f t="array" aca="1" ref="Y289" ca="1">INDIRECT(CONCATENATE("'",$A$200,"'!v",B289),1)</f>
        <v>0</v>
      </c>
    </row>
    <row r="290" spans="1:25" customFormat="1" hidden="1" x14ac:dyDescent="0.25">
      <c r="A290" s="15"/>
      <c r="B290" s="24">
        <f t="shared" si="20"/>
        <v>92</v>
      </c>
      <c r="C290" s="1" cm="1">
        <f t="array" aca="1" ref="C290" ca="1">INDIRECT(CONCATENATE("'",$A$200,"'!A",B290),1)</f>
        <v>0</v>
      </c>
      <c r="D290" s="1" cm="1">
        <f t="array" aca="1" ref="D290" ca="1">INDIRECT(CONCATENATE("'",$A$200,"'!B",B290),1)</f>
        <v>0</v>
      </c>
      <c r="E290" s="1" cm="1">
        <f t="array" aca="1" ref="E290" ca="1">INDIRECT(CONCATENATE("'",$A$200,"'!c",B290),1)</f>
        <v>0</v>
      </c>
      <c r="F290" s="1" cm="1">
        <f t="array" aca="1" ref="F290" ca="1">INDIRECT(CONCATENATE("'",$A$200,"'!d",B290),1)</f>
        <v>0</v>
      </c>
      <c r="G290" s="1" cm="1">
        <f t="array" aca="1" ref="G290" ca="1">INDIRECT(CONCATENATE("'",$A$200,"'!e",B290),1)</f>
        <v>0</v>
      </c>
      <c r="H290" s="1" cm="1">
        <f t="array" aca="1" ref="H290" ca="1">INDIRECT(CONCATENATE("'",$A$200,"'!f",B290),1)</f>
        <v>0</v>
      </c>
      <c r="I290" s="1" cm="1">
        <f t="array" aca="1" ref="I290" ca="1">INDIRECT(CONCATENATE("'",$A$200,"'!g",B290),1)</f>
        <v>0</v>
      </c>
      <c r="J290" s="1" cm="1">
        <f t="array" aca="1" ref="J290" ca="1">INDIRECT(CONCATENATE("'",$A$200,"'!h",B290),1)</f>
        <v>0</v>
      </c>
      <c r="K290" s="1" cm="1">
        <f t="array" aca="1" ref="K290" ca="1">INDIRECT(CONCATENATE("'",$A$200,"'!i",B290),1)</f>
        <v>0</v>
      </c>
      <c r="L290" s="1" cm="1">
        <f t="array" aca="1" ref="L290" ca="1">INDIRECT(CONCATENATE("'",$A$200,"'!j",B290),1)</f>
        <v>0</v>
      </c>
      <c r="M290" s="1" cm="1">
        <f t="array" aca="1" ref="M290" ca="1">INDIRECT(CONCATENATE("'",$A$200,"'!k",B290),1)</f>
        <v>0</v>
      </c>
      <c r="N290" s="1" cm="1">
        <f t="array" aca="1" ref="N290" ca="1">INDIRECT(CONCATENATE("'",$A$200,"'!l",B290),1)</f>
        <v>0</v>
      </c>
      <c r="O290" s="1" cm="1">
        <f t="array" aca="1" ref="O290" ca="1">INDIRECT(CONCATENATE("'",$A$200,"'!m",B290),1)</f>
        <v>0</v>
      </c>
      <c r="P290" s="1" cm="1">
        <f t="array" aca="1" ref="P290" ca="1">INDIRECT(CONCATENATE("'",$A$200,"'!n",B290),1)</f>
        <v>0</v>
      </c>
      <c r="Q290" s="1" cm="1">
        <f t="array" aca="1" ref="Q290" ca="1">INDIRECT(CONCATENATE("'",$A$200,"'!o",B290),1)</f>
        <v>0</v>
      </c>
      <c r="R290" s="1" cm="1">
        <f t="array" aca="1" ref="R290" ca="1">INDIRECT(CONCATENATE("'",$A$200,"'!p",B290),1)</f>
        <v>0</v>
      </c>
      <c r="S290" s="1">
        <f t="shared" ca="1" si="22"/>
        <v>0</v>
      </c>
      <c r="T290" s="1" cm="1">
        <f t="array" aca="1" ref="T290" ca="1">INDIRECT(CONCATENATE("'",$A$200,"'!q",B290),1)</f>
        <v>0</v>
      </c>
      <c r="U290" s="1" cm="1">
        <f t="array" aca="1" ref="U290" ca="1">INDIRECT(CONCATENATE("'",$A$200,"'!r",B290),1)</f>
        <v>0</v>
      </c>
      <c r="V290" s="1" cm="1">
        <f t="array" aca="1" ref="V290" ca="1">INDIRECT(CONCATENATE("'",$A$200,"'!s",B290),1)</f>
        <v>0</v>
      </c>
      <c r="W290" s="1" cm="1">
        <f t="array" aca="1" ref="W290" ca="1">INDIRECT(CONCATENATE("'",$A$200,"'!t",B290),1)</f>
        <v>0</v>
      </c>
      <c r="X290" s="1" cm="1">
        <f t="array" aca="1" ref="X290" ca="1">INDIRECT(CONCATENATE("'",$A$200,"'!u",B290),1)</f>
        <v>0</v>
      </c>
      <c r="Y290" s="1" cm="1">
        <f t="array" aca="1" ref="Y290" ca="1">INDIRECT(CONCATENATE("'",$A$200,"'!v",B290),1)</f>
        <v>0</v>
      </c>
    </row>
    <row r="291" spans="1:25" customFormat="1" hidden="1" x14ac:dyDescent="0.25">
      <c r="A291" s="15"/>
      <c r="B291" s="24">
        <f t="shared" si="20"/>
        <v>93</v>
      </c>
      <c r="C291" s="1" cm="1">
        <f t="array" aca="1" ref="C291" ca="1">INDIRECT(CONCATENATE("'",$A$200,"'!A",B291),1)</f>
        <v>0</v>
      </c>
      <c r="D291" s="1" cm="1">
        <f t="array" aca="1" ref="D291" ca="1">INDIRECT(CONCATENATE("'",$A$200,"'!B",B291),1)</f>
        <v>0</v>
      </c>
      <c r="E291" s="1" cm="1">
        <f t="array" aca="1" ref="E291" ca="1">INDIRECT(CONCATENATE("'",$A$200,"'!c",B291),1)</f>
        <v>0</v>
      </c>
      <c r="F291" s="1" cm="1">
        <f t="array" aca="1" ref="F291" ca="1">INDIRECT(CONCATENATE("'",$A$200,"'!d",B291),1)</f>
        <v>0</v>
      </c>
      <c r="G291" s="1" cm="1">
        <f t="array" aca="1" ref="G291" ca="1">INDIRECT(CONCATENATE("'",$A$200,"'!e",B291),1)</f>
        <v>0</v>
      </c>
      <c r="H291" s="1" cm="1">
        <f t="array" aca="1" ref="H291" ca="1">INDIRECT(CONCATENATE("'",$A$200,"'!f",B291),1)</f>
        <v>0</v>
      </c>
      <c r="I291" s="1" cm="1">
        <f t="array" aca="1" ref="I291" ca="1">INDIRECT(CONCATENATE("'",$A$200,"'!g",B291),1)</f>
        <v>0</v>
      </c>
      <c r="J291" s="1" cm="1">
        <f t="array" aca="1" ref="J291" ca="1">INDIRECT(CONCATENATE("'",$A$200,"'!h",B291),1)</f>
        <v>0</v>
      </c>
      <c r="K291" s="1" cm="1">
        <f t="array" aca="1" ref="K291" ca="1">INDIRECT(CONCATENATE("'",$A$200,"'!i",B291),1)</f>
        <v>0</v>
      </c>
      <c r="L291" s="1" cm="1">
        <f t="array" aca="1" ref="L291" ca="1">INDIRECT(CONCATENATE("'",$A$200,"'!j",B291),1)</f>
        <v>0</v>
      </c>
      <c r="M291" s="1" cm="1">
        <f t="array" aca="1" ref="M291" ca="1">INDIRECT(CONCATENATE("'",$A$200,"'!k",B291),1)</f>
        <v>0</v>
      </c>
      <c r="N291" s="1" cm="1">
        <f t="array" aca="1" ref="N291" ca="1">INDIRECT(CONCATENATE("'",$A$200,"'!l",B291),1)</f>
        <v>0</v>
      </c>
      <c r="O291" s="1" cm="1">
        <f t="array" aca="1" ref="O291" ca="1">INDIRECT(CONCATENATE("'",$A$200,"'!m",B291),1)</f>
        <v>0</v>
      </c>
      <c r="P291" s="1" cm="1">
        <f t="array" aca="1" ref="P291" ca="1">INDIRECT(CONCATENATE("'",$A$200,"'!n",B291),1)</f>
        <v>0</v>
      </c>
      <c r="Q291" s="1" cm="1">
        <f t="array" aca="1" ref="Q291" ca="1">INDIRECT(CONCATENATE("'",$A$200,"'!o",B291),1)</f>
        <v>0</v>
      </c>
      <c r="R291" s="1" cm="1">
        <f t="array" aca="1" ref="R291" ca="1">INDIRECT(CONCATENATE("'",$A$200,"'!p",B291),1)</f>
        <v>0</v>
      </c>
      <c r="S291" s="1">
        <f t="shared" ca="1" si="22"/>
        <v>0</v>
      </c>
      <c r="T291" s="1" cm="1">
        <f t="array" aca="1" ref="T291" ca="1">INDIRECT(CONCATENATE("'",$A$200,"'!q",B291),1)</f>
        <v>0</v>
      </c>
      <c r="U291" s="1" cm="1">
        <f t="array" aca="1" ref="U291" ca="1">INDIRECT(CONCATENATE("'",$A$200,"'!r",B291),1)</f>
        <v>0</v>
      </c>
      <c r="V291" s="1" cm="1">
        <f t="array" aca="1" ref="V291" ca="1">INDIRECT(CONCATENATE("'",$A$200,"'!s",B291),1)</f>
        <v>0</v>
      </c>
      <c r="W291" s="1" cm="1">
        <f t="array" aca="1" ref="W291" ca="1">INDIRECT(CONCATENATE("'",$A$200,"'!t",B291),1)</f>
        <v>0</v>
      </c>
      <c r="X291" s="1" cm="1">
        <f t="array" aca="1" ref="X291" ca="1">INDIRECT(CONCATENATE("'",$A$200,"'!u",B291),1)</f>
        <v>0</v>
      </c>
      <c r="Y291" s="1" cm="1">
        <f t="array" aca="1" ref="Y291" ca="1">INDIRECT(CONCATENATE("'",$A$200,"'!v",B291),1)</f>
        <v>0</v>
      </c>
    </row>
    <row r="292" spans="1:25" customFormat="1" hidden="1" x14ac:dyDescent="0.25">
      <c r="A292" s="15"/>
      <c r="B292" s="24">
        <f t="shared" si="20"/>
        <v>94</v>
      </c>
      <c r="C292" s="1" cm="1">
        <f t="array" aca="1" ref="C292" ca="1">INDIRECT(CONCATENATE("'",$A$200,"'!A",B292),1)</f>
        <v>0</v>
      </c>
      <c r="D292" s="1" cm="1">
        <f t="array" aca="1" ref="D292" ca="1">INDIRECT(CONCATENATE("'",$A$200,"'!B",B292),1)</f>
        <v>0</v>
      </c>
      <c r="E292" s="1" cm="1">
        <f t="array" aca="1" ref="E292" ca="1">INDIRECT(CONCATENATE("'",$A$200,"'!c",B292),1)</f>
        <v>0</v>
      </c>
      <c r="F292" s="1" cm="1">
        <f t="array" aca="1" ref="F292" ca="1">INDIRECT(CONCATENATE("'",$A$200,"'!d",B292),1)</f>
        <v>0</v>
      </c>
      <c r="G292" s="1" cm="1">
        <f t="array" aca="1" ref="G292" ca="1">INDIRECT(CONCATENATE("'",$A$200,"'!e",B292),1)</f>
        <v>0</v>
      </c>
      <c r="H292" s="1" cm="1">
        <f t="array" aca="1" ref="H292" ca="1">INDIRECT(CONCATENATE("'",$A$200,"'!f",B292),1)</f>
        <v>0</v>
      </c>
      <c r="I292" s="1" cm="1">
        <f t="array" aca="1" ref="I292" ca="1">INDIRECT(CONCATENATE("'",$A$200,"'!g",B292),1)</f>
        <v>0</v>
      </c>
      <c r="J292" s="1" cm="1">
        <f t="array" aca="1" ref="J292" ca="1">INDIRECT(CONCATENATE("'",$A$200,"'!h",B292),1)</f>
        <v>0</v>
      </c>
      <c r="K292" s="1" cm="1">
        <f t="array" aca="1" ref="K292" ca="1">INDIRECT(CONCATENATE("'",$A$200,"'!i",B292),1)</f>
        <v>0</v>
      </c>
      <c r="L292" s="1" cm="1">
        <f t="array" aca="1" ref="L292" ca="1">INDIRECT(CONCATENATE("'",$A$200,"'!j",B292),1)</f>
        <v>0</v>
      </c>
      <c r="M292" s="1" cm="1">
        <f t="array" aca="1" ref="M292" ca="1">INDIRECT(CONCATENATE("'",$A$200,"'!k",B292),1)</f>
        <v>0</v>
      </c>
      <c r="N292" s="1" cm="1">
        <f t="array" aca="1" ref="N292" ca="1">INDIRECT(CONCATENATE("'",$A$200,"'!l",B292),1)</f>
        <v>0</v>
      </c>
      <c r="O292" s="1" cm="1">
        <f t="array" aca="1" ref="O292" ca="1">INDIRECT(CONCATENATE("'",$A$200,"'!m",B292),1)</f>
        <v>0</v>
      </c>
      <c r="P292" s="1" cm="1">
        <f t="array" aca="1" ref="P292" ca="1">INDIRECT(CONCATENATE("'",$A$200,"'!n",B292),1)</f>
        <v>0</v>
      </c>
      <c r="Q292" s="1" cm="1">
        <f t="array" aca="1" ref="Q292" ca="1">INDIRECT(CONCATENATE("'",$A$200,"'!o",B292),1)</f>
        <v>0</v>
      </c>
      <c r="R292" s="1" cm="1">
        <f t="array" aca="1" ref="R292" ca="1">INDIRECT(CONCATENATE("'",$A$200,"'!p",B292),1)</f>
        <v>0</v>
      </c>
      <c r="S292" s="1">
        <f t="shared" ca="1" si="22"/>
        <v>0</v>
      </c>
      <c r="T292" s="1" cm="1">
        <f t="array" aca="1" ref="T292" ca="1">INDIRECT(CONCATENATE("'",$A$200,"'!q",B292),1)</f>
        <v>0</v>
      </c>
      <c r="U292" s="1" cm="1">
        <f t="array" aca="1" ref="U292" ca="1">INDIRECT(CONCATENATE("'",$A$200,"'!r",B292),1)</f>
        <v>0</v>
      </c>
      <c r="V292" s="1" cm="1">
        <f t="array" aca="1" ref="V292" ca="1">INDIRECT(CONCATENATE("'",$A$200,"'!s",B292),1)</f>
        <v>0</v>
      </c>
      <c r="W292" s="1" cm="1">
        <f t="array" aca="1" ref="W292" ca="1">INDIRECT(CONCATENATE("'",$A$200,"'!t",B292),1)</f>
        <v>0</v>
      </c>
      <c r="X292" s="1" cm="1">
        <f t="array" aca="1" ref="X292" ca="1">INDIRECT(CONCATENATE("'",$A$200,"'!u",B292),1)</f>
        <v>0</v>
      </c>
      <c r="Y292" s="1" cm="1">
        <f t="array" aca="1" ref="Y292" ca="1">INDIRECT(CONCATENATE("'",$A$200,"'!v",B292),1)</f>
        <v>0</v>
      </c>
    </row>
    <row r="293" spans="1:25" customFormat="1" hidden="1" x14ac:dyDescent="0.25">
      <c r="A293" s="15"/>
      <c r="B293" s="24">
        <f t="shared" si="20"/>
        <v>95</v>
      </c>
      <c r="C293" s="1" cm="1">
        <f t="array" aca="1" ref="C293" ca="1">INDIRECT(CONCATENATE("'",$A$200,"'!A",B293),1)</f>
        <v>0</v>
      </c>
      <c r="D293" s="1" cm="1">
        <f t="array" aca="1" ref="D293" ca="1">INDIRECT(CONCATENATE("'",$A$200,"'!B",B293),1)</f>
        <v>0</v>
      </c>
      <c r="E293" s="1" cm="1">
        <f t="array" aca="1" ref="E293" ca="1">INDIRECT(CONCATENATE("'",$A$200,"'!c",B293),1)</f>
        <v>0</v>
      </c>
      <c r="F293" s="1" cm="1">
        <f t="array" aca="1" ref="F293" ca="1">INDIRECT(CONCATENATE("'",$A$200,"'!d",B293),1)</f>
        <v>0</v>
      </c>
      <c r="G293" s="1" cm="1">
        <f t="array" aca="1" ref="G293" ca="1">INDIRECT(CONCATENATE("'",$A$200,"'!e",B293),1)</f>
        <v>0</v>
      </c>
      <c r="H293" s="1" cm="1">
        <f t="array" aca="1" ref="H293" ca="1">INDIRECT(CONCATENATE("'",$A$200,"'!f",B293),1)</f>
        <v>0</v>
      </c>
      <c r="I293" s="1" cm="1">
        <f t="array" aca="1" ref="I293" ca="1">INDIRECT(CONCATENATE("'",$A$200,"'!g",B293),1)</f>
        <v>0</v>
      </c>
      <c r="J293" s="1" cm="1">
        <f t="array" aca="1" ref="J293" ca="1">INDIRECT(CONCATENATE("'",$A$200,"'!h",B293),1)</f>
        <v>0</v>
      </c>
      <c r="K293" s="1" cm="1">
        <f t="array" aca="1" ref="K293" ca="1">INDIRECT(CONCATENATE("'",$A$200,"'!i",B293),1)</f>
        <v>0</v>
      </c>
      <c r="L293" s="1" cm="1">
        <f t="array" aca="1" ref="L293" ca="1">INDIRECT(CONCATENATE("'",$A$200,"'!j",B293),1)</f>
        <v>0</v>
      </c>
      <c r="M293" s="1" cm="1">
        <f t="array" aca="1" ref="M293" ca="1">INDIRECT(CONCATENATE("'",$A$200,"'!k",B293),1)</f>
        <v>0</v>
      </c>
      <c r="N293" s="1" cm="1">
        <f t="array" aca="1" ref="N293" ca="1">INDIRECT(CONCATENATE("'",$A$200,"'!l",B293),1)</f>
        <v>0</v>
      </c>
      <c r="O293" s="1" cm="1">
        <f t="array" aca="1" ref="O293" ca="1">INDIRECT(CONCATENATE("'",$A$200,"'!m",B293),1)</f>
        <v>0</v>
      </c>
      <c r="P293" s="1" cm="1">
        <f t="array" aca="1" ref="P293" ca="1">INDIRECT(CONCATENATE("'",$A$200,"'!n",B293),1)</f>
        <v>0</v>
      </c>
      <c r="Q293" s="1" cm="1">
        <f t="array" aca="1" ref="Q293" ca="1">INDIRECT(CONCATENATE("'",$A$200,"'!o",B293),1)</f>
        <v>0</v>
      </c>
      <c r="R293" s="1" cm="1">
        <f t="array" aca="1" ref="R293" ca="1">INDIRECT(CONCATENATE("'",$A$200,"'!p",B293),1)</f>
        <v>0</v>
      </c>
      <c r="S293" s="1">
        <f t="shared" ca="1" si="22"/>
        <v>0</v>
      </c>
      <c r="T293" s="1" cm="1">
        <f t="array" aca="1" ref="T293" ca="1">INDIRECT(CONCATENATE("'",$A$200,"'!q",B293),1)</f>
        <v>0</v>
      </c>
      <c r="U293" s="1" cm="1">
        <f t="array" aca="1" ref="U293" ca="1">INDIRECT(CONCATENATE("'",$A$200,"'!r",B293),1)</f>
        <v>0</v>
      </c>
      <c r="V293" s="1" cm="1">
        <f t="array" aca="1" ref="V293" ca="1">INDIRECT(CONCATENATE("'",$A$200,"'!s",B293),1)</f>
        <v>0</v>
      </c>
      <c r="W293" s="1" cm="1">
        <f t="array" aca="1" ref="W293" ca="1">INDIRECT(CONCATENATE("'",$A$200,"'!t",B293),1)</f>
        <v>0</v>
      </c>
      <c r="X293" s="1" cm="1">
        <f t="array" aca="1" ref="X293" ca="1">INDIRECT(CONCATENATE("'",$A$200,"'!u",B293),1)</f>
        <v>0</v>
      </c>
      <c r="Y293" s="1" cm="1">
        <f t="array" aca="1" ref="Y293" ca="1">INDIRECT(CONCATENATE("'",$A$200,"'!v",B293),1)</f>
        <v>0</v>
      </c>
    </row>
    <row r="294" spans="1:25" customFormat="1" hidden="1" x14ac:dyDescent="0.25">
      <c r="A294" s="15"/>
      <c r="B294" s="24">
        <f t="shared" si="20"/>
        <v>96</v>
      </c>
      <c r="C294" s="1" cm="1">
        <f t="array" aca="1" ref="C294" ca="1">INDIRECT(CONCATENATE("'",$A$200,"'!A",B294),1)</f>
        <v>0</v>
      </c>
      <c r="D294" s="1" cm="1">
        <f t="array" aca="1" ref="D294" ca="1">INDIRECT(CONCATENATE("'",$A$200,"'!B",B294),1)</f>
        <v>0</v>
      </c>
      <c r="E294" s="1" cm="1">
        <f t="array" aca="1" ref="E294" ca="1">INDIRECT(CONCATENATE("'",$A$200,"'!c",B294),1)</f>
        <v>0</v>
      </c>
      <c r="F294" s="1" cm="1">
        <f t="array" aca="1" ref="F294" ca="1">INDIRECT(CONCATENATE("'",$A$200,"'!d",B294),1)</f>
        <v>0</v>
      </c>
      <c r="G294" s="1" cm="1">
        <f t="array" aca="1" ref="G294" ca="1">INDIRECT(CONCATENATE("'",$A$200,"'!e",B294),1)</f>
        <v>0</v>
      </c>
      <c r="H294" s="1" cm="1">
        <f t="array" aca="1" ref="H294" ca="1">INDIRECT(CONCATENATE("'",$A$200,"'!f",B294),1)</f>
        <v>0</v>
      </c>
      <c r="I294" s="1" cm="1">
        <f t="array" aca="1" ref="I294" ca="1">INDIRECT(CONCATENATE("'",$A$200,"'!g",B294),1)</f>
        <v>0</v>
      </c>
      <c r="J294" s="1" cm="1">
        <f t="array" aca="1" ref="J294" ca="1">INDIRECT(CONCATENATE("'",$A$200,"'!h",B294),1)</f>
        <v>0</v>
      </c>
      <c r="K294" s="1" cm="1">
        <f t="array" aca="1" ref="K294" ca="1">INDIRECT(CONCATENATE("'",$A$200,"'!i",B294),1)</f>
        <v>0</v>
      </c>
      <c r="L294" s="1" cm="1">
        <f t="array" aca="1" ref="L294" ca="1">INDIRECT(CONCATENATE("'",$A$200,"'!j",B294),1)</f>
        <v>0</v>
      </c>
      <c r="M294" s="1" cm="1">
        <f t="array" aca="1" ref="M294" ca="1">INDIRECT(CONCATENATE("'",$A$200,"'!k",B294),1)</f>
        <v>0</v>
      </c>
      <c r="N294" s="1" cm="1">
        <f t="array" aca="1" ref="N294" ca="1">INDIRECT(CONCATENATE("'",$A$200,"'!l",B294),1)</f>
        <v>0</v>
      </c>
      <c r="O294" s="1" cm="1">
        <f t="array" aca="1" ref="O294" ca="1">INDIRECT(CONCATENATE("'",$A$200,"'!m",B294),1)</f>
        <v>0</v>
      </c>
      <c r="P294" s="1" cm="1">
        <f t="array" aca="1" ref="P294" ca="1">INDIRECT(CONCATENATE("'",$A$200,"'!n",B294),1)</f>
        <v>0</v>
      </c>
      <c r="Q294" s="1" cm="1">
        <f t="array" aca="1" ref="Q294" ca="1">INDIRECT(CONCATENATE("'",$A$200,"'!o",B294),1)</f>
        <v>0</v>
      </c>
      <c r="R294" s="1" cm="1">
        <f t="array" aca="1" ref="R294" ca="1">INDIRECT(CONCATENATE("'",$A$200,"'!p",B294),1)</f>
        <v>0</v>
      </c>
      <c r="S294" s="1">
        <f t="shared" ca="1" si="22"/>
        <v>0</v>
      </c>
      <c r="T294" s="1" cm="1">
        <f t="array" aca="1" ref="T294" ca="1">INDIRECT(CONCATENATE("'",$A$200,"'!q",B294),1)</f>
        <v>0</v>
      </c>
      <c r="U294" s="1" cm="1">
        <f t="array" aca="1" ref="U294" ca="1">INDIRECT(CONCATENATE("'",$A$200,"'!r",B294),1)</f>
        <v>0</v>
      </c>
      <c r="V294" s="1" cm="1">
        <f t="array" aca="1" ref="V294" ca="1">INDIRECT(CONCATENATE("'",$A$200,"'!s",B294),1)</f>
        <v>0</v>
      </c>
      <c r="W294" s="1" cm="1">
        <f t="array" aca="1" ref="W294" ca="1">INDIRECT(CONCATENATE("'",$A$200,"'!t",B294),1)</f>
        <v>0</v>
      </c>
      <c r="X294" s="1" cm="1">
        <f t="array" aca="1" ref="X294" ca="1">INDIRECT(CONCATENATE("'",$A$200,"'!u",B294),1)</f>
        <v>0</v>
      </c>
      <c r="Y294" s="1" cm="1">
        <f t="array" aca="1" ref="Y294" ca="1">INDIRECT(CONCATENATE("'",$A$200,"'!v",B294),1)</f>
        <v>0</v>
      </c>
    </row>
    <row r="295" spans="1:25" customFormat="1" hidden="1" x14ac:dyDescent="0.25">
      <c r="A295" s="15"/>
      <c r="B295" s="24">
        <f t="shared" si="20"/>
        <v>97</v>
      </c>
      <c r="C295" s="1" cm="1">
        <f t="array" aca="1" ref="C295" ca="1">INDIRECT(CONCATENATE("'",$A$200,"'!A",B295),1)</f>
        <v>0</v>
      </c>
      <c r="D295" s="1" cm="1">
        <f t="array" aca="1" ref="D295" ca="1">INDIRECT(CONCATENATE("'",$A$200,"'!B",B295),1)</f>
        <v>0</v>
      </c>
      <c r="E295" s="1" cm="1">
        <f t="array" aca="1" ref="E295" ca="1">INDIRECT(CONCATENATE("'",$A$200,"'!c",B295),1)</f>
        <v>0</v>
      </c>
      <c r="F295" s="1" cm="1">
        <f t="array" aca="1" ref="F295" ca="1">INDIRECT(CONCATENATE("'",$A$200,"'!d",B295),1)</f>
        <v>0</v>
      </c>
      <c r="G295" s="1" cm="1">
        <f t="array" aca="1" ref="G295" ca="1">INDIRECT(CONCATENATE("'",$A$200,"'!e",B295),1)</f>
        <v>0</v>
      </c>
      <c r="H295" s="1" cm="1">
        <f t="array" aca="1" ref="H295" ca="1">INDIRECT(CONCATENATE("'",$A$200,"'!f",B295),1)</f>
        <v>0</v>
      </c>
      <c r="I295" s="1" cm="1">
        <f t="array" aca="1" ref="I295" ca="1">INDIRECT(CONCATENATE("'",$A$200,"'!g",B295),1)</f>
        <v>0</v>
      </c>
      <c r="J295" s="1" cm="1">
        <f t="array" aca="1" ref="J295" ca="1">INDIRECT(CONCATENATE("'",$A$200,"'!h",B295),1)</f>
        <v>0</v>
      </c>
      <c r="K295" s="1" cm="1">
        <f t="array" aca="1" ref="K295" ca="1">INDIRECT(CONCATENATE("'",$A$200,"'!i",B295),1)</f>
        <v>0</v>
      </c>
      <c r="L295" s="1" cm="1">
        <f t="array" aca="1" ref="L295" ca="1">INDIRECT(CONCATENATE("'",$A$200,"'!j",B295),1)</f>
        <v>0</v>
      </c>
      <c r="M295" s="1" cm="1">
        <f t="array" aca="1" ref="M295" ca="1">INDIRECT(CONCATENATE("'",$A$200,"'!k",B295),1)</f>
        <v>0</v>
      </c>
      <c r="N295" s="1" cm="1">
        <f t="array" aca="1" ref="N295" ca="1">INDIRECT(CONCATENATE("'",$A$200,"'!l",B295),1)</f>
        <v>0</v>
      </c>
      <c r="O295" s="1" cm="1">
        <f t="array" aca="1" ref="O295" ca="1">INDIRECT(CONCATENATE("'",$A$200,"'!m",B295),1)</f>
        <v>0</v>
      </c>
      <c r="P295" s="1" cm="1">
        <f t="array" aca="1" ref="P295" ca="1">INDIRECT(CONCATENATE("'",$A$200,"'!n",B295),1)</f>
        <v>0</v>
      </c>
      <c r="Q295" s="1" cm="1">
        <f t="array" aca="1" ref="Q295" ca="1">INDIRECT(CONCATENATE("'",$A$200,"'!o",B295),1)</f>
        <v>0</v>
      </c>
      <c r="R295" s="1" cm="1">
        <f t="array" aca="1" ref="R295" ca="1">INDIRECT(CONCATENATE("'",$A$200,"'!p",B295),1)</f>
        <v>0</v>
      </c>
      <c r="S295" s="1">
        <f t="shared" ca="1" si="22"/>
        <v>0</v>
      </c>
      <c r="T295" s="1" cm="1">
        <f t="array" aca="1" ref="T295" ca="1">INDIRECT(CONCATENATE("'",$A$200,"'!q",B295),1)</f>
        <v>0</v>
      </c>
      <c r="U295" s="1" cm="1">
        <f t="array" aca="1" ref="U295" ca="1">INDIRECT(CONCATENATE("'",$A$200,"'!r",B295),1)</f>
        <v>0</v>
      </c>
      <c r="V295" s="1" cm="1">
        <f t="array" aca="1" ref="V295" ca="1">INDIRECT(CONCATENATE("'",$A$200,"'!s",B295),1)</f>
        <v>0</v>
      </c>
      <c r="W295" s="1" cm="1">
        <f t="array" aca="1" ref="W295" ca="1">INDIRECT(CONCATENATE("'",$A$200,"'!t",B295),1)</f>
        <v>0</v>
      </c>
      <c r="X295" s="1" cm="1">
        <f t="array" aca="1" ref="X295" ca="1">INDIRECT(CONCATENATE("'",$A$200,"'!u",B295),1)</f>
        <v>0</v>
      </c>
      <c r="Y295" s="1" cm="1">
        <f t="array" aca="1" ref="Y295" ca="1">INDIRECT(CONCATENATE("'",$A$200,"'!v",B295),1)</f>
        <v>0</v>
      </c>
    </row>
    <row r="296" spans="1:25" customFormat="1" hidden="1" x14ac:dyDescent="0.25">
      <c r="A296" s="15"/>
      <c r="B296" s="24">
        <f t="shared" si="20"/>
        <v>98</v>
      </c>
      <c r="C296" s="1" cm="1">
        <f t="array" aca="1" ref="C296" ca="1">INDIRECT(CONCATENATE("'",$A$200,"'!A",B296),1)</f>
        <v>0</v>
      </c>
      <c r="D296" s="1" cm="1">
        <f t="array" aca="1" ref="D296" ca="1">INDIRECT(CONCATENATE("'",$A$200,"'!B",B296),1)</f>
        <v>0</v>
      </c>
      <c r="E296" s="1" cm="1">
        <f t="array" aca="1" ref="E296" ca="1">INDIRECT(CONCATENATE("'",$A$200,"'!c",B296),1)</f>
        <v>0</v>
      </c>
      <c r="F296" s="1" cm="1">
        <f t="array" aca="1" ref="F296" ca="1">INDIRECT(CONCATENATE("'",$A$200,"'!d",B296),1)</f>
        <v>0</v>
      </c>
      <c r="G296" s="1" cm="1">
        <f t="array" aca="1" ref="G296" ca="1">INDIRECT(CONCATENATE("'",$A$200,"'!e",B296),1)</f>
        <v>0</v>
      </c>
      <c r="H296" s="1" cm="1">
        <f t="array" aca="1" ref="H296" ca="1">INDIRECT(CONCATENATE("'",$A$200,"'!f",B296),1)</f>
        <v>0</v>
      </c>
      <c r="I296" s="1" cm="1">
        <f t="array" aca="1" ref="I296" ca="1">INDIRECT(CONCATENATE("'",$A$200,"'!g",B296),1)</f>
        <v>0</v>
      </c>
      <c r="J296" s="1" cm="1">
        <f t="array" aca="1" ref="J296" ca="1">INDIRECT(CONCATENATE("'",$A$200,"'!h",B296),1)</f>
        <v>0</v>
      </c>
      <c r="K296" s="1" cm="1">
        <f t="array" aca="1" ref="K296" ca="1">INDIRECT(CONCATENATE("'",$A$200,"'!i",B296),1)</f>
        <v>0</v>
      </c>
      <c r="L296" s="1" cm="1">
        <f t="array" aca="1" ref="L296" ca="1">INDIRECT(CONCATENATE("'",$A$200,"'!j",B296),1)</f>
        <v>0</v>
      </c>
      <c r="M296" s="1" cm="1">
        <f t="array" aca="1" ref="M296" ca="1">INDIRECT(CONCATENATE("'",$A$200,"'!k",B296),1)</f>
        <v>0</v>
      </c>
      <c r="N296" s="1" cm="1">
        <f t="array" aca="1" ref="N296" ca="1">INDIRECT(CONCATENATE("'",$A$200,"'!l",B296),1)</f>
        <v>0</v>
      </c>
      <c r="O296" s="1" cm="1">
        <f t="array" aca="1" ref="O296" ca="1">INDIRECT(CONCATENATE("'",$A$200,"'!m",B296),1)</f>
        <v>0</v>
      </c>
      <c r="P296" s="1" cm="1">
        <f t="array" aca="1" ref="P296" ca="1">INDIRECT(CONCATENATE("'",$A$200,"'!n",B296),1)</f>
        <v>0</v>
      </c>
      <c r="Q296" s="1" cm="1">
        <f t="array" aca="1" ref="Q296" ca="1">INDIRECT(CONCATENATE("'",$A$200,"'!o",B296),1)</f>
        <v>0</v>
      </c>
      <c r="R296" s="1" cm="1">
        <f t="array" aca="1" ref="R296" ca="1">INDIRECT(CONCATENATE("'",$A$200,"'!p",B296),1)</f>
        <v>0</v>
      </c>
      <c r="S296" s="1">
        <f t="shared" ca="1" si="22"/>
        <v>0</v>
      </c>
      <c r="T296" s="1" cm="1">
        <f t="array" aca="1" ref="T296" ca="1">INDIRECT(CONCATENATE("'",$A$200,"'!q",B296),1)</f>
        <v>0</v>
      </c>
      <c r="U296" s="1" cm="1">
        <f t="array" aca="1" ref="U296" ca="1">INDIRECT(CONCATENATE("'",$A$200,"'!r",B296),1)</f>
        <v>0</v>
      </c>
      <c r="V296" s="1" cm="1">
        <f t="array" aca="1" ref="V296" ca="1">INDIRECT(CONCATENATE("'",$A$200,"'!s",B296),1)</f>
        <v>0</v>
      </c>
      <c r="W296" s="1" cm="1">
        <f t="array" aca="1" ref="W296" ca="1">INDIRECT(CONCATENATE("'",$A$200,"'!t",B296),1)</f>
        <v>0</v>
      </c>
      <c r="X296" s="1" cm="1">
        <f t="array" aca="1" ref="X296" ca="1">INDIRECT(CONCATENATE("'",$A$200,"'!u",B296),1)</f>
        <v>0</v>
      </c>
      <c r="Y296" s="1" cm="1">
        <f t="array" aca="1" ref="Y296" ca="1">INDIRECT(CONCATENATE("'",$A$200,"'!v",B296),1)</f>
        <v>0</v>
      </c>
    </row>
    <row r="297" spans="1:25" customFormat="1" hidden="1" x14ac:dyDescent="0.25">
      <c r="A297" s="15"/>
      <c r="B297" s="24">
        <f t="shared" si="20"/>
        <v>99</v>
      </c>
      <c r="C297" s="1" cm="1">
        <f t="array" aca="1" ref="C297" ca="1">INDIRECT(CONCATENATE("'",$A$200,"'!A",B297),1)</f>
        <v>0</v>
      </c>
      <c r="D297" s="1" cm="1">
        <f t="array" aca="1" ref="D297" ca="1">INDIRECT(CONCATENATE("'",$A$200,"'!B",B297),1)</f>
        <v>0</v>
      </c>
      <c r="E297" s="1" cm="1">
        <f t="array" aca="1" ref="E297" ca="1">INDIRECT(CONCATENATE("'",$A$200,"'!c",B297),1)</f>
        <v>0</v>
      </c>
      <c r="F297" s="1" cm="1">
        <f t="array" aca="1" ref="F297" ca="1">INDIRECT(CONCATENATE("'",$A$200,"'!d",B297),1)</f>
        <v>0</v>
      </c>
      <c r="G297" s="1" cm="1">
        <f t="array" aca="1" ref="G297" ca="1">INDIRECT(CONCATENATE("'",$A$200,"'!e",B297),1)</f>
        <v>0</v>
      </c>
      <c r="H297" s="1" cm="1">
        <f t="array" aca="1" ref="H297" ca="1">INDIRECT(CONCATENATE("'",$A$200,"'!f",B297),1)</f>
        <v>0</v>
      </c>
      <c r="I297" s="1" cm="1">
        <f t="array" aca="1" ref="I297" ca="1">INDIRECT(CONCATENATE("'",$A$200,"'!g",B297),1)</f>
        <v>0</v>
      </c>
      <c r="J297" s="1" cm="1">
        <f t="array" aca="1" ref="J297" ca="1">INDIRECT(CONCATENATE("'",$A$200,"'!h",B297),1)</f>
        <v>0</v>
      </c>
      <c r="K297" s="1" cm="1">
        <f t="array" aca="1" ref="K297" ca="1">INDIRECT(CONCATENATE("'",$A$200,"'!i",B297),1)</f>
        <v>0</v>
      </c>
      <c r="L297" s="1" cm="1">
        <f t="array" aca="1" ref="L297" ca="1">INDIRECT(CONCATENATE("'",$A$200,"'!j",B297),1)</f>
        <v>0</v>
      </c>
      <c r="M297" s="1" cm="1">
        <f t="array" aca="1" ref="M297" ca="1">INDIRECT(CONCATENATE("'",$A$200,"'!k",B297),1)</f>
        <v>0</v>
      </c>
      <c r="N297" s="1" cm="1">
        <f t="array" aca="1" ref="N297" ca="1">INDIRECT(CONCATENATE("'",$A$200,"'!l",B297),1)</f>
        <v>0</v>
      </c>
      <c r="O297" s="1" cm="1">
        <f t="array" aca="1" ref="O297" ca="1">INDIRECT(CONCATENATE("'",$A$200,"'!m",B297),1)</f>
        <v>0</v>
      </c>
      <c r="P297" s="1" cm="1">
        <f t="array" aca="1" ref="P297" ca="1">INDIRECT(CONCATENATE("'",$A$200,"'!n",B297),1)</f>
        <v>0</v>
      </c>
      <c r="Q297" s="1" cm="1">
        <f t="array" aca="1" ref="Q297" ca="1">INDIRECT(CONCATENATE("'",$A$200,"'!o",B297),1)</f>
        <v>0</v>
      </c>
      <c r="R297" s="1" cm="1">
        <f t="array" aca="1" ref="R297" ca="1">INDIRECT(CONCATENATE("'",$A$200,"'!p",B297),1)</f>
        <v>0</v>
      </c>
      <c r="S297" s="1">
        <f t="shared" ca="1" si="22"/>
        <v>0</v>
      </c>
      <c r="T297" s="1" cm="1">
        <f t="array" aca="1" ref="T297" ca="1">INDIRECT(CONCATENATE("'",$A$200,"'!q",B297),1)</f>
        <v>0</v>
      </c>
      <c r="U297" s="1" cm="1">
        <f t="array" aca="1" ref="U297" ca="1">INDIRECT(CONCATENATE("'",$A$200,"'!r",B297),1)</f>
        <v>0</v>
      </c>
      <c r="V297" s="1" cm="1">
        <f t="array" aca="1" ref="V297" ca="1">INDIRECT(CONCATENATE("'",$A$200,"'!s",B297),1)</f>
        <v>0</v>
      </c>
      <c r="W297" s="1" cm="1">
        <f t="array" aca="1" ref="W297" ca="1">INDIRECT(CONCATENATE("'",$A$200,"'!t",B297),1)</f>
        <v>0</v>
      </c>
      <c r="X297" s="1" cm="1">
        <f t="array" aca="1" ref="X297" ca="1">INDIRECT(CONCATENATE("'",$A$200,"'!u",B297),1)</f>
        <v>0</v>
      </c>
      <c r="Y297" s="1" cm="1">
        <f t="array" aca="1" ref="Y297" ca="1">INDIRECT(CONCATENATE("'",$A$200,"'!v",B297),1)</f>
        <v>0</v>
      </c>
    </row>
    <row r="298" spans="1:25" customFormat="1" hidden="1" x14ac:dyDescent="0.25">
      <c r="A298" s="15"/>
      <c r="B298" s="24">
        <f t="shared" si="20"/>
        <v>100</v>
      </c>
      <c r="C298" s="1" cm="1">
        <f t="array" aca="1" ref="C298" ca="1">INDIRECT(CONCATENATE("'",$A$200,"'!A",B298),1)</f>
        <v>0</v>
      </c>
      <c r="D298" s="1" cm="1">
        <f t="array" aca="1" ref="D298" ca="1">INDIRECT(CONCATENATE("'",$A$200,"'!B",B298),1)</f>
        <v>0</v>
      </c>
      <c r="E298" s="1" cm="1">
        <f t="array" aca="1" ref="E298" ca="1">INDIRECT(CONCATENATE("'",$A$200,"'!c",B298),1)</f>
        <v>0</v>
      </c>
      <c r="F298" s="1" cm="1">
        <f t="array" aca="1" ref="F298" ca="1">INDIRECT(CONCATENATE("'",$A$200,"'!d",B298),1)</f>
        <v>0</v>
      </c>
      <c r="G298" s="1" cm="1">
        <f t="array" aca="1" ref="G298" ca="1">INDIRECT(CONCATENATE("'",$A$200,"'!e",B298),1)</f>
        <v>0</v>
      </c>
      <c r="H298" s="1" cm="1">
        <f t="array" aca="1" ref="H298" ca="1">INDIRECT(CONCATENATE("'",$A$200,"'!f",B298),1)</f>
        <v>0</v>
      </c>
      <c r="I298" s="1" cm="1">
        <f t="array" aca="1" ref="I298" ca="1">INDIRECT(CONCATENATE("'",$A$200,"'!g",B298),1)</f>
        <v>0</v>
      </c>
      <c r="J298" s="1" cm="1">
        <f t="array" aca="1" ref="J298" ca="1">INDIRECT(CONCATENATE("'",$A$200,"'!h",B298),1)</f>
        <v>0</v>
      </c>
      <c r="K298" s="1" cm="1">
        <f t="array" aca="1" ref="K298" ca="1">INDIRECT(CONCATENATE("'",$A$200,"'!i",B298),1)</f>
        <v>0</v>
      </c>
      <c r="L298" s="1" cm="1">
        <f t="array" aca="1" ref="L298" ca="1">INDIRECT(CONCATENATE("'",$A$200,"'!j",B298),1)</f>
        <v>0</v>
      </c>
      <c r="M298" s="1" cm="1">
        <f t="array" aca="1" ref="M298" ca="1">INDIRECT(CONCATENATE("'",$A$200,"'!k",B298),1)</f>
        <v>0</v>
      </c>
      <c r="N298" s="1" cm="1">
        <f t="array" aca="1" ref="N298" ca="1">INDIRECT(CONCATENATE("'",$A$200,"'!l",B298),1)</f>
        <v>0</v>
      </c>
      <c r="O298" s="1" cm="1">
        <f t="array" aca="1" ref="O298" ca="1">INDIRECT(CONCATENATE("'",$A$200,"'!m",B298),1)</f>
        <v>0</v>
      </c>
      <c r="P298" s="1" cm="1">
        <f t="array" aca="1" ref="P298" ca="1">INDIRECT(CONCATENATE("'",$A$200,"'!n",B298),1)</f>
        <v>0</v>
      </c>
      <c r="Q298" s="1" cm="1">
        <f t="array" aca="1" ref="Q298" ca="1">INDIRECT(CONCATENATE("'",$A$200,"'!o",B298),1)</f>
        <v>0</v>
      </c>
      <c r="R298" s="1" cm="1">
        <f t="array" aca="1" ref="R298" ca="1">INDIRECT(CONCATENATE("'",$A$200,"'!p",B298),1)</f>
        <v>0</v>
      </c>
      <c r="S298" s="1">
        <f t="shared" ca="1" si="22"/>
        <v>0</v>
      </c>
      <c r="T298" s="1" cm="1">
        <f t="array" aca="1" ref="T298" ca="1">INDIRECT(CONCATENATE("'",$A$200,"'!q",B298),1)</f>
        <v>0</v>
      </c>
      <c r="U298" s="1" cm="1">
        <f t="array" aca="1" ref="U298" ca="1">INDIRECT(CONCATENATE("'",$A$200,"'!r",B298),1)</f>
        <v>0</v>
      </c>
      <c r="V298" s="1" cm="1">
        <f t="array" aca="1" ref="V298" ca="1">INDIRECT(CONCATENATE("'",$A$200,"'!s",B298),1)</f>
        <v>0</v>
      </c>
      <c r="W298" s="1" cm="1">
        <f t="array" aca="1" ref="W298" ca="1">INDIRECT(CONCATENATE("'",$A$200,"'!t",B298),1)</f>
        <v>0</v>
      </c>
      <c r="X298" s="1" cm="1">
        <f t="array" aca="1" ref="X298" ca="1">INDIRECT(CONCATENATE("'",$A$200,"'!u",B298),1)</f>
        <v>0</v>
      </c>
      <c r="Y298" s="1" cm="1">
        <f t="array" aca="1" ref="Y298" ca="1">INDIRECT(CONCATENATE("'",$A$200,"'!v",B298),1)</f>
        <v>0</v>
      </c>
    </row>
    <row r="299" spans="1:25" customFormat="1" hidden="1" x14ac:dyDescent="0.25">
      <c r="A299" s="15"/>
      <c r="B299" s="24">
        <f t="shared" si="20"/>
        <v>101</v>
      </c>
      <c r="C299" s="1" cm="1">
        <f t="array" aca="1" ref="C299" ca="1">INDIRECT(CONCATENATE("'",$A$200,"'!A",B299),1)</f>
        <v>0</v>
      </c>
      <c r="D299" s="1" cm="1">
        <f t="array" aca="1" ref="D299" ca="1">INDIRECT(CONCATENATE("'",$A$200,"'!B",B299),1)</f>
        <v>0</v>
      </c>
      <c r="E299" s="1" cm="1">
        <f t="array" aca="1" ref="E299" ca="1">INDIRECT(CONCATENATE("'",$A$200,"'!c",B299),1)</f>
        <v>0</v>
      </c>
      <c r="F299" s="1" cm="1">
        <f t="array" aca="1" ref="F299" ca="1">INDIRECT(CONCATENATE("'",$A$200,"'!d",B299),1)</f>
        <v>0</v>
      </c>
      <c r="G299" s="1" cm="1">
        <f t="array" aca="1" ref="G299" ca="1">INDIRECT(CONCATENATE("'",$A$200,"'!e",B299),1)</f>
        <v>0</v>
      </c>
      <c r="H299" s="1" cm="1">
        <f t="array" aca="1" ref="H299" ca="1">INDIRECT(CONCATENATE("'",$A$200,"'!f",B299),1)</f>
        <v>0</v>
      </c>
      <c r="I299" s="1" cm="1">
        <f t="array" aca="1" ref="I299" ca="1">INDIRECT(CONCATENATE("'",$A$200,"'!g",B299),1)</f>
        <v>0</v>
      </c>
      <c r="J299" s="1" cm="1">
        <f t="array" aca="1" ref="J299" ca="1">INDIRECT(CONCATENATE("'",$A$200,"'!h",B299),1)</f>
        <v>0</v>
      </c>
      <c r="K299" s="1" cm="1">
        <f t="array" aca="1" ref="K299" ca="1">INDIRECT(CONCATENATE("'",$A$200,"'!i",B299),1)</f>
        <v>0</v>
      </c>
      <c r="L299" s="1" cm="1">
        <f t="array" aca="1" ref="L299" ca="1">INDIRECT(CONCATENATE("'",$A$200,"'!j",B299),1)</f>
        <v>0</v>
      </c>
      <c r="M299" s="1" cm="1">
        <f t="array" aca="1" ref="M299" ca="1">INDIRECT(CONCATENATE("'",$A$200,"'!k",B299),1)</f>
        <v>0</v>
      </c>
      <c r="N299" s="1" cm="1">
        <f t="array" aca="1" ref="N299" ca="1">INDIRECT(CONCATENATE("'",$A$200,"'!l",B299),1)</f>
        <v>0</v>
      </c>
      <c r="O299" s="1" cm="1">
        <f t="array" aca="1" ref="O299" ca="1">INDIRECT(CONCATENATE("'",$A$200,"'!m",B299),1)</f>
        <v>0</v>
      </c>
      <c r="P299" s="1" cm="1">
        <f t="array" aca="1" ref="P299" ca="1">INDIRECT(CONCATENATE("'",$A$200,"'!n",B299),1)</f>
        <v>0</v>
      </c>
      <c r="Q299" s="1" cm="1">
        <f t="array" aca="1" ref="Q299" ca="1">INDIRECT(CONCATENATE("'",$A$200,"'!o",B299),1)</f>
        <v>0</v>
      </c>
      <c r="R299" s="1" cm="1">
        <f t="array" aca="1" ref="R299" ca="1">INDIRECT(CONCATENATE("'",$A$200,"'!p",B299),1)</f>
        <v>0</v>
      </c>
      <c r="S299" s="1">
        <f t="shared" ca="1" si="22"/>
        <v>0</v>
      </c>
      <c r="T299" s="1" cm="1">
        <f t="array" aca="1" ref="T299" ca="1">INDIRECT(CONCATENATE("'",$A$200,"'!q",B299),1)</f>
        <v>0</v>
      </c>
      <c r="U299" s="1" cm="1">
        <f t="array" aca="1" ref="U299" ca="1">INDIRECT(CONCATENATE("'",$A$200,"'!r",B299),1)</f>
        <v>0</v>
      </c>
      <c r="V299" s="1" cm="1">
        <f t="array" aca="1" ref="V299" ca="1">INDIRECT(CONCATENATE("'",$A$200,"'!s",B299),1)</f>
        <v>0</v>
      </c>
      <c r="W299" s="1" cm="1">
        <f t="array" aca="1" ref="W299" ca="1">INDIRECT(CONCATENATE("'",$A$200,"'!t",B299),1)</f>
        <v>0</v>
      </c>
      <c r="X299" s="1" cm="1">
        <f t="array" aca="1" ref="X299" ca="1">INDIRECT(CONCATENATE("'",$A$200,"'!u",B299),1)</f>
        <v>0</v>
      </c>
      <c r="Y299" s="1" cm="1">
        <f t="array" aca="1" ref="Y299" ca="1">INDIRECT(CONCATENATE("'",$A$200,"'!v",B299),1)</f>
        <v>0</v>
      </c>
    </row>
    <row r="300" spans="1:25" ht="22.5" hidden="1" x14ac:dyDescent="0.25">
      <c r="A300" s="24" t="s">
        <v>294</v>
      </c>
      <c r="B300" s="24">
        <v>2</v>
      </c>
      <c r="C300" s="1" t="str" cm="1">
        <f t="array" aca="1" ref="C300" ca="1">INDIRECT(CONCATENATE("'",$A$300,"'!A",B300),1)</f>
        <v>IT в профессиональной деятельности</v>
      </c>
      <c r="D300" s="1" t="str" cm="1">
        <f t="array" aca="1" ref="D300" ca="1">INDIRECT(CONCATENATE("'",$A$300,"'!B",B300),1)</f>
        <v xml:space="preserve">13.03.02(41) 23.03.03(06) </v>
      </c>
      <c r="E300" s="1" t="str" cm="1">
        <f t="array" aca="1" ref="E300" ca="1">INDIRECT(CONCATENATE("'",$A$300,"'!c",B300),1)</f>
        <v>ИПТ</v>
      </c>
      <c r="F300" s="1" cm="1">
        <f t="array" aca="1" ref="F300" ca="1">INDIRECT(CONCATENATE("'",$A$300,"'!d",B300),1)</f>
        <v>8</v>
      </c>
      <c r="G300" s="1" cm="1">
        <f t="array" aca="1" ref="G300" ca="1">INDIRECT(CONCATENATE("'",$A$300,"'!e",B300),1)</f>
        <v>1</v>
      </c>
      <c r="H300" s="1" cm="1">
        <f t="array" aca="1" ref="H300" ca="1">INDIRECT(CONCATENATE("'",$A$300,"'!f",B300),1)</f>
        <v>18</v>
      </c>
      <c r="I300" s="1" t="str" cm="1">
        <f t="array" aca="1" ref="I300" ca="1">INDIRECT(CONCATENATE("'",$A$300,"'!g",B300),1)</f>
        <v>ДЗ</v>
      </c>
      <c r="J300" s="1" cm="1">
        <f t="array" aca="1" ref="J300" ca="1">INDIRECT(CONCATENATE("'",$A$300,"'!h",B300),1)</f>
        <v>1</v>
      </c>
      <c r="K300" s="1" cm="1">
        <f t="array" aca="1" ref="K300" ca="1">INDIRECT(CONCATENATE("'",$A$300,"'!i",B300),1)</f>
        <v>2</v>
      </c>
      <c r="L300" s="1" cm="1">
        <f t="array" aca="1" ref="L300" ca="1">INDIRECT(CONCATENATE("'",$A$300,"'!j",B300),1)</f>
        <v>6</v>
      </c>
      <c r="M300" s="1" cm="1">
        <f t="array" aca="1" ref="M300" ca="1">INDIRECT(CONCATENATE("'",$A$300,"'!k",B300),1)</f>
        <v>6</v>
      </c>
      <c r="N300" s="1" t="str" cm="1">
        <f t="array" aca="1" ref="N300" ca="1">INDIRECT(CONCATENATE("'",$A$300,"'!l",B300),1)</f>
        <v>Архипова Г.А.</v>
      </c>
      <c r="O300" s="1" cm="1">
        <f t="array" aca="1" ref="O300" ca="1">INDIRECT(CONCATENATE("'",$A$300,"'!m",B300),1)</f>
        <v>3312.3305</v>
      </c>
      <c r="P300" s="1" cm="1">
        <f t="array" aca="1" ref="P300" ca="1">INDIRECT(CONCATENATE("'",$A$300,"'!n",B300),1)</f>
        <v>0</v>
      </c>
      <c r="Q300" s="1" cm="1">
        <f t="array" aca="1" ref="Q300" ca="1">INDIRECT(CONCATENATE("'",$A$300,"'!o",B300),1)</f>
        <v>2.25</v>
      </c>
      <c r="R300" s="1" cm="1">
        <f t="array" aca="1" ref="R300" ca="1">INDIRECT(CONCATENATE("'",$A$300,"'!p",B300),1)</f>
        <v>0</v>
      </c>
      <c r="S300" s="1">
        <f t="shared" ca="1" si="22"/>
        <v>0</v>
      </c>
      <c r="T300" s="1" t="str" cm="1">
        <f t="array" aca="1" ref="T300" ca="1">INDIRECT(CONCATENATE("'",$A$300,"'!q",B300),1)</f>
        <v>Архипова Г.А.</v>
      </c>
      <c r="U300" s="1" cm="1">
        <f t="array" aca="1" ref="U300" ca="1">INDIRECT(CONCATENATE("'",$A$300,"'!r",B300),1)</f>
        <v>16.25</v>
      </c>
      <c r="V300" s="1" cm="1">
        <f t="array" aca="1" ref="V300" ca="1">INDIRECT(CONCATENATE("'",$A$300,"'!s",B300),1)</f>
        <v>0</v>
      </c>
      <c r="W300" s="1" cm="1">
        <f t="array" aca="1" ref="W300" ca="1">INDIRECT(CONCATENATE("'",$A$300,"'!t",B300),1)</f>
        <v>0</v>
      </c>
      <c r="X300" s="1" cm="1">
        <f t="array" aca="1" ref="X300" ca="1">INDIRECT(CONCATENATE("'",$A$300,"'!u",B300),1)</f>
        <v>0</v>
      </c>
      <c r="Y300" s="1" cm="1">
        <f t="array" aca="1" ref="Y300" ca="1">INDIRECT(CONCATENATE("'",$A$300,"'!v",B300),1)</f>
        <v>0</v>
      </c>
    </row>
    <row r="301" spans="1:25" customFormat="1" ht="33.75" hidden="1" x14ac:dyDescent="0.25">
      <c r="A301" s="15"/>
      <c r="B301" s="24">
        <f>B300+1</f>
        <v>3</v>
      </c>
      <c r="C301" s="1" t="str" cm="1">
        <f t="array" aca="1" ref="C301" ca="1">INDIRECT(CONCATENATE("'",$A$300,"'!A",B301),1)</f>
        <v>Алгоритмические языки</v>
      </c>
      <c r="D301" s="1" t="str" cm="1">
        <f t="array" aca="1" ref="D301" ca="1">INDIRECT(CONCATENATE("'",$A$300,"'!B",B301),1)</f>
        <v>01.03.02(31)</v>
      </c>
      <c r="E301" s="1" t="str" cm="1">
        <f t="array" aca="1" ref="E301" ca="1">INDIRECT(CONCATENATE("'",$A$300,"'!c",B301),1)</f>
        <v>ПТИ</v>
      </c>
      <c r="F301" s="1" cm="1">
        <f t="array" aca="1" ref="F301" ca="1">INDIRECT(CONCATENATE("'",$A$300,"'!d",B301),1)</f>
        <v>1</v>
      </c>
      <c r="G301" s="1" cm="1">
        <f t="array" aca="1" ref="G301" ca="1">INDIRECT(CONCATENATE("'",$A$300,"'!e",B301),1)</f>
        <v>3</v>
      </c>
      <c r="H301" s="1" cm="1">
        <f t="array" aca="1" ref="H301" ca="1">INDIRECT(CONCATENATE("'",$A$300,"'!f",B301),1)</f>
        <v>49</v>
      </c>
      <c r="I301" s="1" t="str" cm="1">
        <f t="array" aca="1" ref="I301" ca="1">INDIRECT(CONCATENATE("'",$A$300,"'!g",B301),1)</f>
        <v>ДЗ</v>
      </c>
      <c r="J301" s="1" cm="1">
        <f t="array" aca="1" ref="J301" ca="1">INDIRECT(CONCATENATE("'",$A$300,"'!h",B301),1)</f>
        <v>4</v>
      </c>
      <c r="K301" s="1" cm="1">
        <f t="array" aca="1" ref="K301" ca="1">INDIRECT(CONCATENATE("'",$A$300,"'!i",B301),1)</f>
        <v>7</v>
      </c>
      <c r="L301" s="1" cm="1">
        <f t="array" aca="1" ref="L301" ca="1">INDIRECT(CONCATENATE("'",$A$300,"'!j",B301),1)</f>
        <v>14</v>
      </c>
      <c r="M301" s="1" cm="1">
        <f t="array" aca="1" ref="M301" ca="1">INDIRECT(CONCATENATE("'",$A$300,"'!k",B301),1)</f>
        <v>168</v>
      </c>
      <c r="N301" s="1" t="str" cm="1">
        <f t="array" aca="1" ref="N301" ca="1">INDIRECT(CONCATENATE("'",$A$300,"'!l",B301),1)</f>
        <v>Макевич П.В.Попов В.С.</v>
      </c>
      <c r="O301" s="1" t="str" cm="1">
        <f t="array" aca="1" ref="O301" ca="1">INDIRECT(CONCATENATE("'",$A$300,"'!m",B301),1)</f>
        <v>408 ПТК</v>
      </c>
      <c r="P301" s="1" t="str" cm="1">
        <f t="array" aca="1" ref="P301" ca="1">INDIRECT(CONCATENATE("'",$A$300,"'!n",B301),1)</f>
        <v>4п</v>
      </c>
      <c r="Q301" s="1" cm="1">
        <f t="array" aca="1" ref="Q301" ca="1">INDIRECT(CONCATENATE("'",$A$300,"'!o",B301),1)</f>
        <v>30</v>
      </c>
      <c r="R301" s="1" cm="1">
        <f t="array" aca="1" ref="R301" ca="1">INDIRECT(CONCATENATE("'",$A$300,"'!p",B301),1)</f>
        <v>0</v>
      </c>
      <c r="S301" s="1">
        <f t="shared" ref="S301:S305" ca="1" si="23">SUMIFS(U301,T301,$N$1)+SUMIFS(W301,V301,$N$1)+SUMIFS(Y301,X301,$N$1)</f>
        <v>0</v>
      </c>
      <c r="T301" s="1" t="str" cm="1">
        <f t="array" aca="1" ref="T301" ca="1">INDIRECT(CONCATENATE("'",$A$300,"'!q",B301),1)</f>
        <v>Макевич П.В.</v>
      </c>
      <c r="U301" s="1" cm="1">
        <f t="array" aca="1" ref="U301" ca="1">INDIRECT(CONCATENATE("'",$A$300,"'!r",B301),1)</f>
        <v>51</v>
      </c>
      <c r="V301" s="1" t="str" cm="1">
        <f t="array" aca="1" ref="V301" ca="1">INDIRECT(CONCATENATE("'",$A$300,"'!s",B301),1)</f>
        <v>Попов В.С.</v>
      </c>
      <c r="W301" s="1" cm="1">
        <f t="array" aca="1" ref="W301" ca="1">INDIRECT(CONCATENATE("'",$A$300,"'!t",B301),1)</f>
        <v>168</v>
      </c>
      <c r="X301" s="1" cm="1">
        <f t="array" aca="1" ref="X301" ca="1">INDIRECT(CONCATENATE("'",$A$300,"'!u",B301),1)</f>
        <v>0</v>
      </c>
      <c r="Y301" s="1" cm="1">
        <f t="array" aca="1" ref="Y301" ca="1">INDIRECT(CONCATENATE("'",$A$300,"'!v",B301),1)</f>
        <v>0</v>
      </c>
    </row>
    <row r="302" spans="1:25" customFormat="1" ht="33.75" hidden="1" x14ac:dyDescent="0.25">
      <c r="A302" s="15"/>
      <c r="B302" s="24">
        <f t="shared" ref="B302:B310" si="24">B301+1</f>
        <v>4</v>
      </c>
      <c r="C302" s="1" t="str" cm="1">
        <f t="array" aca="1" ref="C302" ca="1">INDIRECT(CONCATENATE("'",$A$300,"'!A",B302),1)</f>
        <v>Майноры</v>
      </c>
      <c r="D302" s="1" t="str" cm="1">
        <f t="array" aca="1" ref="D302" ca="1">INDIRECT(CONCATENATE("'",$A$300,"'!B",B302),1)</f>
        <v>01.03.02(31)</v>
      </c>
      <c r="E302" s="1" t="str" cm="1">
        <f t="array" aca="1" ref="E302" ca="1">INDIRECT(CONCATENATE("'",$A$300,"'!c",B302),1)</f>
        <v>ПТИ</v>
      </c>
      <c r="F302" s="1" cm="1">
        <f t="array" aca="1" ref="F302" ca="1">INDIRECT(CONCATENATE("'",$A$300,"'!d",B302),1)</f>
        <v>3</v>
      </c>
      <c r="G302" s="1" cm="1">
        <f t="array" aca="1" ref="G302" ca="1">INDIRECT(CONCATENATE("'",$A$300,"'!e",B302),1)</f>
        <v>2</v>
      </c>
      <c r="H302" s="1" cm="1">
        <f t="array" aca="1" ref="H302" ca="1">INDIRECT(CONCATENATE("'",$A$300,"'!f",B302),1)</f>
        <v>47</v>
      </c>
      <c r="I302" s="1" t="str" cm="1">
        <f t="array" aca="1" ref="I302" ca="1">INDIRECT(CONCATENATE("'",$A$300,"'!g",B302),1)</f>
        <v>ДЗ</v>
      </c>
      <c r="J302" s="1" cm="1">
        <f t="array" aca="1" ref="J302" ca="1">INDIRECT(CONCATENATE("'",$A$300,"'!h",B302),1)</f>
        <v>4</v>
      </c>
      <c r="K302" s="1" cm="1">
        <f t="array" aca="1" ref="K302" ca="1">INDIRECT(CONCATENATE("'",$A$300,"'!i",B302),1)</f>
        <v>28</v>
      </c>
      <c r="L302" s="1" cm="1">
        <f t="array" aca="1" ref="L302" ca="1">INDIRECT(CONCATENATE("'",$A$300,"'!j",B302),1)</f>
        <v>28</v>
      </c>
      <c r="M302" s="1" cm="1">
        <f t="array" aca="1" ref="M302" ca="1">INDIRECT(CONCATENATE("'",$A$300,"'!k",B302),1)</f>
        <v>0</v>
      </c>
      <c r="N302" s="1" t="str" cm="1">
        <f t="array" aca="1" ref="N302" ca="1">INDIRECT(CONCATENATE("'",$A$300,"'!l",B302),1)</f>
        <v>Попов В.С.Залилов Р.Ю.</v>
      </c>
      <c r="O302" s="1" cm="1">
        <f t="array" aca="1" ref="O302" ca="1">INDIRECT(CONCATENATE("'",$A$300,"'!m",B302),1)</f>
        <v>0</v>
      </c>
      <c r="P302" s="1" t="str" cm="1">
        <f t="array" aca="1" ref="P302" ca="1">INDIRECT(CONCATENATE("'",$A$300,"'!n",B302),1)</f>
        <v>4п</v>
      </c>
      <c r="Q302" s="1" cm="1">
        <f t="array" aca="1" ref="Q302" ca="1">INDIRECT(CONCATENATE("'",$A$300,"'!o",B302),1)</f>
        <v>28.2</v>
      </c>
      <c r="R302" s="1" cm="1">
        <f t="array" aca="1" ref="R302" ca="1">INDIRECT(CONCATENATE("'",$A$300,"'!p",B302),1)</f>
        <v>0</v>
      </c>
      <c r="S302" s="1">
        <f t="shared" ca="1" si="23"/>
        <v>0</v>
      </c>
      <c r="T302" s="1" t="str" cm="1">
        <f t="array" aca="1" ref="T302" ca="1">INDIRECT(CONCATENATE("'",$A$300,"'!q",B302),1)</f>
        <v>Попов В.С.</v>
      </c>
      <c r="U302" s="1" cm="1">
        <f t="array" aca="1" ref="U302" ca="1">INDIRECT(CONCATENATE("'",$A$300,"'!r",B302),1)</f>
        <v>70.099999999999994</v>
      </c>
      <c r="V302" s="1" t="str" cm="1">
        <f t="array" aca="1" ref="V302" ca="1">INDIRECT(CONCATENATE("'",$A$300,"'!s",B302),1)</f>
        <v>Залилов Р.Ю.</v>
      </c>
      <c r="W302" s="1" cm="1">
        <f t="array" aca="1" ref="W302" ca="1">INDIRECT(CONCATENATE("'",$A$300,"'!t",B302),1)</f>
        <v>42.1</v>
      </c>
      <c r="X302" s="1" cm="1">
        <f t="array" aca="1" ref="X302" ca="1">INDIRECT(CONCATENATE("'",$A$300,"'!u",B302),1)</f>
        <v>0</v>
      </c>
      <c r="Y302" s="1" cm="1">
        <f t="array" aca="1" ref="Y302" ca="1">INDIRECT(CONCATENATE("'",$A$300,"'!v",B302),1)</f>
        <v>0</v>
      </c>
    </row>
    <row r="303" spans="1:25" customFormat="1" ht="33.75" hidden="1" x14ac:dyDescent="0.25">
      <c r="A303" s="15"/>
      <c r="B303" s="24">
        <f t="shared" si="24"/>
        <v>5</v>
      </c>
      <c r="C303" s="1" t="str" cm="1">
        <f t="array" aca="1" ref="C303" ca="1">INDIRECT(CONCATENATE("'",$A$300,"'!A",B303),1)</f>
        <v>Майноры</v>
      </c>
      <c r="D303" s="1" t="str" cm="1">
        <f t="array" aca="1" ref="D303" ca="1">INDIRECT(CONCATENATE("'",$A$300,"'!B",B303),1)</f>
        <v>01.03.02(31)</v>
      </c>
      <c r="E303" s="1" t="str" cm="1">
        <f t="array" aca="1" ref="E303" ca="1">INDIRECT(CONCATENATE("'",$A$300,"'!c",B303),1)</f>
        <v>ПТИ</v>
      </c>
      <c r="F303" s="1" cm="1">
        <f t="array" aca="1" ref="F303" ca="1">INDIRECT(CONCATENATE("'",$A$300,"'!d",B303),1)</f>
        <v>7</v>
      </c>
      <c r="G303" s="1" cm="1">
        <f t="array" aca="1" ref="G303" ca="1">INDIRECT(CONCATENATE("'",$A$300,"'!e",B303),1)</f>
        <v>1</v>
      </c>
      <c r="H303" s="1" cm="1">
        <f t="array" aca="1" ref="H303" ca="1">INDIRECT(CONCATENATE("'",$A$300,"'!f",B303),1)</f>
        <v>30</v>
      </c>
      <c r="I303" s="1" t="str" cm="1">
        <f t="array" aca="1" ref="I303" ca="1">INDIRECT(CONCATENATE("'",$A$300,"'!g",B303),1)</f>
        <v>ДЗ</v>
      </c>
      <c r="J303" s="1" cm="1">
        <f t="array" aca="1" ref="J303" ca="1">INDIRECT(CONCATENATE("'",$A$300,"'!h",B303),1)</f>
        <v>4</v>
      </c>
      <c r="K303" s="1" cm="1">
        <f t="array" aca="1" ref="K303" ca="1">INDIRECT(CONCATENATE("'",$A$300,"'!i",B303),1)</f>
        <v>28</v>
      </c>
      <c r="L303" s="1" cm="1">
        <f t="array" aca="1" ref="L303" ca="1">INDIRECT(CONCATENATE("'",$A$300,"'!j",B303),1)</f>
        <v>28</v>
      </c>
      <c r="M303" s="1" cm="1">
        <f t="array" aca="1" ref="M303" ca="1">INDIRECT(CONCATENATE("'",$A$300,"'!k",B303),1)</f>
        <v>1</v>
      </c>
      <c r="N303" s="1" t="str" cm="1">
        <f t="array" aca="1" ref="N303" ca="1">INDIRECT(CONCATENATE("'",$A$300,"'!l",B303),1)</f>
        <v>Попов В.С.Залилов Р.Ю.</v>
      </c>
      <c r="O303" s="1" cm="1">
        <f t="array" aca="1" ref="O303" ca="1">INDIRECT(CONCATENATE("'",$A$300,"'!m",B303),1)</f>
        <v>0</v>
      </c>
      <c r="P303" s="1" t="str" cm="1">
        <f t="array" aca="1" ref="P303" ca="1">INDIRECT(CONCATENATE("'",$A$300,"'!n",B303),1)</f>
        <v>4п</v>
      </c>
      <c r="Q303" s="1" cm="1">
        <f t="array" aca="1" ref="Q303" ca="1">INDIRECT(CONCATENATE("'",$A$300,"'!o",B303),1)</f>
        <v>8.4</v>
      </c>
      <c r="R303" s="1" cm="1">
        <f t="array" aca="1" ref="R303" ca="1">INDIRECT(CONCATENATE("'",$A$300,"'!p",B303),1)</f>
        <v>0</v>
      </c>
      <c r="S303" s="1">
        <f t="shared" ca="1" si="23"/>
        <v>0</v>
      </c>
      <c r="T303" s="1" t="str" cm="1">
        <f t="array" aca="1" ref="T303" ca="1">INDIRECT(CONCATENATE("'",$A$300,"'!q",B303),1)</f>
        <v>Попов В.С.</v>
      </c>
      <c r="U303" s="1" cm="1">
        <f t="array" aca="1" ref="U303" ca="1">INDIRECT(CONCATENATE("'",$A$300,"'!r",B303),1)</f>
        <v>32.200000000000003</v>
      </c>
      <c r="V303" s="1" t="str" cm="1">
        <f t="array" aca="1" ref="V303" ca="1">INDIRECT(CONCATENATE("'",$A$300,"'!s",B303),1)</f>
        <v>Залилов Р.Ю.</v>
      </c>
      <c r="W303" s="1" cm="1">
        <f t="array" aca="1" ref="W303" ca="1">INDIRECT(CONCATENATE("'",$A$300,"'!t",B303),1)</f>
        <v>32.200000000000003</v>
      </c>
      <c r="X303" s="1" cm="1">
        <f t="array" aca="1" ref="X303" ca="1">INDIRECT(CONCATENATE("'",$A$300,"'!u",B303),1)</f>
        <v>0</v>
      </c>
      <c r="Y303" s="1" cm="1">
        <f t="array" aca="1" ref="Y303" ca="1">INDIRECT(CONCATENATE("'",$A$300,"'!v",B303),1)</f>
        <v>0</v>
      </c>
    </row>
    <row r="304" spans="1:25" ht="22.5" hidden="1" x14ac:dyDescent="0.25">
      <c r="B304" s="24">
        <f t="shared" si="24"/>
        <v>6</v>
      </c>
      <c r="C304" s="1" t="str" cm="1">
        <f t="array" aca="1" ref="C304" ca="1">INDIRECT(CONCATENATE("'",$A$300,"'!A",B304),1)</f>
        <v>IT в профессиональной деятельности</v>
      </c>
      <c r="D304" s="1" t="str" cm="1">
        <f t="array" aca="1" ref="D304" ca="1">INDIRECT(CONCATENATE("'",$A$300,"'!B",B304),1)</f>
        <v xml:space="preserve">13.03.01(41) 23.03.03(06) </v>
      </c>
      <c r="E304" s="1" t="str" cm="1">
        <f t="array" aca="1" ref="E304" ca="1">INDIRECT(CONCATENATE("'",$A$300,"'!c",B304),1)</f>
        <v>ИПТ</v>
      </c>
      <c r="F304" s="1" cm="1">
        <f t="array" aca="1" ref="F304" ca="1">INDIRECT(CONCATENATE("'",$A$300,"'!d",B304),1)</f>
        <v>7</v>
      </c>
      <c r="G304" s="1" cm="1">
        <f t="array" aca="1" ref="G304" ca="1">INDIRECT(CONCATENATE("'",$A$300,"'!e",B304),1)</f>
        <v>2</v>
      </c>
      <c r="H304" s="1" cm="1">
        <f t="array" aca="1" ref="H304" ca="1">INDIRECT(CONCATENATE("'",$A$300,"'!f",B304),1)</f>
        <v>15</v>
      </c>
      <c r="I304" s="1" t="str" cm="1">
        <f t="array" aca="1" ref="I304" ca="1">INDIRECT(CONCATENATE("'",$A$300,"'!g",B304),1)</f>
        <v>ЗАЧ</v>
      </c>
      <c r="J304" s="1" cm="1">
        <f t="array" aca="1" ref="J304" ca="1">INDIRECT(CONCATENATE("'",$A$300,"'!h",B304),1)</f>
        <v>1</v>
      </c>
      <c r="K304" s="1" cm="1">
        <f t="array" aca="1" ref="K304" ca="1">INDIRECT(CONCATENATE("'",$A$300,"'!i",B304),1)</f>
        <v>2</v>
      </c>
      <c r="L304" s="1" cm="1">
        <f t="array" aca="1" ref="L304" ca="1">INDIRECT(CONCATENATE("'",$A$300,"'!j",B304),1)</f>
        <v>6</v>
      </c>
      <c r="M304" s="1" cm="1">
        <f t="array" aca="1" ref="M304" ca="1">INDIRECT(CONCATENATE("'",$A$300,"'!k",B304),1)</f>
        <v>6</v>
      </c>
      <c r="N304" s="1" t="str" cm="1">
        <f t="array" aca="1" ref="N304" ca="1">INDIRECT(CONCATENATE("'",$A$300,"'!l",B304),1)</f>
        <v>Архипова Г.А.</v>
      </c>
      <c r="O304" s="1" cm="1">
        <f t="array" aca="1" ref="O304" ca="1">INDIRECT(CONCATENATE("'",$A$300,"'!m",B304),1)</f>
        <v>3312</v>
      </c>
      <c r="P304" s="1" t="str" cm="1">
        <f t="array" aca="1" ref="P304" ca="1">INDIRECT(CONCATENATE("'",$A$300,"'!n",B304),1)</f>
        <v>2п</v>
      </c>
      <c r="Q304" s="1" cm="1">
        <f t="array" aca="1" ref="Q304" ca="1">INDIRECT(CONCATENATE("'",$A$300,"'!o",B304),1)</f>
        <v>2.2999999999999998</v>
      </c>
      <c r="R304" s="1" cm="1">
        <f t="array" aca="1" ref="R304" ca="1">INDIRECT(CONCATENATE("'",$A$300,"'!p",B304),1)</f>
        <v>0</v>
      </c>
      <c r="S304" s="1">
        <f t="shared" ca="1" si="23"/>
        <v>0</v>
      </c>
      <c r="T304" s="1" t="str" cm="1">
        <f t="array" aca="1" ref="T304" ca="1">INDIRECT(CONCATENATE("'",$A$300,"'!q",B304),1)</f>
        <v>Архипова Г.А.</v>
      </c>
      <c r="U304" s="1" cm="1">
        <f t="array" aca="1" ref="U304" ca="1">INDIRECT(CONCATENATE("'",$A$300,"'!r",B304),1)</f>
        <v>16.3</v>
      </c>
      <c r="V304" s="1" cm="1">
        <f t="array" aca="1" ref="V304" ca="1">INDIRECT(CONCATENATE("'",$A$300,"'!s",B304),1)</f>
        <v>0</v>
      </c>
      <c r="W304" s="1" cm="1">
        <f t="array" aca="1" ref="W304" ca="1">INDIRECT(CONCATENATE("'",$A$300,"'!t",B304),1)</f>
        <v>0</v>
      </c>
      <c r="X304" s="1" cm="1">
        <f t="array" aca="1" ref="X304" ca="1">INDIRECT(CONCATENATE("'",$A$300,"'!u",B304),1)</f>
        <v>0</v>
      </c>
      <c r="Y304" s="1" cm="1">
        <f t="array" aca="1" ref="Y304" ca="1">INDIRECT(CONCATENATE("'",$A$300,"'!v",B304),1)</f>
        <v>0</v>
      </c>
    </row>
    <row r="305" spans="1:25" hidden="1" x14ac:dyDescent="0.25">
      <c r="B305" s="24">
        <f t="shared" si="24"/>
        <v>7</v>
      </c>
      <c r="C305" s="1" cm="1">
        <f t="array" aca="1" ref="C305" ca="1">INDIRECT(CONCATENATE("'",$A$300,"'!A",B305),1)</f>
        <v>0</v>
      </c>
      <c r="D305" s="1" cm="1">
        <f t="array" aca="1" ref="D305" ca="1">INDIRECT(CONCATENATE("'",$A$300,"'!B",B305),1)</f>
        <v>0</v>
      </c>
      <c r="E305" s="1" cm="1">
        <f t="array" aca="1" ref="E305" ca="1">INDIRECT(CONCATENATE("'",$A$300,"'!c",B305),1)</f>
        <v>0</v>
      </c>
      <c r="F305" s="1" cm="1">
        <f t="array" aca="1" ref="F305" ca="1">INDIRECT(CONCATENATE("'",$A$300,"'!d",B305),1)</f>
        <v>0</v>
      </c>
      <c r="G305" s="1" cm="1">
        <f t="array" aca="1" ref="G305" ca="1">INDIRECT(CONCATENATE("'",$A$300,"'!e",B305),1)</f>
        <v>0</v>
      </c>
      <c r="H305" s="1" cm="1">
        <f t="array" aca="1" ref="H305" ca="1">INDIRECT(CONCATENATE("'",$A$300,"'!f",B305),1)</f>
        <v>0</v>
      </c>
      <c r="I305" s="1" cm="1">
        <f t="array" aca="1" ref="I305" ca="1">INDIRECT(CONCATENATE("'",$A$300,"'!g",B305),1)</f>
        <v>0</v>
      </c>
      <c r="J305" s="1" cm="1">
        <f t="array" aca="1" ref="J305" ca="1">INDIRECT(CONCATENATE("'",$A$300,"'!h",B305),1)</f>
        <v>0</v>
      </c>
      <c r="K305" s="1" cm="1">
        <f t="array" aca="1" ref="K305" ca="1">INDIRECT(CONCATENATE("'",$A$300,"'!i",B305),1)</f>
        <v>0</v>
      </c>
      <c r="L305" s="1" cm="1">
        <f t="array" aca="1" ref="L305" ca="1">INDIRECT(CONCATENATE("'",$A$300,"'!j",B305),1)</f>
        <v>0</v>
      </c>
      <c r="M305" s="1" cm="1">
        <f t="array" aca="1" ref="M305" ca="1">INDIRECT(CONCATENATE("'",$A$300,"'!k",B305),1)</f>
        <v>0</v>
      </c>
      <c r="N305" s="1" cm="1">
        <f t="array" aca="1" ref="N305" ca="1">INDIRECT(CONCATENATE("'",$A$300,"'!l",B305),1)</f>
        <v>0</v>
      </c>
      <c r="O305" s="1" cm="1">
        <f t="array" aca="1" ref="O305" ca="1">INDIRECT(CONCATENATE("'",$A$300,"'!m",B305),1)</f>
        <v>0</v>
      </c>
      <c r="P305" s="1" cm="1">
        <f t="array" aca="1" ref="P305" ca="1">INDIRECT(CONCATENATE("'",$A$300,"'!n",B305),1)</f>
        <v>0</v>
      </c>
      <c r="Q305" s="1" cm="1">
        <f t="array" aca="1" ref="Q305" ca="1">INDIRECT(CONCATENATE("'",$A$300,"'!o",B305),1)</f>
        <v>0</v>
      </c>
      <c r="R305" s="1" cm="1">
        <f t="array" aca="1" ref="R305" ca="1">INDIRECT(CONCATENATE("'",$A$300,"'!p",B305),1)</f>
        <v>0</v>
      </c>
      <c r="S305" s="1">
        <f t="shared" ca="1" si="23"/>
        <v>0</v>
      </c>
      <c r="T305" s="1" cm="1">
        <f t="array" aca="1" ref="T305" ca="1">INDIRECT(CONCATENATE("'",$A$300,"'!q",B305),1)</f>
        <v>0</v>
      </c>
      <c r="U305" s="1" cm="1">
        <f t="array" aca="1" ref="U305" ca="1">INDIRECT(CONCATENATE("'",$A$300,"'!r",B305),1)</f>
        <v>0</v>
      </c>
      <c r="V305" s="1" cm="1">
        <f t="array" aca="1" ref="V305" ca="1">INDIRECT(CONCATENATE("'",$A$300,"'!s",B305),1)</f>
        <v>0</v>
      </c>
      <c r="W305" s="1" cm="1">
        <f t="array" aca="1" ref="W305" ca="1">INDIRECT(CONCATENATE("'",$A$300,"'!t",B305),1)</f>
        <v>0</v>
      </c>
      <c r="X305" s="1" cm="1">
        <f t="array" aca="1" ref="X305" ca="1">INDIRECT(CONCATENATE("'",$A$300,"'!u",B305),1)</f>
        <v>0</v>
      </c>
      <c r="Y305" s="1" cm="1">
        <f t="array" aca="1" ref="Y305" ca="1">INDIRECT(CONCATENATE("'",$A$300,"'!v",B305),1)</f>
        <v>0</v>
      </c>
    </row>
    <row r="306" spans="1:25" hidden="1" x14ac:dyDescent="0.25">
      <c r="B306" s="24">
        <f t="shared" si="24"/>
        <v>8</v>
      </c>
      <c r="C306" s="1" cm="1">
        <f t="array" aca="1" ref="C306" ca="1">INDIRECT(CONCATENATE("'",$A$300,"'!A",B306),1)</f>
        <v>0</v>
      </c>
      <c r="D306" s="1" cm="1">
        <f t="array" aca="1" ref="D306" ca="1">INDIRECT(CONCATENATE("'",$A$300,"'!B",B306),1)</f>
        <v>0</v>
      </c>
      <c r="E306" s="1" cm="1">
        <f t="array" aca="1" ref="E306" ca="1">INDIRECT(CONCATENATE("'",$A$300,"'!c",B306),1)</f>
        <v>0</v>
      </c>
      <c r="F306" s="1" cm="1">
        <f t="array" aca="1" ref="F306" ca="1">INDIRECT(CONCATENATE("'",$A$300,"'!d",B306),1)</f>
        <v>0</v>
      </c>
      <c r="G306" s="1" cm="1">
        <f t="array" aca="1" ref="G306" ca="1">INDIRECT(CONCATENATE("'",$A$300,"'!e",B306),1)</f>
        <v>0</v>
      </c>
      <c r="H306" s="1" cm="1">
        <f t="array" aca="1" ref="H306" ca="1">INDIRECT(CONCATENATE("'",$A$300,"'!f",B306),1)</f>
        <v>0</v>
      </c>
      <c r="I306" s="1" cm="1">
        <f t="array" aca="1" ref="I306" ca="1">INDIRECT(CONCATENATE("'",$A$300,"'!g",B306),1)</f>
        <v>0</v>
      </c>
      <c r="J306" s="1" cm="1">
        <f t="array" aca="1" ref="J306" ca="1">INDIRECT(CONCATENATE("'",$A$300,"'!h",B306),1)</f>
        <v>0</v>
      </c>
      <c r="K306" s="1" cm="1">
        <f t="array" aca="1" ref="K306" ca="1">INDIRECT(CONCATENATE("'",$A$300,"'!i",B306),1)</f>
        <v>0</v>
      </c>
      <c r="L306" s="1" cm="1">
        <f t="array" aca="1" ref="L306" ca="1">INDIRECT(CONCATENATE("'",$A$300,"'!j",B306),1)</f>
        <v>0</v>
      </c>
      <c r="M306" s="1" cm="1">
        <f t="array" aca="1" ref="M306" ca="1">INDIRECT(CONCATENATE("'",$A$300,"'!k",B306),1)</f>
        <v>0</v>
      </c>
      <c r="N306" s="1" cm="1">
        <f t="array" aca="1" ref="N306" ca="1">INDIRECT(CONCATENATE("'",$A$300,"'!l",B306),1)</f>
        <v>0</v>
      </c>
      <c r="O306" s="1" cm="1">
        <f t="array" aca="1" ref="O306" ca="1">INDIRECT(CONCATENATE("'",$A$300,"'!m",B306),1)</f>
        <v>0</v>
      </c>
      <c r="P306" s="1" cm="1">
        <f t="array" aca="1" ref="P306" ca="1">INDIRECT(CONCATENATE("'",$A$300,"'!n",B306),1)</f>
        <v>0</v>
      </c>
      <c r="Q306" s="1" cm="1">
        <f t="array" aca="1" ref="Q306" ca="1">INDIRECT(CONCATENATE("'",$A$300,"'!o",B306),1)</f>
        <v>0</v>
      </c>
      <c r="R306" s="1" cm="1">
        <f t="array" aca="1" ref="R306" ca="1">INDIRECT(CONCATENATE("'",$A$300,"'!p",B306),1)</f>
        <v>0</v>
      </c>
      <c r="S306" s="1">
        <f t="shared" ref="S306:S308" ca="1" si="25">SUMIFS(U306,T306,$N$1)+SUMIFS(W306,V306,$N$1)+SUMIFS(Y306,X306,$N$1)</f>
        <v>0</v>
      </c>
      <c r="T306" s="1" cm="1">
        <f t="array" aca="1" ref="T306" ca="1">INDIRECT(CONCATENATE("'",$A$300,"'!q",B306),1)</f>
        <v>0</v>
      </c>
      <c r="U306" s="1" cm="1">
        <f t="array" aca="1" ref="U306" ca="1">INDIRECT(CONCATENATE("'",$A$300,"'!r",B306),1)</f>
        <v>0</v>
      </c>
      <c r="V306" s="1" cm="1">
        <f t="array" aca="1" ref="V306" ca="1">INDIRECT(CONCATENATE("'",$A$300,"'!s",B306),1)</f>
        <v>0</v>
      </c>
      <c r="W306" s="1" cm="1">
        <f t="array" aca="1" ref="W306" ca="1">INDIRECT(CONCATENATE("'",$A$300,"'!t",B306),1)</f>
        <v>0</v>
      </c>
      <c r="X306" s="1" cm="1">
        <f t="array" aca="1" ref="X306" ca="1">INDIRECT(CONCATENATE("'",$A$300,"'!u",B306),1)</f>
        <v>0</v>
      </c>
      <c r="Y306" s="1" cm="1">
        <f t="array" aca="1" ref="Y306" ca="1">INDIRECT(CONCATENATE("'",$A$300,"'!v",B306),1)</f>
        <v>0</v>
      </c>
    </row>
    <row r="307" spans="1:25" hidden="1" x14ac:dyDescent="0.25">
      <c r="B307" s="24">
        <f t="shared" si="24"/>
        <v>9</v>
      </c>
      <c r="C307" s="1" cm="1">
        <f t="array" aca="1" ref="C307" ca="1">INDIRECT(CONCATENATE("'",$A$300,"'!A",B307),1)</f>
        <v>0</v>
      </c>
      <c r="D307" s="1" cm="1">
        <f t="array" aca="1" ref="D307" ca="1">INDIRECT(CONCATENATE("'",$A$300,"'!B",B307),1)</f>
        <v>0</v>
      </c>
      <c r="E307" s="1" cm="1">
        <f t="array" aca="1" ref="E307" ca="1">INDIRECT(CONCATENATE("'",$A$300,"'!c",B307),1)</f>
        <v>0</v>
      </c>
      <c r="F307" s="1" cm="1">
        <f t="array" aca="1" ref="F307" ca="1">INDIRECT(CONCATENATE("'",$A$300,"'!d",B307),1)</f>
        <v>0</v>
      </c>
      <c r="G307" s="1" cm="1">
        <f t="array" aca="1" ref="G307" ca="1">INDIRECT(CONCATENATE("'",$A$300,"'!e",B307),1)</f>
        <v>0</v>
      </c>
      <c r="H307" s="1" cm="1">
        <f t="array" aca="1" ref="H307" ca="1">INDIRECT(CONCATENATE("'",$A$300,"'!f",B307),1)</f>
        <v>0</v>
      </c>
      <c r="I307" s="1" cm="1">
        <f t="array" aca="1" ref="I307" ca="1">INDIRECT(CONCATENATE("'",$A$300,"'!g",B307),1)</f>
        <v>0</v>
      </c>
      <c r="J307" s="1" cm="1">
        <f t="array" aca="1" ref="J307" ca="1">INDIRECT(CONCATENATE("'",$A$300,"'!h",B307),1)</f>
        <v>0</v>
      </c>
      <c r="K307" s="1" cm="1">
        <f t="array" aca="1" ref="K307" ca="1">INDIRECT(CONCATENATE("'",$A$300,"'!i",B307),1)</f>
        <v>0</v>
      </c>
      <c r="L307" s="1" cm="1">
        <f t="array" aca="1" ref="L307" ca="1">INDIRECT(CONCATENATE("'",$A$300,"'!j",B307),1)</f>
        <v>0</v>
      </c>
      <c r="M307" s="1" cm="1">
        <f t="array" aca="1" ref="M307" ca="1">INDIRECT(CONCATENATE("'",$A$300,"'!k",B307),1)</f>
        <v>0</v>
      </c>
      <c r="N307" s="1" cm="1">
        <f t="array" aca="1" ref="N307" ca="1">INDIRECT(CONCATENATE("'",$A$300,"'!l",B307),1)</f>
        <v>0</v>
      </c>
      <c r="O307" s="1" cm="1">
        <f t="array" aca="1" ref="O307" ca="1">INDIRECT(CONCATENATE("'",$A$300,"'!m",B307),1)</f>
        <v>0</v>
      </c>
      <c r="P307" s="1" cm="1">
        <f t="array" aca="1" ref="P307" ca="1">INDIRECT(CONCATENATE("'",$A$300,"'!n",B307),1)</f>
        <v>0</v>
      </c>
      <c r="Q307" s="1" cm="1">
        <f t="array" aca="1" ref="Q307" ca="1">INDIRECT(CONCATENATE("'",$A$300,"'!o",B307),1)</f>
        <v>0</v>
      </c>
      <c r="R307" s="1" cm="1">
        <f t="array" aca="1" ref="R307" ca="1">INDIRECT(CONCATENATE("'",$A$300,"'!p",B307),1)</f>
        <v>0</v>
      </c>
      <c r="S307" s="1">
        <f t="shared" ca="1" si="25"/>
        <v>0</v>
      </c>
      <c r="T307" s="1" cm="1">
        <f t="array" aca="1" ref="T307" ca="1">INDIRECT(CONCATENATE("'",$A$300,"'!q",B307),1)</f>
        <v>0</v>
      </c>
      <c r="U307" s="1" cm="1">
        <f t="array" aca="1" ref="U307" ca="1">INDIRECT(CONCATENATE("'",$A$300,"'!r",B307),1)</f>
        <v>0</v>
      </c>
      <c r="V307" s="1" cm="1">
        <f t="array" aca="1" ref="V307" ca="1">INDIRECT(CONCATENATE("'",$A$300,"'!s",B307),1)</f>
        <v>0</v>
      </c>
      <c r="W307" s="1" cm="1">
        <f t="array" aca="1" ref="W307" ca="1">INDIRECT(CONCATENATE("'",$A$300,"'!t",B307),1)</f>
        <v>0</v>
      </c>
      <c r="X307" s="1" cm="1">
        <f t="array" aca="1" ref="X307" ca="1">INDIRECT(CONCATENATE("'",$A$300,"'!u",B307),1)</f>
        <v>0</v>
      </c>
      <c r="Y307" s="1" cm="1">
        <f t="array" aca="1" ref="Y307" ca="1">INDIRECT(CONCATENATE("'",$A$300,"'!v",B307),1)</f>
        <v>0</v>
      </c>
    </row>
    <row r="308" spans="1:25" hidden="1" x14ac:dyDescent="0.25">
      <c r="B308" s="24">
        <f t="shared" si="24"/>
        <v>10</v>
      </c>
      <c r="C308" s="1" cm="1">
        <f t="array" aca="1" ref="C308" ca="1">INDIRECT(CONCATENATE("'",$A$300,"'!A",B308),1)</f>
        <v>0</v>
      </c>
      <c r="D308" s="1" cm="1">
        <f t="array" aca="1" ref="D308" ca="1">INDIRECT(CONCATENATE("'",$A$300,"'!B",B308),1)</f>
        <v>0</v>
      </c>
      <c r="E308" s="1" cm="1">
        <f t="array" aca="1" ref="E308" ca="1">INDIRECT(CONCATENATE("'",$A$300,"'!c",B308),1)</f>
        <v>0</v>
      </c>
      <c r="F308" s="1" cm="1">
        <f t="array" aca="1" ref="F308" ca="1">INDIRECT(CONCATENATE("'",$A$300,"'!d",B308),1)</f>
        <v>0</v>
      </c>
      <c r="G308" s="1" cm="1">
        <f t="array" aca="1" ref="G308" ca="1">INDIRECT(CONCATENATE("'",$A$300,"'!e",B308),1)</f>
        <v>0</v>
      </c>
      <c r="H308" s="1" cm="1">
        <f t="array" aca="1" ref="H308" ca="1">INDIRECT(CONCATENATE("'",$A$300,"'!f",B308),1)</f>
        <v>0</v>
      </c>
      <c r="I308" s="1" cm="1">
        <f t="array" aca="1" ref="I308" ca="1">INDIRECT(CONCATENATE("'",$A$300,"'!g",B308),1)</f>
        <v>0</v>
      </c>
      <c r="J308" s="1" cm="1">
        <f t="array" aca="1" ref="J308" ca="1">INDIRECT(CONCATENATE("'",$A$300,"'!h",B308),1)</f>
        <v>0</v>
      </c>
      <c r="K308" s="1" cm="1">
        <f t="array" aca="1" ref="K308" ca="1">INDIRECT(CONCATENATE("'",$A$300,"'!i",B308),1)</f>
        <v>0</v>
      </c>
      <c r="L308" s="1" cm="1">
        <f t="array" aca="1" ref="L308" ca="1">INDIRECT(CONCATENATE("'",$A$300,"'!j",B308),1)</f>
        <v>0</v>
      </c>
      <c r="M308" s="1" cm="1">
        <f t="array" aca="1" ref="M308" ca="1">INDIRECT(CONCATENATE("'",$A$300,"'!k",B308),1)</f>
        <v>0</v>
      </c>
      <c r="N308" s="1" cm="1">
        <f t="array" aca="1" ref="N308" ca="1">INDIRECT(CONCATENATE("'",$A$300,"'!l",B308),1)</f>
        <v>0</v>
      </c>
      <c r="O308" s="1" cm="1">
        <f t="array" aca="1" ref="O308" ca="1">INDIRECT(CONCATENATE("'",$A$300,"'!m",B308),1)</f>
        <v>0</v>
      </c>
      <c r="P308" s="1" cm="1">
        <f t="array" aca="1" ref="P308" ca="1">INDIRECT(CONCATENATE("'",$A$300,"'!n",B308),1)</f>
        <v>0</v>
      </c>
      <c r="Q308" s="1" cm="1">
        <f t="array" aca="1" ref="Q308" ca="1">INDIRECT(CONCATENATE("'",$A$300,"'!o",B308),1)</f>
        <v>0</v>
      </c>
      <c r="R308" s="1" cm="1">
        <f t="array" aca="1" ref="R308" ca="1">INDIRECT(CONCATENATE("'",$A$300,"'!p",B308),1)</f>
        <v>0</v>
      </c>
      <c r="S308" s="1">
        <f t="shared" ca="1" si="25"/>
        <v>0</v>
      </c>
      <c r="T308" s="1" cm="1">
        <f t="array" aca="1" ref="T308" ca="1">INDIRECT(CONCATENATE("'",$A$300,"'!q",B308),1)</f>
        <v>0</v>
      </c>
      <c r="U308" s="1" cm="1">
        <f t="array" aca="1" ref="U308" ca="1">INDIRECT(CONCATENATE("'",$A$300,"'!r",B308),1)</f>
        <v>0</v>
      </c>
      <c r="V308" s="1" cm="1">
        <f t="array" aca="1" ref="V308" ca="1">INDIRECT(CONCATENATE("'",$A$300,"'!s",B308),1)</f>
        <v>0</v>
      </c>
      <c r="W308" s="1" cm="1">
        <f t="array" aca="1" ref="W308" ca="1">INDIRECT(CONCATENATE("'",$A$300,"'!t",B308),1)</f>
        <v>0</v>
      </c>
      <c r="X308" s="1" cm="1">
        <f t="array" aca="1" ref="X308" ca="1">INDIRECT(CONCATENATE("'",$A$300,"'!u",B308),1)</f>
        <v>0</v>
      </c>
      <c r="Y308" s="1" cm="1">
        <f t="array" aca="1" ref="Y308" ca="1">INDIRECT(CONCATENATE("'",$A$300,"'!v",B308),1)</f>
        <v>0</v>
      </c>
    </row>
    <row r="309" spans="1:25" hidden="1" x14ac:dyDescent="0.25">
      <c r="B309" s="24">
        <f t="shared" si="24"/>
        <v>11</v>
      </c>
      <c r="C309" s="1" cm="1">
        <f t="array" aca="1" ref="C309" ca="1">INDIRECT(CONCATENATE("'",$A$300,"'!A",B309),1)</f>
        <v>0</v>
      </c>
      <c r="D309" s="1" cm="1">
        <f t="array" aca="1" ref="D309" ca="1">INDIRECT(CONCATENATE("'",$A$300,"'!B",B309),1)</f>
        <v>0</v>
      </c>
      <c r="E309" s="1" cm="1">
        <f t="array" aca="1" ref="E309" ca="1">INDIRECT(CONCATENATE("'",$A$300,"'!c",B309),1)</f>
        <v>0</v>
      </c>
      <c r="F309" s="1" cm="1">
        <f t="array" aca="1" ref="F309" ca="1">INDIRECT(CONCATENATE("'",$A$300,"'!d",B309),1)</f>
        <v>0</v>
      </c>
      <c r="G309" s="1" cm="1">
        <f t="array" aca="1" ref="G309" ca="1">INDIRECT(CONCATENATE("'",$A$300,"'!e",B309),1)</f>
        <v>0</v>
      </c>
      <c r="H309" s="1" cm="1">
        <f t="array" aca="1" ref="H309" ca="1">INDIRECT(CONCATENATE("'",$A$300,"'!f",B309),1)</f>
        <v>0</v>
      </c>
      <c r="I309" s="1" cm="1">
        <f t="array" aca="1" ref="I309" ca="1">INDIRECT(CONCATENATE("'",$A$300,"'!g",B309),1)</f>
        <v>0</v>
      </c>
      <c r="J309" s="1" cm="1">
        <f t="array" aca="1" ref="J309" ca="1">INDIRECT(CONCATENATE("'",$A$300,"'!h",B309),1)</f>
        <v>0</v>
      </c>
      <c r="K309" s="1" cm="1">
        <f t="array" aca="1" ref="K309" ca="1">INDIRECT(CONCATENATE("'",$A$300,"'!i",B309),1)</f>
        <v>0</v>
      </c>
      <c r="L309" s="1" cm="1">
        <f t="array" aca="1" ref="L309" ca="1">INDIRECT(CONCATENATE("'",$A$300,"'!j",B309),1)</f>
        <v>0</v>
      </c>
      <c r="M309" s="1" cm="1">
        <f t="array" aca="1" ref="M309" ca="1">INDIRECT(CONCATENATE("'",$A$300,"'!k",B309),1)</f>
        <v>0</v>
      </c>
      <c r="N309" s="1" cm="1">
        <f t="array" aca="1" ref="N309" ca="1">INDIRECT(CONCATENATE("'",$A$300,"'!l",B309),1)</f>
        <v>0</v>
      </c>
      <c r="O309" s="1" cm="1">
        <f t="array" aca="1" ref="O309" ca="1">INDIRECT(CONCATENATE("'",$A$300,"'!m",B309),1)</f>
        <v>0</v>
      </c>
      <c r="P309" s="1" cm="1">
        <f t="array" aca="1" ref="P309" ca="1">INDIRECT(CONCATENATE("'",$A$300,"'!n",B309),1)</f>
        <v>0</v>
      </c>
      <c r="Q309" s="1" cm="1">
        <f t="array" aca="1" ref="Q309" ca="1">INDIRECT(CONCATENATE("'",$A$300,"'!o",B309),1)</f>
        <v>0</v>
      </c>
      <c r="R309" s="1" cm="1">
        <f t="array" aca="1" ref="R309" ca="1">INDIRECT(CONCATENATE("'",$A$300,"'!p",B309),1)</f>
        <v>0</v>
      </c>
      <c r="S309" s="1">
        <f t="shared" ca="1" si="22"/>
        <v>0</v>
      </c>
      <c r="T309" s="1" cm="1">
        <f t="array" aca="1" ref="T309" ca="1">INDIRECT(CONCATENATE("'",$A$300,"'!q",B309),1)</f>
        <v>0</v>
      </c>
      <c r="U309" s="1" cm="1">
        <f t="array" aca="1" ref="U309" ca="1">INDIRECT(CONCATENATE("'",$A$300,"'!r",B309),1)</f>
        <v>0</v>
      </c>
      <c r="V309" s="1" cm="1">
        <f t="array" aca="1" ref="V309" ca="1">INDIRECT(CONCATENATE("'",$A$300,"'!s",B309),1)</f>
        <v>0</v>
      </c>
      <c r="W309" s="1" cm="1">
        <f t="array" aca="1" ref="W309" ca="1">INDIRECT(CONCATENATE("'",$A$300,"'!t",B309),1)</f>
        <v>0</v>
      </c>
      <c r="X309" s="1" cm="1">
        <f t="array" aca="1" ref="X309" ca="1">INDIRECT(CONCATENATE("'",$A$300,"'!u",B309),1)</f>
        <v>0</v>
      </c>
      <c r="Y309" s="1" cm="1">
        <f t="array" aca="1" ref="Y309" ca="1">INDIRECT(CONCATENATE("'",$A$300,"'!v",B309),1)</f>
        <v>0</v>
      </c>
    </row>
    <row r="310" spans="1:25" hidden="1" x14ac:dyDescent="0.25">
      <c r="B310" s="24">
        <f t="shared" si="24"/>
        <v>12</v>
      </c>
      <c r="C310" s="1" cm="1">
        <f t="array" aca="1" ref="C310" ca="1">INDIRECT(CONCATENATE("'",$A$300,"'!A",B310),1)</f>
        <v>0</v>
      </c>
      <c r="D310" s="1" cm="1">
        <f t="array" aca="1" ref="D310" ca="1">INDIRECT(CONCATENATE("'",$A$300,"'!B",B310),1)</f>
        <v>0</v>
      </c>
      <c r="E310" s="1" cm="1">
        <f t="array" aca="1" ref="E310" ca="1">INDIRECT(CONCATENATE("'",$A$300,"'!c",B310),1)</f>
        <v>0</v>
      </c>
      <c r="F310" s="1" cm="1">
        <f t="array" aca="1" ref="F310" ca="1">INDIRECT(CONCATENATE("'",$A$300,"'!d",B310),1)</f>
        <v>0</v>
      </c>
      <c r="G310" s="1" cm="1">
        <f t="array" aca="1" ref="G310" ca="1">INDIRECT(CONCATENATE("'",$A$300,"'!e",B310),1)</f>
        <v>0</v>
      </c>
      <c r="H310" s="1" cm="1">
        <f t="array" aca="1" ref="H310" ca="1">INDIRECT(CONCATENATE("'",$A$300,"'!f",B310),1)</f>
        <v>0</v>
      </c>
      <c r="I310" s="1" cm="1">
        <f t="array" aca="1" ref="I310" ca="1">INDIRECT(CONCATENATE("'",$A$300,"'!g",B310),1)</f>
        <v>0</v>
      </c>
      <c r="J310" s="1" cm="1">
        <f t="array" aca="1" ref="J310" ca="1">INDIRECT(CONCATENATE("'",$A$300,"'!h",B310),1)</f>
        <v>0</v>
      </c>
      <c r="K310" s="1" cm="1">
        <f t="array" aca="1" ref="K310" ca="1">INDIRECT(CONCATENATE("'",$A$300,"'!i",B310),1)</f>
        <v>0</v>
      </c>
      <c r="L310" s="1" cm="1">
        <f t="array" aca="1" ref="L310" ca="1">INDIRECT(CONCATENATE("'",$A$300,"'!j",B310),1)</f>
        <v>0</v>
      </c>
      <c r="M310" s="1" cm="1">
        <f t="array" aca="1" ref="M310" ca="1">INDIRECT(CONCATENATE("'",$A$300,"'!k",B310),1)</f>
        <v>0</v>
      </c>
      <c r="N310" s="1" cm="1">
        <f t="array" aca="1" ref="N310" ca="1">INDIRECT(CONCATENATE("'",$A$300,"'!l",B310),1)</f>
        <v>0</v>
      </c>
      <c r="O310" s="1" cm="1">
        <f t="array" aca="1" ref="O310" ca="1">INDIRECT(CONCATENATE("'",$A$300,"'!m",B310),1)</f>
        <v>0</v>
      </c>
      <c r="P310" s="1" cm="1">
        <f t="array" aca="1" ref="P310" ca="1">INDIRECT(CONCATENATE("'",$A$300,"'!n",B310),1)</f>
        <v>0</v>
      </c>
      <c r="Q310" s="1" cm="1">
        <f t="array" aca="1" ref="Q310" ca="1">INDIRECT(CONCATENATE("'",$A$300,"'!o",B310),1)</f>
        <v>0</v>
      </c>
      <c r="R310" s="1" cm="1">
        <f t="array" aca="1" ref="R310" ca="1">INDIRECT(CONCATENATE("'",$A$300,"'!p",B310),1)</f>
        <v>0</v>
      </c>
      <c r="S310" s="1">
        <f t="shared" ca="1" si="22"/>
        <v>0</v>
      </c>
      <c r="T310" s="1" cm="1">
        <f t="array" aca="1" ref="T310" ca="1">INDIRECT(CONCATENATE("'",$A$300,"'!q",B310),1)</f>
        <v>0</v>
      </c>
      <c r="U310" s="1" cm="1">
        <f t="array" aca="1" ref="U310" ca="1">INDIRECT(CONCATENATE("'",$A$300,"'!r",B310),1)</f>
        <v>0</v>
      </c>
      <c r="V310" s="1" cm="1">
        <f t="array" aca="1" ref="V310" ca="1">INDIRECT(CONCATENATE("'",$A$300,"'!s",B310),1)</f>
        <v>0</v>
      </c>
      <c r="W310" s="1" cm="1">
        <f t="array" aca="1" ref="W310" ca="1">INDIRECT(CONCATENATE("'",$A$300,"'!t",B310),1)</f>
        <v>0</v>
      </c>
      <c r="X310" s="1" cm="1">
        <f t="array" aca="1" ref="X310" ca="1">INDIRECT(CONCATENATE("'",$A$300,"'!u",B310),1)</f>
        <v>0</v>
      </c>
      <c r="Y310" s="1" cm="1">
        <f t="array" aca="1" ref="Y310" ca="1">INDIRECT(CONCATENATE("'",$A$300,"'!v",B310),1)</f>
        <v>0</v>
      </c>
    </row>
    <row r="311" spans="1:25" hidden="1" x14ac:dyDescent="0.25">
      <c r="B311" s="24">
        <f t="shared" ref="B311:B319" si="26">B310+1</f>
        <v>13</v>
      </c>
      <c r="C311" s="1" cm="1">
        <f t="array" aca="1" ref="C311" ca="1">INDIRECT(CONCATENATE("'",$A$300,"'!A",B311),1)</f>
        <v>0</v>
      </c>
      <c r="D311" s="1" cm="1">
        <f t="array" aca="1" ref="D311" ca="1">INDIRECT(CONCATENATE("'",$A$300,"'!B",B311),1)</f>
        <v>0</v>
      </c>
      <c r="E311" s="1" cm="1">
        <f t="array" aca="1" ref="E311" ca="1">INDIRECT(CONCATENATE("'",$A$300,"'!c",B311),1)</f>
        <v>0</v>
      </c>
      <c r="F311" s="1" cm="1">
        <f t="array" aca="1" ref="F311" ca="1">INDIRECT(CONCATENATE("'",$A$300,"'!d",B311),1)</f>
        <v>0</v>
      </c>
      <c r="G311" s="1" cm="1">
        <f t="array" aca="1" ref="G311" ca="1">INDIRECT(CONCATENATE("'",$A$300,"'!e",B311),1)</f>
        <v>0</v>
      </c>
      <c r="H311" s="1" cm="1">
        <f t="array" aca="1" ref="H311" ca="1">INDIRECT(CONCATENATE("'",$A$300,"'!f",B311),1)</f>
        <v>0</v>
      </c>
      <c r="I311" s="1" cm="1">
        <f t="array" aca="1" ref="I311" ca="1">INDIRECT(CONCATENATE("'",$A$300,"'!g",B311),1)</f>
        <v>0</v>
      </c>
      <c r="J311" s="1" cm="1">
        <f t="array" aca="1" ref="J311" ca="1">INDIRECT(CONCATENATE("'",$A$300,"'!h",B311),1)</f>
        <v>0</v>
      </c>
      <c r="K311" s="1" cm="1">
        <f t="array" aca="1" ref="K311" ca="1">INDIRECT(CONCATENATE("'",$A$300,"'!i",B311),1)</f>
        <v>0</v>
      </c>
      <c r="L311" s="1" cm="1">
        <f t="array" aca="1" ref="L311" ca="1">INDIRECT(CONCATENATE("'",$A$300,"'!j",B311),1)</f>
        <v>0</v>
      </c>
      <c r="M311" s="1" cm="1">
        <f t="array" aca="1" ref="M311" ca="1">INDIRECT(CONCATENATE("'",$A$300,"'!k",B311),1)</f>
        <v>0</v>
      </c>
      <c r="N311" s="1" cm="1">
        <f t="array" aca="1" ref="N311" ca="1">INDIRECT(CONCATENATE("'",$A$300,"'!l",B311),1)</f>
        <v>0</v>
      </c>
      <c r="O311" s="1" cm="1">
        <f t="array" aca="1" ref="O311" ca="1">INDIRECT(CONCATENATE("'",$A$300,"'!m",B311),1)</f>
        <v>0</v>
      </c>
      <c r="P311" s="1" cm="1">
        <f t="array" aca="1" ref="P311" ca="1">INDIRECT(CONCATENATE("'",$A$300,"'!n",B311),1)</f>
        <v>0</v>
      </c>
      <c r="Q311" s="1" cm="1">
        <f t="array" aca="1" ref="Q311" ca="1">INDIRECT(CONCATENATE("'",$A$300,"'!o",B311),1)</f>
        <v>0</v>
      </c>
      <c r="R311" s="1" cm="1">
        <f t="array" aca="1" ref="R311" ca="1">INDIRECT(CONCATENATE("'",$A$300,"'!p",B311),1)</f>
        <v>0</v>
      </c>
      <c r="S311" s="1">
        <f t="shared" ca="1" si="22"/>
        <v>0</v>
      </c>
      <c r="T311" s="1" cm="1">
        <f t="array" aca="1" ref="T311" ca="1">INDIRECT(CONCATENATE("'",$A$300,"'!q",B311),1)</f>
        <v>0</v>
      </c>
      <c r="U311" s="1" cm="1">
        <f t="array" aca="1" ref="U311" ca="1">INDIRECT(CONCATENATE("'",$A$300,"'!r",B311),1)</f>
        <v>0</v>
      </c>
      <c r="V311" s="1" cm="1">
        <f t="array" aca="1" ref="V311" ca="1">INDIRECT(CONCATENATE("'",$A$300,"'!s",B311),1)</f>
        <v>0</v>
      </c>
      <c r="W311" s="1" cm="1">
        <f t="array" aca="1" ref="W311" ca="1">INDIRECT(CONCATENATE("'",$A$300,"'!t",B311),1)</f>
        <v>0</v>
      </c>
      <c r="X311" s="1" cm="1">
        <f t="array" aca="1" ref="X311" ca="1">INDIRECT(CONCATENATE("'",$A$300,"'!u",B311),1)</f>
        <v>0</v>
      </c>
      <c r="Y311" s="1" cm="1">
        <f t="array" aca="1" ref="Y311" ca="1">INDIRECT(CONCATENATE("'",$A$300,"'!v",B311),1)</f>
        <v>0</v>
      </c>
    </row>
    <row r="312" spans="1:25" hidden="1" x14ac:dyDescent="0.25">
      <c r="B312" s="24">
        <f t="shared" si="26"/>
        <v>14</v>
      </c>
      <c r="C312" s="1" cm="1">
        <f t="array" aca="1" ref="C312" ca="1">INDIRECT(CONCATENATE("'",$A$300,"'!A",B312),1)</f>
        <v>0</v>
      </c>
      <c r="D312" s="1" cm="1">
        <f t="array" aca="1" ref="D312" ca="1">INDIRECT(CONCATENATE("'",$A$300,"'!B",B312),1)</f>
        <v>0</v>
      </c>
      <c r="E312" s="1" cm="1">
        <f t="array" aca="1" ref="E312" ca="1">INDIRECT(CONCATENATE("'",$A$300,"'!c",B312),1)</f>
        <v>0</v>
      </c>
      <c r="F312" s="1" cm="1">
        <f t="array" aca="1" ref="F312" ca="1">INDIRECT(CONCATENATE("'",$A$300,"'!d",B312),1)</f>
        <v>0</v>
      </c>
      <c r="G312" s="1" cm="1">
        <f t="array" aca="1" ref="G312" ca="1">INDIRECT(CONCATENATE("'",$A$300,"'!e",B312),1)</f>
        <v>0</v>
      </c>
      <c r="H312" s="1" cm="1">
        <f t="array" aca="1" ref="H312" ca="1">INDIRECT(CONCATENATE("'",$A$300,"'!f",B312),1)</f>
        <v>0</v>
      </c>
      <c r="I312" s="1" cm="1">
        <f t="array" aca="1" ref="I312" ca="1">INDIRECT(CONCATENATE("'",$A$300,"'!g",B312),1)</f>
        <v>0</v>
      </c>
      <c r="J312" s="1" cm="1">
        <f t="array" aca="1" ref="J312" ca="1">INDIRECT(CONCATENATE("'",$A$300,"'!h",B312),1)</f>
        <v>0</v>
      </c>
      <c r="K312" s="1" cm="1">
        <f t="array" aca="1" ref="K312" ca="1">INDIRECT(CONCATENATE("'",$A$300,"'!i",B312),1)</f>
        <v>0</v>
      </c>
      <c r="L312" s="1" cm="1">
        <f t="array" aca="1" ref="L312" ca="1">INDIRECT(CONCATENATE("'",$A$300,"'!j",B312),1)</f>
        <v>0</v>
      </c>
      <c r="M312" s="1" cm="1">
        <f t="array" aca="1" ref="M312" ca="1">INDIRECT(CONCATENATE("'",$A$300,"'!k",B312),1)</f>
        <v>0</v>
      </c>
      <c r="N312" s="1" cm="1">
        <f t="array" aca="1" ref="N312" ca="1">INDIRECT(CONCATENATE("'",$A$300,"'!l",B312),1)</f>
        <v>0</v>
      </c>
      <c r="O312" s="1" cm="1">
        <f t="array" aca="1" ref="O312" ca="1">INDIRECT(CONCATENATE("'",$A$300,"'!m",B312),1)</f>
        <v>0</v>
      </c>
      <c r="P312" s="1" cm="1">
        <f t="array" aca="1" ref="P312" ca="1">INDIRECT(CONCATENATE("'",$A$300,"'!n",B312),1)</f>
        <v>0</v>
      </c>
      <c r="Q312" s="1" cm="1">
        <f t="array" aca="1" ref="Q312" ca="1">INDIRECT(CONCATENATE("'",$A$300,"'!o",B312),1)</f>
        <v>0</v>
      </c>
      <c r="R312" s="1" cm="1">
        <f t="array" aca="1" ref="R312" ca="1">INDIRECT(CONCATENATE("'",$A$300,"'!p",B312),1)</f>
        <v>0</v>
      </c>
      <c r="S312" s="1">
        <f t="shared" ca="1" si="22"/>
        <v>0</v>
      </c>
      <c r="T312" s="1" cm="1">
        <f t="array" aca="1" ref="T312" ca="1">INDIRECT(CONCATENATE("'",$A$300,"'!q",B312),1)</f>
        <v>0</v>
      </c>
      <c r="U312" s="1" cm="1">
        <f t="array" aca="1" ref="U312" ca="1">INDIRECT(CONCATENATE("'",$A$300,"'!r",B312),1)</f>
        <v>0</v>
      </c>
      <c r="V312" s="1" cm="1">
        <f t="array" aca="1" ref="V312" ca="1">INDIRECT(CONCATENATE("'",$A$300,"'!s",B312),1)</f>
        <v>0</v>
      </c>
      <c r="W312" s="1" cm="1">
        <f t="array" aca="1" ref="W312" ca="1">INDIRECT(CONCATENATE("'",$A$300,"'!t",B312),1)</f>
        <v>0</v>
      </c>
      <c r="X312" s="1" cm="1">
        <f t="array" aca="1" ref="X312" ca="1">INDIRECT(CONCATENATE("'",$A$300,"'!u",B312),1)</f>
        <v>0</v>
      </c>
      <c r="Y312" s="1" cm="1">
        <f t="array" aca="1" ref="Y312" ca="1">INDIRECT(CONCATENATE("'",$A$300,"'!v",B312),1)</f>
        <v>0</v>
      </c>
    </row>
    <row r="313" spans="1:25" hidden="1" x14ac:dyDescent="0.25">
      <c r="B313" s="24">
        <f t="shared" si="26"/>
        <v>15</v>
      </c>
      <c r="C313" s="1" cm="1">
        <f t="array" aca="1" ref="C313" ca="1">INDIRECT(CONCATENATE("'",$A$300,"'!A",B313),1)</f>
        <v>0</v>
      </c>
      <c r="D313" s="1" cm="1">
        <f t="array" aca="1" ref="D313" ca="1">INDIRECT(CONCATENATE("'",$A$300,"'!B",B313),1)</f>
        <v>0</v>
      </c>
      <c r="E313" s="1" cm="1">
        <f t="array" aca="1" ref="E313" ca="1">INDIRECT(CONCATENATE("'",$A$300,"'!c",B313),1)</f>
        <v>0</v>
      </c>
      <c r="F313" s="1" cm="1">
        <f t="array" aca="1" ref="F313" ca="1">INDIRECT(CONCATENATE("'",$A$300,"'!d",B313),1)</f>
        <v>0</v>
      </c>
      <c r="G313" s="1" cm="1">
        <f t="array" aca="1" ref="G313" ca="1">INDIRECT(CONCATENATE("'",$A$300,"'!e",B313),1)</f>
        <v>0</v>
      </c>
      <c r="H313" s="1" cm="1">
        <f t="array" aca="1" ref="H313" ca="1">INDIRECT(CONCATENATE("'",$A$300,"'!f",B313),1)</f>
        <v>0</v>
      </c>
      <c r="I313" s="1" cm="1">
        <f t="array" aca="1" ref="I313" ca="1">INDIRECT(CONCATENATE("'",$A$300,"'!g",B313),1)</f>
        <v>0</v>
      </c>
      <c r="J313" s="1" cm="1">
        <f t="array" aca="1" ref="J313" ca="1">INDIRECT(CONCATENATE("'",$A$300,"'!h",B313),1)</f>
        <v>0</v>
      </c>
      <c r="K313" s="1" cm="1">
        <f t="array" aca="1" ref="K313" ca="1">INDIRECT(CONCATENATE("'",$A$300,"'!i",B313),1)</f>
        <v>0</v>
      </c>
      <c r="L313" s="1" cm="1">
        <f t="array" aca="1" ref="L313" ca="1">INDIRECT(CONCATENATE("'",$A$300,"'!j",B313),1)</f>
        <v>0</v>
      </c>
      <c r="M313" s="1" cm="1">
        <f t="array" aca="1" ref="M313" ca="1">INDIRECT(CONCATENATE("'",$A$300,"'!k",B313),1)</f>
        <v>0</v>
      </c>
      <c r="N313" s="1" cm="1">
        <f t="array" aca="1" ref="N313" ca="1">INDIRECT(CONCATENATE("'",$A$300,"'!l",B313),1)</f>
        <v>0</v>
      </c>
      <c r="O313" s="1" cm="1">
        <f t="array" aca="1" ref="O313" ca="1">INDIRECT(CONCATENATE("'",$A$300,"'!m",B313),1)</f>
        <v>0</v>
      </c>
      <c r="P313" s="1" cm="1">
        <f t="array" aca="1" ref="P313" ca="1">INDIRECT(CONCATENATE("'",$A$300,"'!n",B313),1)</f>
        <v>0</v>
      </c>
      <c r="Q313" s="1" cm="1">
        <f t="array" aca="1" ref="Q313" ca="1">INDIRECT(CONCATENATE("'",$A$300,"'!o",B313),1)</f>
        <v>0</v>
      </c>
      <c r="R313" s="1" cm="1">
        <f t="array" aca="1" ref="R313" ca="1">INDIRECT(CONCATENATE("'",$A$300,"'!p",B313),1)</f>
        <v>0</v>
      </c>
      <c r="S313" s="1">
        <f t="shared" ca="1" si="22"/>
        <v>0</v>
      </c>
      <c r="T313" s="1" cm="1">
        <f t="array" aca="1" ref="T313" ca="1">INDIRECT(CONCATENATE("'",$A$300,"'!q",B313),1)</f>
        <v>0</v>
      </c>
      <c r="U313" s="1" cm="1">
        <f t="array" aca="1" ref="U313" ca="1">INDIRECT(CONCATENATE("'",$A$300,"'!r",B313),1)</f>
        <v>0</v>
      </c>
      <c r="V313" s="1" cm="1">
        <f t="array" aca="1" ref="V313" ca="1">INDIRECT(CONCATENATE("'",$A$300,"'!s",B313),1)</f>
        <v>0</v>
      </c>
      <c r="W313" s="1" cm="1">
        <f t="array" aca="1" ref="W313" ca="1">INDIRECT(CONCATENATE("'",$A$300,"'!t",B313),1)</f>
        <v>0</v>
      </c>
      <c r="X313" s="1" cm="1">
        <f t="array" aca="1" ref="X313" ca="1">INDIRECT(CONCATENATE("'",$A$300,"'!u",B313),1)</f>
        <v>0</v>
      </c>
      <c r="Y313" s="1" cm="1">
        <f t="array" aca="1" ref="Y313" ca="1">INDIRECT(CONCATENATE("'",$A$300,"'!v",B313),1)</f>
        <v>0</v>
      </c>
    </row>
    <row r="314" spans="1:25" hidden="1" x14ac:dyDescent="0.25">
      <c r="B314" s="24">
        <f t="shared" si="26"/>
        <v>16</v>
      </c>
      <c r="C314" s="1" cm="1">
        <f t="array" aca="1" ref="C314" ca="1">INDIRECT(CONCATENATE("'",$A$300,"'!A",B314),1)</f>
        <v>0</v>
      </c>
      <c r="D314" s="1" cm="1">
        <f t="array" aca="1" ref="D314" ca="1">INDIRECT(CONCATENATE("'",$A$300,"'!B",B314),1)</f>
        <v>0</v>
      </c>
      <c r="E314" s="1" cm="1">
        <f t="array" aca="1" ref="E314" ca="1">INDIRECT(CONCATENATE("'",$A$300,"'!c",B314),1)</f>
        <v>0</v>
      </c>
      <c r="F314" s="1" cm="1">
        <f t="array" aca="1" ref="F314" ca="1">INDIRECT(CONCATENATE("'",$A$300,"'!d",B314),1)</f>
        <v>0</v>
      </c>
      <c r="G314" s="1" cm="1">
        <f t="array" aca="1" ref="G314" ca="1">INDIRECT(CONCATENATE("'",$A$300,"'!e",B314),1)</f>
        <v>0</v>
      </c>
      <c r="H314" s="1" cm="1">
        <f t="array" aca="1" ref="H314" ca="1">INDIRECT(CONCATENATE("'",$A$300,"'!f",B314),1)</f>
        <v>0</v>
      </c>
      <c r="I314" s="1" cm="1">
        <f t="array" aca="1" ref="I314" ca="1">INDIRECT(CONCATENATE("'",$A$300,"'!g",B314),1)</f>
        <v>0</v>
      </c>
      <c r="J314" s="1" cm="1">
        <f t="array" aca="1" ref="J314" ca="1">INDIRECT(CONCATENATE("'",$A$300,"'!h",B314),1)</f>
        <v>0</v>
      </c>
      <c r="K314" s="1" cm="1">
        <f t="array" aca="1" ref="K314" ca="1">INDIRECT(CONCATENATE("'",$A$300,"'!i",B314),1)</f>
        <v>0</v>
      </c>
      <c r="L314" s="1" cm="1">
        <f t="array" aca="1" ref="L314" ca="1">INDIRECT(CONCATENATE("'",$A$300,"'!j",B314),1)</f>
        <v>0</v>
      </c>
      <c r="M314" s="1" cm="1">
        <f t="array" aca="1" ref="M314" ca="1">INDIRECT(CONCATENATE("'",$A$300,"'!k",B314),1)</f>
        <v>0</v>
      </c>
      <c r="N314" s="1" cm="1">
        <f t="array" aca="1" ref="N314" ca="1">INDIRECT(CONCATENATE("'",$A$300,"'!l",B314),1)</f>
        <v>0</v>
      </c>
      <c r="O314" s="1" cm="1">
        <f t="array" aca="1" ref="O314" ca="1">INDIRECT(CONCATENATE("'",$A$300,"'!m",B314),1)</f>
        <v>0</v>
      </c>
      <c r="P314" s="1" cm="1">
        <f t="array" aca="1" ref="P314" ca="1">INDIRECT(CONCATENATE("'",$A$300,"'!n",B314),1)</f>
        <v>0</v>
      </c>
      <c r="Q314" s="1" cm="1">
        <f t="array" aca="1" ref="Q314" ca="1">INDIRECT(CONCATENATE("'",$A$300,"'!o",B314),1)</f>
        <v>0</v>
      </c>
      <c r="R314" s="1" cm="1">
        <f t="array" aca="1" ref="R314" ca="1">INDIRECT(CONCATENATE("'",$A$300,"'!p",B314),1)</f>
        <v>0</v>
      </c>
      <c r="S314" s="1">
        <f t="shared" ca="1" si="22"/>
        <v>0</v>
      </c>
      <c r="T314" s="1" cm="1">
        <f t="array" aca="1" ref="T314" ca="1">INDIRECT(CONCATENATE("'",$A$300,"'!q",B314),1)</f>
        <v>0</v>
      </c>
      <c r="U314" s="1" cm="1">
        <f t="array" aca="1" ref="U314" ca="1">INDIRECT(CONCATENATE("'",$A$300,"'!r",B314),1)</f>
        <v>0</v>
      </c>
      <c r="V314" s="1" cm="1">
        <f t="array" aca="1" ref="V314" ca="1">INDIRECT(CONCATENATE("'",$A$300,"'!s",B314),1)</f>
        <v>0</v>
      </c>
      <c r="W314" s="1" cm="1">
        <f t="array" aca="1" ref="W314" ca="1">INDIRECT(CONCATENATE("'",$A$300,"'!t",B314),1)</f>
        <v>0</v>
      </c>
      <c r="X314" s="1" cm="1">
        <f t="array" aca="1" ref="X314" ca="1">INDIRECT(CONCATENATE("'",$A$300,"'!u",B314),1)</f>
        <v>0</v>
      </c>
      <c r="Y314" s="1" cm="1">
        <f t="array" aca="1" ref="Y314" ca="1">INDIRECT(CONCATENATE("'",$A$300,"'!v",B314),1)</f>
        <v>0</v>
      </c>
    </row>
    <row r="315" spans="1:25" hidden="1" x14ac:dyDescent="0.25">
      <c r="B315" s="24">
        <f t="shared" si="26"/>
        <v>17</v>
      </c>
      <c r="C315" s="1" cm="1">
        <f t="array" aca="1" ref="C315" ca="1">INDIRECT(CONCATENATE("'",$A$300,"'!A",B315),1)</f>
        <v>0</v>
      </c>
      <c r="D315" s="1" cm="1">
        <f t="array" aca="1" ref="D315" ca="1">INDIRECT(CONCATENATE("'",$A$300,"'!B",B315),1)</f>
        <v>0</v>
      </c>
      <c r="E315" s="1" cm="1">
        <f t="array" aca="1" ref="E315" ca="1">INDIRECT(CONCATENATE("'",$A$300,"'!c",B315),1)</f>
        <v>0</v>
      </c>
      <c r="F315" s="1" cm="1">
        <f t="array" aca="1" ref="F315" ca="1">INDIRECT(CONCATENATE("'",$A$300,"'!d",B315),1)</f>
        <v>0</v>
      </c>
      <c r="G315" s="1" cm="1">
        <f t="array" aca="1" ref="G315" ca="1">INDIRECT(CONCATENATE("'",$A$300,"'!e",B315),1)</f>
        <v>0</v>
      </c>
      <c r="H315" s="1" cm="1">
        <f t="array" aca="1" ref="H315" ca="1">INDIRECT(CONCATENATE("'",$A$300,"'!f",B315),1)</f>
        <v>0</v>
      </c>
      <c r="I315" s="1" cm="1">
        <f t="array" aca="1" ref="I315" ca="1">INDIRECT(CONCATENATE("'",$A$300,"'!g",B315),1)</f>
        <v>0</v>
      </c>
      <c r="J315" s="1" cm="1">
        <f t="array" aca="1" ref="J315" ca="1">INDIRECT(CONCATENATE("'",$A$300,"'!h",B315),1)</f>
        <v>0</v>
      </c>
      <c r="K315" s="1" cm="1">
        <f t="array" aca="1" ref="K315" ca="1">INDIRECT(CONCATENATE("'",$A$300,"'!i",B315),1)</f>
        <v>0</v>
      </c>
      <c r="L315" s="1" cm="1">
        <f t="array" aca="1" ref="L315" ca="1">INDIRECT(CONCATENATE("'",$A$300,"'!j",B315),1)</f>
        <v>0</v>
      </c>
      <c r="M315" s="1" cm="1">
        <f t="array" aca="1" ref="M315" ca="1">INDIRECT(CONCATENATE("'",$A$300,"'!k",B315),1)</f>
        <v>0</v>
      </c>
      <c r="N315" s="1" cm="1">
        <f t="array" aca="1" ref="N315" ca="1">INDIRECT(CONCATENATE("'",$A$300,"'!l",B315),1)</f>
        <v>0</v>
      </c>
      <c r="O315" s="1" cm="1">
        <f t="array" aca="1" ref="O315" ca="1">INDIRECT(CONCATENATE("'",$A$300,"'!m",B315),1)</f>
        <v>0</v>
      </c>
      <c r="P315" s="1" cm="1">
        <f t="array" aca="1" ref="P315" ca="1">INDIRECT(CONCATENATE("'",$A$300,"'!n",B315),1)</f>
        <v>0</v>
      </c>
      <c r="Q315" s="1" cm="1">
        <f t="array" aca="1" ref="Q315" ca="1">INDIRECT(CONCATENATE("'",$A$300,"'!o",B315),1)</f>
        <v>0</v>
      </c>
      <c r="R315" s="1" cm="1">
        <f t="array" aca="1" ref="R315" ca="1">INDIRECT(CONCATENATE("'",$A$300,"'!p",B315),1)</f>
        <v>0</v>
      </c>
      <c r="S315" s="1">
        <f t="shared" ca="1" si="22"/>
        <v>0</v>
      </c>
      <c r="T315" s="1" cm="1">
        <f t="array" aca="1" ref="T315" ca="1">INDIRECT(CONCATENATE("'",$A$300,"'!q",B315),1)</f>
        <v>0</v>
      </c>
      <c r="U315" s="1" cm="1">
        <f t="array" aca="1" ref="U315" ca="1">INDIRECT(CONCATENATE("'",$A$300,"'!r",B315),1)</f>
        <v>0</v>
      </c>
      <c r="V315" s="1" cm="1">
        <f t="array" aca="1" ref="V315" ca="1">INDIRECT(CONCATENATE("'",$A$300,"'!s",B315),1)</f>
        <v>0</v>
      </c>
      <c r="W315" s="1" cm="1">
        <f t="array" aca="1" ref="W315" ca="1">INDIRECT(CONCATENATE("'",$A$300,"'!t",B315),1)</f>
        <v>0</v>
      </c>
      <c r="X315" s="1" cm="1">
        <f t="array" aca="1" ref="X315" ca="1">INDIRECT(CONCATENATE("'",$A$300,"'!u",B315),1)</f>
        <v>0</v>
      </c>
      <c r="Y315" s="1" cm="1">
        <f t="array" aca="1" ref="Y315" ca="1">INDIRECT(CONCATENATE("'",$A$300,"'!v",B315),1)</f>
        <v>0</v>
      </c>
    </row>
    <row r="316" spans="1:25" hidden="1" x14ac:dyDescent="0.25">
      <c r="B316" s="24">
        <f t="shared" si="26"/>
        <v>18</v>
      </c>
      <c r="C316" s="1" cm="1">
        <f t="array" aca="1" ref="C316" ca="1">INDIRECT(CONCATENATE("'",$A$300,"'!A",B316),1)</f>
        <v>0</v>
      </c>
      <c r="D316" s="1" cm="1">
        <f t="array" aca="1" ref="D316" ca="1">INDIRECT(CONCATENATE("'",$A$300,"'!B",B316),1)</f>
        <v>0</v>
      </c>
      <c r="E316" s="1" cm="1">
        <f t="array" aca="1" ref="E316" ca="1">INDIRECT(CONCATENATE("'",$A$300,"'!c",B316),1)</f>
        <v>0</v>
      </c>
      <c r="F316" s="1" cm="1">
        <f t="array" aca="1" ref="F316" ca="1">INDIRECT(CONCATENATE("'",$A$300,"'!d",B316),1)</f>
        <v>0</v>
      </c>
      <c r="G316" s="1" cm="1">
        <f t="array" aca="1" ref="G316" ca="1">INDIRECT(CONCATENATE("'",$A$300,"'!e",B316),1)</f>
        <v>0</v>
      </c>
      <c r="H316" s="1" cm="1">
        <f t="array" aca="1" ref="H316" ca="1">INDIRECT(CONCATENATE("'",$A$300,"'!f",B316),1)</f>
        <v>0</v>
      </c>
      <c r="I316" s="1" cm="1">
        <f t="array" aca="1" ref="I316" ca="1">INDIRECT(CONCATENATE("'",$A$300,"'!g",B316),1)</f>
        <v>0</v>
      </c>
      <c r="J316" s="1" cm="1">
        <f t="array" aca="1" ref="J316" ca="1">INDIRECT(CONCATENATE("'",$A$300,"'!h",B316),1)</f>
        <v>0</v>
      </c>
      <c r="K316" s="1" cm="1">
        <f t="array" aca="1" ref="K316" ca="1">INDIRECT(CONCATENATE("'",$A$300,"'!i",B316),1)</f>
        <v>0</v>
      </c>
      <c r="L316" s="1" cm="1">
        <f t="array" aca="1" ref="L316" ca="1">INDIRECT(CONCATENATE("'",$A$300,"'!j",B316),1)</f>
        <v>0</v>
      </c>
      <c r="M316" s="1" cm="1">
        <f t="array" aca="1" ref="M316" ca="1">INDIRECT(CONCATENATE("'",$A$300,"'!k",B316),1)</f>
        <v>0</v>
      </c>
      <c r="N316" s="1" cm="1">
        <f t="array" aca="1" ref="N316" ca="1">INDIRECT(CONCATENATE("'",$A$300,"'!l",B316),1)</f>
        <v>0</v>
      </c>
      <c r="O316" s="1" cm="1">
        <f t="array" aca="1" ref="O316" ca="1">INDIRECT(CONCATENATE("'",$A$300,"'!m",B316),1)</f>
        <v>0</v>
      </c>
      <c r="P316" s="1" cm="1">
        <f t="array" aca="1" ref="P316" ca="1">INDIRECT(CONCATENATE("'",$A$300,"'!n",B316),1)</f>
        <v>0</v>
      </c>
      <c r="Q316" s="1" cm="1">
        <f t="array" aca="1" ref="Q316" ca="1">INDIRECT(CONCATENATE("'",$A$300,"'!o",B316),1)</f>
        <v>0</v>
      </c>
      <c r="R316" s="1" cm="1">
        <f t="array" aca="1" ref="R316" ca="1">INDIRECT(CONCATENATE("'",$A$300,"'!p",B316),1)</f>
        <v>0</v>
      </c>
      <c r="S316" s="1">
        <f t="shared" ca="1" si="22"/>
        <v>0</v>
      </c>
      <c r="T316" s="1" cm="1">
        <f t="array" aca="1" ref="T316" ca="1">INDIRECT(CONCATENATE("'",$A$300,"'!q",B316),1)</f>
        <v>0</v>
      </c>
      <c r="U316" s="1" cm="1">
        <f t="array" aca="1" ref="U316" ca="1">INDIRECT(CONCATENATE("'",$A$300,"'!r",B316),1)</f>
        <v>0</v>
      </c>
      <c r="V316" s="1" cm="1">
        <f t="array" aca="1" ref="V316" ca="1">INDIRECT(CONCATENATE("'",$A$300,"'!s",B316),1)</f>
        <v>0</v>
      </c>
      <c r="W316" s="1" cm="1">
        <f t="array" aca="1" ref="W316" ca="1">INDIRECT(CONCATENATE("'",$A$300,"'!t",B316),1)</f>
        <v>0</v>
      </c>
      <c r="X316" s="1" cm="1">
        <f t="array" aca="1" ref="X316" ca="1">INDIRECT(CONCATENATE("'",$A$300,"'!u",B316),1)</f>
        <v>0</v>
      </c>
      <c r="Y316" s="1" cm="1">
        <f t="array" aca="1" ref="Y316" ca="1">INDIRECT(CONCATENATE("'",$A$300,"'!v",B316),1)</f>
        <v>0</v>
      </c>
    </row>
    <row r="317" spans="1:25" hidden="1" x14ac:dyDescent="0.25">
      <c r="B317" s="24">
        <f t="shared" si="26"/>
        <v>19</v>
      </c>
      <c r="C317" s="1" cm="1">
        <f t="array" aca="1" ref="C317" ca="1">INDIRECT(CONCATENATE("'",$A$300,"'!A",B317),1)</f>
        <v>0</v>
      </c>
      <c r="D317" s="1" cm="1">
        <f t="array" aca="1" ref="D317" ca="1">INDIRECT(CONCATENATE("'",$A$300,"'!B",B317),1)</f>
        <v>0</v>
      </c>
      <c r="E317" s="1" cm="1">
        <f t="array" aca="1" ref="E317" ca="1">INDIRECT(CONCATENATE("'",$A$300,"'!c",B317),1)</f>
        <v>0</v>
      </c>
      <c r="F317" s="1" cm="1">
        <f t="array" aca="1" ref="F317" ca="1">INDIRECT(CONCATENATE("'",$A$300,"'!d",B317),1)</f>
        <v>0</v>
      </c>
      <c r="G317" s="1" cm="1">
        <f t="array" aca="1" ref="G317" ca="1">INDIRECT(CONCATENATE("'",$A$300,"'!e",B317),1)</f>
        <v>0</v>
      </c>
      <c r="H317" s="1" cm="1">
        <f t="array" aca="1" ref="H317" ca="1">INDIRECT(CONCATENATE("'",$A$300,"'!f",B317),1)</f>
        <v>0</v>
      </c>
      <c r="I317" s="1" cm="1">
        <f t="array" aca="1" ref="I317" ca="1">INDIRECT(CONCATENATE("'",$A$300,"'!g",B317),1)</f>
        <v>0</v>
      </c>
      <c r="J317" s="1" cm="1">
        <f t="array" aca="1" ref="J317" ca="1">INDIRECT(CONCATENATE("'",$A$300,"'!h",B317),1)</f>
        <v>0</v>
      </c>
      <c r="K317" s="1" cm="1">
        <f t="array" aca="1" ref="K317" ca="1">INDIRECT(CONCATENATE("'",$A$300,"'!i",B317),1)</f>
        <v>0</v>
      </c>
      <c r="L317" s="1" cm="1">
        <f t="array" aca="1" ref="L317" ca="1">INDIRECT(CONCATENATE("'",$A$300,"'!j",B317),1)</f>
        <v>0</v>
      </c>
      <c r="M317" s="1" cm="1">
        <f t="array" aca="1" ref="M317" ca="1">INDIRECT(CONCATENATE("'",$A$300,"'!k",B317),1)</f>
        <v>0</v>
      </c>
      <c r="N317" s="1" cm="1">
        <f t="array" aca="1" ref="N317" ca="1">INDIRECT(CONCATENATE("'",$A$300,"'!l",B317),1)</f>
        <v>0</v>
      </c>
      <c r="O317" s="1" cm="1">
        <f t="array" aca="1" ref="O317" ca="1">INDIRECT(CONCATENATE("'",$A$300,"'!m",B317),1)</f>
        <v>0</v>
      </c>
      <c r="P317" s="1" cm="1">
        <f t="array" aca="1" ref="P317" ca="1">INDIRECT(CONCATENATE("'",$A$300,"'!n",B317),1)</f>
        <v>0</v>
      </c>
      <c r="Q317" s="1" cm="1">
        <f t="array" aca="1" ref="Q317" ca="1">INDIRECT(CONCATENATE("'",$A$300,"'!o",B317),1)</f>
        <v>0</v>
      </c>
      <c r="R317" s="1" cm="1">
        <f t="array" aca="1" ref="R317" ca="1">INDIRECT(CONCATENATE("'",$A$300,"'!p",B317),1)</f>
        <v>0</v>
      </c>
      <c r="S317" s="1">
        <f t="shared" ca="1" si="22"/>
        <v>0</v>
      </c>
      <c r="T317" s="1" cm="1">
        <f t="array" aca="1" ref="T317" ca="1">INDIRECT(CONCATENATE("'",$A$300,"'!q",B317),1)</f>
        <v>0</v>
      </c>
      <c r="U317" s="1" cm="1">
        <f t="array" aca="1" ref="U317" ca="1">INDIRECT(CONCATENATE("'",$A$300,"'!r",B317),1)</f>
        <v>0</v>
      </c>
      <c r="V317" s="1" cm="1">
        <f t="array" aca="1" ref="V317" ca="1">INDIRECT(CONCATENATE("'",$A$300,"'!s",B317),1)</f>
        <v>0</v>
      </c>
      <c r="W317" s="1" cm="1">
        <f t="array" aca="1" ref="W317" ca="1">INDIRECT(CONCATENATE("'",$A$300,"'!t",B317),1)</f>
        <v>0</v>
      </c>
      <c r="X317" s="1" cm="1">
        <f t="array" aca="1" ref="X317" ca="1">INDIRECT(CONCATENATE("'",$A$300,"'!u",B317),1)</f>
        <v>0</v>
      </c>
      <c r="Y317" s="1" cm="1">
        <f t="array" aca="1" ref="Y317" ca="1">INDIRECT(CONCATENATE("'",$A$300,"'!v",B317),1)</f>
        <v>0</v>
      </c>
    </row>
    <row r="318" spans="1:25" hidden="1" x14ac:dyDescent="0.25">
      <c r="B318" s="24">
        <f t="shared" si="26"/>
        <v>20</v>
      </c>
      <c r="C318" s="1" cm="1">
        <f t="array" aca="1" ref="C318" ca="1">INDIRECT(CONCATENATE("'",$A$300,"'!A",B318),1)</f>
        <v>0</v>
      </c>
      <c r="D318" s="1" cm="1">
        <f t="array" aca="1" ref="D318" ca="1">INDIRECT(CONCATENATE("'",$A$300,"'!B",B318),1)</f>
        <v>0</v>
      </c>
      <c r="E318" s="1" cm="1">
        <f t="array" aca="1" ref="E318" ca="1">INDIRECT(CONCATENATE("'",$A$300,"'!c",B318),1)</f>
        <v>0</v>
      </c>
      <c r="F318" s="1" cm="1">
        <f t="array" aca="1" ref="F318" ca="1">INDIRECT(CONCATENATE("'",$A$300,"'!d",B318),1)</f>
        <v>0</v>
      </c>
      <c r="G318" s="1" cm="1">
        <f t="array" aca="1" ref="G318" ca="1">INDIRECT(CONCATENATE("'",$A$300,"'!e",B318),1)</f>
        <v>0</v>
      </c>
      <c r="H318" s="1" cm="1">
        <f t="array" aca="1" ref="H318" ca="1">INDIRECT(CONCATENATE("'",$A$300,"'!f",B318),1)</f>
        <v>0</v>
      </c>
      <c r="I318" s="1" cm="1">
        <f t="array" aca="1" ref="I318" ca="1">INDIRECT(CONCATENATE("'",$A$300,"'!g",B318),1)</f>
        <v>0</v>
      </c>
      <c r="J318" s="1" cm="1">
        <f t="array" aca="1" ref="J318" ca="1">INDIRECT(CONCATENATE("'",$A$300,"'!h",B318),1)</f>
        <v>0</v>
      </c>
      <c r="K318" s="1" cm="1">
        <f t="array" aca="1" ref="K318" ca="1">INDIRECT(CONCATENATE("'",$A$300,"'!i",B318),1)</f>
        <v>0</v>
      </c>
      <c r="L318" s="1" cm="1">
        <f t="array" aca="1" ref="L318" ca="1">INDIRECT(CONCATENATE("'",$A$300,"'!j",B318),1)</f>
        <v>0</v>
      </c>
      <c r="M318" s="1" cm="1">
        <f t="array" aca="1" ref="M318" ca="1">INDIRECT(CONCATENATE("'",$A$300,"'!k",B318),1)</f>
        <v>0</v>
      </c>
      <c r="N318" s="1" cm="1">
        <f t="array" aca="1" ref="N318" ca="1">INDIRECT(CONCATENATE("'",$A$300,"'!l",B318),1)</f>
        <v>0</v>
      </c>
      <c r="O318" s="1" cm="1">
        <f t="array" aca="1" ref="O318" ca="1">INDIRECT(CONCATENATE("'",$A$300,"'!m",B318),1)</f>
        <v>0</v>
      </c>
      <c r="P318" s="1" cm="1">
        <f t="array" aca="1" ref="P318" ca="1">INDIRECT(CONCATENATE("'",$A$300,"'!n",B318),1)</f>
        <v>0</v>
      </c>
      <c r="Q318" s="1" cm="1">
        <f t="array" aca="1" ref="Q318" ca="1">INDIRECT(CONCATENATE("'",$A$300,"'!o",B318),1)</f>
        <v>0</v>
      </c>
      <c r="R318" s="1" cm="1">
        <f t="array" aca="1" ref="R318" ca="1">INDIRECT(CONCATENATE("'",$A$300,"'!p",B318),1)</f>
        <v>0</v>
      </c>
      <c r="S318" s="1">
        <f t="shared" ca="1" si="22"/>
        <v>0</v>
      </c>
      <c r="T318" s="1" cm="1">
        <f t="array" aca="1" ref="T318" ca="1">INDIRECT(CONCATENATE("'",$A$300,"'!q",B318),1)</f>
        <v>0</v>
      </c>
      <c r="U318" s="1" cm="1">
        <f t="array" aca="1" ref="U318" ca="1">INDIRECT(CONCATENATE("'",$A$300,"'!r",B318),1)</f>
        <v>0</v>
      </c>
      <c r="V318" s="1" cm="1">
        <f t="array" aca="1" ref="V318" ca="1">INDIRECT(CONCATENATE("'",$A$300,"'!s",B318),1)</f>
        <v>0</v>
      </c>
      <c r="W318" s="1" cm="1">
        <f t="array" aca="1" ref="W318" ca="1">INDIRECT(CONCATENATE("'",$A$300,"'!t",B318),1)</f>
        <v>0</v>
      </c>
      <c r="X318" s="1" cm="1">
        <f t="array" aca="1" ref="X318" ca="1">INDIRECT(CONCATENATE("'",$A$300,"'!u",B318),1)</f>
        <v>0</v>
      </c>
      <c r="Y318" s="1" cm="1">
        <f t="array" aca="1" ref="Y318" ca="1">INDIRECT(CONCATENATE("'",$A$300,"'!v",B318),1)</f>
        <v>0</v>
      </c>
    </row>
    <row r="319" spans="1:25" hidden="1" x14ac:dyDescent="0.25">
      <c r="B319" s="24">
        <f t="shared" si="26"/>
        <v>21</v>
      </c>
      <c r="C319" s="1" cm="1">
        <f t="array" aca="1" ref="C319" ca="1">INDIRECT(CONCATENATE("'",$A$300,"'!A",B319),1)</f>
        <v>0</v>
      </c>
      <c r="D319" s="1" cm="1">
        <f t="array" aca="1" ref="D319" ca="1">INDIRECT(CONCATENATE("'",$A$300,"'!B",B319),1)</f>
        <v>0</v>
      </c>
      <c r="E319" s="1" cm="1">
        <f t="array" aca="1" ref="E319" ca="1">INDIRECT(CONCATENATE("'",$A$300,"'!c",B319),1)</f>
        <v>0</v>
      </c>
      <c r="F319" s="1" cm="1">
        <f t="array" aca="1" ref="F319" ca="1">INDIRECT(CONCATENATE("'",$A$300,"'!d",B319),1)</f>
        <v>0</v>
      </c>
      <c r="G319" s="1" cm="1">
        <f t="array" aca="1" ref="G319" ca="1">INDIRECT(CONCATENATE("'",$A$300,"'!e",B319),1)</f>
        <v>0</v>
      </c>
      <c r="H319" s="1" cm="1">
        <f t="array" aca="1" ref="H319" ca="1">INDIRECT(CONCATENATE("'",$A$300,"'!f",B319),1)</f>
        <v>0</v>
      </c>
      <c r="I319" s="1" cm="1">
        <f t="array" aca="1" ref="I319" ca="1">INDIRECT(CONCATENATE("'",$A$300,"'!g",B319),1)</f>
        <v>0</v>
      </c>
      <c r="J319" s="1" cm="1">
        <f t="array" aca="1" ref="J319" ca="1">INDIRECT(CONCATENATE("'",$A$300,"'!h",B319),1)</f>
        <v>0</v>
      </c>
      <c r="K319" s="1" cm="1">
        <f t="array" aca="1" ref="K319" ca="1">INDIRECT(CONCATENATE("'",$A$300,"'!i",B319),1)</f>
        <v>0</v>
      </c>
      <c r="L319" s="1" cm="1">
        <f t="array" aca="1" ref="L319" ca="1">INDIRECT(CONCATENATE("'",$A$300,"'!j",B319),1)</f>
        <v>0</v>
      </c>
      <c r="M319" s="1" cm="1">
        <f t="array" aca="1" ref="M319" ca="1">INDIRECT(CONCATENATE("'",$A$300,"'!k",B319),1)</f>
        <v>0</v>
      </c>
      <c r="N319" s="1" cm="1">
        <f t="array" aca="1" ref="N319" ca="1">INDIRECT(CONCATENATE("'",$A$300,"'!l",B319),1)</f>
        <v>0</v>
      </c>
      <c r="O319" s="1" cm="1">
        <f t="array" aca="1" ref="O319" ca="1">INDIRECT(CONCATENATE("'",$A$300,"'!m",B319),1)</f>
        <v>0</v>
      </c>
      <c r="P319" s="1" cm="1">
        <f t="array" aca="1" ref="P319" ca="1">INDIRECT(CONCATENATE("'",$A$300,"'!n",B319),1)</f>
        <v>0</v>
      </c>
      <c r="Q319" s="1" cm="1">
        <f t="array" aca="1" ref="Q319" ca="1">INDIRECT(CONCATENATE("'",$A$300,"'!o",B319),1)</f>
        <v>0</v>
      </c>
      <c r="R319" s="1" cm="1">
        <f t="array" aca="1" ref="R319" ca="1">INDIRECT(CONCATENATE("'",$A$300,"'!p",B319),1)</f>
        <v>0</v>
      </c>
      <c r="S319" s="1">
        <f t="shared" ca="1" si="22"/>
        <v>0</v>
      </c>
      <c r="T319" s="1" cm="1">
        <f t="array" aca="1" ref="T319" ca="1">INDIRECT(CONCATENATE("'",$A$300,"'!q",B319),1)</f>
        <v>0</v>
      </c>
      <c r="U319" s="1" cm="1">
        <f t="array" aca="1" ref="U319" ca="1">INDIRECT(CONCATENATE("'",$A$300,"'!r",B319),1)</f>
        <v>0</v>
      </c>
      <c r="V319" s="1" cm="1">
        <f t="array" aca="1" ref="V319" ca="1">INDIRECT(CONCATENATE("'",$A$300,"'!s",B319),1)</f>
        <v>0</v>
      </c>
      <c r="W319" s="1" cm="1">
        <f t="array" aca="1" ref="W319" ca="1">INDIRECT(CONCATENATE("'",$A$300,"'!t",B319),1)</f>
        <v>0</v>
      </c>
      <c r="X319" s="1" cm="1">
        <f t="array" aca="1" ref="X319" ca="1">INDIRECT(CONCATENATE("'",$A$300,"'!u",B319),1)</f>
        <v>0</v>
      </c>
      <c r="Y319" s="1" cm="1">
        <f t="array" aca="1" ref="Y319" ca="1">INDIRECT(CONCATENATE("'",$A$300,"'!v",B319),1)</f>
        <v>0</v>
      </c>
    </row>
    <row r="320" spans="1:25" ht="22.5" hidden="1" x14ac:dyDescent="0.25">
      <c r="A320" s="24" t="s">
        <v>266</v>
      </c>
      <c r="B320" s="24">
        <v>2</v>
      </c>
      <c r="C320" s="1" t="str" cm="1">
        <f t="array" aca="1" ref="C320" ca="1">INDIRECT(CONCATENATE("'",$A$320,"'!A",B320),1)</f>
        <v>Методика обучения информатике</v>
      </c>
      <c r="D320" s="1" t="str" cm="1">
        <f t="array" aca="1" ref="D320" ca="1">INDIRECT(CONCATENATE("'",$A$320,"'!B",B320),1)</f>
        <v xml:space="preserve">44.03.05(24) </v>
      </c>
      <c r="E320" s="1" t="str" cm="1">
        <f t="array" aca="1" ref="E320" ca="1">INDIRECT(CONCATENATE("'",$A$300,"'!c",B320),1)</f>
        <v>ИПТ</v>
      </c>
      <c r="F320" s="1" cm="1">
        <f t="array" aca="1" ref="F320" ca="1">INDIRECT(CONCATENATE("'",$A$320,"'!d",B320),1)</f>
        <v>7</v>
      </c>
      <c r="G320" s="1" cm="1">
        <f t="array" aca="1" ref="G320" ca="1">INDIRECT(CONCATENATE("'",$A$320,"'!e",B320),1)</f>
        <v>1</v>
      </c>
      <c r="H320" s="1" cm="1">
        <f t="array" aca="1" ref="H320" ca="1">INDIRECT(CONCATENATE("'",$A$320,"'!f",B320),1)</f>
        <v>9</v>
      </c>
      <c r="I320" s="1" t="str" cm="1">
        <f t="array" aca="1" ref="I320" ca="1">INDIRECT(CONCATENATE("'",$A$320,"'!g",B320),1)</f>
        <v>ЭКЗ</v>
      </c>
      <c r="J320" s="1" cm="1">
        <f t="array" aca="1" ref="J320" ca="1">INDIRECT(CONCATENATE("'",$A$320,"'!h",B320),1)</f>
        <v>6</v>
      </c>
      <c r="K320" s="1" cm="1">
        <f t="array" aca="1" ref="K320" ca="1">INDIRECT(CONCATENATE("'",$A$320,"'!i",B320),1)</f>
        <v>28</v>
      </c>
      <c r="L320" s="1" cm="1">
        <f t="array" aca="1" ref="L320" ca="1">INDIRECT(CONCATENATE("'",$A$320,"'!j",B320),1)</f>
        <v>0</v>
      </c>
      <c r="M320" s="1" cm="1">
        <f t="array" aca="1" ref="M320" ca="1">INDIRECT(CONCATENATE("'",$A$320,"'!k",B320),1)</f>
        <v>42</v>
      </c>
      <c r="N320" s="1" t="str" cm="1">
        <f t="array" aca="1" ref="N320" ca="1">INDIRECT(CONCATENATE("'",$A$320,"'!l",B320),1)</f>
        <v>Моркин С.А.</v>
      </c>
      <c r="O320" s="1" cm="1">
        <f t="array" aca="1" ref="O320" ca="1">INDIRECT(CONCATENATE("'",$A$320,"'!m",B320),1)</f>
        <v>3317</v>
      </c>
      <c r="P320" s="1" t="str" cm="1">
        <f t="array" aca="1" ref="P320" ca="1">INDIRECT(CONCATENATE("'",$A$320,"'!n",B320),1)</f>
        <v>1п</v>
      </c>
      <c r="Q320" s="1" cm="1">
        <f t="array" aca="1" ref="Q320" ca="1">INDIRECT(CONCATENATE("'",$A$320,"'!o",B320),1)</f>
        <v>9.9</v>
      </c>
      <c r="R320" s="1" cm="1">
        <f t="array" aca="1" ref="R320" ca="1">INDIRECT(CONCATENATE("'",$A$320,"'!p",B320),1)</f>
        <v>6.6</v>
      </c>
      <c r="S320" s="1">
        <f t="shared" ca="1" si="22"/>
        <v>0</v>
      </c>
      <c r="T320" s="1" t="str" cm="1">
        <f t="array" aca="1" ref="T320" ca="1">INDIRECT(CONCATENATE("'",$A$320,"'!q",B320),1)</f>
        <v>Моркин С.А.</v>
      </c>
      <c r="U320" s="1" cm="1">
        <f t="array" aca="1" ref="U320" ca="1">INDIRECT(CONCATENATE("'",$A$320,"'!r",B320),1)</f>
        <v>86.5</v>
      </c>
      <c r="V320" s="1" cm="1">
        <f t="array" aca="1" ref="V320" ca="1">INDIRECT(CONCATENATE("'",$A$320,"'!s",B320),1)</f>
        <v>0</v>
      </c>
      <c r="W320" s="1" cm="1">
        <f t="array" aca="1" ref="W320" ca="1">INDIRECT(CONCATENATE("'",$A$320,"'!t",B320),1)</f>
        <v>0</v>
      </c>
      <c r="X320" s="1" cm="1">
        <f t="array" aca="1" ref="X320" ca="1">INDIRECT(CONCATENATE("'",$A$320,"'!u",B320),1)</f>
        <v>0</v>
      </c>
      <c r="Y320" s="1" cm="1">
        <f t="array" aca="1" ref="Y320" ca="1">INDIRECT(CONCATENATE("'",$A$320,"'!v",B320),1)</f>
        <v>0</v>
      </c>
    </row>
    <row r="321" spans="1:25" customFormat="1" ht="45" hidden="1" x14ac:dyDescent="0.25">
      <c r="A321" s="15"/>
      <c r="B321" s="24">
        <f>B320+1</f>
        <v>3</v>
      </c>
      <c r="C321" s="1" t="str" cm="1">
        <f t="array" aca="1" ref="C321" ca="1">INDIRECT(CONCATENATE("'",$A$320,"'!A",B321),1)</f>
        <v>Современные web-технологии и методы и средства защиты информации</v>
      </c>
      <c r="D321" s="1" t="str" cm="1">
        <f t="array" aca="1" ref="D321" ca="1">INDIRECT(CONCATENATE("'",$A$320,"'!B",B321),1)</f>
        <v xml:space="preserve">44.03.05(12) </v>
      </c>
      <c r="E321" s="1" t="str" cm="1">
        <f t="array" aca="1" ref="E321" ca="1">INDIRECT(CONCATENATE("'",$A$300,"'!c",B321),1)</f>
        <v>ПТИ</v>
      </c>
      <c r="F321" s="1" cm="1">
        <f t="array" aca="1" ref="F321" ca="1">INDIRECT(CONCATENATE("'",$A$320,"'!d",B321),1)</f>
        <v>8</v>
      </c>
      <c r="G321" s="1" cm="1">
        <f t="array" aca="1" ref="G321" ca="1">INDIRECT(CONCATENATE("'",$A$320,"'!e",B321),1)</f>
        <v>1</v>
      </c>
      <c r="H321" s="1" cm="1">
        <f t="array" aca="1" ref="H321" ca="1">INDIRECT(CONCATENATE("'",$A$320,"'!f",B321),1)</f>
        <v>1</v>
      </c>
      <c r="I321" s="1" t="str" cm="1">
        <f t="array" aca="1" ref="I321" ca="1">INDIRECT(CONCATENATE("'",$A$320,"'!g",B321),1)</f>
        <v>ЭКЗ</v>
      </c>
      <c r="J321" s="1" cm="1">
        <f t="array" aca="1" ref="J321" ca="1">INDIRECT(CONCATENATE("'",$A$320,"'!h",B321),1)</f>
        <v>5</v>
      </c>
      <c r="K321" s="1" cm="1">
        <f t="array" aca="1" ref="K321" ca="1">INDIRECT(CONCATENATE("'",$A$320,"'!i",B321),1)</f>
        <v>7</v>
      </c>
      <c r="L321" s="1" cm="1">
        <f t="array" aca="1" ref="L321" ca="1">INDIRECT(CONCATENATE("'",$A$320,"'!j",B321),1)</f>
        <v>0</v>
      </c>
      <c r="M321" s="1" cm="1">
        <f t="array" aca="1" ref="M321" ca="1">INDIRECT(CONCATENATE("'",$A$320,"'!k",B321),1)</f>
        <v>21</v>
      </c>
      <c r="N321" s="1" t="str" cm="1">
        <f t="array" aca="1" ref="N321" ca="1">INDIRECT(CONCATENATE("'",$A$320,"'!l",B321),1)</f>
        <v>Соколова Г.Ю.</v>
      </c>
      <c r="O321" s="1" cm="1">
        <f t="array" aca="1" ref="O321" ca="1">INDIRECT(CONCATENATE("'",$A$320,"'!m",B321),1)</f>
        <v>3300</v>
      </c>
      <c r="P321" s="1" cm="1">
        <f t="array" aca="1" ref="P321" ca="1">INDIRECT(CONCATENATE("'",$A$320,"'!n",B321),1)</f>
        <v>0.5</v>
      </c>
      <c r="Q321" s="1" cm="1">
        <f t="array" aca="1" ref="Q321" ca="1">INDIRECT(CONCATENATE("'",$A$320,"'!o",B321),1)</f>
        <v>0.8</v>
      </c>
      <c r="R321" s="1" cm="1">
        <f t="array" aca="1" ref="R321" ca="1">INDIRECT(CONCATENATE("'",$A$320,"'!p",B321),1)</f>
        <v>0.5</v>
      </c>
      <c r="S321" s="1">
        <f t="shared" ref="S321:S343" ca="1" si="27">SUMIFS(U321,T321,$N$1)+SUMIFS(W321,V321,$N$1)+SUMIFS(Y321,X321,$N$1)</f>
        <v>0</v>
      </c>
      <c r="T321" s="1" t="str" cm="1">
        <f t="array" aca="1" ref="T321" ca="1">INDIRECT(CONCATENATE("'",$A$320,"'!q",B321),1)</f>
        <v>Соколова Г.Ю.</v>
      </c>
      <c r="U321" s="1" cm="1">
        <f t="array" aca="1" ref="U321" ca="1">INDIRECT(CONCATENATE("'",$A$320,"'!r",B321),1)</f>
        <v>29.3</v>
      </c>
      <c r="V321" s="1" cm="1">
        <f t="array" aca="1" ref="V321" ca="1">INDIRECT(CONCATENATE("'",$A$320,"'!s",B321),1)</f>
        <v>0</v>
      </c>
      <c r="W321" s="1" cm="1">
        <f t="array" aca="1" ref="W321" ca="1">INDIRECT(CONCATENATE("'",$A$320,"'!t",B321),1)</f>
        <v>0</v>
      </c>
      <c r="X321" s="1" cm="1">
        <f t="array" aca="1" ref="X321" ca="1">INDIRECT(CONCATENATE("'",$A$320,"'!u",B321),1)</f>
        <v>0.5</v>
      </c>
      <c r="Y321" s="1" cm="1">
        <f t="array" aca="1" ref="Y321" ca="1">INDIRECT(CONCATENATE("'",$A$320,"'!v",B321),1)</f>
        <v>0</v>
      </c>
    </row>
    <row r="322" spans="1:25" ht="45" hidden="1" x14ac:dyDescent="0.25">
      <c r="B322" s="24">
        <f t="shared" ref="B322:B349" si="28">B321+1</f>
        <v>4</v>
      </c>
      <c r="C322" s="1" t="str" cm="1">
        <f t="array" aca="1" ref="C322" ca="1">INDIRECT(CONCATENATE("'",$A$320,"'!A",B322),1)</f>
        <v>Современные web-технологии и методы и средства защиты информации</v>
      </c>
      <c r="D322" s="1" t="str" cm="1">
        <f t="array" aca="1" ref="D322" ca="1">INDIRECT(CONCATENATE("'",$A$320,"'!B",B322),1)</f>
        <v xml:space="preserve">44.03.05(13) </v>
      </c>
      <c r="E322" s="1" t="str" cm="1">
        <f t="array" aca="1" ref="E322" ca="1">INDIRECT(CONCATENATE("'",$A$300,"'!c",B322),1)</f>
        <v>ПТИ</v>
      </c>
      <c r="F322" s="1" cm="1">
        <f t="array" aca="1" ref="F322" ca="1">INDIRECT(CONCATENATE("'",$A$320,"'!d",B322),1)</f>
        <v>8</v>
      </c>
      <c r="G322" s="1" cm="1">
        <f t="array" aca="1" ref="G322" ca="1">INDIRECT(CONCATENATE("'",$A$320,"'!e",B322),1)</f>
        <v>1</v>
      </c>
      <c r="H322" s="1" cm="1">
        <f t="array" aca="1" ref="H322" ca="1">INDIRECT(CONCATENATE("'",$A$320,"'!f",B322),1)</f>
        <v>5</v>
      </c>
      <c r="I322" s="1" t="str" cm="1">
        <f t="array" aca="1" ref="I322" ca="1">INDIRECT(CONCATENATE("'",$A$320,"'!g",B322),1)</f>
        <v>ЭКЗ</v>
      </c>
      <c r="J322" s="1" cm="1">
        <f t="array" aca="1" ref="J322" ca="1">INDIRECT(CONCATENATE("'",$A$320,"'!h",B322),1)</f>
        <v>5</v>
      </c>
      <c r="K322" s="1" cm="1">
        <f t="array" aca="1" ref="K322" ca="1">INDIRECT(CONCATENATE("'",$A$320,"'!i",B322),1)</f>
        <v>7</v>
      </c>
      <c r="L322" s="1" cm="1">
        <f t="array" aca="1" ref="L322" ca="1">INDIRECT(CONCATENATE("'",$A$320,"'!j",B322),1)</f>
        <v>0</v>
      </c>
      <c r="M322" s="1" cm="1">
        <f t="array" aca="1" ref="M322" ca="1">INDIRECT(CONCATENATE("'",$A$320,"'!k",B322),1)</f>
        <v>21</v>
      </c>
      <c r="N322" s="1" t="str" cm="1">
        <f t="array" aca="1" ref="N322" ca="1">INDIRECT(CONCATENATE("'",$A$320,"'!l",B322),1)</f>
        <v>Соколова Г.Ю.0,5</v>
      </c>
      <c r="O322" s="1" cm="1">
        <f t="array" aca="1" ref="O322" ca="1">INDIRECT(CONCATENATE("'",$A$320,"'!m",B322),1)</f>
        <v>3300</v>
      </c>
      <c r="P322" s="1" cm="1">
        <f t="array" aca="1" ref="P322" ca="1">INDIRECT(CONCATENATE("'",$A$320,"'!n",B322),1)</f>
        <v>0.5</v>
      </c>
      <c r="Q322" s="1" cm="1">
        <f t="array" aca="1" ref="Q322" ca="1">INDIRECT(CONCATENATE("'",$A$320,"'!o",B322),1)</f>
        <v>3.8</v>
      </c>
      <c r="R322" s="1" cm="1">
        <f t="array" aca="1" ref="R322" ca="1">INDIRECT(CONCATENATE("'",$A$320,"'!p",B322),1)</f>
        <v>2.5</v>
      </c>
      <c r="S322" s="1">
        <f t="shared" ca="1" si="27"/>
        <v>0</v>
      </c>
      <c r="T322" s="1" t="str" cm="1">
        <f t="array" aca="1" ref="T322" ca="1">INDIRECT(CONCATENATE("'",$A$320,"'!q",B322),1)</f>
        <v>Соколова Г.Ю.</v>
      </c>
      <c r="U322" s="1" cm="1">
        <f t="array" aca="1" ref="U322" ca="1">INDIRECT(CONCATENATE("'",$A$320,"'!r",B322),1)</f>
        <v>34.299999999999997</v>
      </c>
      <c r="V322" s="1" cm="1">
        <f t="array" aca="1" ref="V322" ca="1">INDIRECT(CONCATENATE("'",$A$320,"'!s",B322),1)</f>
        <v>0</v>
      </c>
      <c r="W322" s="1" cm="1">
        <f t="array" aca="1" ref="W322" ca="1">INDIRECT(CONCATENATE("'",$A$320,"'!t",B322),1)</f>
        <v>0</v>
      </c>
      <c r="X322" s="1" cm="1">
        <f t="array" aca="1" ref="X322" ca="1">INDIRECT(CONCATENATE("'",$A$320,"'!u",B322),1)</f>
        <v>0.5</v>
      </c>
      <c r="Y322" s="1" cm="1">
        <f t="array" aca="1" ref="Y322" ca="1">INDIRECT(CONCATENATE("'",$A$320,"'!v",B322),1)</f>
        <v>0</v>
      </c>
    </row>
    <row r="323" spans="1:25" ht="78.75" hidden="1" x14ac:dyDescent="0.25">
      <c r="B323" s="24">
        <f t="shared" si="28"/>
        <v>5</v>
      </c>
      <c r="C323" s="1" t="str" cm="1">
        <f t="array" aca="1" ref="C323" ca="1">INDIRECT(CONCATENATE("'",$A$320,"'!A",B323),1)</f>
        <v>Практика учебная: Практика технологическая (практика по применению информационных технологий в обучении)</v>
      </c>
      <c r="D323" s="1" t="str" cm="1">
        <f t="array" aca="1" ref="D323" ca="1">INDIRECT(CONCATENATE("'",$A$320,"'!B",B323),1)</f>
        <v xml:space="preserve">44.03.05(12) 44.03.05(13) </v>
      </c>
      <c r="E323" s="1" t="str" cm="1">
        <f t="array" aca="1" ref="E323" ca="1">INDIRECT(CONCATENATE("'",$A$300,"'!c",B323),1)</f>
        <v>ПТИ</v>
      </c>
      <c r="F323" s="1" cm="1">
        <f t="array" aca="1" ref="F323" ca="1">INDIRECT(CONCATENATE("'",$A$320,"'!d",B323),1)</f>
        <v>9</v>
      </c>
      <c r="G323" s="1" cm="1">
        <f t="array" aca="1" ref="G323" ca="1">INDIRECT(CONCATENATE("'",$A$320,"'!e",B323),1)</f>
        <v>2</v>
      </c>
      <c r="H323" s="1" cm="1">
        <f t="array" aca="1" ref="H323" ca="1">INDIRECT(CONCATENATE("'",$A$320,"'!f",B323),1)</f>
        <v>13</v>
      </c>
      <c r="I323" s="1" t="str" cm="1">
        <f t="array" aca="1" ref="I323" ca="1">INDIRECT(CONCATENATE("'",$A$320,"'!g",B323),1)</f>
        <v>ДЗ</v>
      </c>
      <c r="J323" s="1" cm="1">
        <f t="array" aca="1" ref="J323" ca="1">INDIRECT(CONCATENATE("'",$A$320,"'!h",B323),1)</f>
        <v>3</v>
      </c>
      <c r="K323" s="1" cm="1">
        <f t="array" aca="1" ref="K323" ca="1">INDIRECT(CONCATENATE("'",$A$320,"'!i",B323),1)</f>
        <v>0</v>
      </c>
      <c r="L323" s="1" cm="1">
        <f t="array" aca="1" ref="L323" ca="1">INDIRECT(CONCATENATE("'",$A$320,"'!j",B323),1)</f>
        <v>2</v>
      </c>
      <c r="M323" s="1" cm="1">
        <f t="array" aca="1" ref="M323" ca="1">INDIRECT(CONCATENATE("'",$A$320,"'!k",B323),1)</f>
        <v>0</v>
      </c>
      <c r="N323" s="1" t="str" cm="1">
        <f t="array" aca="1" ref="N323" ca="1">INDIRECT(CONCATENATE("'",$A$320,"'!l",B323),1)</f>
        <v>Моркин С.А.</v>
      </c>
      <c r="O323" s="1" cm="1">
        <f t="array" aca="1" ref="O323" ca="1">INDIRECT(CONCATENATE("'",$A$320,"'!m",B323),1)</f>
        <v>3317</v>
      </c>
      <c r="P323" s="1" t="str" cm="1">
        <f t="array" aca="1" ref="P323" ca="1">INDIRECT(CONCATENATE("'",$A$320,"'!n",B323),1)</f>
        <v>1п</v>
      </c>
      <c r="Q323" s="1" cm="1">
        <f t="array" aca="1" ref="Q323" ca="1">INDIRECT(CONCATENATE("'",$A$320,"'!o",B323),1)</f>
        <v>31.2</v>
      </c>
      <c r="R323" s="1" cm="1">
        <f t="array" aca="1" ref="R323" ca="1">INDIRECT(CONCATENATE("'",$A$320,"'!p",B323),1)</f>
        <v>0</v>
      </c>
      <c r="S323" s="1">
        <f t="shared" ca="1" si="27"/>
        <v>0</v>
      </c>
      <c r="T323" s="1" t="str" cm="1">
        <f t="array" aca="1" ref="T323" ca="1">INDIRECT(CONCATENATE("'",$A$320,"'!q",B323),1)</f>
        <v>Моркин С.А.</v>
      </c>
      <c r="U323" s="1" cm="1">
        <f t="array" aca="1" ref="U323" ca="1">INDIRECT(CONCATENATE("'",$A$320,"'!r",B323),1)</f>
        <v>31.2</v>
      </c>
      <c r="V323" s="1" cm="1">
        <f t="array" aca="1" ref="V323" ca="1">INDIRECT(CONCATENATE("'",$A$320,"'!s",B323),1)</f>
        <v>0</v>
      </c>
      <c r="W323" s="1" cm="1">
        <f t="array" aca="1" ref="W323" ca="1">INDIRECT(CONCATENATE("'",$A$320,"'!t",B323),1)</f>
        <v>0</v>
      </c>
      <c r="X323" s="1" cm="1">
        <f t="array" aca="1" ref="X323" ca="1">INDIRECT(CONCATENATE("'",$A$320,"'!u",B323),1)</f>
        <v>0</v>
      </c>
      <c r="Y323" s="1" cm="1">
        <f t="array" aca="1" ref="Y323" ca="1">INDIRECT(CONCATENATE("'",$A$320,"'!v",B323),1)</f>
        <v>0</v>
      </c>
    </row>
    <row r="324" spans="1:25" ht="45" hidden="1" x14ac:dyDescent="0.25">
      <c r="B324" s="24">
        <f t="shared" si="28"/>
        <v>6</v>
      </c>
      <c r="C324" s="1" t="str" cm="1">
        <f t="array" aca="1" ref="C324" ca="1">INDIRECT(CONCATENATE("'",$A$320,"'!A",B324),1)</f>
        <v>Введение в программирование и программирование в визуальных средах</v>
      </c>
      <c r="D324" s="1" t="str" cm="1">
        <f t="array" aca="1" ref="D324" ca="1">INDIRECT(CONCATENATE("'",$A$320,"'!B",B324),1)</f>
        <v xml:space="preserve">44.03.05(12) 44.03.05(13) </v>
      </c>
      <c r="E324" s="1" t="str" cm="1">
        <f t="array" aca="1" ref="E324" ca="1">INDIRECT(CONCATENATE("'",$A$300,"'!c",B324),1)</f>
        <v>ИПТ</v>
      </c>
      <c r="F324" s="1" cm="1">
        <f t="array" aca="1" ref="F324" ca="1">INDIRECT(CONCATENATE("'",$A$320,"'!d",B324),1)</f>
        <v>6</v>
      </c>
      <c r="G324" s="1" cm="1">
        <f t="array" aca="1" ref="G324" ca="1">INDIRECT(CONCATENATE("'",$A$320,"'!e",B324),1)</f>
        <v>2</v>
      </c>
      <c r="H324" s="1" cm="1">
        <f t="array" aca="1" ref="H324" ca="1">INDIRECT(CONCATENATE("'",$A$320,"'!f",B324),1)</f>
        <v>8</v>
      </c>
      <c r="I324" s="1" t="str" cm="1">
        <f t="array" aca="1" ref="I324" ca="1">INDIRECT(CONCATENATE("'",$A$320,"'!g",B324),1)</f>
        <v>ЭКЗ</v>
      </c>
      <c r="J324" s="1" cm="1">
        <f t="array" aca="1" ref="J324" ca="1">INDIRECT(CONCATENATE("'",$A$320,"'!h",B324),1)</f>
        <v>6</v>
      </c>
      <c r="K324" s="1" cm="1">
        <f t="array" aca="1" ref="K324" ca="1">INDIRECT(CONCATENATE("'",$A$320,"'!i",B324),1)</f>
        <v>28</v>
      </c>
      <c r="L324" s="1" cm="1">
        <f t="array" aca="1" ref="L324" ca="1">INDIRECT(CONCATENATE("'",$A$320,"'!j",B324),1)</f>
        <v>0</v>
      </c>
      <c r="M324" s="1" cm="1">
        <f t="array" aca="1" ref="M324" ca="1">INDIRECT(CONCATENATE("'",$A$320,"'!k",B324),1)</f>
        <v>84</v>
      </c>
      <c r="N324" s="1" t="str" cm="1">
        <f t="array" aca="1" ref="N324" ca="1">INDIRECT(CONCATENATE("'",$A$320,"'!l",B324),1)</f>
        <v>Соколова Г.Ю.Архипова Г.А.</v>
      </c>
      <c r="O324" s="1" t="str" cm="1">
        <f t="array" aca="1" ref="O324" ca="1">INDIRECT(CONCATENATE("'",$A$320,"'!m",B324),1)</f>
        <v>2309, 3300</v>
      </c>
      <c r="P324" s="1" t="str" cm="1">
        <f t="array" aca="1" ref="P324" ca="1">INDIRECT(CONCATENATE("'",$A$320,"'!n",B324),1)</f>
        <v>1п</v>
      </c>
      <c r="Q324" s="1" cm="1">
        <f t="array" aca="1" ref="Q324" ca="1">INDIRECT(CONCATENATE("'",$A$320,"'!o",B324),1)</f>
        <v>23.4</v>
      </c>
      <c r="R324" s="1" cm="1">
        <f t="array" aca="1" ref="R324" ca="1">INDIRECT(CONCATENATE("'",$A$320,"'!p",B324),1)</f>
        <v>15.6</v>
      </c>
      <c r="S324" s="1">
        <f t="shared" ca="1" si="27"/>
        <v>0</v>
      </c>
      <c r="T324" s="1" t="str" cm="1">
        <f t="array" aca="1" ref="T324" ca="1">INDIRECT(CONCATENATE("'",$A$320,"'!q",B324),1)</f>
        <v>Соколова Г.Ю.</v>
      </c>
      <c r="U324" s="1" cm="1">
        <f t="array" aca="1" ref="U324" ca="1">INDIRECT(CONCATENATE("'",$A$320,"'!r",B324),1)</f>
        <v>89.5</v>
      </c>
      <c r="V324" s="1" t="str" cm="1">
        <f t="array" aca="1" ref="V324" ca="1">INDIRECT(CONCATENATE("'",$A$320,"'!s",B324),1)</f>
        <v>Архипова Г.А.</v>
      </c>
      <c r="W324" s="1" cm="1">
        <f t="array" aca="1" ref="W324" ca="1">INDIRECT(CONCATENATE("'",$A$320,"'!t",B324),1)</f>
        <v>61.5</v>
      </c>
      <c r="X324" s="1" cm="1">
        <f t="array" aca="1" ref="X324" ca="1">INDIRECT(CONCATENATE("'",$A$320,"'!u",B324),1)</f>
        <v>0</v>
      </c>
      <c r="Y324" s="1" cm="1">
        <f t="array" aca="1" ref="Y324" ca="1">INDIRECT(CONCATENATE("'",$A$320,"'!v",B324),1)</f>
        <v>0</v>
      </c>
    </row>
    <row r="325" spans="1:25" ht="33.75" hidden="1" x14ac:dyDescent="0.25">
      <c r="B325" s="24">
        <f t="shared" si="28"/>
        <v>7</v>
      </c>
      <c r="C325" s="1" t="str" cm="1">
        <f t="array" aca="1" ref="C325" ca="1">INDIRECT(CONCATENATE("'",$A$320,"'!A",B325),1)</f>
        <v>Компьютерные технологии в математике и физике</v>
      </c>
      <c r="D325" s="1" t="str" cm="1">
        <f t="array" aca="1" ref="D325" ca="1">INDIRECT(CONCATENATE("'",$A$320,"'!B",B325),1)</f>
        <v xml:space="preserve">44.03.05(12) 44.03.05(13) </v>
      </c>
      <c r="E325" s="1" cm="1">
        <f t="array" aca="1" ref="E325" ca="1">INDIRECT(CONCATENATE("'",$A$300,"'!c",B325),1)</f>
        <v>0</v>
      </c>
      <c r="F325" s="1" cm="1">
        <f t="array" aca="1" ref="F325" ca="1">INDIRECT(CONCATENATE("'",$A$320,"'!d",B325),1)</f>
        <v>8</v>
      </c>
      <c r="G325" s="1" cm="1">
        <f t="array" aca="1" ref="G325" ca="1">INDIRECT(CONCATENATE("'",$A$320,"'!e",B325),1)</f>
        <v>2</v>
      </c>
      <c r="H325" s="1" cm="1">
        <f t="array" aca="1" ref="H325" ca="1">INDIRECT(CONCATENATE("'",$A$320,"'!f",B325),1)</f>
        <v>6</v>
      </c>
      <c r="I325" s="1" t="str" cm="1">
        <f t="array" aca="1" ref="I325" ca="1">INDIRECT(CONCATENATE("'",$A$320,"'!g",B325),1)</f>
        <v>ДЗ</v>
      </c>
      <c r="J325" s="1" cm="1">
        <f t="array" aca="1" ref="J325" ca="1">INDIRECT(CONCATENATE("'",$A$320,"'!h",B325),1)</f>
        <v>5</v>
      </c>
      <c r="K325" s="1" cm="1">
        <f t="array" aca="1" ref="K325" ca="1">INDIRECT(CONCATENATE("'",$A$320,"'!i",B325),1)</f>
        <v>28</v>
      </c>
      <c r="L325" s="1" cm="1">
        <f t="array" aca="1" ref="L325" ca="1">INDIRECT(CONCATENATE("'",$A$320,"'!j",B325),1)</f>
        <v>0</v>
      </c>
      <c r="M325" s="1" cm="1">
        <f t="array" aca="1" ref="M325" ca="1">INDIRECT(CONCATENATE("'",$A$320,"'!k",B325),1)</f>
        <v>42</v>
      </c>
      <c r="N325" s="1" t="str" cm="1">
        <f t="array" aca="1" ref="N325" ca="1">INDIRECT(CONCATENATE("'",$A$320,"'!l",B325),1)</f>
        <v>Моркин С.А.</v>
      </c>
      <c r="O325" s="1" cm="1">
        <f t="array" aca="1" ref="O325" ca="1">INDIRECT(CONCATENATE("'",$A$320,"'!m",B325),1)</f>
        <v>3317</v>
      </c>
      <c r="P325" s="1" cm="1">
        <f t="array" aca="1" ref="P325" ca="1">INDIRECT(CONCATENATE("'",$A$320,"'!n",B325),1)</f>
        <v>0.5</v>
      </c>
      <c r="Q325" s="1" cm="1">
        <f t="array" aca="1" ref="Q325" ca="1">INDIRECT(CONCATENATE("'",$A$320,"'!o",B325),1)</f>
        <v>4.5</v>
      </c>
      <c r="R325" s="1" cm="1">
        <f t="array" aca="1" ref="R325" ca="1">INDIRECT(CONCATENATE("'",$A$320,"'!p",B325),1)</f>
        <v>0</v>
      </c>
      <c r="S325" s="1">
        <f t="shared" ca="1" si="27"/>
        <v>0</v>
      </c>
      <c r="T325" s="1" t="str" cm="1">
        <f t="array" aca="1" ref="T325" ca="1">INDIRECT(CONCATENATE("'",$A$320,"'!q",B325),1)</f>
        <v>Моркин С.А.</v>
      </c>
      <c r="U325" s="1" cm="1">
        <f t="array" aca="1" ref="U325" ca="1">INDIRECT(CONCATENATE("'",$A$320,"'!r",B325),1)</f>
        <v>39.5</v>
      </c>
      <c r="V325" s="1" cm="1">
        <f t="array" aca="1" ref="V325" ca="1">INDIRECT(CONCATENATE("'",$A$320,"'!s",B325),1)</f>
        <v>0</v>
      </c>
      <c r="W325" s="1" cm="1">
        <f t="array" aca="1" ref="W325" ca="1">INDIRECT(CONCATENATE("'",$A$320,"'!t",B325),1)</f>
        <v>0</v>
      </c>
      <c r="X325" s="1" cm="1">
        <f t="array" aca="1" ref="X325" ca="1">INDIRECT(CONCATENATE("'",$A$320,"'!u",B325),1)</f>
        <v>0</v>
      </c>
      <c r="Y325" s="1" cm="1">
        <f t="array" aca="1" ref="Y325" ca="1">INDIRECT(CONCATENATE("'",$A$320,"'!v",B325),1)</f>
        <v>0</v>
      </c>
    </row>
    <row r="326" spans="1:25" ht="33.75" hidden="1" x14ac:dyDescent="0.25">
      <c r="B326" s="24">
        <f t="shared" si="28"/>
        <v>8</v>
      </c>
      <c r="C326" s="1" t="str" cm="1">
        <f t="array" aca="1" ref="C326" ca="1">INDIRECT(CONCATENATE("'",$A$320,"'!A",B326),1)</f>
        <v>Практика учебная : Практика по информатике</v>
      </c>
      <c r="D326" s="1" t="str" cm="1">
        <f t="array" aca="1" ref="D326" ca="1">INDIRECT(CONCATENATE("'",$A$320,"'!B",B326),1)</f>
        <v xml:space="preserve">44.03.05(12) 44.03.05(13) </v>
      </c>
      <c r="E326" s="1" cm="1">
        <f t="array" aca="1" ref="E326" ca="1">INDIRECT(CONCATENATE("'",$A$300,"'!c",B326),1)</f>
        <v>0</v>
      </c>
      <c r="F326" s="1" cm="1">
        <f t="array" aca="1" ref="F326" ca="1">INDIRECT(CONCATENATE("'",$A$320,"'!d",B326),1)</f>
        <v>8</v>
      </c>
      <c r="G326" s="1" cm="1">
        <f t="array" aca="1" ref="G326" ca="1">INDIRECT(CONCATENATE("'",$A$320,"'!e",B326),1)</f>
        <v>2</v>
      </c>
      <c r="H326" s="1" cm="1">
        <f t="array" aca="1" ref="H326" ca="1">INDIRECT(CONCATENATE("'",$A$320,"'!f",B326),1)</f>
        <v>66</v>
      </c>
      <c r="I326" s="1" t="str" cm="1">
        <f t="array" aca="1" ref="I326" ca="1">INDIRECT(CONCATENATE("'",$A$320,"'!g",B326),1)</f>
        <v>ДЗ</v>
      </c>
      <c r="J326" s="1" cm="1">
        <f t="array" aca="1" ref="J326" ca="1">INDIRECT(CONCATENATE("'",$A$320,"'!h",B326),1)</f>
        <v>3</v>
      </c>
      <c r="K326" s="1" cm="1">
        <f t="array" aca="1" ref="K326" ca="1">INDIRECT(CONCATENATE("'",$A$320,"'!i",B326),1)</f>
        <v>0</v>
      </c>
      <c r="L326" s="1" cm="1">
        <f t="array" aca="1" ref="L326" ca="1">INDIRECT(CONCATENATE("'",$A$320,"'!j",B326),1)</f>
        <v>2</v>
      </c>
      <c r="M326" s="1" cm="1">
        <f t="array" aca="1" ref="M326" ca="1">INDIRECT(CONCATENATE("'",$A$320,"'!k",B326),1)</f>
        <v>0</v>
      </c>
      <c r="N326" s="1" t="str" cm="1">
        <f t="array" aca="1" ref="N326" ca="1">INDIRECT(CONCATENATE("'",$A$320,"'!l",B326),1)</f>
        <v>Моркин С.А.</v>
      </c>
      <c r="O326" s="1" cm="1">
        <f t="array" aca="1" ref="O326" ca="1">INDIRECT(CONCATENATE("'",$A$320,"'!m",B326),1)</f>
        <v>3317</v>
      </c>
      <c r="P326" s="1" cm="1">
        <f t="array" aca="1" ref="P326" ca="1">INDIRECT(CONCATENATE("'",$A$320,"'!n",B326),1)</f>
        <v>0.5</v>
      </c>
      <c r="Q326" s="1" cm="1">
        <f t="array" aca="1" ref="Q326" ca="1">INDIRECT(CONCATENATE("'",$A$320,"'!o",B326),1)</f>
        <v>14.4</v>
      </c>
      <c r="R326" s="1" cm="1">
        <f t="array" aca="1" ref="R326" ca="1">INDIRECT(CONCATENATE("'",$A$320,"'!p",B326),1)</f>
        <v>0</v>
      </c>
      <c r="S326" s="1">
        <f t="shared" ca="1" si="27"/>
        <v>0</v>
      </c>
      <c r="T326" s="1" t="str" cm="1">
        <f t="array" aca="1" ref="T326" ca="1">INDIRECT(CONCATENATE("'",$A$320,"'!q",B326),1)</f>
        <v>Моркин С.А.</v>
      </c>
      <c r="U326" s="1" cm="1">
        <f t="array" aca="1" ref="U326" ca="1">INDIRECT(CONCATENATE("'",$A$320,"'!r",B326),1)</f>
        <v>14.4</v>
      </c>
      <c r="V326" s="1" cm="1">
        <f t="array" aca="1" ref="V326" ca="1">INDIRECT(CONCATENATE("'",$A$320,"'!s",B326),1)</f>
        <v>0</v>
      </c>
      <c r="W326" s="1" cm="1">
        <f t="array" aca="1" ref="W326" ca="1">INDIRECT(CONCATENATE("'",$A$320,"'!t",B326),1)</f>
        <v>0</v>
      </c>
      <c r="X326" s="1" cm="1">
        <f t="array" aca="1" ref="X326" ca="1">INDIRECT(CONCATENATE("'",$A$320,"'!u",B326),1)</f>
        <v>0</v>
      </c>
      <c r="Y326" s="1" cm="1">
        <f t="array" aca="1" ref="Y326" ca="1">INDIRECT(CONCATENATE("'",$A$320,"'!v",B326),1)</f>
        <v>0</v>
      </c>
    </row>
    <row r="327" spans="1:25" ht="67.5" hidden="1" x14ac:dyDescent="0.25">
      <c r="B327" s="24">
        <f t="shared" si="28"/>
        <v>9</v>
      </c>
      <c r="C327" s="1" t="str" cm="1">
        <f t="array" aca="1" ref="C327" ca="1">INDIRECT(CONCATENATE("'",$A$320,"'!A",B327),1)</f>
        <v>Мультимедиа технологии в образовании и технологии дистанционного обучения</v>
      </c>
      <c r="D327" s="1" t="str" cm="1">
        <f t="array" aca="1" ref="D327" ca="1">INDIRECT(CONCATENATE("'",$A$320,"'!B",B327),1)</f>
        <v xml:space="preserve">44.03.05(24) </v>
      </c>
      <c r="E327" s="1" cm="1">
        <f t="array" aca="1" ref="E327" ca="1">INDIRECT(CONCATENATE("'",$A$300,"'!c",B327),1)</f>
        <v>0</v>
      </c>
      <c r="F327" s="1" cm="1">
        <f t="array" aca="1" ref="F327" ca="1">INDIRECT(CONCATENATE("'",$A$320,"'!d",B327),1)</f>
        <v>10</v>
      </c>
      <c r="G327" s="1" cm="1">
        <f t="array" aca="1" ref="G327" ca="1">INDIRECT(CONCATENATE("'",$A$320,"'!e",B327),1)</f>
        <v>1</v>
      </c>
      <c r="H327" s="1" cm="1">
        <f t="array" aca="1" ref="H327" ca="1">INDIRECT(CONCATENATE("'",$A$320,"'!f",B327),1)</f>
        <v>9</v>
      </c>
      <c r="I327" s="1" t="str" cm="1">
        <f t="array" aca="1" ref="I327" ca="1">INDIRECT(CONCATENATE("'",$A$320,"'!g",B327),1)</f>
        <v>ЗАЧ</v>
      </c>
      <c r="J327" s="1" cm="1">
        <f t="array" aca="1" ref="J327" ca="1">INDIRECT(CONCATENATE("'",$A$320,"'!h",B327),1)</f>
        <v>3</v>
      </c>
      <c r="K327" s="1" cm="1">
        <f t="array" aca="1" ref="K327" ca="1">INDIRECT(CONCATENATE("'",$A$320,"'!i",B327),1)</f>
        <v>7</v>
      </c>
      <c r="L327" s="1" cm="1">
        <f t="array" aca="1" ref="L327" ca="1">INDIRECT(CONCATENATE("'",$A$320,"'!j",B327),1)</f>
        <v>21</v>
      </c>
      <c r="M327" s="1" cm="1">
        <f t="array" aca="1" ref="M327" ca="1">INDIRECT(CONCATENATE("'",$A$320,"'!k",B327),1)</f>
        <v>0</v>
      </c>
      <c r="N327" s="1" t="str" cm="1">
        <f t="array" aca="1" ref="N327" ca="1">INDIRECT(CONCATENATE("'",$A$320,"'!l",B327),1)</f>
        <v>Моркин С.А.</v>
      </c>
      <c r="O327" s="1" cm="1">
        <f t="array" aca="1" ref="O327" ca="1">INDIRECT(CONCATENATE("'",$A$320,"'!m",B327),1)</f>
        <v>3317</v>
      </c>
      <c r="P327" s="1" t="str" cm="1">
        <f t="array" aca="1" ref="P327" ca="1">INDIRECT(CONCATENATE("'",$A$320,"'!n",B327),1)</f>
        <v>1п</v>
      </c>
      <c r="Q327" s="1" cm="1">
        <f t="array" aca="1" ref="Q327" ca="1">INDIRECT(CONCATENATE("'",$A$320,"'!o",B327),1)</f>
        <v>2.7</v>
      </c>
      <c r="R327" s="1" cm="1">
        <f t="array" aca="1" ref="R327" ca="1">INDIRECT(CONCATENATE("'",$A$320,"'!p",B327),1)</f>
        <v>0</v>
      </c>
      <c r="S327" s="1">
        <f t="shared" ca="1" si="27"/>
        <v>0</v>
      </c>
      <c r="T327" s="1" t="str" cm="1">
        <f t="array" aca="1" ref="T327" ca="1">INDIRECT(CONCATENATE("'",$A$320,"'!q",B327),1)</f>
        <v>Моркин С.А.</v>
      </c>
      <c r="U327" s="1" cm="1">
        <f t="array" aca="1" ref="U327" ca="1">INDIRECT(CONCATENATE("'",$A$320,"'!r",B327),1)</f>
        <v>30.7</v>
      </c>
      <c r="V327" s="1" cm="1">
        <f t="array" aca="1" ref="V327" ca="1">INDIRECT(CONCATENATE("'",$A$320,"'!s",B327),1)</f>
        <v>0</v>
      </c>
      <c r="W327" s="1" cm="1">
        <f t="array" aca="1" ref="W327" ca="1">INDIRECT(CONCATENATE("'",$A$320,"'!t",B327),1)</f>
        <v>0</v>
      </c>
      <c r="X327" s="1" cm="1">
        <f t="array" aca="1" ref="X327" ca="1">INDIRECT(CONCATENATE("'",$A$320,"'!u",B327),1)</f>
        <v>0</v>
      </c>
      <c r="Y327" s="1" cm="1">
        <f t="array" aca="1" ref="Y327" ca="1">INDIRECT(CONCATENATE("'",$A$320,"'!v",B327),1)</f>
        <v>0</v>
      </c>
    </row>
    <row r="328" spans="1:25" ht="33.75" hidden="1" x14ac:dyDescent="0.25">
      <c r="B328" s="24">
        <f t="shared" si="28"/>
        <v>10</v>
      </c>
      <c r="C328" s="1" t="str" cm="1">
        <f t="array" aca="1" ref="C328" ca="1">INDIRECT(CONCATENATE("'",$A$320,"'!A",B328),1)</f>
        <v xml:space="preserve"> Основы программирования Python</v>
      </c>
      <c r="D328" s="1" t="str" cm="1">
        <f t="array" aca="1" ref="D328" ca="1">INDIRECT(CONCATENATE("'",$A$320,"'!B",B328),1)</f>
        <v xml:space="preserve">38.03.02(11) </v>
      </c>
      <c r="E328" s="1" cm="1">
        <f t="array" aca="1" ref="E328" ca="1">INDIRECT(CONCATENATE("'",$A$300,"'!c",B328),1)</f>
        <v>0</v>
      </c>
      <c r="F328" s="1" cm="1">
        <f t="array" aca="1" ref="F328" ca="1">INDIRECT(CONCATENATE("'",$A$320,"'!d",B328),1)</f>
        <v>4</v>
      </c>
      <c r="G328" s="1" cm="1">
        <f t="array" aca="1" ref="G328" ca="1">INDIRECT(CONCATENATE("'",$A$320,"'!e",B328),1)</f>
        <v>0</v>
      </c>
      <c r="H328" s="1" cm="1">
        <f t="array" aca="1" ref="H328" ca="1">INDIRECT(CONCATENATE("'",$A$320,"'!f",B328),1)</f>
        <v>30</v>
      </c>
      <c r="I328" s="1" t="str" cm="1">
        <f t="array" aca="1" ref="I328" ca="1">INDIRECT(CONCATENATE("'",$A$320,"'!g",B328),1)</f>
        <v>ЭКЗ</v>
      </c>
      <c r="J328" s="1" cm="1">
        <f t="array" aca="1" ref="J328" ca="1">INDIRECT(CONCATENATE("'",$A$320,"'!h",B328),1)</f>
        <v>4</v>
      </c>
      <c r="K328" s="1" cm="1">
        <f t="array" aca="1" ref="K328" ca="1">INDIRECT(CONCATENATE("'",$A$320,"'!i",B328),1)</f>
        <v>28</v>
      </c>
      <c r="L328" s="1" cm="1">
        <f t="array" aca="1" ref="L328" ca="1">INDIRECT(CONCATENATE("'",$A$320,"'!j",B328),1)</f>
        <v>20</v>
      </c>
      <c r="M328" s="1" cm="1">
        <f t="array" aca="1" ref="M328" ca="1">INDIRECT(CONCATENATE("'",$A$320,"'!k",B328),1)</f>
        <v>0</v>
      </c>
      <c r="N328" s="1" t="str" cm="1">
        <f t="array" aca="1" ref="N328" ca="1">INDIRECT(CONCATENATE("'",$A$320,"'!l",B328),1)</f>
        <v>Егорова О.В.</v>
      </c>
      <c r="O328" s="1" cm="1">
        <f t="array" aca="1" ref="O328" ca="1">INDIRECT(CONCATENATE("'",$A$320,"'!m",B328),1)</f>
        <v>0</v>
      </c>
      <c r="P328" s="1" cm="1">
        <f t="array" aca="1" ref="P328" ca="1">INDIRECT(CONCATENATE("'",$A$320,"'!n",B328),1)</f>
        <v>0</v>
      </c>
      <c r="Q328" s="1" cm="1">
        <f t="array" aca="1" ref="Q328" ca="1">INDIRECT(CONCATENATE("'",$A$320,"'!o",B328),1)</f>
        <v>18</v>
      </c>
      <c r="R328" s="1" cm="1">
        <f t="array" aca="1" ref="R328" ca="1">INDIRECT(CONCATENATE("'",$A$320,"'!p",B328),1)</f>
        <v>12</v>
      </c>
      <c r="S328" s="1">
        <f t="shared" ca="1" si="27"/>
        <v>0</v>
      </c>
      <c r="T328" s="1" t="str" cm="1">
        <f t="array" aca="1" ref="T328" ca="1">INDIRECT(CONCATENATE("'",$A$320,"'!q",B328),1)</f>
        <v>Егорова О.В.</v>
      </c>
      <c r="U328" s="1" cm="1">
        <f t="array" aca="1" ref="U328" ca="1">INDIRECT(CONCATENATE("'",$A$320,"'!r",B328),1)</f>
        <v>78</v>
      </c>
      <c r="V328" s="1" cm="1">
        <f t="array" aca="1" ref="V328" ca="1">INDIRECT(CONCATENATE("'",$A$320,"'!s",B328),1)</f>
        <v>0</v>
      </c>
      <c r="W328" s="1" cm="1">
        <f t="array" aca="1" ref="W328" ca="1">INDIRECT(CONCATENATE("'",$A$320,"'!t",B328),1)</f>
        <v>0</v>
      </c>
      <c r="X328" s="1" cm="1">
        <f t="array" aca="1" ref="X328" ca="1">INDIRECT(CONCATENATE("'",$A$320,"'!u",B328),1)</f>
        <v>0</v>
      </c>
      <c r="Y328" s="1" cm="1">
        <f t="array" aca="1" ref="Y328" ca="1">INDIRECT(CONCATENATE("'",$A$320,"'!v",B328),1)</f>
        <v>0</v>
      </c>
    </row>
    <row r="329" spans="1:25" ht="22.5" hidden="1" x14ac:dyDescent="0.25">
      <c r="B329" s="24">
        <f t="shared" si="28"/>
        <v>11</v>
      </c>
      <c r="C329" s="1" t="str" cm="1">
        <f t="array" aca="1" ref="C329" ca="1">INDIRECT(CONCATENATE("'",$A$320,"'!A",B329),1)</f>
        <v>Информационные технологии</v>
      </c>
      <c r="D329" s="1" t="str" cm="1">
        <f t="array" aca="1" ref="D329" ca="1">INDIRECT(CONCATENATE("'",$A$320,"'!B",B329),1)</f>
        <v xml:space="preserve">44.03.05(12) 44.03.05(13) </v>
      </c>
      <c r="E329" s="1" cm="1">
        <f t="array" aca="1" ref="E329" ca="1">INDIRECT(CONCATENATE("'",$A$300,"'!c",B329),1)</f>
        <v>0</v>
      </c>
      <c r="F329" s="1" cm="1">
        <f t="array" aca="1" ref="F329" ca="1">INDIRECT(CONCATENATE("'",$A$320,"'!d",B329),1)</f>
        <v>5</v>
      </c>
      <c r="G329" s="1" cm="1">
        <f t="array" aca="1" ref="G329" ca="1">INDIRECT(CONCATENATE("'",$A$320,"'!e",B329),1)</f>
        <v>2</v>
      </c>
      <c r="H329" s="1" cm="1">
        <f t="array" aca="1" ref="H329" ca="1">INDIRECT(CONCATENATE("'",$A$320,"'!f",B329),1)</f>
        <v>26</v>
      </c>
      <c r="I329" s="1" t="str" cm="1">
        <f t="array" aca="1" ref="I329" ca="1">INDIRECT(CONCATENATE("'",$A$320,"'!g",B329),1)</f>
        <v>зач</v>
      </c>
      <c r="J329" s="1" cm="1">
        <f t="array" aca="1" ref="J329" ca="1">INDIRECT(CONCATENATE("'",$A$320,"'!h",B329),1)</f>
        <v>3</v>
      </c>
      <c r="K329" s="1" cm="1">
        <f t="array" aca="1" ref="K329" ca="1">INDIRECT(CONCATENATE("'",$A$320,"'!i",B329),1)</f>
        <v>21</v>
      </c>
      <c r="L329" s="1" cm="1">
        <f t="array" aca="1" ref="L329" ca="1">INDIRECT(CONCATENATE("'",$A$320,"'!j",B329),1)</f>
        <v>0</v>
      </c>
      <c r="M329" s="1" cm="1">
        <f t="array" aca="1" ref="M329" ca="1">INDIRECT(CONCATENATE("'",$A$320,"'!k",B329),1)</f>
        <v>42</v>
      </c>
      <c r="N329" s="1" t="str" cm="1">
        <f t="array" aca="1" ref="N329" ca="1">INDIRECT(CONCATENATE("'",$A$320,"'!l",B329),1)</f>
        <v>Моркин С.А.</v>
      </c>
      <c r="O329" s="1" cm="1">
        <f t="array" aca="1" ref="O329" ca="1">INDIRECT(CONCATENATE("'",$A$320,"'!m",B329),1)</f>
        <v>0</v>
      </c>
      <c r="P329" s="1" cm="1">
        <f t="array" aca="1" ref="P329" ca="1">INDIRECT(CONCATENATE("'",$A$320,"'!n",B329),1)</f>
        <v>0</v>
      </c>
      <c r="Q329" s="1" cm="1">
        <f t="array" aca="1" ref="Q329" ca="1">INDIRECT(CONCATENATE("'",$A$320,"'!o",B329),1)</f>
        <v>11.7</v>
      </c>
      <c r="R329" s="1" cm="1">
        <f t="array" aca="1" ref="R329" ca="1">INDIRECT(CONCATENATE("'",$A$320,"'!p",B329),1)</f>
        <v>0</v>
      </c>
      <c r="S329" s="1">
        <f t="shared" ca="1" si="27"/>
        <v>0</v>
      </c>
      <c r="T329" s="1" t="str" cm="1">
        <f t="array" aca="1" ref="T329" ca="1">INDIRECT(CONCATENATE("'",$A$320,"'!q",B329),1)</f>
        <v>Моркин С.А.</v>
      </c>
      <c r="U329" s="1" cm="1">
        <f t="array" aca="1" ref="U329" ca="1">INDIRECT(CONCATENATE("'",$A$320,"'!r",B329),1)</f>
        <v>74.7</v>
      </c>
      <c r="V329" s="1" cm="1">
        <f t="array" aca="1" ref="V329" ca="1">INDIRECT(CONCATENATE("'",$A$320,"'!s",B329),1)</f>
        <v>0</v>
      </c>
      <c r="W329" s="1" cm="1">
        <f t="array" aca="1" ref="W329" ca="1">INDIRECT(CONCATENATE("'",$A$320,"'!t",B329),1)</f>
        <v>0</v>
      </c>
      <c r="X329" s="1" cm="1">
        <f t="array" aca="1" ref="X329" ca="1">INDIRECT(CONCATENATE("'",$A$320,"'!u",B329),1)</f>
        <v>0</v>
      </c>
      <c r="Y329" s="1" cm="1">
        <f t="array" aca="1" ref="Y329" ca="1">INDIRECT(CONCATENATE("'",$A$320,"'!v",B329),1)</f>
        <v>0</v>
      </c>
    </row>
    <row r="330" spans="1:25" hidden="1" x14ac:dyDescent="0.25">
      <c r="B330" s="24">
        <f t="shared" si="28"/>
        <v>12</v>
      </c>
      <c r="C330" s="1" cm="1">
        <f t="array" aca="1" ref="C330" ca="1">INDIRECT(CONCATENATE("'",$A$320,"'!A",B330),1)</f>
        <v>0</v>
      </c>
      <c r="D330" s="1" cm="1">
        <f t="array" aca="1" ref="D330" ca="1">INDIRECT(CONCATENATE("'",$A$320,"'!B",B330),1)</f>
        <v>0</v>
      </c>
      <c r="E330" s="1" cm="1">
        <f t="array" aca="1" ref="E330" ca="1">INDIRECT(CONCATENATE("'",$A$300,"'!c",B330),1)</f>
        <v>0</v>
      </c>
      <c r="F330" s="1" cm="1">
        <f t="array" aca="1" ref="F330" ca="1">INDIRECT(CONCATENATE("'",$A$320,"'!d",B330),1)</f>
        <v>0</v>
      </c>
      <c r="G330" s="1" cm="1">
        <f t="array" aca="1" ref="G330" ca="1">INDIRECT(CONCATENATE("'",$A$320,"'!e",B330),1)</f>
        <v>0</v>
      </c>
      <c r="H330" s="1" cm="1">
        <f t="array" aca="1" ref="H330" ca="1">INDIRECT(CONCATENATE("'",$A$320,"'!f",B330),1)</f>
        <v>0</v>
      </c>
      <c r="I330" s="1" cm="1">
        <f t="array" aca="1" ref="I330" ca="1">INDIRECT(CONCATENATE("'",$A$320,"'!g",B330),1)</f>
        <v>0</v>
      </c>
      <c r="J330" s="1" cm="1">
        <f t="array" aca="1" ref="J330" ca="1">INDIRECT(CONCATENATE("'",$A$320,"'!h",B330),1)</f>
        <v>0</v>
      </c>
      <c r="K330" s="1" cm="1">
        <f t="array" aca="1" ref="K330" ca="1">INDIRECT(CONCATENATE("'",$A$320,"'!i",B330),1)</f>
        <v>0</v>
      </c>
      <c r="L330" s="1" cm="1">
        <f t="array" aca="1" ref="L330" ca="1">INDIRECT(CONCATENATE("'",$A$320,"'!j",B330),1)</f>
        <v>0</v>
      </c>
      <c r="M330" s="1" cm="1">
        <f t="array" aca="1" ref="M330" ca="1">INDIRECT(CONCATENATE("'",$A$320,"'!k",B330),1)</f>
        <v>0</v>
      </c>
      <c r="N330" s="1" cm="1">
        <f t="array" aca="1" ref="N330" ca="1">INDIRECT(CONCATENATE("'",$A$320,"'!l",B330),1)</f>
        <v>0</v>
      </c>
      <c r="O330" s="1" cm="1">
        <f t="array" aca="1" ref="O330" ca="1">INDIRECT(CONCATENATE("'",$A$320,"'!m",B330),1)</f>
        <v>0</v>
      </c>
      <c r="P330" s="1" cm="1">
        <f t="array" aca="1" ref="P330" ca="1">INDIRECT(CONCATENATE("'",$A$320,"'!n",B330),1)</f>
        <v>0</v>
      </c>
      <c r="Q330" s="1" cm="1">
        <f t="array" aca="1" ref="Q330" ca="1">INDIRECT(CONCATENATE("'",$A$320,"'!o",B330),1)</f>
        <v>0</v>
      </c>
      <c r="R330" s="1" cm="1">
        <f t="array" aca="1" ref="R330" ca="1">INDIRECT(CONCATENATE("'",$A$320,"'!p",B330),1)</f>
        <v>0</v>
      </c>
      <c r="S330" s="1">
        <f t="shared" ca="1" si="27"/>
        <v>0</v>
      </c>
      <c r="T330" s="1" cm="1">
        <f t="array" aca="1" ref="T330" ca="1">INDIRECT(CONCATENATE("'",$A$320,"'!q",B330),1)</f>
        <v>0</v>
      </c>
      <c r="U330" s="1" cm="1">
        <f t="array" aca="1" ref="U330" ca="1">INDIRECT(CONCATENATE("'",$A$320,"'!r",B330),1)</f>
        <v>0</v>
      </c>
      <c r="V330" s="1" cm="1">
        <f t="array" aca="1" ref="V330" ca="1">INDIRECT(CONCATENATE("'",$A$320,"'!s",B330),1)</f>
        <v>0</v>
      </c>
      <c r="W330" s="1" cm="1">
        <f t="array" aca="1" ref="W330" ca="1">INDIRECT(CONCATENATE("'",$A$320,"'!t",B330),1)</f>
        <v>0</v>
      </c>
      <c r="X330" s="1" cm="1">
        <f t="array" aca="1" ref="X330" ca="1">INDIRECT(CONCATENATE("'",$A$320,"'!u",B330),1)</f>
        <v>0</v>
      </c>
      <c r="Y330" s="1" cm="1">
        <f t="array" aca="1" ref="Y330" ca="1">INDIRECT(CONCATENATE("'",$A$320,"'!v",B330),1)</f>
        <v>0</v>
      </c>
    </row>
    <row r="331" spans="1:25" hidden="1" x14ac:dyDescent="0.25">
      <c r="B331" s="24">
        <f t="shared" si="28"/>
        <v>13</v>
      </c>
      <c r="C331" s="1" cm="1">
        <f t="array" aca="1" ref="C331" ca="1">INDIRECT(CONCATENATE("'",$A$320,"'!A",B331),1)</f>
        <v>0</v>
      </c>
      <c r="D331" s="1" cm="1">
        <f t="array" aca="1" ref="D331" ca="1">INDIRECT(CONCATENATE("'",$A$320,"'!B",B331),1)</f>
        <v>0</v>
      </c>
      <c r="E331" s="1" cm="1">
        <f t="array" aca="1" ref="E331" ca="1">INDIRECT(CONCATENATE("'",$A$300,"'!c",B331),1)</f>
        <v>0</v>
      </c>
      <c r="F331" s="1" cm="1">
        <f t="array" aca="1" ref="F331" ca="1">INDIRECT(CONCATENATE("'",$A$320,"'!d",B331),1)</f>
        <v>0</v>
      </c>
      <c r="G331" s="1" cm="1">
        <f t="array" aca="1" ref="G331" ca="1">INDIRECT(CONCATENATE("'",$A$320,"'!e",B331),1)</f>
        <v>0</v>
      </c>
      <c r="H331" s="1" cm="1">
        <f t="array" aca="1" ref="H331" ca="1">INDIRECT(CONCATENATE("'",$A$320,"'!f",B331),1)</f>
        <v>0</v>
      </c>
      <c r="I331" s="1" cm="1">
        <f t="array" aca="1" ref="I331" ca="1">INDIRECT(CONCATENATE("'",$A$320,"'!g",B331),1)</f>
        <v>0</v>
      </c>
      <c r="J331" s="1" cm="1">
        <f t="array" aca="1" ref="J331" ca="1">INDIRECT(CONCATENATE("'",$A$320,"'!h",B331),1)</f>
        <v>0</v>
      </c>
      <c r="K331" s="1" cm="1">
        <f t="array" aca="1" ref="K331" ca="1">INDIRECT(CONCATENATE("'",$A$320,"'!i",B331),1)</f>
        <v>0</v>
      </c>
      <c r="L331" s="1" cm="1">
        <f t="array" aca="1" ref="L331" ca="1">INDIRECT(CONCATENATE("'",$A$320,"'!j",B331),1)</f>
        <v>0</v>
      </c>
      <c r="M331" s="1" cm="1">
        <f t="array" aca="1" ref="M331" ca="1">INDIRECT(CONCATENATE("'",$A$320,"'!k",B331),1)</f>
        <v>0</v>
      </c>
      <c r="N331" s="1" cm="1">
        <f t="array" aca="1" ref="N331" ca="1">INDIRECT(CONCATENATE("'",$A$320,"'!l",B331),1)</f>
        <v>0</v>
      </c>
      <c r="O331" s="1" cm="1">
        <f t="array" aca="1" ref="O331" ca="1">INDIRECT(CONCATENATE("'",$A$320,"'!m",B331),1)</f>
        <v>0</v>
      </c>
      <c r="P331" s="1" cm="1">
        <f t="array" aca="1" ref="P331" ca="1">INDIRECT(CONCATENATE("'",$A$320,"'!n",B331),1)</f>
        <v>0</v>
      </c>
      <c r="Q331" s="1" cm="1">
        <f t="array" aca="1" ref="Q331" ca="1">INDIRECT(CONCATENATE("'",$A$320,"'!o",B331),1)</f>
        <v>0</v>
      </c>
      <c r="R331" s="1" cm="1">
        <f t="array" aca="1" ref="R331" ca="1">INDIRECT(CONCATENATE("'",$A$320,"'!p",B331),1)</f>
        <v>0</v>
      </c>
      <c r="S331" s="1">
        <f t="shared" ca="1" si="27"/>
        <v>0</v>
      </c>
      <c r="T331" s="1" cm="1">
        <f t="array" aca="1" ref="T331" ca="1">INDIRECT(CONCATENATE("'",$A$320,"'!q",B331),1)</f>
        <v>0</v>
      </c>
      <c r="U331" s="1" cm="1">
        <f t="array" aca="1" ref="U331" ca="1">INDIRECT(CONCATENATE("'",$A$320,"'!r",B331),1)</f>
        <v>0</v>
      </c>
      <c r="V331" s="1" cm="1">
        <f t="array" aca="1" ref="V331" ca="1">INDIRECT(CONCATENATE("'",$A$320,"'!s",B331),1)</f>
        <v>0</v>
      </c>
      <c r="W331" s="1" cm="1">
        <f t="array" aca="1" ref="W331" ca="1">INDIRECT(CONCATENATE("'",$A$320,"'!t",B331),1)</f>
        <v>0</v>
      </c>
      <c r="X331" s="1" cm="1">
        <f t="array" aca="1" ref="X331" ca="1">INDIRECT(CONCATENATE("'",$A$320,"'!u",B331),1)</f>
        <v>0</v>
      </c>
      <c r="Y331" s="1" cm="1">
        <f t="array" aca="1" ref="Y331" ca="1">INDIRECT(CONCATENATE("'",$A$320,"'!v",B331),1)</f>
        <v>0</v>
      </c>
    </row>
    <row r="332" spans="1:25" hidden="1" x14ac:dyDescent="0.25">
      <c r="B332" s="24">
        <f t="shared" si="28"/>
        <v>14</v>
      </c>
      <c r="C332" s="1" cm="1">
        <f t="array" aca="1" ref="C332" ca="1">INDIRECT(CONCATENATE("'",$A$320,"'!A",B332),1)</f>
        <v>0</v>
      </c>
      <c r="D332" s="1" cm="1">
        <f t="array" aca="1" ref="D332" ca="1">INDIRECT(CONCATENATE("'",$A$320,"'!B",B332),1)</f>
        <v>0</v>
      </c>
      <c r="E332" s="1" cm="1">
        <f t="array" aca="1" ref="E332" ca="1">INDIRECT(CONCATENATE("'",$A$300,"'!c",B332),1)</f>
        <v>0</v>
      </c>
      <c r="F332" s="1" cm="1">
        <f t="array" aca="1" ref="F332" ca="1">INDIRECT(CONCATENATE("'",$A$320,"'!d",B332),1)</f>
        <v>0</v>
      </c>
      <c r="G332" s="1" cm="1">
        <f t="array" aca="1" ref="G332" ca="1">INDIRECT(CONCATENATE("'",$A$320,"'!e",B332),1)</f>
        <v>0</v>
      </c>
      <c r="H332" s="1" cm="1">
        <f t="array" aca="1" ref="H332" ca="1">INDIRECT(CONCATENATE("'",$A$320,"'!f",B332),1)</f>
        <v>0</v>
      </c>
      <c r="I332" s="1" cm="1">
        <f t="array" aca="1" ref="I332" ca="1">INDIRECT(CONCATENATE("'",$A$320,"'!g",B332),1)</f>
        <v>0</v>
      </c>
      <c r="J332" s="1" cm="1">
        <f t="array" aca="1" ref="J332" ca="1">INDIRECT(CONCATENATE("'",$A$320,"'!h",B332),1)</f>
        <v>0</v>
      </c>
      <c r="K332" s="1" cm="1">
        <f t="array" aca="1" ref="K332" ca="1">INDIRECT(CONCATENATE("'",$A$320,"'!i",B332),1)</f>
        <v>0</v>
      </c>
      <c r="L332" s="1" cm="1">
        <f t="array" aca="1" ref="L332" ca="1">INDIRECT(CONCATENATE("'",$A$320,"'!j",B332),1)</f>
        <v>0</v>
      </c>
      <c r="M332" s="1" cm="1">
        <f t="array" aca="1" ref="M332" ca="1">INDIRECT(CONCATENATE("'",$A$320,"'!k",B332),1)</f>
        <v>0</v>
      </c>
      <c r="N332" s="1" cm="1">
        <f t="array" aca="1" ref="N332" ca="1">INDIRECT(CONCATENATE("'",$A$320,"'!l",B332),1)</f>
        <v>0</v>
      </c>
      <c r="O332" s="1" cm="1">
        <f t="array" aca="1" ref="O332" ca="1">INDIRECT(CONCATENATE("'",$A$320,"'!m",B332),1)</f>
        <v>0</v>
      </c>
      <c r="P332" s="1" cm="1">
        <f t="array" aca="1" ref="P332" ca="1">INDIRECT(CONCATENATE("'",$A$320,"'!n",B332),1)</f>
        <v>0</v>
      </c>
      <c r="Q332" s="1" cm="1">
        <f t="array" aca="1" ref="Q332" ca="1">INDIRECT(CONCATENATE("'",$A$320,"'!o",B332),1)</f>
        <v>0</v>
      </c>
      <c r="R332" s="1" cm="1">
        <f t="array" aca="1" ref="R332" ca="1">INDIRECT(CONCATENATE("'",$A$320,"'!p",B332),1)</f>
        <v>0</v>
      </c>
      <c r="S332" s="1">
        <f t="shared" ca="1" si="27"/>
        <v>0</v>
      </c>
      <c r="T332" s="1" cm="1">
        <f t="array" aca="1" ref="T332" ca="1">INDIRECT(CONCATENATE("'",$A$320,"'!q",B332),1)</f>
        <v>0</v>
      </c>
      <c r="U332" s="1" cm="1">
        <f t="array" aca="1" ref="U332" ca="1">INDIRECT(CONCATENATE("'",$A$320,"'!r",B332),1)</f>
        <v>0</v>
      </c>
      <c r="V332" s="1" cm="1">
        <f t="array" aca="1" ref="V332" ca="1">INDIRECT(CONCATENATE("'",$A$320,"'!s",B332),1)</f>
        <v>0</v>
      </c>
      <c r="W332" s="1" cm="1">
        <f t="array" aca="1" ref="W332" ca="1">INDIRECT(CONCATENATE("'",$A$320,"'!t",B332),1)</f>
        <v>0</v>
      </c>
      <c r="X332" s="1" cm="1">
        <f t="array" aca="1" ref="X332" ca="1">INDIRECT(CONCATENATE("'",$A$320,"'!u",B332),1)</f>
        <v>0</v>
      </c>
      <c r="Y332" s="1" cm="1">
        <f t="array" aca="1" ref="Y332" ca="1">INDIRECT(CONCATENATE("'",$A$320,"'!v",B332),1)</f>
        <v>0</v>
      </c>
    </row>
    <row r="333" spans="1:25" hidden="1" x14ac:dyDescent="0.25">
      <c r="B333" s="24">
        <f t="shared" si="28"/>
        <v>15</v>
      </c>
      <c r="C333" s="1" cm="1">
        <f t="array" aca="1" ref="C333" ca="1">INDIRECT(CONCATENATE("'",$A$320,"'!A",B333),1)</f>
        <v>0</v>
      </c>
      <c r="D333" s="1" cm="1">
        <f t="array" aca="1" ref="D333" ca="1">INDIRECT(CONCATENATE("'",$A$320,"'!B",B333),1)</f>
        <v>0</v>
      </c>
      <c r="E333" s="1" cm="1">
        <f t="array" aca="1" ref="E333" ca="1">INDIRECT(CONCATENATE("'",$A$300,"'!c",B333),1)</f>
        <v>0</v>
      </c>
      <c r="F333" s="1" cm="1">
        <f t="array" aca="1" ref="F333" ca="1">INDIRECT(CONCATENATE("'",$A$320,"'!d",B333),1)</f>
        <v>0</v>
      </c>
      <c r="G333" s="1" cm="1">
        <f t="array" aca="1" ref="G333" ca="1">INDIRECT(CONCATENATE("'",$A$320,"'!e",B333),1)</f>
        <v>0</v>
      </c>
      <c r="H333" s="1" cm="1">
        <f t="array" aca="1" ref="H333" ca="1">INDIRECT(CONCATENATE("'",$A$320,"'!f",B333),1)</f>
        <v>0</v>
      </c>
      <c r="I333" s="1" cm="1">
        <f t="array" aca="1" ref="I333" ca="1">INDIRECT(CONCATENATE("'",$A$320,"'!g",B333),1)</f>
        <v>0</v>
      </c>
      <c r="J333" s="1" cm="1">
        <f t="array" aca="1" ref="J333" ca="1">INDIRECT(CONCATENATE("'",$A$320,"'!h",B333),1)</f>
        <v>0</v>
      </c>
      <c r="K333" s="1" cm="1">
        <f t="array" aca="1" ref="K333" ca="1">INDIRECT(CONCATENATE("'",$A$320,"'!i",B333),1)</f>
        <v>0</v>
      </c>
      <c r="L333" s="1" cm="1">
        <f t="array" aca="1" ref="L333" ca="1">INDIRECT(CONCATENATE("'",$A$320,"'!j",B333),1)</f>
        <v>0</v>
      </c>
      <c r="M333" s="1" cm="1">
        <f t="array" aca="1" ref="M333" ca="1">INDIRECT(CONCATENATE("'",$A$320,"'!k",B333),1)</f>
        <v>0</v>
      </c>
      <c r="N333" s="1" cm="1">
        <f t="array" aca="1" ref="N333" ca="1">INDIRECT(CONCATENATE("'",$A$320,"'!l",B333),1)</f>
        <v>0</v>
      </c>
      <c r="O333" s="1" cm="1">
        <f t="array" aca="1" ref="O333" ca="1">INDIRECT(CONCATENATE("'",$A$320,"'!m",B333),1)</f>
        <v>0</v>
      </c>
      <c r="P333" s="1" cm="1">
        <f t="array" aca="1" ref="P333" ca="1">INDIRECT(CONCATENATE("'",$A$320,"'!n",B333),1)</f>
        <v>0</v>
      </c>
      <c r="Q333" s="1" cm="1">
        <f t="array" aca="1" ref="Q333" ca="1">INDIRECT(CONCATENATE("'",$A$320,"'!o",B333),1)</f>
        <v>0</v>
      </c>
      <c r="R333" s="1" cm="1">
        <f t="array" aca="1" ref="R333" ca="1">INDIRECT(CONCATENATE("'",$A$320,"'!p",B333),1)</f>
        <v>0</v>
      </c>
      <c r="S333" s="1">
        <f t="shared" ca="1" si="27"/>
        <v>0</v>
      </c>
      <c r="T333" s="1" cm="1">
        <f t="array" aca="1" ref="T333" ca="1">INDIRECT(CONCATENATE("'",$A$320,"'!q",B333),1)</f>
        <v>0</v>
      </c>
      <c r="U333" s="1" cm="1">
        <f t="array" aca="1" ref="U333" ca="1">INDIRECT(CONCATENATE("'",$A$320,"'!r",B333),1)</f>
        <v>0</v>
      </c>
      <c r="V333" s="1" cm="1">
        <f t="array" aca="1" ref="V333" ca="1">INDIRECT(CONCATENATE("'",$A$320,"'!s",B333),1)</f>
        <v>0</v>
      </c>
      <c r="W333" s="1" cm="1">
        <f t="array" aca="1" ref="W333" ca="1">INDIRECT(CONCATENATE("'",$A$320,"'!t",B333),1)</f>
        <v>0</v>
      </c>
      <c r="X333" s="1" cm="1">
        <f t="array" aca="1" ref="X333" ca="1">INDIRECT(CONCATENATE("'",$A$320,"'!u",B333),1)</f>
        <v>0</v>
      </c>
      <c r="Y333" s="1" cm="1">
        <f t="array" aca="1" ref="Y333" ca="1">INDIRECT(CONCATENATE("'",$A$320,"'!v",B333),1)</f>
        <v>0</v>
      </c>
    </row>
    <row r="334" spans="1:25" hidden="1" x14ac:dyDescent="0.25">
      <c r="B334" s="24">
        <f t="shared" si="28"/>
        <v>16</v>
      </c>
      <c r="C334" s="1" cm="1">
        <f t="array" aca="1" ref="C334" ca="1">INDIRECT(CONCATENATE("'",$A$320,"'!A",B334),1)</f>
        <v>0</v>
      </c>
      <c r="D334" s="1" cm="1">
        <f t="array" aca="1" ref="D334" ca="1">INDIRECT(CONCATENATE("'",$A$320,"'!B",B334),1)</f>
        <v>0</v>
      </c>
      <c r="E334" s="1" cm="1">
        <f t="array" aca="1" ref="E334" ca="1">INDIRECT(CONCATENATE("'",$A$300,"'!c",B334),1)</f>
        <v>0</v>
      </c>
      <c r="F334" s="1" cm="1">
        <f t="array" aca="1" ref="F334" ca="1">INDIRECT(CONCATENATE("'",$A$320,"'!d",B334),1)</f>
        <v>0</v>
      </c>
      <c r="G334" s="1" cm="1">
        <f t="array" aca="1" ref="G334" ca="1">INDIRECT(CONCATENATE("'",$A$320,"'!e",B334),1)</f>
        <v>0</v>
      </c>
      <c r="H334" s="1" cm="1">
        <f t="array" aca="1" ref="H334" ca="1">INDIRECT(CONCATENATE("'",$A$320,"'!f",B334),1)</f>
        <v>0</v>
      </c>
      <c r="I334" s="1" cm="1">
        <f t="array" aca="1" ref="I334" ca="1">INDIRECT(CONCATENATE("'",$A$320,"'!g",B334),1)</f>
        <v>0</v>
      </c>
      <c r="J334" s="1" cm="1">
        <f t="array" aca="1" ref="J334" ca="1">INDIRECT(CONCATENATE("'",$A$320,"'!h",B334),1)</f>
        <v>0</v>
      </c>
      <c r="K334" s="1" cm="1">
        <f t="array" aca="1" ref="K334" ca="1">INDIRECT(CONCATENATE("'",$A$320,"'!i",B334),1)</f>
        <v>0</v>
      </c>
      <c r="L334" s="1" cm="1">
        <f t="array" aca="1" ref="L334" ca="1">INDIRECT(CONCATENATE("'",$A$320,"'!j",B334),1)</f>
        <v>0</v>
      </c>
      <c r="M334" s="1" cm="1">
        <f t="array" aca="1" ref="M334" ca="1">INDIRECT(CONCATENATE("'",$A$320,"'!k",B334),1)</f>
        <v>0</v>
      </c>
      <c r="N334" s="1" cm="1">
        <f t="array" aca="1" ref="N334" ca="1">INDIRECT(CONCATENATE("'",$A$320,"'!l",B334),1)</f>
        <v>0</v>
      </c>
      <c r="O334" s="1" cm="1">
        <f t="array" aca="1" ref="O334" ca="1">INDIRECT(CONCATENATE("'",$A$320,"'!m",B334),1)</f>
        <v>0</v>
      </c>
      <c r="P334" s="1" cm="1">
        <f t="array" aca="1" ref="P334" ca="1">INDIRECT(CONCATENATE("'",$A$320,"'!n",B334),1)</f>
        <v>0</v>
      </c>
      <c r="Q334" s="1" cm="1">
        <f t="array" aca="1" ref="Q334" ca="1">INDIRECT(CONCATENATE("'",$A$320,"'!o",B334),1)</f>
        <v>0</v>
      </c>
      <c r="R334" s="1" cm="1">
        <f t="array" aca="1" ref="R334" ca="1">INDIRECT(CONCATENATE("'",$A$320,"'!p",B334),1)</f>
        <v>0</v>
      </c>
      <c r="S334" s="1">
        <f t="shared" ca="1" si="27"/>
        <v>0</v>
      </c>
      <c r="T334" s="1" cm="1">
        <f t="array" aca="1" ref="T334" ca="1">INDIRECT(CONCATENATE("'",$A$320,"'!q",B334),1)</f>
        <v>0</v>
      </c>
      <c r="U334" s="1" cm="1">
        <f t="array" aca="1" ref="U334" ca="1">INDIRECT(CONCATENATE("'",$A$320,"'!r",B334),1)</f>
        <v>0</v>
      </c>
      <c r="V334" s="1" cm="1">
        <f t="array" aca="1" ref="V334" ca="1">INDIRECT(CONCATENATE("'",$A$320,"'!s",B334),1)</f>
        <v>0</v>
      </c>
      <c r="W334" s="1" cm="1">
        <f t="array" aca="1" ref="W334" ca="1">INDIRECT(CONCATENATE("'",$A$320,"'!t",B334),1)</f>
        <v>0</v>
      </c>
      <c r="X334" s="1" cm="1">
        <f t="array" aca="1" ref="X334" ca="1">INDIRECT(CONCATENATE("'",$A$320,"'!u",B334),1)</f>
        <v>0</v>
      </c>
      <c r="Y334" s="1" cm="1">
        <f t="array" aca="1" ref="Y334" ca="1">INDIRECT(CONCATENATE("'",$A$320,"'!v",B334),1)</f>
        <v>0</v>
      </c>
    </row>
    <row r="335" spans="1:25" hidden="1" x14ac:dyDescent="0.25">
      <c r="B335" s="24">
        <f t="shared" si="28"/>
        <v>17</v>
      </c>
      <c r="C335" s="1" cm="1">
        <f t="array" aca="1" ref="C335" ca="1">INDIRECT(CONCATENATE("'",$A$320,"'!A",B335),1)</f>
        <v>0</v>
      </c>
      <c r="D335" s="1" cm="1">
        <f t="array" aca="1" ref="D335" ca="1">INDIRECT(CONCATENATE("'",$A$320,"'!B",B335),1)</f>
        <v>0</v>
      </c>
      <c r="E335" s="1" cm="1">
        <f t="array" aca="1" ref="E335" ca="1">INDIRECT(CONCATENATE("'",$A$300,"'!c",B335),1)</f>
        <v>0</v>
      </c>
      <c r="F335" s="1" cm="1">
        <f t="array" aca="1" ref="F335" ca="1">INDIRECT(CONCATENATE("'",$A$320,"'!d",B335),1)</f>
        <v>0</v>
      </c>
      <c r="G335" s="1" cm="1">
        <f t="array" aca="1" ref="G335" ca="1">INDIRECT(CONCATENATE("'",$A$320,"'!e",B335),1)</f>
        <v>0</v>
      </c>
      <c r="H335" s="1" cm="1">
        <f t="array" aca="1" ref="H335" ca="1">INDIRECT(CONCATENATE("'",$A$320,"'!f",B335),1)</f>
        <v>0</v>
      </c>
      <c r="I335" s="1" cm="1">
        <f t="array" aca="1" ref="I335" ca="1">INDIRECT(CONCATENATE("'",$A$320,"'!g",B335),1)</f>
        <v>0</v>
      </c>
      <c r="J335" s="1" cm="1">
        <f t="array" aca="1" ref="J335" ca="1">INDIRECT(CONCATENATE("'",$A$320,"'!h",B335),1)</f>
        <v>0</v>
      </c>
      <c r="K335" s="1" cm="1">
        <f t="array" aca="1" ref="K335" ca="1">INDIRECT(CONCATENATE("'",$A$320,"'!i",B335),1)</f>
        <v>0</v>
      </c>
      <c r="L335" s="1" cm="1">
        <f t="array" aca="1" ref="L335" ca="1">INDIRECT(CONCATENATE("'",$A$320,"'!j",B335),1)</f>
        <v>0</v>
      </c>
      <c r="M335" s="1" cm="1">
        <f t="array" aca="1" ref="M335" ca="1">INDIRECT(CONCATENATE("'",$A$320,"'!k",B335),1)</f>
        <v>0</v>
      </c>
      <c r="N335" s="1" cm="1">
        <f t="array" aca="1" ref="N335" ca="1">INDIRECT(CONCATENATE("'",$A$320,"'!l",B335),1)</f>
        <v>0</v>
      </c>
      <c r="O335" s="1" cm="1">
        <f t="array" aca="1" ref="O335" ca="1">INDIRECT(CONCATENATE("'",$A$320,"'!m",B335),1)</f>
        <v>0</v>
      </c>
      <c r="P335" s="1" cm="1">
        <f t="array" aca="1" ref="P335" ca="1">INDIRECT(CONCATENATE("'",$A$320,"'!n",B335),1)</f>
        <v>0</v>
      </c>
      <c r="Q335" s="1" cm="1">
        <f t="array" aca="1" ref="Q335" ca="1">INDIRECT(CONCATENATE("'",$A$320,"'!o",B335),1)</f>
        <v>0</v>
      </c>
      <c r="R335" s="1" cm="1">
        <f t="array" aca="1" ref="R335" ca="1">INDIRECT(CONCATENATE("'",$A$320,"'!p",B335),1)</f>
        <v>0</v>
      </c>
      <c r="S335" s="1">
        <f t="shared" ca="1" si="27"/>
        <v>0</v>
      </c>
      <c r="T335" s="1" cm="1">
        <f t="array" aca="1" ref="T335" ca="1">INDIRECT(CONCATENATE("'",$A$320,"'!q",B335),1)</f>
        <v>0</v>
      </c>
      <c r="U335" s="1" cm="1">
        <f t="array" aca="1" ref="U335" ca="1">INDIRECT(CONCATENATE("'",$A$320,"'!r",B335),1)</f>
        <v>0</v>
      </c>
      <c r="V335" s="1" cm="1">
        <f t="array" aca="1" ref="V335" ca="1">INDIRECT(CONCATENATE("'",$A$320,"'!s",B335),1)</f>
        <v>0</v>
      </c>
      <c r="W335" s="1" cm="1">
        <f t="array" aca="1" ref="W335" ca="1">INDIRECT(CONCATENATE("'",$A$320,"'!t",B335),1)</f>
        <v>0</v>
      </c>
      <c r="X335" s="1" cm="1">
        <f t="array" aca="1" ref="X335" ca="1">INDIRECT(CONCATENATE("'",$A$320,"'!u",B335),1)</f>
        <v>0</v>
      </c>
      <c r="Y335" s="1" cm="1">
        <f t="array" aca="1" ref="Y335" ca="1">INDIRECT(CONCATENATE("'",$A$320,"'!v",B335),1)</f>
        <v>0</v>
      </c>
    </row>
    <row r="336" spans="1:25" hidden="1" x14ac:dyDescent="0.25">
      <c r="B336" s="24">
        <f t="shared" si="28"/>
        <v>18</v>
      </c>
      <c r="C336" s="1" cm="1">
        <f t="array" aca="1" ref="C336" ca="1">INDIRECT(CONCATENATE("'",$A$320,"'!A",B336),1)</f>
        <v>0</v>
      </c>
      <c r="D336" s="1" cm="1">
        <f t="array" aca="1" ref="D336" ca="1">INDIRECT(CONCATENATE("'",$A$320,"'!B",B336),1)</f>
        <v>0</v>
      </c>
      <c r="E336" s="1" cm="1">
        <f t="array" aca="1" ref="E336" ca="1">INDIRECT(CONCATENATE("'",$A$300,"'!c",B336),1)</f>
        <v>0</v>
      </c>
      <c r="F336" s="1" cm="1">
        <f t="array" aca="1" ref="F336" ca="1">INDIRECT(CONCATENATE("'",$A$320,"'!d",B336),1)</f>
        <v>0</v>
      </c>
      <c r="G336" s="1" cm="1">
        <f t="array" aca="1" ref="G336" ca="1">INDIRECT(CONCATENATE("'",$A$320,"'!e",B336),1)</f>
        <v>0</v>
      </c>
      <c r="H336" s="1" cm="1">
        <f t="array" aca="1" ref="H336" ca="1">INDIRECT(CONCATENATE("'",$A$320,"'!f",B336),1)</f>
        <v>0</v>
      </c>
      <c r="I336" s="1" cm="1">
        <f t="array" aca="1" ref="I336" ca="1">INDIRECT(CONCATENATE("'",$A$320,"'!g",B336),1)</f>
        <v>0</v>
      </c>
      <c r="J336" s="1" cm="1">
        <f t="array" aca="1" ref="J336" ca="1">INDIRECT(CONCATENATE("'",$A$320,"'!h",B336),1)</f>
        <v>0</v>
      </c>
      <c r="K336" s="1" cm="1">
        <f t="array" aca="1" ref="K336" ca="1">INDIRECT(CONCATENATE("'",$A$320,"'!i",B336),1)</f>
        <v>0</v>
      </c>
      <c r="L336" s="1" cm="1">
        <f t="array" aca="1" ref="L336" ca="1">INDIRECT(CONCATENATE("'",$A$320,"'!j",B336),1)</f>
        <v>0</v>
      </c>
      <c r="M336" s="1" cm="1">
        <f t="array" aca="1" ref="M336" ca="1">INDIRECT(CONCATENATE("'",$A$320,"'!k",B336),1)</f>
        <v>0</v>
      </c>
      <c r="N336" s="1" cm="1">
        <f t="array" aca="1" ref="N336" ca="1">INDIRECT(CONCATENATE("'",$A$320,"'!l",B336),1)</f>
        <v>0</v>
      </c>
      <c r="O336" s="1" cm="1">
        <f t="array" aca="1" ref="O336" ca="1">INDIRECT(CONCATENATE("'",$A$320,"'!m",B336),1)</f>
        <v>0</v>
      </c>
      <c r="P336" s="1" cm="1">
        <f t="array" aca="1" ref="P336" ca="1">INDIRECT(CONCATENATE("'",$A$320,"'!n",B336),1)</f>
        <v>0</v>
      </c>
      <c r="Q336" s="1" cm="1">
        <f t="array" aca="1" ref="Q336" ca="1">INDIRECT(CONCATENATE("'",$A$320,"'!o",B336),1)</f>
        <v>0</v>
      </c>
      <c r="R336" s="1" cm="1">
        <f t="array" aca="1" ref="R336" ca="1">INDIRECT(CONCATENATE("'",$A$320,"'!p",B336),1)</f>
        <v>0</v>
      </c>
      <c r="S336" s="1">
        <f t="shared" ca="1" si="27"/>
        <v>0</v>
      </c>
      <c r="T336" s="1" cm="1">
        <f t="array" aca="1" ref="T336" ca="1">INDIRECT(CONCATENATE("'",$A$320,"'!q",B336),1)</f>
        <v>0</v>
      </c>
      <c r="U336" s="1" cm="1">
        <f t="array" aca="1" ref="U336" ca="1">INDIRECT(CONCATENATE("'",$A$320,"'!r",B336),1)</f>
        <v>0</v>
      </c>
      <c r="V336" s="1" cm="1">
        <f t="array" aca="1" ref="V336" ca="1">INDIRECT(CONCATENATE("'",$A$320,"'!s",B336),1)</f>
        <v>0</v>
      </c>
      <c r="W336" s="1" cm="1">
        <f t="array" aca="1" ref="W336" ca="1">INDIRECT(CONCATENATE("'",$A$320,"'!t",B336),1)</f>
        <v>0</v>
      </c>
      <c r="X336" s="1" cm="1">
        <f t="array" aca="1" ref="X336" ca="1">INDIRECT(CONCATENATE("'",$A$320,"'!u",B336),1)</f>
        <v>0</v>
      </c>
      <c r="Y336" s="1" cm="1">
        <f t="array" aca="1" ref="Y336" ca="1">INDIRECT(CONCATENATE("'",$A$320,"'!v",B336),1)</f>
        <v>0</v>
      </c>
    </row>
    <row r="337" spans="1:25" hidden="1" x14ac:dyDescent="0.25">
      <c r="B337" s="24">
        <f t="shared" si="28"/>
        <v>19</v>
      </c>
      <c r="C337" s="1" cm="1">
        <f t="array" aca="1" ref="C337" ca="1">INDIRECT(CONCATENATE("'",$A$320,"'!A",B337),1)</f>
        <v>0</v>
      </c>
      <c r="D337" s="1" cm="1">
        <f t="array" aca="1" ref="D337" ca="1">INDIRECT(CONCATENATE("'",$A$320,"'!B",B337),1)</f>
        <v>0</v>
      </c>
      <c r="E337" s="1" cm="1">
        <f t="array" aca="1" ref="E337" ca="1">INDIRECT(CONCATENATE("'",$A$300,"'!c",B337),1)</f>
        <v>0</v>
      </c>
      <c r="F337" s="1" cm="1">
        <f t="array" aca="1" ref="F337" ca="1">INDIRECT(CONCATENATE("'",$A$320,"'!d",B337),1)</f>
        <v>0</v>
      </c>
      <c r="G337" s="1" cm="1">
        <f t="array" aca="1" ref="G337" ca="1">INDIRECT(CONCATENATE("'",$A$320,"'!e",B337),1)</f>
        <v>0</v>
      </c>
      <c r="H337" s="1" cm="1">
        <f t="array" aca="1" ref="H337" ca="1">INDIRECT(CONCATENATE("'",$A$320,"'!f",B337),1)</f>
        <v>0</v>
      </c>
      <c r="I337" s="1" cm="1">
        <f t="array" aca="1" ref="I337" ca="1">INDIRECT(CONCATENATE("'",$A$320,"'!g",B337),1)</f>
        <v>0</v>
      </c>
      <c r="J337" s="1" cm="1">
        <f t="array" aca="1" ref="J337" ca="1">INDIRECT(CONCATENATE("'",$A$320,"'!h",B337),1)</f>
        <v>0</v>
      </c>
      <c r="K337" s="1" cm="1">
        <f t="array" aca="1" ref="K337" ca="1">INDIRECT(CONCATENATE("'",$A$320,"'!i",B337),1)</f>
        <v>0</v>
      </c>
      <c r="L337" s="1" cm="1">
        <f t="array" aca="1" ref="L337" ca="1">INDIRECT(CONCATENATE("'",$A$320,"'!j",B337),1)</f>
        <v>0</v>
      </c>
      <c r="M337" s="1" cm="1">
        <f t="array" aca="1" ref="M337" ca="1">INDIRECT(CONCATENATE("'",$A$320,"'!k",B337),1)</f>
        <v>0</v>
      </c>
      <c r="N337" s="1" cm="1">
        <f t="array" aca="1" ref="N337" ca="1">INDIRECT(CONCATENATE("'",$A$320,"'!l",B337),1)</f>
        <v>0</v>
      </c>
      <c r="O337" s="1" cm="1">
        <f t="array" aca="1" ref="O337" ca="1">INDIRECT(CONCATENATE("'",$A$320,"'!m",B337),1)</f>
        <v>0</v>
      </c>
      <c r="P337" s="1" cm="1">
        <f t="array" aca="1" ref="P337" ca="1">INDIRECT(CONCATENATE("'",$A$320,"'!n",B337),1)</f>
        <v>0</v>
      </c>
      <c r="Q337" s="1" cm="1">
        <f t="array" aca="1" ref="Q337" ca="1">INDIRECT(CONCATENATE("'",$A$320,"'!o",B337),1)</f>
        <v>0</v>
      </c>
      <c r="R337" s="1" cm="1">
        <f t="array" aca="1" ref="R337" ca="1">INDIRECT(CONCATENATE("'",$A$320,"'!p",B337),1)</f>
        <v>0</v>
      </c>
      <c r="S337" s="1">
        <f t="shared" ca="1" si="27"/>
        <v>0</v>
      </c>
      <c r="T337" s="1" cm="1">
        <f t="array" aca="1" ref="T337" ca="1">INDIRECT(CONCATENATE("'",$A$320,"'!q",B337),1)</f>
        <v>0</v>
      </c>
      <c r="U337" s="1" cm="1">
        <f t="array" aca="1" ref="U337" ca="1">INDIRECT(CONCATENATE("'",$A$320,"'!r",B337),1)</f>
        <v>0</v>
      </c>
      <c r="V337" s="1" cm="1">
        <f t="array" aca="1" ref="V337" ca="1">INDIRECT(CONCATENATE("'",$A$320,"'!s",B337),1)</f>
        <v>0</v>
      </c>
      <c r="W337" s="1" cm="1">
        <f t="array" aca="1" ref="W337" ca="1">INDIRECT(CONCATENATE("'",$A$320,"'!t",B337),1)</f>
        <v>0</v>
      </c>
      <c r="X337" s="1" cm="1">
        <f t="array" aca="1" ref="X337" ca="1">INDIRECT(CONCATENATE("'",$A$320,"'!u",B337),1)</f>
        <v>0</v>
      </c>
      <c r="Y337" s="1" cm="1">
        <f t="array" aca="1" ref="Y337" ca="1">INDIRECT(CONCATENATE("'",$A$320,"'!v",B337),1)</f>
        <v>0</v>
      </c>
    </row>
    <row r="338" spans="1:25" hidden="1" x14ac:dyDescent="0.25">
      <c r="B338" s="24">
        <f t="shared" si="28"/>
        <v>20</v>
      </c>
      <c r="C338" s="1" cm="1">
        <f t="array" aca="1" ref="C338" ca="1">INDIRECT(CONCATENATE("'",$A$320,"'!A",B338),1)</f>
        <v>0</v>
      </c>
      <c r="D338" s="1" cm="1">
        <f t="array" aca="1" ref="D338" ca="1">INDIRECT(CONCATENATE("'",$A$320,"'!B",B338),1)</f>
        <v>0</v>
      </c>
      <c r="E338" s="1" cm="1">
        <f t="array" aca="1" ref="E338" ca="1">INDIRECT(CONCATENATE("'",$A$300,"'!c",B338),1)</f>
        <v>0</v>
      </c>
      <c r="F338" s="1" cm="1">
        <f t="array" aca="1" ref="F338" ca="1">INDIRECT(CONCATENATE("'",$A$320,"'!d",B338),1)</f>
        <v>0</v>
      </c>
      <c r="G338" s="1" cm="1">
        <f t="array" aca="1" ref="G338" ca="1">INDIRECT(CONCATENATE("'",$A$320,"'!e",B338),1)</f>
        <v>0</v>
      </c>
      <c r="H338" s="1" cm="1">
        <f t="array" aca="1" ref="H338" ca="1">INDIRECT(CONCATENATE("'",$A$320,"'!f",B338),1)</f>
        <v>0</v>
      </c>
      <c r="I338" s="1" cm="1">
        <f t="array" aca="1" ref="I338" ca="1">INDIRECT(CONCATENATE("'",$A$320,"'!g",B338),1)</f>
        <v>0</v>
      </c>
      <c r="J338" s="1" cm="1">
        <f t="array" aca="1" ref="J338" ca="1">INDIRECT(CONCATENATE("'",$A$320,"'!h",B338),1)</f>
        <v>0</v>
      </c>
      <c r="K338" s="1" cm="1">
        <f t="array" aca="1" ref="K338" ca="1">INDIRECT(CONCATENATE("'",$A$320,"'!i",B338),1)</f>
        <v>0</v>
      </c>
      <c r="L338" s="1" cm="1">
        <f t="array" aca="1" ref="L338" ca="1">INDIRECT(CONCATENATE("'",$A$320,"'!j",B338),1)</f>
        <v>0</v>
      </c>
      <c r="M338" s="1" cm="1">
        <f t="array" aca="1" ref="M338" ca="1">INDIRECT(CONCATENATE("'",$A$320,"'!k",B338),1)</f>
        <v>0</v>
      </c>
      <c r="N338" s="1" cm="1">
        <f t="array" aca="1" ref="N338" ca="1">INDIRECT(CONCATENATE("'",$A$320,"'!l",B338),1)</f>
        <v>0</v>
      </c>
      <c r="O338" s="1" cm="1">
        <f t="array" aca="1" ref="O338" ca="1">INDIRECT(CONCATENATE("'",$A$320,"'!m",B338),1)</f>
        <v>0</v>
      </c>
      <c r="P338" s="1" cm="1">
        <f t="array" aca="1" ref="P338" ca="1">INDIRECT(CONCATENATE("'",$A$320,"'!n",B338),1)</f>
        <v>0</v>
      </c>
      <c r="Q338" s="1" cm="1">
        <f t="array" aca="1" ref="Q338" ca="1">INDIRECT(CONCATENATE("'",$A$320,"'!o",B338),1)</f>
        <v>0</v>
      </c>
      <c r="R338" s="1" cm="1">
        <f t="array" aca="1" ref="R338" ca="1">INDIRECT(CONCATENATE("'",$A$320,"'!p",B338),1)</f>
        <v>0</v>
      </c>
      <c r="S338" s="1">
        <f t="shared" ca="1" si="27"/>
        <v>0</v>
      </c>
      <c r="T338" s="1" cm="1">
        <f t="array" aca="1" ref="T338" ca="1">INDIRECT(CONCATENATE("'",$A$320,"'!q",B338),1)</f>
        <v>0</v>
      </c>
      <c r="U338" s="1" cm="1">
        <f t="array" aca="1" ref="U338" ca="1">INDIRECT(CONCATENATE("'",$A$320,"'!r",B338),1)</f>
        <v>0</v>
      </c>
      <c r="V338" s="1" cm="1">
        <f t="array" aca="1" ref="V338" ca="1">INDIRECT(CONCATENATE("'",$A$320,"'!s",B338),1)</f>
        <v>0</v>
      </c>
      <c r="W338" s="1" cm="1">
        <f t="array" aca="1" ref="W338" ca="1">INDIRECT(CONCATENATE("'",$A$320,"'!t",B338),1)</f>
        <v>0</v>
      </c>
      <c r="X338" s="1" cm="1">
        <f t="array" aca="1" ref="X338" ca="1">INDIRECT(CONCATENATE("'",$A$320,"'!u",B338),1)</f>
        <v>0</v>
      </c>
      <c r="Y338" s="1" cm="1">
        <f t="array" aca="1" ref="Y338" ca="1">INDIRECT(CONCATENATE("'",$A$320,"'!v",B338),1)</f>
        <v>0</v>
      </c>
    </row>
    <row r="339" spans="1:25" hidden="1" x14ac:dyDescent="0.25">
      <c r="B339" s="24">
        <f t="shared" si="28"/>
        <v>21</v>
      </c>
      <c r="C339" s="1" cm="1">
        <f t="array" aca="1" ref="C339" ca="1">INDIRECT(CONCATENATE("'",$A$320,"'!A",B339),1)</f>
        <v>0</v>
      </c>
      <c r="D339" s="1" cm="1">
        <f t="array" aca="1" ref="D339" ca="1">INDIRECT(CONCATENATE("'",$A$320,"'!B",B339),1)</f>
        <v>0</v>
      </c>
      <c r="E339" s="1" cm="1">
        <f t="array" aca="1" ref="E339" ca="1">INDIRECT(CONCATENATE("'",$A$300,"'!c",B339),1)</f>
        <v>0</v>
      </c>
      <c r="F339" s="1" cm="1">
        <f t="array" aca="1" ref="F339" ca="1">INDIRECT(CONCATENATE("'",$A$320,"'!d",B339),1)</f>
        <v>0</v>
      </c>
      <c r="G339" s="1" cm="1">
        <f t="array" aca="1" ref="G339" ca="1">INDIRECT(CONCATENATE("'",$A$320,"'!e",B339),1)</f>
        <v>0</v>
      </c>
      <c r="H339" s="1" cm="1">
        <f t="array" aca="1" ref="H339" ca="1">INDIRECT(CONCATENATE("'",$A$320,"'!f",B339),1)</f>
        <v>0</v>
      </c>
      <c r="I339" s="1" cm="1">
        <f t="array" aca="1" ref="I339" ca="1">INDIRECT(CONCATENATE("'",$A$320,"'!g",B339),1)</f>
        <v>0</v>
      </c>
      <c r="J339" s="1" cm="1">
        <f t="array" aca="1" ref="J339" ca="1">INDIRECT(CONCATENATE("'",$A$320,"'!h",B339),1)</f>
        <v>0</v>
      </c>
      <c r="K339" s="1" cm="1">
        <f t="array" aca="1" ref="K339" ca="1">INDIRECT(CONCATENATE("'",$A$320,"'!i",B339),1)</f>
        <v>0</v>
      </c>
      <c r="L339" s="1" cm="1">
        <f t="array" aca="1" ref="L339" ca="1">INDIRECT(CONCATENATE("'",$A$320,"'!j",B339),1)</f>
        <v>0</v>
      </c>
      <c r="M339" s="1" cm="1">
        <f t="array" aca="1" ref="M339" ca="1">INDIRECT(CONCATENATE("'",$A$320,"'!k",B339),1)</f>
        <v>0</v>
      </c>
      <c r="N339" s="1" cm="1">
        <f t="array" aca="1" ref="N339" ca="1">INDIRECT(CONCATENATE("'",$A$320,"'!l",B339),1)</f>
        <v>0</v>
      </c>
      <c r="O339" s="1" cm="1">
        <f t="array" aca="1" ref="O339" ca="1">INDIRECT(CONCATENATE("'",$A$320,"'!m",B339),1)</f>
        <v>0</v>
      </c>
      <c r="P339" s="1" cm="1">
        <f t="array" aca="1" ref="P339" ca="1">INDIRECT(CONCATENATE("'",$A$320,"'!n",B339),1)</f>
        <v>0</v>
      </c>
      <c r="Q339" s="1" cm="1">
        <f t="array" aca="1" ref="Q339" ca="1">INDIRECT(CONCATENATE("'",$A$320,"'!o",B339),1)</f>
        <v>0</v>
      </c>
      <c r="R339" s="1" cm="1">
        <f t="array" aca="1" ref="R339" ca="1">INDIRECT(CONCATENATE("'",$A$320,"'!p",B339),1)</f>
        <v>0</v>
      </c>
      <c r="S339" s="1">
        <f t="shared" ca="1" si="27"/>
        <v>0</v>
      </c>
      <c r="T339" s="1" cm="1">
        <f t="array" aca="1" ref="T339" ca="1">INDIRECT(CONCATENATE("'",$A$320,"'!q",B339),1)</f>
        <v>0</v>
      </c>
      <c r="U339" s="1" cm="1">
        <f t="array" aca="1" ref="U339" ca="1">INDIRECT(CONCATENATE("'",$A$320,"'!r",B339),1)</f>
        <v>0</v>
      </c>
      <c r="V339" s="1" cm="1">
        <f t="array" aca="1" ref="V339" ca="1">INDIRECT(CONCATENATE("'",$A$320,"'!s",B339),1)</f>
        <v>0</v>
      </c>
      <c r="W339" s="1" cm="1">
        <f t="array" aca="1" ref="W339" ca="1">INDIRECT(CONCATENATE("'",$A$320,"'!t",B339),1)</f>
        <v>0</v>
      </c>
      <c r="X339" s="1" cm="1">
        <f t="array" aca="1" ref="X339" ca="1">INDIRECT(CONCATENATE("'",$A$320,"'!u",B339),1)</f>
        <v>0</v>
      </c>
      <c r="Y339" s="1" cm="1">
        <f t="array" aca="1" ref="Y339" ca="1">INDIRECT(CONCATENATE("'",$A$320,"'!v",B339),1)</f>
        <v>0</v>
      </c>
    </row>
    <row r="340" spans="1:25" hidden="1" x14ac:dyDescent="0.25">
      <c r="B340" s="24">
        <f t="shared" si="28"/>
        <v>22</v>
      </c>
      <c r="C340" s="1" cm="1">
        <f t="array" aca="1" ref="C340" ca="1">INDIRECT(CONCATENATE("'",$A$320,"'!A",B340),1)</f>
        <v>0</v>
      </c>
      <c r="D340" s="1" cm="1">
        <f t="array" aca="1" ref="D340" ca="1">INDIRECT(CONCATENATE("'",$A$320,"'!B",B340),1)</f>
        <v>0</v>
      </c>
      <c r="E340" s="1" cm="1">
        <f t="array" aca="1" ref="E340" ca="1">INDIRECT(CONCATENATE("'",$A$300,"'!c",B340),1)</f>
        <v>0</v>
      </c>
      <c r="F340" s="1" cm="1">
        <f t="array" aca="1" ref="F340" ca="1">INDIRECT(CONCATENATE("'",$A$320,"'!d",B340),1)</f>
        <v>0</v>
      </c>
      <c r="G340" s="1" cm="1">
        <f t="array" aca="1" ref="G340" ca="1">INDIRECT(CONCATENATE("'",$A$320,"'!e",B340),1)</f>
        <v>0</v>
      </c>
      <c r="H340" s="1" cm="1">
        <f t="array" aca="1" ref="H340" ca="1">INDIRECT(CONCATENATE("'",$A$320,"'!f",B340),1)</f>
        <v>0</v>
      </c>
      <c r="I340" s="1" cm="1">
        <f t="array" aca="1" ref="I340" ca="1">INDIRECT(CONCATENATE("'",$A$320,"'!g",B340),1)</f>
        <v>0</v>
      </c>
      <c r="J340" s="1" cm="1">
        <f t="array" aca="1" ref="J340" ca="1">INDIRECT(CONCATENATE("'",$A$320,"'!h",B340),1)</f>
        <v>0</v>
      </c>
      <c r="K340" s="1" cm="1">
        <f t="array" aca="1" ref="K340" ca="1">INDIRECT(CONCATENATE("'",$A$320,"'!i",B340),1)</f>
        <v>0</v>
      </c>
      <c r="L340" s="1" cm="1">
        <f t="array" aca="1" ref="L340" ca="1">INDIRECT(CONCATENATE("'",$A$320,"'!j",B340),1)</f>
        <v>0</v>
      </c>
      <c r="M340" s="1" cm="1">
        <f t="array" aca="1" ref="M340" ca="1">INDIRECT(CONCATENATE("'",$A$320,"'!k",B340),1)</f>
        <v>0</v>
      </c>
      <c r="N340" s="1" cm="1">
        <f t="array" aca="1" ref="N340" ca="1">INDIRECT(CONCATENATE("'",$A$320,"'!l",B340),1)</f>
        <v>0</v>
      </c>
      <c r="O340" s="1" cm="1">
        <f t="array" aca="1" ref="O340" ca="1">INDIRECT(CONCATENATE("'",$A$320,"'!m",B340),1)</f>
        <v>0</v>
      </c>
      <c r="P340" s="1" cm="1">
        <f t="array" aca="1" ref="P340" ca="1">INDIRECT(CONCATENATE("'",$A$320,"'!n",B340),1)</f>
        <v>0</v>
      </c>
      <c r="Q340" s="1" cm="1">
        <f t="array" aca="1" ref="Q340" ca="1">INDIRECT(CONCATENATE("'",$A$320,"'!o",B340),1)</f>
        <v>0</v>
      </c>
      <c r="R340" s="1" cm="1">
        <f t="array" aca="1" ref="R340" ca="1">INDIRECT(CONCATENATE("'",$A$320,"'!p",B340),1)</f>
        <v>0</v>
      </c>
      <c r="S340" s="1">
        <f t="shared" ca="1" si="27"/>
        <v>0</v>
      </c>
      <c r="T340" s="1" cm="1">
        <f t="array" aca="1" ref="T340" ca="1">INDIRECT(CONCATENATE("'",$A$320,"'!q",B340),1)</f>
        <v>0</v>
      </c>
      <c r="U340" s="1" cm="1">
        <f t="array" aca="1" ref="U340" ca="1">INDIRECT(CONCATENATE("'",$A$320,"'!r",B340),1)</f>
        <v>0</v>
      </c>
      <c r="V340" s="1" cm="1">
        <f t="array" aca="1" ref="V340" ca="1">INDIRECT(CONCATENATE("'",$A$320,"'!s",B340),1)</f>
        <v>0</v>
      </c>
      <c r="W340" s="1" cm="1">
        <f t="array" aca="1" ref="W340" ca="1">INDIRECT(CONCATENATE("'",$A$320,"'!t",B340),1)</f>
        <v>0</v>
      </c>
      <c r="X340" s="1" cm="1">
        <f t="array" aca="1" ref="X340" ca="1">INDIRECT(CONCATENATE("'",$A$320,"'!u",B340),1)</f>
        <v>0</v>
      </c>
      <c r="Y340" s="1" cm="1">
        <f t="array" aca="1" ref="Y340" ca="1">INDIRECT(CONCATENATE("'",$A$320,"'!v",B340),1)</f>
        <v>0</v>
      </c>
    </row>
    <row r="341" spans="1:25" hidden="1" x14ac:dyDescent="0.25">
      <c r="B341" s="24">
        <f t="shared" si="28"/>
        <v>23</v>
      </c>
      <c r="C341" s="1" cm="1">
        <f t="array" aca="1" ref="C341" ca="1">INDIRECT(CONCATENATE("'",$A$320,"'!A",B341),1)</f>
        <v>0</v>
      </c>
      <c r="D341" s="1" cm="1">
        <f t="array" aca="1" ref="D341" ca="1">INDIRECT(CONCATENATE("'",$A$320,"'!B",B341),1)</f>
        <v>0</v>
      </c>
      <c r="E341" s="1" cm="1">
        <f t="array" aca="1" ref="E341" ca="1">INDIRECT(CONCATENATE("'",$A$300,"'!c",B341),1)</f>
        <v>0</v>
      </c>
      <c r="F341" s="1" cm="1">
        <f t="array" aca="1" ref="F341" ca="1">INDIRECT(CONCATENATE("'",$A$320,"'!d",B341),1)</f>
        <v>0</v>
      </c>
      <c r="G341" s="1" cm="1">
        <f t="array" aca="1" ref="G341" ca="1">INDIRECT(CONCATENATE("'",$A$320,"'!e",B341),1)</f>
        <v>0</v>
      </c>
      <c r="H341" s="1" cm="1">
        <f t="array" aca="1" ref="H341" ca="1">INDIRECT(CONCATENATE("'",$A$320,"'!f",B341),1)</f>
        <v>0</v>
      </c>
      <c r="I341" s="1" cm="1">
        <f t="array" aca="1" ref="I341" ca="1">INDIRECT(CONCATENATE("'",$A$320,"'!g",B341),1)</f>
        <v>0</v>
      </c>
      <c r="J341" s="1" cm="1">
        <f t="array" aca="1" ref="J341" ca="1">INDIRECT(CONCATENATE("'",$A$320,"'!h",B341),1)</f>
        <v>0</v>
      </c>
      <c r="K341" s="1" cm="1">
        <f t="array" aca="1" ref="K341" ca="1">INDIRECT(CONCATENATE("'",$A$320,"'!i",B341),1)</f>
        <v>0</v>
      </c>
      <c r="L341" s="1" cm="1">
        <f t="array" aca="1" ref="L341" ca="1">INDIRECT(CONCATENATE("'",$A$320,"'!j",B341),1)</f>
        <v>0</v>
      </c>
      <c r="M341" s="1" cm="1">
        <f t="array" aca="1" ref="M341" ca="1">INDIRECT(CONCATENATE("'",$A$320,"'!k",B341),1)</f>
        <v>0</v>
      </c>
      <c r="N341" s="1" cm="1">
        <f t="array" aca="1" ref="N341" ca="1">INDIRECT(CONCATENATE("'",$A$320,"'!l",B341),1)</f>
        <v>0</v>
      </c>
      <c r="O341" s="1" cm="1">
        <f t="array" aca="1" ref="O341" ca="1">INDIRECT(CONCATENATE("'",$A$320,"'!m",B341),1)</f>
        <v>0</v>
      </c>
      <c r="P341" s="1" cm="1">
        <f t="array" aca="1" ref="P341" ca="1">INDIRECT(CONCATENATE("'",$A$320,"'!n",B341),1)</f>
        <v>0</v>
      </c>
      <c r="Q341" s="1" cm="1">
        <f t="array" aca="1" ref="Q341" ca="1">INDIRECT(CONCATENATE("'",$A$320,"'!o",B341),1)</f>
        <v>0</v>
      </c>
      <c r="R341" s="1" cm="1">
        <f t="array" aca="1" ref="R341" ca="1">INDIRECT(CONCATENATE("'",$A$320,"'!p",B341),1)</f>
        <v>0</v>
      </c>
      <c r="S341" s="1">
        <f t="shared" ca="1" si="27"/>
        <v>0</v>
      </c>
      <c r="T341" s="1" cm="1">
        <f t="array" aca="1" ref="T341" ca="1">INDIRECT(CONCATENATE("'",$A$320,"'!q",B341),1)</f>
        <v>0</v>
      </c>
      <c r="U341" s="1" cm="1">
        <f t="array" aca="1" ref="U341" ca="1">INDIRECT(CONCATENATE("'",$A$320,"'!r",B341),1)</f>
        <v>0</v>
      </c>
      <c r="V341" s="1" cm="1">
        <f t="array" aca="1" ref="V341" ca="1">INDIRECT(CONCATENATE("'",$A$320,"'!s",B341),1)</f>
        <v>0</v>
      </c>
      <c r="W341" s="1" cm="1">
        <f t="array" aca="1" ref="W341" ca="1">INDIRECT(CONCATENATE("'",$A$320,"'!t",B341),1)</f>
        <v>0</v>
      </c>
      <c r="X341" s="1" cm="1">
        <f t="array" aca="1" ref="X341" ca="1">INDIRECT(CONCATENATE("'",$A$320,"'!u",B341),1)</f>
        <v>0</v>
      </c>
      <c r="Y341" s="1" cm="1">
        <f t="array" aca="1" ref="Y341" ca="1">INDIRECT(CONCATENATE("'",$A$320,"'!v",B341),1)</f>
        <v>0</v>
      </c>
    </row>
    <row r="342" spans="1:25" hidden="1" x14ac:dyDescent="0.25">
      <c r="B342" s="24">
        <f t="shared" si="28"/>
        <v>24</v>
      </c>
      <c r="C342" s="1" cm="1">
        <f t="array" aca="1" ref="C342" ca="1">INDIRECT(CONCATENATE("'",$A$320,"'!A",B342),1)</f>
        <v>0</v>
      </c>
      <c r="D342" s="1" cm="1">
        <f t="array" aca="1" ref="D342" ca="1">INDIRECT(CONCATENATE("'",$A$320,"'!B",B342),1)</f>
        <v>0</v>
      </c>
      <c r="E342" s="1" cm="1">
        <f t="array" aca="1" ref="E342" ca="1">INDIRECT(CONCATENATE("'",$A$300,"'!c",B342),1)</f>
        <v>0</v>
      </c>
      <c r="F342" s="1" cm="1">
        <f t="array" aca="1" ref="F342" ca="1">INDIRECT(CONCATENATE("'",$A$320,"'!d",B342),1)</f>
        <v>0</v>
      </c>
      <c r="G342" s="1" cm="1">
        <f t="array" aca="1" ref="G342" ca="1">INDIRECT(CONCATENATE("'",$A$320,"'!e",B342),1)</f>
        <v>0</v>
      </c>
      <c r="H342" s="1" cm="1">
        <f t="array" aca="1" ref="H342" ca="1">INDIRECT(CONCATENATE("'",$A$320,"'!f",B342),1)</f>
        <v>0</v>
      </c>
      <c r="I342" s="1" cm="1">
        <f t="array" aca="1" ref="I342" ca="1">INDIRECT(CONCATENATE("'",$A$320,"'!g",B342),1)</f>
        <v>0</v>
      </c>
      <c r="J342" s="1" cm="1">
        <f t="array" aca="1" ref="J342" ca="1">INDIRECT(CONCATENATE("'",$A$320,"'!h",B342),1)</f>
        <v>0</v>
      </c>
      <c r="K342" s="1" cm="1">
        <f t="array" aca="1" ref="K342" ca="1">INDIRECT(CONCATENATE("'",$A$320,"'!i",B342),1)</f>
        <v>0</v>
      </c>
      <c r="L342" s="1" cm="1">
        <f t="array" aca="1" ref="L342" ca="1">INDIRECT(CONCATENATE("'",$A$320,"'!j",B342),1)</f>
        <v>0</v>
      </c>
      <c r="M342" s="1" cm="1">
        <f t="array" aca="1" ref="M342" ca="1">INDIRECT(CONCATENATE("'",$A$320,"'!k",B342),1)</f>
        <v>0</v>
      </c>
      <c r="N342" s="1" cm="1">
        <f t="array" aca="1" ref="N342" ca="1">INDIRECT(CONCATENATE("'",$A$320,"'!l",B342),1)</f>
        <v>0</v>
      </c>
      <c r="O342" s="1" cm="1">
        <f t="array" aca="1" ref="O342" ca="1">INDIRECT(CONCATENATE("'",$A$320,"'!m",B342),1)</f>
        <v>0</v>
      </c>
      <c r="P342" s="1" cm="1">
        <f t="array" aca="1" ref="P342" ca="1">INDIRECT(CONCATENATE("'",$A$320,"'!n",B342),1)</f>
        <v>0</v>
      </c>
      <c r="Q342" s="1" cm="1">
        <f t="array" aca="1" ref="Q342" ca="1">INDIRECT(CONCATENATE("'",$A$320,"'!o",B342),1)</f>
        <v>0</v>
      </c>
      <c r="R342" s="1" cm="1">
        <f t="array" aca="1" ref="R342" ca="1">INDIRECT(CONCATENATE("'",$A$320,"'!p",B342),1)</f>
        <v>0</v>
      </c>
      <c r="S342" s="1">
        <f t="shared" ca="1" si="27"/>
        <v>0</v>
      </c>
      <c r="T342" s="1" cm="1">
        <f t="array" aca="1" ref="T342" ca="1">INDIRECT(CONCATENATE("'",$A$320,"'!q",B342),1)</f>
        <v>0</v>
      </c>
      <c r="U342" s="1" cm="1">
        <f t="array" aca="1" ref="U342" ca="1">INDIRECT(CONCATENATE("'",$A$320,"'!r",B342),1)</f>
        <v>0</v>
      </c>
      <c r="V342" s="1" cm="1">
        <f t="array" aca="1" ref="V342" ca="1">INDIRECT(CONCATENATE("'",$A$320,"'!s",B342),1)</f>
        <v>0</v>
      </c>
      <c r="W342" s="1" cm="1">
        <f t="array" aca="1" ref="W342" ca="1">INDIRECT(CONCATENATE("'",$A$320,"'!t",B342),1)</f>
        <v>0</v>
      </c>
      <c r="X342" s="1" cm="1">
        <f t="array" aca="1" ref="X342" ca="1">INDIRECT(CONCATENATE("'",$A$320,"'!u",B342),1)</f>
        <v>0</v>
      </c>
      <c r="Y342" s="1" cm="1">
        <f t="array" aca="1" ref="Y342" ca="1">INDIRECT(CONCATENATE("'",$A$320,"'!v",B342),1)</f>
        <v>0</v>
      </c>
    </row>
    <row r="343" spans="1:25" hidden="1" x14ac:dyDescent="0.25">
      <c r="B343" s="24">
        <f t="shared" si="28"/>
        <v>25</v>
      </c>
      <c r="C343" s="1" cm="1">
        <f t="array" aca="1" ref="C343" ca="1">INDIRECT(CONCATENATE("'",$A$320,"'!A",B343),1)</f>
        <v>0</v>
      </c>
      <c r="D343" s="1" cm="1">
        <f t="array" aca="1" ref="D343" ca="1">INDIRECT(CONCATENATE("'",$A$320,"'!B",B343),1)</f>
        <v>0</v>
      </c>
      <c r="E343" s="1" cm="1">
        <f t="array" aca="1" ref="E343" ca="1">INDIRECT(CONCATENATE("'",$A$300,"'!c",B343),1)</f>
        <v>0</v>
      </c>
      <c r="F343" s="1" cm="1">
        <f t="array" aca="1" ref="F343" ca="1">INDIRECT(CONCATENATE("'",$A$320,"'!d",B343),1)</f>
        <v>0</v>
      </c>
      <c r="G343" s="1" cm="1">
        <f t="array" aca="1" ref="G343" ca="1">INDIRECT(CONCATENATE("'",$A$320,"'!e",B343),1)</f>
        <v>0</v>
      </c>
      <c r="H343" s="1" cm="1">
        <f t="array" aca="1" ref="H343" ca="1">INDIRECT(CONCATENATE("'",$A$320,"'!f",B343),1)</f>
        <v>0</v>
      </c>
      <c r="I343" s="1" cm="1">
        <f t="array" aca="1" ref="I343" ca="1">INDIRECT(CONCATENATE("'",$A$320,"'!g",B343),1)</f>
        <v>0</v>
      </c>
      <c r="J343" s="1" cm="1">
        <f t="array" aca="1" ref="J343" ca="1">INDIRECT(CONCATENATE("'",$A$320,"'!h",B343),1)</f>
        <v>0</v>
      </c>
      <c r="K343" s="1" cm="1">
        <f t="array" aca="1" ref="K343" ca="1">INDIRECT(CONCATENATE("'",$A$320,"'!i",B343),1)</f>
        <v>0</v>
      </c>
      <c r="L343" s="1" cm="1">
        <f t="array" aca="1" ref="L343" ca="1">INDIRECT(CONCATENATE("'",$A$320,"'!j",B343),1)</f>
        <v>0</v>
      </c>
      <c r="M343" s="1" cm="1">
        <f t="array" aca="1" ref="M343" ca="1">INDIRECT(CONCATENATE("'",$A$320,"'!k",B343),1)</f>
        <v>0</v>
      </c>
      <c r="N343" s="1" cm="1">
        <f t="array" aca="1" ref="N343" ca="1">INDIRECT(CONCATENATE("'",$A$320,"'!l",B343),1)</f>
        <v>0</v>
      </c>
      <c r="O343" s="1" cm="1">
        <f t="array" aca="1" ref="O343" ca="1">INDIRECT(CONCATENATE("'",$A$320,"'!m",B343),1)</f>
        <v>0</v>
      </c>
      <c r="P343" s="1" cm="1">
        <f t="array" aca="1" ref="P343" ca="1">INDIRECT(CONCATENATE("'",$A$320,"'!n",B343),1)</f>
        <v>0</v>
      </c>
      <c r="Q343" s="1" cm="1">
        <f t="array" aca="1" ref="Q343" ca="1">INDIRECT(CONCATENATE("'",$A$320,"'!o",B343),1)</f>
        <v>0</v>
      </c>
      <c r="R343" s="1" cm="1">
        <f t="array" aca="1" ref="R343" ca="1">INDIRECT(CONCATENATE("'",$A$320,"'!p",B343),1)</f>
        <v>0</v>
      </c>
      <c r="S343" s="1">
        <f t="shared" ca="1" si="27"/>
        <v>0</v>
      </c>
      <c r="T343" s="1" cm="1">
        <f t="array" aca="1" ref="T343" ca="1">INDIRECT(CONCATENATE("'",$A$320,"'!q",B343),1)</f>
        <v>0</v>
      </c>
      <c r="U343" s="1" cm="1">
        <f t="array" aca="1" ref="U343" ca="1">INDIRECT(CONCATENATE("'",$A$320,"'!r",B343),1)</f>
        <v>0</v>
      </c>
      <c r="V343" s="1" cm="1">
        <f t="array" aca="1" ref="V343" ca="1">INDIRECT(CONCATENATE("'",$A$320,"'!s",B343),1)</f>
        <v>0</v>
      </c>
      <c r="W343" s="1" cm="1">
        <f t="array" aca="1" ref="W343" ca="1">INDIRECT(CONCATENATE("'",$A$320,"'!t",B343),1)</f>
        <v>0</v>
      </c>
      <c r="X343" s="1" cm="1">
        <f t="array" aca="1" ref="X343" ca="1">INDIRECT(CONCATENATE("'",$A$320,"'!u",B343),1)</f>
        <v>0</v>
      </c>
      <c r="Y343" s="1" cm="1">
        <f t="array" aca="1" ref="Y343" ca="1">INDIRECT(CONCATENATE("'",$A$320,"'!v",B343),1)</f>
        <v>0</v>
      </c>
    </row>
    <row r="344" spans="1:25" hidden="1" x14ac:dyDescent="0.25">
      <c r="B344" s="24">
        <f t="shared" si="28"/>
        <v>26</v>
      </c>
      <c r="C344" s="1" cm="1">
        <f t="array" aca="1" ref="C344" ca="1">INDIRECT(CONCATENATE("'",$A$320,"'!A",B344),1)</f>
        <v>0</v>
      </c>
      <c r="D344" s="1" cm="1">
        <f t="array" aca="1" ref="D344" ca="1">INDIRECT(CONCATENATE("'",$A$320,"'!B",B344),1)</f>
        <v>0</v>
      </c>
      <c r="E344" s="1" cm="1">
        <f t="array" aca="1" ref="E344" ca="1">INDIRECT(CONCATENATE("'",$A$300,"'!c",B344),1)</f>
        <v>0</v>
      </c>
      <c r="F344" s="1" cm="1">
        <f t="array" aca="1" ref="F344" ca="1">INDIRECT(CONCATENATE("'",$A$320,"'!d",B344),1)</f>
        <v>0</v>
      </c>
      <c r="G344" s="1" cm="1">
        <f t="array" aca="1" ref="G344" ca="1">INDIRECT(CONCATENATE("'",$A$320,"'!e",B344),1)</f>
        <v>0</v>
      </c>
      <c r="H344" s="1" cm="1">
        <f t="array" aca="1" ref="H344" ca="1">INDIRECT(CONCATENATE("'",$A$320,"'!f",B344),1)</f>
        <v>0</v>
      </c>
      <c r="I344" s="1" cm="1">
        <f t="array" aca="1" ref="I344" ca="1">INDIRECT(CONCATENATE("'",$A$320,"'!g",B344),1)</f>
        <v>0</v>
      </c>
      <c r="J344" s="1" cm="1">
        <f t="array" aca="1" ref="J344" ca="1">INDIRECT(CONCATENATE("'",$A$320,"'!h",B344),1)</f>
        <v>0</v>
      </c>
      <c r="K344" s="1" cm="1">
        <f t="array" aca="1" ref="K344" ca="1">INDIRECT(CONCATENATE("'",$A$320,"'!i",B344),1)</f>
        <v>0</v>
      </c>
      <c r="L344" s="1" cm="1">
        <f t="array" aca="1" ref="L344" ca="1">INDIRECT(CONCATENATE("'",$A$320,"'!j",B344),1)</f>
        <v>0</v>
      </c>
      <c r="M344" s="1" cm="1">
        <f t="array" aca="1" ref="M344" ca="1">INDIRECT(CONCATENATE("'",$A$320,"'!k",B344),1)</f>
        <v>0</v>
      </c>
      <c r="N344" s="1" cm="1">
        <f t="array" aca="1" ref="N344" ca="1">INDIRECT(CONCATENATE("'",$A$320,"'!l",B344),1)</f>
        <v>0</v>
      </c>
      <c r="O344" s="1" cm="1">
        <f t="array" aca="1" ref="O344" ca="1">INDIRECT(CONCATENATE("'",$A$320,"'!m",B344),1)</f>
        <v>0</v>
      </c>
      <c r="P344" s="1" cm="1">
        <f t="array" aca="1" ref="P344" ca="1">INDIRECT(CONCATENATE("'",$A$320,"'!n",B344),1)</f>
        <v>0</v>
      </c>
      <c r="Q344" s="1" cm="1">
        <f t="array" aca="1" ref="Q344" ca="1">INDIRECT(CONCATENATE("'",$A$320,"'!o",B344),1)</f>
        <v>0</v>
      </c>
      <c r="R344" s="1" cm="1">
        <f t="array" aca="1" ref="R344" ca="1">INDIRECT(CONCATENATE("'",$A$320,"'!p",B344),1)</f>
        <v>0</v>
      </c>
      <c r="S344" s="1">
        <f t="shared" ref="S344:S350" ca="1" si="29">SUMIFS(U344,T344,$N$1)+SUMIFS(W344,V344,$N$1)+SUMIFS(Y344,X344,$N$1)</f>
        <v>0</v>
      </c>
      <c r="T344" s="1" cm="1">
        <f t="array" aca="1" ref="T344" ca="1">INDIRECT(CONCATENATE("'",$A$320,"'!q",B344),1)</f>
        <v>0</v>
      </c>
      <c r="U344" s="1" cm="1">
        <f t="array" aca="1" ref="U344" ca="1">INDIRECT(CONCATENATE("'",$A$320,"'!r",B344),1)</f>
        <v>0</v>
      </c>
      <c r="V344" s="1" cm="1">
        <f t="array" aca="1" ref="V344" ca="1">INDIRECT(CONCATENATE("'",$A$320,"'!s",B344),1)</f>
        <v>0</v>
      </c>
      <c r="W344" s="1" cm="1">
        <f t="array" aca="1" ref="W344" ca="1">INDIRECT(CONCATENATE("'",$A$320,"'!t",B344),1)</f>
        <v>0</v>
      </c>
      <c r="X344" s="1" cm="1">
        <f t="array" aca="1" ref="X344" ca="1">INDIRECT(CONCATENATE("'",$A$320,"'!u",B344),1)</f>
        <v>0</v>
      </c>
      <c r="Y344" s="1" cm="1">
        <f t="array" aca="1" ref="Y344" ca="1">INDIRECT(CONCATENATE("'",$A$320,"'!v",B344),1)</f>
        <v>0</v>
      </c>
    </row>
    <row r="345" spans="1:25" hidden="1" x14ac:dyDescent="0.25">
      <c r="B345" s="24">
        <f t="shared" si="28"/>
        <v>27</v>
      </c>
      <c r="C345" s="1" cm="1">
        <f t="array" aca="1" ref="C345" ca="1">INDIRECT(CONCATENATE("'",$A$320,"'!A",B345),1)</f>
        <v>0</v>
      </c>
      <c r="D345" s="1" cm="1">
        <f t="array" aca="1" ref="D345" ca="1">INDIRECT(CONCATENATE("'",$A$320,"'!B",B345),1)</f>
        <v>0</v>
      </c>
      <c r="E345" s="1" cm="1">
        <f t="array" aca="1" ref="E345" ca="1">INDIRECT(CONCATENATE("'",$A$300,"'!c",B345),1)</f>
        <v>0</v>
      </c>
      <c r="F345" s="1" cm="1">
        <f t="array" aca="1" ref="F345" ca="1">INDIRECT(CONCATENATE("'",$A$320,"'!d",B345),1)</f>
        <v>0</v>
      </c>
      <c r="G345" s="1" cm="1">
        <f t="array" aca="1" ref="G345" ca="1">INDIRECT(CONCATENATE("'",$A$320,"'!e",B345),1)</f>
        <v>0</v>
      </c>
      <c r="H345" s="1" cm="1">
        <f t="array" aca="1" ref="H345" ca="1">INDIRECT(CONCATENATE("'",$A$320,"'!f",B345),1)</f>
        <v>0</v>
      </c>
      <c r="I345" s="1" cm="1">
        <f t="array" aca="1" ref="I345" ca="1">INDIRECT(CONCATENATE("'",$A$320,"'!g",B345),1)</f>
        <v>0</v>
      </c>
      <c r="J345" s="1" cm="1">
        <f t="array" aca="1" ref="J345" ca="1">INDIRECT(CONCATENATE("'",$A$320,"'!h",B345),1)</f>
        <v>0</v>
      </c>
      <c r="K345" s="1" cm="1">
        <f t="array" aca="1" ref="K345" ca="1">INDIRECT(CONCATENATE("'",$A$320,"'!i",B345),1)</f>
        <v>0</v>
      </c>
      <c r="L345" s="1" cm="1">
        <f t="array" aca="1" ref="L345" ca="1">INDIRECT(CONCATENATE("'",$A$320,"'!j",B345),1)</f>
        <v>0</v>
      </c>
      <c r="M345" s="1" cm="1">
        <f t="array" aca="1" ref="M345" ca="1">INDIRECT(CONCATENATE("'",$A$320,"'!k",B345),1)</f>
        <v>0</v>
      </c>
      <c r="N345" s="1" cm="1">
        <f t="array" aca="1" ref="N345" ca="1">INDIRECT(CONCATENATE("'",$A$320,"'!l",B345),1)</f>
        <v>0</v>
      </c>
      <c r="O345" s="1" cm="1">
        <f t="array" aca="1" ref="O345" ca="1">INDIRECT(CONCATENATE("'",$A$320,"'!m",B345),1)</f>
        <v>0</v>
      </c>
      <c r="P345" s="1" cm="1">
        <f t="array" aca="1" ref="P345" ca="1">INDIRECT(CONCATENATE("'",$A$320,"'!n",B345),1)</f>
        <v>0</v>
      </c>
      <c r="Q345" s="1" cm="1">
        <f t="array" aca="1" ref="Q345" ca="1">INDIRECT(CONCATENATE("'",$A$320,"'!o",B345),1)</f>
        <v>0</v>
      </c>
      <c r="R345" s="1" cm="1">
        <f t="array" aca="1" ref="R345" ca="1">INDIRECT(CONCATENATE("'",$A$320,"'!p",B345),1)</f>
        <v>0</v>
      </c>
      <c r="S345" s="1">
        <f t="shared" ca="1" si="29"/>
        <v>0</v>
      </c>
      <c r="T345" s="1" cm="1">
        <f t="array" aca="1" ref="T345" ca="1">INDIRECT(CONCATENATE("'",$A$320,"'!q",B345),1)</f>
        <v>0</v>
      </c>
      <c r="U345" s="1" cm="1">
        <f t="array" aca="1" ref="U345" ca="1">INDIRECT(CONCATENATE("'",$A$320,"'!r",B345),1)</f>
        <v>0</v>
      </c>
      <c r="V345" s="1" cm="1">
        <f t="array" aca="1" ref="V345" ca="1">INDIRECT(CONCATENATE("'",$A$320,"'!s",B345),1)</f>
        <v>0</v>
      </c>
      <c r="W345" s="1" cm="1">
        <f t="array" aca="1" ref="W345" ca="1">INDIRECT(CONCATENATE("'",$A$320,"'!t",B345),1)</f>
        <v>0</v>
      </c>
      <c r="X345" s="1" cm="1">
        <f t="array" aca="1" ref="X345" ca="1">INDIRECT(CONCATENATE("'",$A$320,"'!u",B345),1)</f>
        <v>0</v>
      </c>
      <c r="Y345" s="1" cm="1">
        <f t="array" aca="1" ref="Y345" ca="1">INDIRECT(CONCATENATE("'",$A$320,"'!v",B345),1)</f>
        <v>0</v>
      </c>
    </row>
    <row r="346" spans="1:25" hidden="1" x14ac:dyDescent="0.25">
      <c r="B346" s="24">
        <f t="shared" si="28"/>
        <v>28</v>
      </c>
      <c r="C346" s="1" cm="1">
        <f t="array" aca="1" ref="C346" ca="1">INDIRECT(CONCATENATE("'",$A$320,"'!A",B346),1)</f>
        <v>0</v>
      </c>
      <c r="D346" s="1" cm="1">
        <f t="array" aca="1" ref="D346" ca="1">INDIRECT(CONCATENATE("'",$A$320,"'!B",B346),1)</f>
        <v>0</v>
      </c>
      <c r="E346" s="1" cm="1">
        <f t="array" aca="1" ref="E346" ca="1">INDIRECT(CONCATENATE("'",$A$300,"'!c",B346),1)</f>
        <v>0</v>
      </c>
      <c r="F346" s="1" cm="1">
        <f t="array" aca="1" ref="F346" ca="1">INDIRECT(CONCATENATE("'",$A$320,"'!d",B346),1)</f>
        <v>0</v>
      </c>
      <c r="G346" s="1" cm="1">
        <f t="array" aca="1" ref="G346" ca="1">INDIRECT(CONCATENATE("'",$A$320,"'!e",B346),1)</f>
        <v>0</v>
      </c>
      <c r="H346" s="1" cm="1">
        <f t="array" aca="1" ref="H346" ca="1">INDIRECT(CONCATENATE("'",$A$320,"'!f",B346),1)</f>
        <v>0</v>
      </c>
      <c r="I346" s="1" cm="1">
        <f t="array" aca="1" ref="I346" ca="1">INDIRECT(CONCATENATE("'",$A$320,"'!g",B346),1)</f>
        <v>0</v>
      </c>
      <c r="J346" s="1" cm="1">
        <f t="array" aca="1" ref="J346" ca="1">INDIRECT(CONCATENATE("'",$A$320,"'!h",B346),1)</f>
        <v>0</v>
      </c>
      <c r="K346" s="1" cm="1">
        <f t="array" aca="1" ref="K346" ca="1">INDIRECT(CONCATENATE("'",$A$320,"'!i",B346),1)</f>
        <v>0</v>
      </c>
      <c r="L346" s="1" cm="1">
        <f t="array" aca="1" ref="L346" ca="1">INDIRECT(CONCATENATE("'",$A$320,"'!j",B346),1)</f>
        <v>0</v>
      </c>
      <c r="M346" s="1" cm="1">
        <f t="array" aca="1" ref="M346" ca="1">INDIRECT(CONCATENATE("'",$A$320,"'!k",B346),1)</f>
        <v>0</v>
      </c>
      <c r="N346" s="1" cm="1">
        <f t="array" aca="1" ref="N346" ca="1">INDIRECT(CONCATENATE("'",$A$320,"'!l",B346),1)</f>
        <v>0</v>
      </c>
      <c r="O346" s="1" cm="1">
        <f t="array" aca="1" ref="O346" ca="1">INDIRECT(CONCATENATE("'",$A$320,"'!m",B346),1)</f>
        <v>0</v>
      </c>
      <c r="P346" s="1" cm="1">
        <f t="array" aca="1" ref="P346" ca="1">INDIRECT(CONCATENATE("'",$A$320,"'!n",B346),1)</f>
        <v>0</v>
      </c>
      <c r="Q346" s="1" cm="1">
        <f t="array" aca="1" ref="Q346" ca="1">INDIRECT(CONCATENATE("'",$A$320,"'!o",B346),1)</f>
        <v>0</v>
      </c>
      <c r="R346" s="1" cm="1">
        <f t="array" aca="1" ref="R346" ca="1">INDIRECT(CONCATENATE("'",$A$320,"'!p",B346),1)</f>
        <v>0</v>
      </c>
      <c r="S346" s="1">
        <f t="shared" ca="1" si="29"/>
        <v>0</v>
      </c>
      <c r="T346" s="1" cm="1">
        <f t="array" aca="1" ref="T346" ca="1">INDIRECT(CONCATENATE("'",$A$320,"'!q",B346),1)</f>
        <v>0</v>
      </c>
      <c r="U346" s="1" cm="1">
        <f t="array" aca="1" ref="U346" ca="1">INDIRECT(CONCATENATE("'",$A$320,"'!r",B346),1)</f>
        <v>0</v>
      </c>
      <c r="V346" s="1" cm="1">
        <f t="array" aca="1" ref="V346" ca="1">INDIRECT(CONCATENATE("'",$A$320,"'!s",B346),1)</f>
        <v>0</v>
      </c>
      <c r="W346" s="1" cm="1">
        <f t="array" aca="1" ref="W346" ca="1">INDIRECT(CONCATENATE("'",$A$320,"'!t",B346),1)</f>
        <v>0</v>
      </c>
      <c r="X346" s="1" cm="1">
        <f t="array" aca="1" ref="X346" ca="1">INDIRECT(CONCATENATE("'",$A$320,"'!u",B346),1)</f>
        <v>0</v>
      </c>
      <c r="Y346" s="1" cm="1">
        <f t="array" aca="1" ref="Y346" ca="1">INDIRECT(CONCATENATE("'",$A$320,"'!v",B346),1)</f>
        <v>0</v>
      </c>
    </row>
    <row r="347" spans="1:25" hidden="1" x14ac:dyDescent="0.25">
      <c r="B347" s="24">
        <f t="shared" si="28"/>
        <v>29</v>
      </c>
      <c r="C347" s="1" cm="1">
        <f t="array" aca="1" ref="C347" ca="1">INDIRECT(CONCATENATE("'",$A$320,"'!A",B347),1)</f>
        <v>0</v>
      </c>
      <c r="D347" s="1" cm="1">
        <f t="array" aca="1" ref="D347" ca="1">INDIRECT(CONCATENATE("'",$A$320,"'!B",B347),1)</f>
        <v>0</v>
      </c>
      <c r="E347" s="1" cm="1">
        <f t="array" aca="1" ref="E347" ca="1">INDIRECT(CONCATENATE("'",$A$300,"'!c",B347),1)</f>
        <v>0</v>
      </c>
      <c r="F347" s="1" cm="1">
        <f t="array" aca="1" ref="F347" ca="1">INDIRECT(CONCATENATE("'",$A$320,"'!d",B347),1)</f>
        <v>0</v>
      </c>
      <c r="G347" s="1" cm="1">
        <f t="array" aca="1" ref="G347" ca="1">INDIRECT(CONCATENATE("'",$A$320,"'!e",B347),1)</f>
        <v>0</v>
      </c>
      <c r="H347" s="1" cm="1">
        <f t="array" aca="1" ref="H347" ca="1">INDIRECT(CONCATENATE("'",$A$320,"'!f",B347),1)</f>
        <v>0</v>
      </c>
      <c r="I347" s="1" cm="1">
        <f t="array" aca="1" ref="I347" ca="1">INDIRECT(CONCATENATE("'",$A$320,"'!g",B347),1)</f>
        <v>0</v>
      </c>
      <c r="J347" s="1" cm="1">
        <f t="array" aca="1" ref="J347" ca="1">INDIRECT(CONCATENATE("'",$A$320,"'!h",B347),1)</f>
        <v>0</v>
      </c>
      <c r="K347" s="1" cm="1">
        <f t="array" aca="1" ref="K347" ca="1">INDIRECT(CONCATENATE("'",$A$320,"'!i",B347),1)</f>
        <v>0</v>
      </c>
      <c r="L347" s="1" cm="1">
        <f t="array" aca="1" ref="L347" ca="1">INDIRECT(CONCATENATE("'",$A$320,"'!j",B347),1)</f>
        <v>0</v>
      </c>
      <c r="M347" s="1" cm="1">
        <f t="array" aca="1" ref="M347" ca="1">INDIRECT(CONCATENATE("'",$A$320,"'!k",B347),1)</f>
        <v>0</v>
      </c>
      <c r="N347" s="1" cm="1">
        <f t="array" aca="1" ref="N347" ca="1">INDIRECT(CONCATENATE("'",$A$320,"'!l",B347),1)</f>
        <v>0</v>
      </c>
      <c r="O347" s="1" cm="1">
        <f t="array" aca="1" ref="O347" ca="1">INDIRECT(CONCATENATE("'",$A$320,"'!m",B347),1)</f>
        <v>0</v>
      </c>
      <c r="P347" s="1" cm="1">
        <f t="array" aca="1" ref="P347" ca="1">INDIRECT(CONCATENATE("'",$A$320,"'!n",B347),1)</f>
        <v>0</v>
      </c>
      <c r="Q347" s="1" cm="1">
        <f t="array" aca="1" ref="Q347" ca="1">INDIRECT(CONCATENATE("'",$A$320,"'!o",B347),1)</f>
        <v>0</v>
      </c>
      <c r="R347" s="1" cm="1">
        <f t="array" aca="1" ref="R347" ca="1">INDIRECT(CONCATENATE("'",$A$320,"'!p",B347),1)</f>
        <v>0</v>
      </c>
      <c r="S347" s="1">
        <f t="shared" ca="1" si="29"/>
        <v>0</v>
      </c>
      <c r="T347" s="1" cm="1">
        <f t="array" aca="1" ref="T347" ca="1">INDIRECT(CONCATENATE("'",$A$320,"'!q",B347),1)</f>
        <v>0</v>
      </c>
      <c r="U347" s="1" cm="1">
        <f t="array" aca="1" ref="U347" ca="1">INDIRECT(CONCATENATE("'",$A$320,"'!r",B347),1)</f>
        <v>0</v>
      </c>
      <c r="V347" s="1" cm="1">
        <f t="array" aca="1" ref="V347" ca="1">INDIRECT(CONCATENATE("'",$A$320,"'!s",B347),1)</f>
        <v>0</v>
      </c>
      <c r="W347" s="1" cm="1">
        <f t="array" aca="1" ref="W347" ca="1">INDIRECT(CONCATENATE("'",$A$320,"'!t",B347),1)</f>
        <v>0</v>
      </c>
      <c r="X347" s="1" cm="1">
        <f t="array" aca="1" ref="X347" ca="1">INDIRECT(CONCATENATE("'",$A$320,"'!u",B347),1)</f>
        <v>0</v>
      </c>
      <c r="Y347" s="1" cm="1">
        <f t="array" aca="1" ref="Y347" ca="1">INDIRECT(CONCATENATE("'",$A$320,"'!v",B347),1)</f>
        <v>0</v>
      </c>
    </row>
    <row r="348" spans="1:25" hidden="1" x14ac:dyDescent="0.25">
      <c r="B348" s="24">
        <f t="shared" si="28"/>
        <v>30</v>
      </c>
      <c r="C348" s="1" cm="1">
        <f t="array" aca="1" ref="C348" ca="1">INDIRECT(CONCATENATE("'",$A$320,"'!A",B348),1)</f>
        <v>0</v>
      </c>
      <c r="D348" s="1" cm="1">
        <f t="array" aca="1" ref="D348" ca="1">INDIRECT(CONCATENATE("'",$A$320,"'!B",B348),1)</f>
        <v>0</v>
      </c>
      <c r="E348" s="1" cm="1">
        <f t="array" aca="1" ref="E348" ca="1">INDIRECT(CONCATENATE("'",$A$300,"'!c",B348),1)</f>
        <v>0</v>
      </c>
      <c r="F348" s="1" cm="1">
        <f t="array" aca="1" ref="F348" ca="1">INDIRECT(CONCATENATE("'",$A$320,"'!d",B348),1)</f>
        <v>0</v>
      </c>
      <c r="G348" s="1" cm="1">
        <f t="array" aca="1" ref="G348" ca="1">INDIRECT(CONCATENATE("'",$A$320,"'!e",B348),1)</f>
        <v>0</v>
      </c>
      <c r="H348" s="1" cm="1">
        <f t="array" aca="1" ref="H348" ca="1">INDIRECT(CONCATENATE("'",$A$320,"'!f",B348),1)</f>
        <v>0</v>
      </c>
      <c r="I348" s="1" cm="1">
        <f t="array" aca="1" ref="I348" ca="1">INDIRECT(CONCATENATE("'",$A$320,"'!g",B348),1)</f>
        <v>0</v>
      </c>
      <c r="J348" s="1" cm="1">
        <f t="array" aca="1" ref="J348" ca="1">INDIRECT(CONCATENATE("'",$A$320,"'!h",B348),1)</f>
        <v>0</v>
      </c>
      <c r="K348" s="1" cm="1">
        <f t="array" aca="1" ref="K348" ca="1">INDIRECT(CONCATENATE("'",$A$320,"'!i",B348),1)</f>
        <v>0</v>
      </c>
      <c r="L348" s="1" cm="1">
        <f t="array" aca="1" ref="L348" ca="1">INDIRECT(CONCATENATE("'",$A$320,"'!j",B348),1)</f>
        <v>0</v>
      </c>
      <c r="M348" s="1" cm="1">
        <f t="array" aca="1" ref="M348" ca="1">INDIRECT(CONCATENATE("'",$A$320,"'!k",B348),1)</f>
        <v>0</v>
      </c>
      <c r="N348" s="1" cm="1">
        <f t="array" aca="1" ref="N348" ca="1">INDIRECT(CONCATENATE("'",$A$320,"'!l",B348),1)</f>
        <v>0</v>
      </c>
      <c r="O348" s="1" cm="1">
        <f t="array" aca="1" ref="O348" ca="1">INDIRECT(CONCATENATE("'",$A$320,"'!m",B348),1)</f>
        <v>0</v>
      </c>
      <c r="P348" s="1" cm="1">
        <f t="array" aca="1" ref="P348" ca="1">INDIRECT(CONCATENATE("'",$A$320,"'!n",B348),1)</f>
        <v>0</v>
      </c>
      <c r="Q348" s="1" cm="1">
        <f t="array" aca="1" ref="Q348" ca="1">INDIRECT(CONCATENATE("'",$A$320,"'!o",B348),1)</f>
        <v>0</v>
      </c>
      <c r="R348" s="1" cm="1">
        <f t="array" aca="1" ref="R348" ca="1">INDIRECT(CONCATENATE("'",$A$320,"'!p",B348),1)</f>
        <v>0</v>
      </c>
      <c r="S348" s="1">
        <f t="shared" ca="1" si="29"/>
        <v>0</v>
      </c>
      <c r="T348" s="1" cm="1">
        <f t="array" aca="1" ref="T348" ca="1">INDIRECT(CONCATENATE("'",$A$320,"'!q",B348),1)</f>
        <v>0</v>
      </c>
      <c r="U348" s="1" cm="1">
        <f t="array" aca="1" ref="U348" ca="1">INDIRECT(CONCATENATE("'",$A$320,"'!r",B348),1)</f>
        <v>0</v>
      </c>
      <c r="V348" s="1" cm="1">
        <f t="array" aca="1" ref="V348" ca="1">INDIRECT(CONCATENATE("'",$A$320,"'!s",B348),1)</f>
        <v>0</v>
      </c>
      <c r="W348" s="1" cm="1">
        <f t="array" aca="1" ref="W348" ca="1">INDIRECT(CONCATENATE("'",$A$320,"'!t",B348),1)</f>
        <v>0</v>
      </c>
      <c r="X348" s="1" cm="1">
        <f t="array" aca="1" ref="X348" ca="1">INDIRECT(CONCATENATE("'",$A$320,"'!u",B348),1)</f>
        <v>0</v>
      </c>
      <c r="Y348" s="1" cm="1">
        <f t="array" aca="1" ref="Y348" ca="1">INDIRECT(CONCATENATE("'",$A$320,"'!v",B348),1)</f>
        <v>0</v>
      </c>
    </row>
    <row r="349" spans="1:25" hidden="1" x14ac:dyDescent="0.25">
      <c r="B349" s="24">
        <f t="shared" si="28"/>
        <v>31</v>
      </c>
      <c r="C349" s="1" cm="1">
        <f t="array" aca="1" ref="C349" ca="1">INDIRECT(CONCATENATE("'",$A$320,"'!A",B349),1)</f>
        <v>0</v>
      </c>
      <c r="D349" s="1" cm="1">
        <f t="array" aca="1" ref="D349" ca="1">INDIRECT(CONCATENATE("'",$A$320,"'!B",B349),1)</f>
        <v>0</v>
      </c>
      <c r="E349" s="1" cm="1">
        <f t="array" aca="1" ref="E349" ca="1">INDIRECT(CONCATENATE("'",$A$300,"'!c",B349),1)</f>
        <v>0</v>
      </c>
      <c r="F349" s="1" cm="1">
        <f t="array" aca="1" ref="F349" ca="1">INDIRECT(CONCATENATE("'",$A$320,"'!d",B349),1)</f>
        <v>0</v>
      </c>
      <c r="G349" s="1" cm="1">
        <f t="array" aca="1" ref="G349" ca="1">INDIRECT(CONCATENATE("'",$A$320,"'!e",B349),1)</f>
        <v>0</v>
      </c>
      <c r="H349" s="1" cm="1">
        <f t="array" aca="1" ref="H349" ca="1">INDIRECT(CONCATENATE("'",$A$320,"'!f",B349),1)</f>
        <v>0</v>
      </c>
      <c r="I349" s="1" cm="1">
        <f t="array" aca="1" ref="I349" ca="1">INDIRECT(CONCATENATE("'",$A$320,"'!g",B349),1)</f>
        <v>0</v>
      </c>
      <c r="J349" s="1" cm="1">
        <f t="array" aca="1" ref="J349" ca="1">INDIRECT(CONCATENATE("'",$A$320,"'!h",B349),1)</f>
        <v>0</v>
      </c>
      <c r="K349" s="1" cm="1">
        <f t="array" aca="1" ref="K349" ca="1">INDIRECT(CONCATENATE("'",$A$320,"'!i",B349),1)</f>
        <v>0</v>
      </c>
      <c r="L349" s="1" cm="1">
        <f t="array" aca="1" ref="L349" ca="1">INDIRECT(CONCATENATE("'",$A$320,"'!j",B349),1)</f>
        <v>0</v>
      </c>
      <c r="M349" s="1" cm="1">
        <f t="array" aca="1" ref="M349" ca="1">INDIRECT(CONCATENATE("'",$A$320,"'!k",B349),1)</f>
        <v>0</v>
      </c>
      <c r="N349" s="1" cm="1">
        <f t="array" aca="1" ref="N349" ca="1">INDIRECT(CONCATENATE("'",$A$320,"'!l",B349),1)</f>
        <v>0</v>
      </c>
      <c r="O349" s="1" cm="1">
        <f t="array" aca="1" ref="O349" ca="1">INDIRECT(CONCATENATE("'",$A$320,"'!m",B349),1)</f>
        <v>0</v>
      </c>
      <c r="P349" s="1" cm="1">
        <f t="array" aca="1" ref="P349" ca="1">INDIRECT(CONCATENATE("'",$A$320,"'!n",B349),1)</f>
        <v>0</v>
      </c>
      <c r="Q349" s="1" cm="1">
        <f t="array" aca="1" ref="Q349" ca="1">INDIRECT(CONCATENATE("'",$A$320,"'!o",B349),1)</f>
        <v>0</v>
      </c>
      <c r="R349" s="1" cm="1">
        <f t="array" aca="1" ref="R349" ca="1">INDIRECT(CONCATENATE("'",$A$320,"'!p",B349),1)</f>
        <v>0</v>
      </c>
      <c r="S349" s="1">
        <f t="shared" ca="1" si="29"/>
        <v>0</v>
      </c>
      <c r="T349" s="1" cm="1">
        <f t="array" aca="1" ref="T349" ca="1">INDIRECT(CONCATENATE("'",$A$320,"'!q",B349),1)</f>
        <v>0</v>
      </c>
      <c r="U349" s="1" cm="1">
        <f t="array" aca="1" ref="U349" ca="1">INDIRECT(CONCATENATE("'",$A$320,"'!r",B349),1)</f>
        <v>0</v>
      </c>
      <c r="V349" s="1" cm="1">
        <f t="array" aca="1" ref="V349" ca="1">INDIRECT(CONCATENATE("'",$A$320,"'!s",B349),1)</f>
        <v>0</v>
      </c>
      <c r="W349" s="1" cm="1">
        <f t="array" aca="1" ref="W349" ca="1">INDIRECT(CONCATENATE("'",$A$320,"'!t",B349),1)</f>
        <v>0</v>
      </c>
      <c r="X349" s="1" cm="1">
        <f t="array" aca="1" ref="X349" ca="1">INDIRECT(CONCATENATE("'",$A$320,"'!u",B349),1)</f>
        <v>0</v>
      </c>
      <c r="Y349" s="1" cm="1">
        <f t="array" aca="1" ref="Y349" ca="1">INDIRECT(CONCATENATE("'",$A$320,"'!v",B349),1)</f>
        <v>0</v>
      </c>
    </row>
    <row r="350" spans="1:25" ht="45" hidden="1" x14ac:dyDescent="0.25">
      <c r="A350" s="24" t="s">
        <v>182</v>
      </c>
      <c r="B350" s="24">
        <v>2</v>
      </c>
      <c r="C350" s="1" t="str" cm="1">
        <f t="array" aca="1" ref="C350" ca="1">INDIRECT(CONCATENATE("'",$A$350,"'!A",B350),1)</f>
        <v>Основы программирования: Алгоритмические языки и программирование</v>
      </c>
      <c r="D350" s="1" t="str" cm="1">
        <f t="array" aca="1" ref="D350" ca="1">INDIRECT(CONCATENATE("'",$A$350,"'!B",B350),1)</f>
        <v>09.03.01(09)</v>
      </c>
      <c r="E350" s="1" t="str" cm="1">
        <f t="array" aca="1" ref="E350" ca="1">INDIRECT(CONCATENATE("'",$A$350,"'!c",B350),1)</f>
        <v>4091з</v>
      </c>
      <c r="F350" s="1" cm="1">
        <f t="array" aca="1" ref="F350" ca="1">INDIRECT(CONCATENATE("'",$A$350,"'!d",B350),1)</f>
        <v>3</v>
      </c>
      <c r="G350" s="1" cm="1">
        <f t="array" aca="1" ref="G350" ca="1">INDIRECT(CONCATENATE("'",$A$350,"'!e",B350),1)</f>
        <v>1</v>
      </c>
      <c r="H350" s="1" cm="1">
        <f t="array" aca="1" ref="H350" ca="1">INDIRECT(CONCATENATE("'",$A$350,"'!f",B350),1)</f>
        <v>22</v>
      </c>
      <c r="I350" s="1" t="str" cm="1">
        <f t="array" aca="1" ref="I350" ca="1">INDIRECT(CONCATENATE("'",$A$350,"'!g",B350),1)</f>
        <v>ЭКЗ</v>
      </c>
      <c r="J350" s="1" cm="1">
        <f t="array" aca="1" ref="J350" ca="1">INDIRECT(CONCATENATE("'",$A$350,"'!h",B350),1)</f>
        <v>8</v>
      </c>
      <c r="K350" s="1" cm="1">
        <f t="array" aca="1" ref="K350" ca="1">INDIRECT(CONCATENATE("'",$A$350,"'!i",B350),1)</f>
        <v>8</v>
      </c>
      <c r="L350" s="1" cm="1">
        <f t="array" aca="1" ref="L350" ca="1">INDIRECT(CONCATENATE("'",$A$350,"'!j",B350),1)</f>
        <v>20</v>
      </c>
      <c r="M350" s="1" cm="1">
        <f t="array" aca="1" ref="M350" ca="1">INDIRECT(CONCATENATE("'",$A$350,"'!k",B350),1)</f>
        <v>0</v>
      </c>
      <c r="N350" s="1" t="str" cm="1">
        <f t="array" aca="1" ref="N350" ca="1">INDIRECT(CONCATENATE("'",$A$350,"'!l",B350),1)</f>
        <v>Кулаков И.Ю.</v>
      </c>
      <c r="O350" s="1" t="str" cm="1">
        <f t="array" aca="1" ref="O350" ca="1">INDIRECT(CONCATENATE("'",$A$350,"'!m",B350),1)</f>
        <v>3305,3312,3315</v>
      </c>
      <c r="P350" s="1" t="str" cm="1">
        <f t="array" aca="1" ref="P350" ca="1">INDIRECT(CONCATENATE("'",$A$350,"'!n",B350),1)</f>
        <v>3п</v>
      </c>
      <c r="Q350" s="1" cm="1">
        <f t="array" aca="1" ref="Q350" ca="1">INDIRECT(CONCATENATE("'",$A$350,"'!o",B350),1)</f>
        <v>26.4</v>
      </c>
      <c r="R350" s="1" cm="1">
        <f t="array" aca="1" ref="R350" ca="1">INDIRECT(CONCATENATE("'",$A$350,"'!p",B350),1)</f>
        <v>17.600000000000001</v>
      </c>
      <c r="S350" s="1">
        <f t="shared" ca="1" si="29"/>
        <v>0</v>
      </c>
      <c r="T350" s="1" t="str" cm="1">
        <f t="array" aca="1" ref="T350" ca="1">INDIRECT(CONCATENATE("'",$A$350,"'!q",B350),1)</f>
        <v>Кулаков И.Ю.</v>
      </c>
      <c r="U350" s="1" cm="1">
        <f t="array" aca="1" ref="U350" ca="1">INDIRECT(CONCATENATE("'",$A$350,"'!r",B350),1)</f>
        <v>72</v>
      </c>
      <c r="V350" s="1" cm="1">
        <f t="array" aca="1" ref="V350" ca="1">INDIRECT(CONCATENATE("'",$A$350,"'!s",B350),1)</f>
        <v>0</v>
      </c>
      <c r="W350" s="1" cm="1">
        <f t="array" aca="1" ref="W350" ca="1">INDIRECT(CONCATENATE("'",$A$350,"'!t",B350),1)</f>
        <v>0</v>
      </c>
      <c r="X350" s="1" cm="1">
        <f t="array" aca="1" ref="X350" ca="1">INDIRECT(CONCATENATE("'",$A$350,"'!u",B350),1)</f>
        <v>0</v>
      </c>
      <c r="Y350" s="1" cm="1">
        <f t="array" aca="1" ref="Y350" ca="1">INDIRECT(CONCATENATE("'",$A$350,"'!v",B350),1)</f>
        <v>0</v>
      </c>
    </row>
    <row r="351" spans="1:25" customFormat="1" ht="22.5" hidden="1" x14ac:dyDescent="0.25">
      <c r="A351" s="15"/>
      <c r="B351" s="24">
        <f>B350+1</f>
        <v>3</v>
      </c>
      <c r="C351" s="1" t="str" cm="1">
        <f t="array" aca="1" ref="C351" ca="1">INDIRECT(CONCATENATE("'",$A$350,"'!A",B351),1)</f>
        <v>Операционные системы (установ.)</v>
      </c>
      <c r="D351" s="1" t="str" cm="1">
        <f t="array" aca="1" ref="D351" ca="1">INDIRECT(CONCATENATE("'",$A$350,"'!B",B351),1)</f>
        <v>09.03.01(09)</v>
      </c>
      <c r="E351" s="1" t="str" cm="1">
        <f t="array" aca="1" ref="E351" ca="1">INDIRECT(CONCATENATE("'",$A$350,"'!c",B351),1)</f>
        <v>4091з</v>
      </c>
      <c r="F351" s="1" cm="1">
        <f t="array" aca="1" ref="F351" ca="1">INDIRECT(CONCATENATE("'",$A$350,"'!d",B351),1)</f>
        <v>3</v>
      </c>
      <c r="G351" s="1" cm="1">
        <f t="array" aca="1" ref="G351" ca="1">INDIRECT(CONCATENATE("'",$A$350,"'!e",B351),1)</f>
        <v>1</v>
      </c>
      <c r="H351" s="1" cm="1">
        <f t="array" aca="1" ref="H351" ca="1">INDIRECT(CONCATENATE("'",$A$350,"'!f",B351),1)</f>
        <v>22</v>
      </c>
      <c r="I351" s="1" cm="1">
        <f t="array" aca="1" ref="I351" ca="1">INDIRECT(CONCATENATE("'",$A$350,"'!g",B351),1)</f>
        <v>0</v>
      </c>
      <c r="J351" s="1" cm="1">
        <f t="array" aca="1" ref="J351" ca="1">INDIRECT(CONCATENATE("'",$A$350,"'!h",B351),1)</f>
        <v>0</v>
      </c>
      <c r="K351" s="1" cm="1">
        <f t="array" aca="1" ref="K351" ca="1">INDIRECT(CONCATENATE("'",$A$350,"'!i",B351),1)</f>
        <v>2</v>
      </c>
      <c r="L351" s="1" cm="1">
        <f t="array" aca="1" ref="L351" ca="1">INDIRECT(CONCATENATE("'",$A$350,"'!j",B351),1)</f>
        <v>0</v>
      </c>
      <c r="M351" s="1" cm="1">
        <f t="array" aca="1" ref="M351" ca="1">INDIRECT(CONCATENATE("'",$A$350,"'!k",B351),1)</f>
        <v>0</v>
      </c>
      <c r="N351" s="1" t="str" cm="1">
        <f t="array" aca="1" ref="N351" ca="1">INDIRECT(CONCATENATE("'",$A$350,"'!l",B351),1)</f>
        <v>Петров Р.В.</v>
      </c>
      <c r="O351" s="1" cm="1">
        <f t="array" aca="1" ref="O351" ca="1">INDIRECT(CONCATENATE("'",$A$350,"'!m",B351),1)</f>
        <v>3305</v>
      </c>
      <c r="P351" s="1" t="str" cm="1">
        <f t="array" aca="1" ref="P351" ca="1">INDIRECT(CONCATENATE("'",$A$350,"'!n",B351),1)</f>
        <v>уст.</v>
      </c>
      <c r="Q351" s="1" cm="1">
        <f t="array" aca="1" ref="Q351" ca="1">INDIRECT(CONCATENATE("'",$A$350,"'!o",B351),1)</f>
        <v>0</v>
      </c>
      <c r="R351" s="1" cm="1">
        <f t="array" aca="1" ref="R351" ca="1">INDIRECT(CONCATENATE("'",$A$350,"'!p",B351),1)</f>
        <v>0</v>
      </c>
      <c r="S351" s="1">
        <f t="shared" ref="S351:S414" ca="1" si="30">SUMIFS(U351,T351,$N$1)+SUMIFS(W351,V351,$N$1)+SUMIFS(Y351,X351,$N$1)</f>
        <v>0</v>
      </c>
      <c r="T351" s="1" t="str" cm="1">
        <f t="array" aca="1" ref="T351" ca="1">INDIRECT(CONCATENATE("'",$A$350,"'!q",B351),1)</f>
        <v>Петров Р.В.</v>
      </c>
      <c r="U351" s="1" cm="1">
        <f t="array" aca="1" ref="U351" ca="1">INDIRECT(CONCATENATE("'",$A$350,"'!r",B351),1)</f>
        <v>0</v>
      </c>
      <c r="V351" s="1" cm="1">
        <f t="array" aca="1" ref="V351" ca="1">INDIRECT(CONCATENATE("'",$A$350,"'!s",B351),1)</f>
        <v>0</v>
      </c>
      <c r="W351" s="1" cm="1">
        <f t="array" aca="1" ref="W351" ca="1">INDIRECT(CONCATENATE("'",$A$350,"'!t",B351),1)</f>
        <v>0</v>
      </c>
      <c r="X351" s="1" cm="1">
        <f t="array" aca="1" ref="X351" ca="1">INDIRECT(CONCATENATE("'",$A$350,"'!u",B351),1)</f>
        <v>0</v>
      </c>
      <c r="Y351" s="1" cm="1">
        <f t="array" aca="1" ref="Y351" ca="1">INDIRECT(CONCATENATE("'",$A$350,"'!v",B351),1)</f>
        <v>0</v>
      </c>
    </row>
    <row r="352" spans="1:25" ht="33.75" hidden="1" x14ac:dyDescent="0.25">
      <c r="B352" s="24">
        <f t="shared" ref="B352:B400" si="31">B351+1</f>
        <v>4</v>
      </c>
      <c r="C352" s="1" t="str" cm="1">
        <f t="array" aca="1" ref="C352" ca="1">INDIRECT(CONCATENATE("'",$A$350,"'!A",B352),1)</f>
        <v>Численные методы и программирование(установ.)</v>
      </c>
      <c r="D352" s="1" t="str" cm="1">
        <f t="array" aca="1" ref="D352" ca="1">INDIRECT(CONCATENATE("'",$A$350,"'!B",B352),1)</f>
        <v>09.03.01(09)</v>
      </c>
      <c r="E352" s="1" t="str" cm="1">
        <f t="array" aca="1" ref="E352" ca="1">INDIRECT(CONCATENATE("'",$A$350,"'!c",B352),1)</f>
        <v>4091з</v>
      </c>
      <c r="F352" s="1" cm="1">
        <f t="array" aca="1" ref="F352" ca="1">INDIRECT(CONCATENATE("'",$A$350,"'!d",B352),1)</f>
        <v>3</v>
      </c>
      <c r="G352" s="1" cm="1">
        <f t="array" aca="1" ref="G352" ca="1">INDIRECT(CONCATENATE("'",$A$350,"'!e",B352),1)</f>
        <v>1</v>
      </c>
      <c r="H352" s="1" cm="1">
        <f t="array" aca="1" ref="H352" ca="1">INDIRECT(CONCATENATE("'",$A$350,"'!f",B352),1)</f>
        <v>22</v>
      </c>
      <c r="I352" s="1" cm="1">
        <f t="array" aca="1" ref="I352" ca="1">INDIRECT(CONCATENATE("'",$A$350,"'!g",B352),1)</f>
        <v>0</v>
      </c>
      <c r="J352" s="1" cm="1">
        <f t="array" aca="1" ref="J352" ca="1">INDIRECT(CONCATENATE("'",$A$350,"'!h",B352),1)</f>
        <v>0</v>
      </c>
      <c r="K352" s="1" cm="1">
        <f t="array" aca="1" ref="K352" ca="1">INDIRECT(CONCATENATE("'",$A$350,"'!i",B352),1)</f>
        <v>2</v>
      </c>
      <c r="L352" s="1" cm="1">
        <f t="array" aca="1" ref="L352" ca="1">INDIRECT(CONCATENATE("'",$A$350,"'!j",B352),1)</f>
        <v>0</v>
      </c>
      <c r="M352" s="1" cm="1">
        <f t="array" aca="1" ref="M352" ca="1">INDIRECT(CONCATENATE("'",$A$350,"'!k",B352),1)</f>
        <v>0</v>
      </c>
      <c r="N352" s="1" t="str" cm="1">
        <f t="array" aca="1" ref="N352" ca="1">INDIRECT(CONCATENATE("'",$A$350,"'!l",B352),1)</f>
        <v>Эминов С.И.</v>
      </c>
      <c r="O352" s="1" cm="1">
        <f t="array" aca="1" ref="O352" ca="1">INDIRECT(CONCATENATE("'",$A$350,"'!m",B352),1)</f>
        <v>3312.3314999999998</v>
      </c>
      <c r="P352" s="1" t="str" cm="1">
        <f t="array" aca="1" ref="P352" ca="1">INDIRECT(CONCATENATE("'",$A$350,"'!n",B352),1)</f>
        <v>уст.</v>
      </c>
      <c r="Q352" s="1" cm="1">
        <f t="array" aca="1" ref="Q352" ca="1">INDIRECT(CONCATENATE("'",$A$350,"'!o",B352),1)</f>
        <v>0</v>
      </c>
      <c r="R352" s="1" cm="1">
        <f t="array" aca="1" ref="R352" ca="1">INDIRECT(CONCATENATE("'",$A$350,"'!p",B352),1)</f>
        <v>0</v>
      </c>
      <c r="S352" s="1">
        <f t="shared" ca="1" si="30"/>
        <v>0</v>
      </c>
      <c r="T352" s="1" t="str" cm="1">
        <f t="array" aca="1" ref="T352" ca="1">INDIRECT(CONCATENATE("'",$A$350,"'!q",B352),1)</f>
        <v>Эминов С.И.</v>
      </c>
      <c r="U352" s="1" cm="1">
        <f t="array" aca="1" ref="U352" ca="1">INDIRECT(CONCATENATE("'",$A$350,"'!r",B352),1)</f>
        <v>0</v>
      </c>
      <c r="V352" s="1" cm="1">
        <f t="array" aca="1" ref="V352" ca="1">INDIRECT(CONCATENATE("'",$A$350,"'!s",B352),1)</f>
        <v>0</v>
      </c>
      <c r="W352" s="1" cm="1">
        <f t="array" aca="1" ref="W352" ca="1">INDIRECT(CONCATENATE("'",$A$350,"'!t",B352),1)</f>
        <v>0</v>
      </c>
      <c r="X352" s="1" cm="1">
        <f t="array" aca="1" ref="X352" ca="1">INDIRECT(CONCATENATE("'",$A$350,"'!u",B352),1)</f>
        <v>0</v>
      </c>
      <c r="Y352" s="1" cm="1">
        <f t="array" aca="1" ref="Y352" ca="1">INDIRECT(CONCATENATE("'",$A$350,"'!v",B352),1)</f>
        <v>0</v>
      </c>
    </row>
    <row r="353" spans="2:25" ht="22.5" hidden="1" x14ac:dyDescent="0.25">
      <c r="B353" s="24">
        <f t="shared" si="31"/>
        <v>5</v>
      </c>
      <c r="C353" s="1" t="str" cm="1">
        <f t="array" aca="1" ref="C353" ca="1">INDIRECT(CONCATENATE("'",$A$350,"'!A",B353),1)</f>
        <v>Инженерная и компьютерная графика</v>
      </c>
      <c r="D353" s="1" t="str" cm="1">
        <f t="array" aca="1" ref="D353" ca="1">INDIRECT(CONCATENATE("'",$A$350,"'!B",B353),1)</f>
        <v>09.03.01(09)</v>
      </c>
      <c r="E353" s="1" t="str" cm="1">
        <f t="array" aca="1" ref="E353" ca="1">INDIRECT(CONCATENATE("'",$A$350,"'!c",B353),1)</f>
        <v>4091з</v>
      </c>
      <c r="F353" s="1" cm="1">
        <f t="array" aca="1" ref="F353" ca="1">INDIRECT(CONCATENATE("'",$A$350,"'!d",B353),1)</f>
        <v>3</v>
      </c>
      <c r="G353" s="1" cm="1">
        <f t="array" aca="1" ref="G353" ca="1">INDIRECT(CONCATENATE("'",$A$350,"'!e",B353),1)</f>
        <v>1</v>
      </c>
      <c r="H353" s="1" cm="1">
        <f t="array" aca="1" ref="H353" ca="1">INDIRECT(CONCATENATE("'",$A$350,"'!f",B353),1)</f>
        <v>22</v>
      </c>
      <c r="I353" s="1" t="str" cm="1">
        <f t="array" aca="1" ref="I353" ca="1">INDIRECT(CONCATENATE("'",$A$350,"'!g",B353),1)</f>
        <v>ДЗ</v>
      </c>
      <c r="J353" s="1" cm="1">
        <f t="array" aca="1" ref="J353" ca="1">INDIRECT(CONCATENATE("'",$A$350,"'!h",B353),1)</f>
        <v>4</v>
      </c>
      <c r="K353" s="1" cm="1">
        <f t="array" aca="1" ref="K353" ca="1">INDIRECT(CONCATENATE("'",$A$350,"'!i",B353),1)</f>
        <v>0</v>
      </c>
      <c r="L353" s="1" cm="1">
        <f t="array" aca="1" ref="L353" ca="1">INDIRECT(CONCATENATE("'",$A$350,"'!j",B353),1)</f>
        <v>16</v>
      </c>
      <c r="M353" s="1" cm="1">
        <f t="array" aca="1" ref="M353" ca="1">INDIRECT(CONCATENATE("'",$A$350,"'!k",B353),1)</f>
        <v>0</v>
      </c>
      <c r="N353" s="1" t="str" cm="1">
        <f t="array" aca="1" ref="N353" ca="1">INDIRECT(CONCATENATE("'",$A$350,"'!l",B353),1)</f>
        <v>Гареева Т.Ю.</v>
      </c>
      <c r="O353" s="1" cm="1">
        <f t="array" aca="1" ref="O353" ca="1">INDIRECT(CONCATENATE("'",$A$350,"'!m",B353),1)</f>
        <v>4207</v>
      </c>
      <c r="P353" s="1" t="str" cm="1">
        <f t="array" aca="1" ref="P353" ca="1">INDIRECT(CONCATENATE("'",$A$350,"'!n",B353),1)</f>
        <v>3п</v>
      </c>
      <c r="Q353" s="1" cm="1">
        <f t="array" aca="1" ref="Q353" ca="1">INDIRECT(CONCATENATE("'",$A$350,"'!o",B353),1)</f>
        <v>13.2</v>
      </c>
      <c r="R353" s="1" cm="1">
        <f t="array" aca="1" ref="R353" ca="1">INDIRECT(CONCATENATE("'",$A$350,"'!p",B353),1)</f>
        <v>0</v>
      </c>
      <c r="S353" s="1">
        <f t="shared" ca="1" si="30"/>
        <v>0</v>
      </c>
      <c r="T353" s="1" t="str" cm="1">
        <f t="array" aca="1" ref="T353" ca="1">INDIRECT(CONCATENATE("'",$A$350,"'!q",B353),1)</f>
        <v>Гареева Т.Ю.</v>
      </c>
      <c r="U353" s="1" cm="1">
        <f t="array" aca="1" ref="U353" ca="1">INDIRECT(CONCATENATE("'",$A$350,"'!r",B353),1)</f>
        <v>29.2</v>
      </c>
      <c r="V353" s="1" cm="1">
        <f t="array" aca="1" ref="V353" ca="1">INDIRECT(CONCATENATE("'",$A$350,"'!s",B353),1)</f>
        <v>0</v>
      </c>
      <c r="W353" s="1" cm="1">
        <f t="array" aca="1" ref="W353" ca="1">INDIRECT(CONCATENATE("'",$A$350,"'!t",B353),1)</f>
        <v>0</v>
      </c>
      <c r="X353" s="1" cm="1">
        <f t="array" aca="1" ref="X353" ca="1">INDIRECT(CONCATENATE("'",$A$350,"'!u",B353),1)</f>
        <v>0</v>
      </c>
      <c r="Y353" s="1" cm="1">
        <f t="array" aca="1" ref="Y353" ca="1">INDIRECT(CONCATENATE("'",$A$350,"'!v",B353),1)</f>
        <v>0</v>
      </c>
    </row>
    <row r="354" spans="2:25" ht="22.5" x14ac:dyDescent="0.25">
      <c r="B354" s="24">
        <f t="shared" si="31"/>
        <v>6</v>
      </c>
      <c r="C354" s="1" t="str" cm="1">
        <f t="array" aca="1" ref="C354" ca="1">INDIRECT(CONCATENATE("'",$A$350,"'!A",B354),1)</f>
        <v>Проектный практикум (уст)</v>
      </c>
      <c r="D354" s="1" t="str" cm="1">
        <f t="array" aca="1" ref="D354" ca="1">INDIRECT(CONCATENATE("'",$A$350,"'!B",B354),1)</f>
        <v>09.03.01(09у)</v>
      </c>
      <c r="E354" s="1" t="str" cm="1">
        <f t="array" aca="1" ref="E354" ca="1">INDIRECT(CONCATENATE("'",$A$350,"'!c",B354),1)</f>
        <v>4091з</v>
      </c>
      <c r="F354" s="1" cm="1">
        <f t="array" aca="1" ref="F354" ca="1">INDIRECT(CONCATENATE("'",$A$350,"'!d",B354),1)</f>
        <v>3</v>
      </c>
      <c r="G354" s="1" cm="1">
        <f t="array" aca="1" ref="G354" ca="1">INDIRECT(CONCATENATE("'",$A$350,"'!e",B354),1)</f>
        <v>1</v>
      </c>
      <c r="H354" s="1" cm="1">
        <f t="array" aca="1" ref="H354" ca="1">INDIRECT(CONCATENATE("'",$A$350,"'!f",B354),1)</f>
        <v>22</v>
      </c>
      <c r="I354" s="1" t="str" cm="1">
        <f t="array" aca="1" ref="I354" ca="1">INDIRECT(CONCATENATE("'",$A$350,"'!g",B354),1)</f>
        <v>ЗАЧ</v>
      </c>
      <c r="J354" s="1" cm="1">
        <f t="array" aca="1" ref="J354" ca="1">INDIRECT(CONCATENATE("'",$A$350,"'!h",B354),1)</f>
        <v>1</v>
      </c>
      <c r="K354" s="1" cm="1">
        <f t="array" aca="1" ref="K354" ca="1">INDIRECT(CONCATENATE("'",$A$350,"'!i",B354),1)</f>
        <v>0</v>
      </c>
      <c r="L354" s="1" cm="1">
        <f t="array" aca="1" ref="L354" ca="1">INDIRECT(CONCATENATE("'",$A$350,"'!j",B354),1)</f>
        <v>1</v>
      </c>
      <c r="M354" s="1" cm="1">
        <f t="array" aca="1" ref="M354" ca="1">INDIRECT(CONCATENATE("'",$A$350,"'!k",B354),1)</f>
        <v>0</v>
      </c>
      <c r="N354" s="1" t="str" cm="1">
        <f t="array" aca="1" ref="N354" ca="1">INDIRECT(CONCATENATE("'",$A$350,"'!l",B354),1)</f>
        <v>Савинова М.А.</v>
      </c>
      <c r="O354" s="1" cm="1">
        <f t="array" aca="1" ref="O354" ca="1">INDIRECT(CONCATENATE("'",$A$350,"'!m",B354),1)</f>
        <v>108</v>
      </c>
      <c r="P354" s="1" t="str" cm="1">
        <f t="array" aca="1" ref="P354" ca="1">INDIRECT(CONCATENATE("'",$A$350,"'!n",B354),1)</f>
        <v>2п</v>
      </c>
      <c r="Q354" s="1" cm="1">
        <f t="array" aca="1" ref="Q354" ca="1">INDIRECT(CONCATENATE("'",$A$350,"'!o",B354),1)</f>
        <v>0</v>
      </c>
      <c r="R354" s="1" cm="1">
        <f t="array" aca="1" ref="R354" ca="1">INDIRECT(CONCATENATE("'",$A$350,"'!p",B354),1)</f>
        <v>0</v>
      </c>
      <c r="S354" s="1">
        <f t="shared" ca="1" si="30"/>
        <v>0</v>
      </c>
      <c r="T354" s="1" t="str" cm="1">
        <f t="array" aca="1" ref="T354" ca="1">INDIRECT(CONCATENATE("'",$A$350,"'!q",B354),1)</f>
        <v>Савинова М.А.</v>
      </c>
      <c r="U354" s="1" cm="1">
        <f t="array" aca="1" ref="U354" ca="1">INDIRECT(CONCATENATE("'",$A$350,"'!r",B354),1)</f>
        <v>0</v>
      </c>
      <c r="V354" s="1" cm="1">
        <f t="array" aca="1" ref="V354" ca="1">INDIRECT(CONCATENATE("'",$A$350,"'!s",B354),1)</f>
        <v>0</v>
      </c>
      <c r="W354" s="1" cm="1">
        <f t="array" aca="1" ref="W354" ca="1">INDIRECT(CONCATENATE("'",$A$350,"'!t",B354),1)</f>
        <v>0</v>
      </c>
      <c r="X354" s="1" cm="1">
        <f t="array" aca="1" ref="X354" ca="1">INDIRECT(CONCATENATE("'",$A$350,"'!u",B354),1)</f>
        <v>0</v>
      </c>
      <c r="Y354" s="1" cm="1">
        <f t="array" aca="1" ref="Y354" ca="1">INDIRECT(CONCATENATE("'",$A$350,"'!v",B354),1)</f>
        <v>0</v>
      </c>
    </row>
    <row r="355" spans="2:25" hidden="1" x14ac:dyDescent="0.25">
      <c r="B355" s="24">
        <f t="shared" si="31"/>
        <v>7</v>
      </c>
      <c r="C355" s="1" cm="1">
        <f t="array" aca="1" ref="C355" ca="1">INDIRECT(CONCATENATE("'",$A$350,"'!A",B355),1)</f>
        <v>0</v>
      </c>
      <c r="D355" s="1" cm="1">
        <f t="array" aca="1" ref="D355" ca="1">INDIRECT(CONCATENATE("'",$A$350,"'!B",B355),1)</f>
        <v>0</v>
      </c>
      <c r="E355" s="1" cm="1">
        <f t="array" aca="1" ref="E355" ca="1">INDIRECT(CONCATENATE("'",$A$350,"'!c",B355),1)</f>
        <v>0</v>
      </c>
      <c r="F355" s="1" cm="1">
        <f t="array" aca="1" ref="F355" ca="1">INDIRECT(CONCATENATE("'",$A$350,"'!d",B355),1)</f>
        <v>0</v>
      </c>
      <c r="G355" s="1" cm="1">
        <f t="array" aca="1" ref="G355" ca="1">INDIRECT(CONCATENATE("'",$A$350,"'!e",B355),1)</f>
        <v>0</v>
      </c>
      <c r="H355" s="1" cm="1">
        <f t="array" aca="1" ref="H355" ca="1">INDIRECT(CONCATENATE("'",$A$350,"'!f",B355),1)</f>
        <v>0</v>
      </c>
      <c r="I355" s="1" cm="1">
        <f t="array" aca="1" ref="I355" ca="1">INDIRECT(CONCATENATE("'",$A$350,"'!g",B355),1)</f>
        <v>0</v>
      </c>
      <c r="J355" s="1" cm="1">
        <f t="array" aca="1" ref="J355" ca="1">INDIRECT(CONCATENATE("'",$A$350,"'!h",B355),1)</f>
        <v>0</v>
      </c>
      <c r="K355" s="1" cm="1">
        <f t="array" aca="1" ref="K355" ca="1">INDIRECT(CONCATENATE("'",$A$350,"'!i",B355),1)</f>
        <v>0</v>
      </c>
      <c r="L355" s="1" cm="1">
        <f t="array" aca="1" ref="L355" ca="1">INDIRECT(CONCATENATE("'",$A$350,"'!j",B355),1)</f>
        <v>0</v>
      </c>
      <c r="M355" s="1" cm="1">
        <f t="array" aca="1" ref="M355" ca="1">INDIRECT(CONCATENATE("'",$A$350,"'!k",B355),1)</f>
        <v>0</v>
      </c>
      <c r="N355" s="1" t="str" cm="1">
        <f t="array" aca="1" ref="N355" ca="1">INDIRECT(CONCATENATE("'",$A$350,"'!l",B355),1)</f>
        <v/>
      </c>
      <c r="O355" s="1" cm="1">
        <f t="array" aca="1" ref="O355" ca="1">INDIRECT(CONCATENATE("'",$A$350,"'!m",B355),1)</f>
        <v>0</v>
      </c>
      <c r="P355" s="1" cm="1">
        <f t="array" aca="1" ref="P355" ca="1">INDIRECT(CONCATENATE("'",$A$350,"'!n",B355),1)</f>
        <v>0</v>
      </c>
      <c r="Q355" s="1" cm="1">
        <f t="array" aca="1" ref="Q355" ca="1">INDIRECT(CONCATENATE("'",$A$350,"'!o",B355),1)</f>
        <v>0</v>
      </c>
      <c r="R355" s="1" cm="1">
        <f t="array" aca="1" ref="R355" ca="1">INDIRECT(CONCATENATE("'",$A$350,"'!p",B355),1)</f>
        <v>0</v>
      </c>
      <c r="S355" s="1">
        <f t="shared" ca="1" si="30"/>
        <v>0</v>
      </c>
      <c r="T355" s="1" cm="1">
        <f t="array" aca="1" ref="T355" ca="1">INDIRECT(CONCATENATE("'",$A$350,"'!q",B355),1)</f>
        <v>0</v>
      </c>
      <c r="U355" s="1" cm="1">
        <f t="array" aca="1" ref="U355" ca="1">INDIRECT(CONCATENATE("'",$A$350,"'!r",B355),1)</f>
        <v>0</v>
      </c>
      <c r="V355" s="1" cm="1">
        <f t="array" aca="1" ref="V355" ca="1">INDIRECT(CONCATENATE("'",$A$350,"'!s",B355),1)</f>
        <v>0</v>
      </c>
      <c r="W355" s="1" cm="1">
        <f t="array" aca="1" ref="W355" ca="1">INDIRECT(CONCATENATE("'",$A$350,"'!t",B355),1)</f>
        <v>0</v>
      </c>
      <c r="X355" s="1" cm="1">
        <f t="array" aca="1" ref="X355" ca="1">INDIRECT(CONCATENATE("'",$A$350,"'!u",B355),1)</f>
        <v>0</v>
      </c>
      <c r="Y355" s="1" cm="1">
        <f t="array" aca="1" ref="Y355" ca="1">INDIRECT(CONCATENATE("'",$A$350,"'!v",B355),1)</f>
        <v>0</v>
      </c>
    </row>
    <row r="356" spans="2:25" ht="45" hidden="1" x14ac:dyDescent="0.25">
      <c r="B356" s="24">
        <f t="shared" si="31"/>
        <v>8</v>
      </c>
      <c r="C356" s="1" t="str" cm="1">
        <f t="array" aca="1" ref="C356" ca="1">INDIRECT(CONCATENATE("'",$A$350,"'!A",B356),1)</f>
        <v>Основы программирования: Алгоритмические языки и программирование</v>
      </c>
      <c r="D356" s="1" t="str" cm="1">
        <f t="array" aca="1" ref="D356" ca="1">INDIRECT(CONCATENATE("'",$A$350,"'!B",B356),1)</f>
        <v>09.03.01(09)</v>
      </c>
      <c r="E356" s="1" t="str" cm="1">
        <f t="array" aca="1" ref="E356" ca="1">INDIRECT(CONCATENATE("'",$A$350,"'!c",B356),1)</f>
        <v>3091з</v>
      </c>
      <c r="F356" s="1" cm="1">
        <f t="array" aca="1" ref="F356" ca="1">INDIRECT(CONCATENATE("'",$A$350,"'!d",B356),1)</f>
        <v>4</v>
      </c>
      <c r="G356" s="1" cm="1">
        <f t="array" aca="1" ref="G356" ca="1">INDIRECT(CONCATENATE("'",$A$350,"'!e",B356),1)</f>
        <v>1</v>
      </c>
      <c r="H356" s="1" cm="1">
        <f t="array" aca="1" ref="H356" ca="1">INDIRECT(CONCATENATE("'",$A$350,"'!f",B356),1)</f>
        <v>22</v>
      </c>
      <c r="I356" s="1" t="str" cm="1">
        <f t="array" aca="1" ref="I356" ca="1">INDIRECT(CONCATENATE("'",$A$350,"'!g",B356),1)</f>
        <v>ЭКЗ</v>
      </c>
      <c r="J356" s="1" cm="1">
        <f t="array" aca="1" ref="J356" ca="1">INDIRECT(CONCATENATE("'",$A$350,"'!h",B356),1)</f>
        <v>8</v>
      </c>
      <c r="K356" s="1" cm="1">
        <f t="array" aca="1" ref="K356" ca="1">INDIRECT(CONCATENATE("'",$A$350,"'!i",B356),1)</f>
        <v>8</v>
      </c>
      <c r="L356" s="1" cm="1">
        <f t="array" aca="1" ref="L356" ca="1">INDIRECT(CONCATENATE("'",$A$350,"'!j",B356),1)</f>
        <v>20</v>
      </c>
      <c r="M356" s="1" cm="1">
        <f t="array" aca="1" ref="M356" ca="1">INDIRECT(CONCATENATE("'",$A$350,"'!k",B356),1)</f>
        <v>20</v>
      </c>
      <c r="N356" s="1" t="str" cm="1">
        <f t="array" aca="1" ref="N356" ca="1">INDIRECT(CONCATENATE("'",$A$350,"'!l",B356),1)</f>
        <v>Винник Л.И.</v>
      </c>
      <c r="O356" s="1" t="str" cm="1">
        <f t="array" aca="1" ref="O356" ca="1">INDIRECT(CONCATENATE("'",$A$350,"'!m",B356),1)</f>
        <v>3305, 3312</v>
      </c>
      <c r="P356" s="1" t="str" cm="1">
        <f t="array" aca="1" ref="P356" ca="1">INDIRECT(CONCATENATE("'",$A$350,"'!n",B356),1)</f>
        <v>3п</v>
      </c>
      <c r="Q356" s="1" cm="1">
        <f t="array" aca="1" ref="Q356" ca="1">INDIRECT(CONCATENATE("'",$A$350,"'!o",B356),1)</f>
        <v>26.4</v>
      </c>
      <c r="R356" s="1" cm="1">
        <f t="array" aca="1" ref="R356" ca="1">INDIRECT(CONCATENATE("'",$A$350,"'!p",B356),1)</f>
        <v>17.600000000000001</v>
      </c>
      <c r="S356" s="1">
        <f t="shared" ca="1" si="30"/>
        <v>0</v>
      </c>
      <c r="T356" s="1" t="str" cm="1">
        <f t="array" aca="1" ref="T356" ca="1">INDIRECT(CONCATENATE("'",$A$350,"'!q",B356),1)</f>
        <v>Винник Л.И.</v>
      </c>
      <c r="U356" s="1" cm="1">
        <f t="array" aca="1" ref="U356" ca="1">INDIRECT(CONCATENATE("'",$A$350,"'!r",B356),1)</f>
        <v>72</v>
      </c>
      <c r="V356" s="1" cm="1">
        <f t="array" aca="1" ref="V356" ca="1">INDIRECT(CONCATENATE("'",$A$350,"'!s",B356),1)</f>
        <v>0</v>
      </c>
      <c r="W356" s="1" cm="1">
        <f t="array" aca="1" ref="W356" ca="1">INDIRECT(CONCATENATE("'",$A$350,"'!t",B356),1)</f>
        <v>0</v>
      </c>
      <c r="X356" s="1" cm="1">
        <f t="array" aca="1" ref="X356" ca="1">INDIRECT(CONCATENATE("'",$A$350,"'!u",B356),1)</f>
        <v>0</v>
      </c>
      <c r="Y356" s="1" cm="1">
        <f t="array" aca="1" ref="Y356" ca="1">INDIRECT(CONCATENATE("'",$A$350,"'!v",B356),1)</f>
        <v>0</v>
      </c>
    </row>
    <row r="357" spans="2:25" ht="45" hidden="1" x14ac:dyDescent="0.25">
      <c r="B357" s="24">
        <f t="shared" si="31"/>
        <v>9</v>
      </c>
      <c r="C357" s="1" t="str" cm="1">
        <f t="array" aca="1" ref="C357" ca="1">INDIRECT(CONCATENATE("'",$A$350,"'!A",B357),1)</f>
        <v>Основы программирования: Структуры данных и алгоритмы(установ.)</v>
      </c>
      <c r="D357" s="1" t="str" cm="1">
        <f t="array" aca="1" ref="D357" ca="1">INDIRECT(CONCATENATE("'",$A$350,"'!B",B357),1)</f>
        <v>09.03.01(09)</v>
      </c>
      <c r="E357" s="1" t="str" cm="1">
        <f t="array" aca="1" ref="E357" ca="1">INDIRECT(CONCATENATE("'",$A$350,"'!c",B357),1)</f>
        <v>3091з</v>
      </c>
      <c r="F357" s="1" cm="1">
        <f t="array" aca="1" ref="F357" ca="1">INDIRECT(CONCATENATE("'",$A$350,"'!d",B357),1)</f>
        <v>4</v>
      </c>
      <c r="G357" s="1" cm="1">
        <f t="array" aca="1" ref="G357" ca="1">INDIRECT(CONCATENATE("'",$A$350,"'!e",B357),1)</f>
        <v>1</v>
      </c>
      <c r="H357" s="1" cm="1">
        <f t="array" aca="1" ref="H357" ca="1">INDIRECT(CONCATENATE("'",$A$350,"'!f",B357),1)</f>
        <v>22</v>
      </c>
      <c r="I357" s="1" cm="1">
        <f t="array" aca="1" ref="I357" ca="1">INDIRECT(CONCATENATE("'",$A$350,"'!g",B357),1)</f>
        <v>0</v>
      </c>
      <c r="J357" s="1" cm="1">
        <f t="array" aca="1" ref="J357" ca="1">INDIRECT(CONCATENATE("'",$A$350,"'!h",B357),1)</f>
        <v>0</v>
      </c>
      <c r="K357" s="1" cm="1">
        <f t="array" aca="1" ref="K357" ca="1">INDIRECT(CONCATENATE("'",$A$350,"'!i",B357),1)</f>
        <v>2</v>
      </c>
      <c r="L357" s="1" cm="1">
        <f t="array" aca="1" ref="L357" ca="1">INDIRECT(CONCATENATE("'",$A$350,"'!j",B357),1)</f>
        <v>0</v>
      </c>
      <c r="M357" s="1" cm="1">
        <f t="array" aca="1" ref="M357" ca="1">INDIRECT(CONCATENATE("'",$A$350,"'!k",B357),1)</f>
        <v>0</v>
      </c>
      <c r="N357" s="1" t="str" cm="1">
        <f t="array" aca="1" ref="N357" ca="1">INDIRECT(CONCATENATE("'",$A$350,"'!l",B357),1)</f>
        <v>Винник Л.И.</v>
      </c>
      <c r="O357" s="1" cm="1">
        <f t="array" aca="1" ref="O357" ca="1">INDIRECT(CONCATENATE("'",$A$350,"'!m",B357),1)</f>
        <v>3312.3314999999998</v>
      </c>
      <c r="P357" s="1" t="str" cm="1">
        <f t="array" aca="1" ref="P357" ca="1">INDIRECT(CONCATENATE("'",$A$350,"'!n",B357),1)</f>
        <v>уст.</v>
      </c>
      <c r="Q357" s="1" cm="1">
        <f t="array" aca="1" ref="Q357" ca="1">INDIRECT(CONCATENATE("'",$A$350,"'!o",B357),1)</f>
        <v>0</v>
      </c>
      <c r="R357" s="1" cm="1">
        <f t="array" aca="1" ref="R357" ca="1">INDIRECT(CONCATENATE("'",$A$350,"'!p",B357),1)</f>
        <v>0</v>
      </c>
      <c r="S357" s="1">
        <f t="shared" ca="1" si="30"/>
        <v>0</v>
      </c>
      <c r="T357" s="1" t="str" cm="1">
        <f t="array" aca="1" ref="T357" ca="1">INDIRECT(CONCATENATE("'",$A$350,"'!q",B357),1)</f>
        <v>Винник Л.И.</v>
      </c>
      <c r="U357" s="1" cm="1">
        <f t="array" aca="1" ref="U357" ca="1">INDIRECT(CONCATENATE("'",$A$350,"'!r",B357),1)</f>
        <v>0</v>
      </c>
      <c r="V357" s="1" cm="1">
        <f t="array" aca="1" ref="V357" ca="1">INDIRECT(CONCATENATE("'",$A$350,"'!s",B357),1)</f>
        <v>0</v>
      </c>
      <c r="W357" s="1" cm="1">
        <f t="array" aca="1" ref="W357" ca="1">INDIRECT(CONCATENATE("'",$A$350,"'!t",B357),1)</f>
        <v>0</v>
      </c>
      <c r="X357" s="1" cm="1">
        <f t="array" aca="1" ref="X357" ca="1">INDIRECT(CONCATENATE("'",$A$350,"'!u",B357),1)</f>
        <v>0</v>
      </c>
      <c r="Y357" s="1" cm="1">
        <f t="array" aca="1" ref="Y357" ca="1">INDIRECT(CONCATENATE("'",$A$350,"'!v",B357),1)</f>
        <v>0</v>
      </c>
    </row>
    <row r="358" spans="2:25" ht="33.75" hidden="1" x14ac:dyDescent="0.25">
      <c r="B358" s="24">
        <f t="shared" si="31"/>
        <v>10</v>
      </c>
      <c r="C358" s="1" t="str" cm="1">
        <f t="array" aca="1" ref="C358" ca="1">INDIRECT(CONCATENATE("'",$A$350,"'!A",B358),1)</f>
        <v>Системное программирование(установ.)</v>
      </c>
      <c r="D358" s="1" t="str" cm="1">
        <f t="array" aca="1" ref="D358" ca="1">INDIRECT(CONCATENATE("'",$A$350,"'!B",B358),1)</f>
        <v>09.03.01(09)</v>
      </c>
      <c r="E358" s="1" t="str" cm="1">
        <f t="array" aca="1" ref="E358" ca="1">INDIRECT(CONCATENATE("'",$A$350,"'!c",B358),1)</f>
        <v>3091з</v>
      </c>
      <c r="F358" s="1" cm="1">
        <f t="array" aca="1" ref="F358" ca="1">INDIRECT(CONCATENATE("'",$A$350,"'!d",B358),1)</f>
        <v>4</v>
      </c>
      <c r="G358" s="1" cm="1">
        <f t="array" aca="1" ref="G358" ca="1">INDIRECT(CONCATENATE("'",$A$350,"'!e",B358),1)</f>
        <v>1</v>
      </c>
      <c r="H358" s="1" cm="1">
        <f t="array" aca="1" ref="H358" ca="1">INDIRECT(CONCATENATE("'",$A$350,"'!f",B358),1)</f>
        <v>22</v>
      </c>
      <c r="I358" s="1" cm="1">
        <f t="array" aca="1" ref="I358" ca="1">INDIRECT(CONCATENATE("'",$A$350,"'!g",B358),1)</f>
        <v>0</v>
      </c>
      <c r="J358" s="1" cm="1">
        <f t="array" aca="1" ref="J358" ca="1">INDIRECT(CONCATENATE("'",$A$350,"'!h",B358),1)</f>
        <v>0</v>
      </c>
      <c r="K358" s="1" cm="1">
        <f t="array" aca="1" ref="K358" ca="1">INDIRECT(CONCATENATE("'",$A$350,"'!i",B358),1)</f>
        <v>2</v>
      </c>
      <c r="L358" s="1" cm="1">
        <f t="array" aca="1" ref="L358" ca="1">INDIRECT(CONCATENATE("'",$A$350,"'!j",B358),1)</f>
        <v>0</v>
      </c>
      <c r="M358" s="1" cm="1">
        <f t="array" aca="1" ref="M358" ca="1">INDIRECT(CONCATENATE("'",$A$350,"'!k",B358),1)</f>
        <v>0</v>
      </c>
      <c r="N358" s="1" t="str" cm="1">
        <f t="array" aca="1" ref="N358" ca="1">INDIRECT(CONCATENATE("'",$A$350,"'!l",B358),1)</f>
        <v>Иванов А.</v>
      </c>
      <c r="O358" s="1" cm="1">
        <f t="array" aca="1" ref="O358" ca="1">INDIRECT(CONCATENATE("'",$A$350,"'!m",B358),1)</f>
        <v>3317</v>
      </c>
      <c r="P358" s="1" t="str" cm="1">
        <f t="array" aca="1" ref="P358" ca="1">INDIRECT(CONCATENATE("'",$A$350,"'!n",B358),1)</f>
        <v>уст.</v>
      </c>
      <c r="Q358" s="1" cm="1">
        <f t="array" aca="1" ref="Q358" ca="1">INDIRECT(CONCATENATE("'",$A$350,"'!o",B358),1)</f>
        <v>0</v>
      </c>
      <c r="R358" s="1" cm="1">
        <f t="array" aca="1" ref="R358" ca="1">INDIRECT(CONCATENATE("'",$A$350,"'!p",B358),1)</f>
        <v>0</v>
      </c>
      <c r="S358" s="1">
        <f t="shared" ca="1" si="30"/>
        <v>0</v>
      </c>
      <c r="T358" s="1" t="str" cm="1">
        <f t="array" aca="1" ref="T358" ca="1">INDIRECT(CONCATENATE("'",$A$350,"'!q",B358),1)</f>
        <v>Иванов А.</v>
      </c>
      <c r="U358" s="1" cm="1">
        <f t="array" aca="1" ref="U358" ca="1">INDIRECT(CONCATENATE("'",$A$350,"'!r",B358),1)</f>
        <v>0</v>
      </c>
      <c r="V358" s="1" cm="1">
        <f t="array" aca="1" ref="V358" ca="1">INDIRECT(CONCATENATE("'",$A$350,"'!s",B358),1)</f>
        <v>0</v>
      </c>
      <c r="W358" s="1" cm="1">
        <f t="array" aca="1" ref="W358" ca="1">INDIRECT(CONCATENATE("'",$A$350,"'!t",B358),1)</f>
        <v>0</v>
      </c>
      <c r="X358" s="1" cm="1">
        <f t="array" aca="1" ref="X358" ca="1">INDIRECT(CONCATENATE("'",$A$350,"'!u",B358),1)</f>
        <v>0</v>
      </c>
      <c r="Y358" s="1" cm="1">
        <f t="array" aca="1" ref="Y358" ca="1">INDIRECT(CONCATENATE("'",$A$350,"'!v",B358),1)</f>
        <v>0</v>
      </c>
    </row>
    <row r="359" spans="2:25" ht="22.5" hidden="1" x14ac:dyDescent="0.25">
      <c r="B359" s="24">
        <f t="shared" si="31"/>
        <v>11</v>
      </c>
      <c r="C359" s="1" t="str" cm="1">
        <f t="array" aca="1" ref="C359" ca="1">INDIRECT(CONCATENATE("'",$A$350,"'!A",B359),1)</f>
        <v>Численные методы и программирование</v>
      </c>
      <c r="D359" s="1" t="str" cm="1">
        <f t="array" aca="1" ref="D359" ca="1">INDIRECT(CONCATENATE("'",$A$350,"'!B",B359),1)</f>
        <v>09.03.01(09)</v>
      </c>
      <c r="E359" s="1" t="str" cm="1">
        <f t="array" aca="1" ref="E359" ca="1">INDIRECT(CONCATENATE("'",$A$350,"'!c",B359),1)</f>
        <v>3091з</v>
      </c>
      <c r="F359" s="1" cm="1">
        <f t="array" aca="1" ref="F359" ca="1">INDIRECT(CONCATENATE("'",$A$350,"'!d",B359),1)</f>
        <v>4</v>
      </c>
      <c r="G359" s="1" cm="1">
        <f t="array" aca="1" ref="G359" ca="1">INDIRECT(CONCATENATE("'",$A$350,"'!e",B359),1)</f>
        <v>1</v>
      </c>
      <c r="H359" s="1" cm="1">
        <f t="array" aca="1" ref="H359" ca="1">INDIRECT(CONCATENATE("'",$A$350,"'!f",B359),1)</f>
        <v>22</v>
      </c>
      <c r="I359" s="1" t="str" cm="1">
        <f t="array" aca="1" ref="I359" ca="1">INDIRECT(CONCATENATE("'",$A$350,"'!g",B359),1)</f>
        <v>ДЗ</v>
      </c>
      <c r="J359" s="1" cm="1">
        <f t="array" aca="1" ref="J359" ca="1">INDIRECT(CONCATENATE("'",$A$350,"'!h",B359),1)</f>
        <v>4</v>
      </c>
      <c r="K359" s="1" cm="1">
        <f t="array" aca="1" ref="K359" ca="1">INDIRECT(CONCATENATE("'",$A$350,"'!i",B359),1)</f>
        <v>4</v>
      </c>
      <c r="L359" s="1" cm="1">
        <f t="array" aca="1" ref="L359" ca="1">INDIRECT(CONCATENATE("'",$A$350,"'!j",B359),1)</f>
        <v>12</v>
      </c>
      <c r="M359" s="1" cm="1">
        <f t="array" aca="1" ref="M359" ca="1">INDIRECT(CONCATENATE("'",$A$350,"'!k",B359),1)</f>
        <v>0</v>
      </c>
      <c r="N359" s="1" t="str" cm="1">
        <f t="array" aca="1" ref="N359" ca="1">INDIRECT(CONCATENATE("'",$A$350,"'!l",B359),1)</f>
        <v>Эминов С.И.</v>
      </c>
      <c r="O359" s="1" t="str" cm="1">
        <f t="array" aca="1" ref="O359" ca="1">INDIRECT(CONCATENATE("'",$A$350,"'!m",B359),1)</f>
        <v>3305, 3315</v>
      </c>
      <c r="P359" s="1" t="str" cm="1">
        <f t="array" aca="1" ref="P359" ca="1">INDIRECT(CONCATENATE("'",$A$350,"'!n",B359),1)</f>
        <v>2п</v>
      </c>
      <c r="Q359" s="1" cm="1">
        <f t="array" aca="1" ref="Q359" ca="1">INDIRECT(CONCATENATE("'",$A$350,"'!o",B359),1)</f>
        <v>13.2</v>
      </c>
      <c r="R359" s="1" cm="1">
        <f t="array" aca="1" ref="R359" ca="1">INDIRECT(CONCATENATE("'",$A$350,"'!p",B359),1)</f>
        <v>0</v>
      </c>
      <c r="S359" s="1">
        <f t="shared" ca="1" si="30"/>
        <v>0</v>
      </c>
      <c r="T359" s="1" t="str" cm="1">
        <f t="array" aca="1" ref="T359" ca="1">INDIRECT(CONCATENATE("'",$A$350,"'!q",B359),1)</f>
        <v>Эминов С.И.</v>
      </c>
      <c r="U359" s="1" cm="1">
        <f t="array" aca="1" ref="U359" ca="1">INDIRECT(CONCATENATE("'",$A$350,"'!r",B359),1)</f>
        <v>29.2</v>
      </c>
      <c r="V359" s="1" cm="1">
        <f t="array" aca="1" ref="V359" ca="1">INDIRECT(CONCATENATE("'",$A$350,"'!s",B359),1)</f>
        <v>0</v>
      </c>
      <c r="W359" s="1" cm="1">
        <f t="array" aca="1" ref="W359" ca="1">INDIRECT(CONCATENATE("'",$A$350,"'!t",B359),1)</f>
        <v>0</v>
      </c>
      <c r="X359" s="1" cm="1">
        <f t="array" aca="1" ref="X359" ca="1">INDIRECT(CONCATENATE("'",$A$350,"'!u",B359),1)</f>
        <v>0</v>
      </c>
      <c r="Y359" s="1" cm="1">
        <f t="array" aca="1" ref="Y359" ca="1">INDIRECT(CONCATENATE("'",$A$350,"'!v",B359),1)</f>
        <v>0</v>
      </c>
    </row>
    <row r="360" spans="2:25" ht="33.75" hidden="1" x14ac:dyDescent="0.25">
      <c r="B360" s="24">
        <f t="shared" si="31"/>
        <v>12</v>
      </c>
      <c r="C360" s="1" t="str" cm="1">
        <f t="array" aca="1" ref="C360" ca="1">INDIRECT(CONCATENATE("'",$A$350,"'!A",B360),1)</f>
        <v>WEB-программирование(установ.)</v>
      </c>
      <c r="D360" s="1" t="str" cm="1">
        <f t="array" aca="1" ref="D360" ca="1">INDIRECT(CONCATENATE("'",$A$350,"'!B",B360),1)</f>
        <v>09.03.01(09)</v>
      </c>
      <c r="E360" s="1" t="str" cm="1">
        <f t="array" aca="1" ref="E360" ca="1">INDIRECT(CONCATENATE("'",$A$350,"'!c",B360),1)</f>
        <v>3091з</v>
      </c>
      <c r="F360" s="1" cm="1">
        <f t="array" aca="1" ref="F360" ca="1">INDIRECT(CONCATENATE("'",$A$350,"'!d",B360),1)</f>
        <v>4</v>
      </c>
      <c r="G360" s="1" cm="1">
        <f t="array" aca="1" ref="G360" ca="1">INDIRECT(CONCATENATE("'",$A$350,"'!e",B360),1)</f>
        <v>1</v>
      </c>
      <c r="H360" s="1" cm="1">
        <f t="array" aca="1" ref="H360" ca="1">INDIRECT(CONCATENATE("'",$A$350,"'!f",B360),1)</f>
        <v>22</v>
      </c>
      <c r="I360" s="1" cm="1">
        <f t="array" aca="1" ref="I360" ca="1">INDIRECT(CONCATENATE("'",$A$350,"'!g",B360),1)</f>
        <v>0</v>
      </c>
      <c r="J360" s="1" cm="1">
        <f t="array" aca="1" ref="J360" ca="1">INDIRECT(CONCATENATE("'",$A$350,"'!h",B360),1)</f>
        <v>0</v>
      </c>
      <c r="K360" s="1" cm="1">
        <f t="array" aca="1" ref="K360" ca="1">INDIRECT(CONCATENATE("'",$A$350,"'!i",B360),1)</f>
        <v>2</v>
      </c>
      <c r="L360" s="1" cm="1">
        <f t="array" aca="1" ref="L360" ca="1">INDIRECT(CONCATENATE("'",$A$350,"'!j",B360),1)</f>
        <v>0</v>
      </c>
      <c r="M360" s="1" cm="1">
        <f t="array" aca="1" ref="M360" ca="1">INDIRECT(CONCATENATE("'",$A$350,"'!k",B360),1)</f>
        <v>0</v>
      </c>
      <c r="N360" s="1" t="str" cm="1">
        <f t="array" aca="1" ref="N360" ca="1">INDIRECT(CONCATENATE("'",$A$350,"'!l",B360),1)</f>
        <v>Соколова Г.Ю.</v>
      </c>
      <c r="O360" s="1" cm="1">
        <f t="array" aca="1" ref="O360" ca="1">INDIRECT(CONCATENATE("'",$A$350,"'!m",B360),1)</f>
        <v>3300</v>
      </c>
      <c r="P360" s="1" t="str" cm="1">
        <f t="array" aca="1" ref="P360" ca="1">INDIRECT(CONCATENATE("'",$A$350,"'!n",B360),1)</f>
        <v>уст.</v>
      </c>
      <c r="Q360" s="1" cm="1">
        <f t="array" aca="1" ref="Q360" ca="1">INDIRECT(CONCATENATE("'",$A$350,"'!o",B360),1)</f>
        <v>13.5</v>
      </c>
      <c r="R360" s="1" cm="1">
        <f t="array" aca="1" ref="R360" ca="1">INDIRECT(CONCATENATE("'",$A$350,"'!p",B360),1)</f>
        <v>0</v>
      </c>
      <c r="S360" s="1">
        <f t="shared" ca="1" si="30"/>
        <v>0</v>
      </c>
      <c r="T360" s="1" t="str" cm="1">
        <f t="array" aca="1" ref="T360" ca="1">INDIRECT(CONCATENATE("'",$A$350,"'!q",B360),1)</f>
        <v>Соколова Г.Ю.</v>
      </c>
      <c r="U360" s="1" cm="1">
        <f t="array" aca="1" ref="U360" ca="1">INDIRECT(CONCATENATE("'",$A$350,"'!r",B360),1)</f>
        <v>15.5</v>
      </c>
      <c r="V360" s="1" cm="1">
        <f t="array" aca="1" ref="V360" ca="1">INDIRECT(CONCATENATE("'",$A$350,"'!s",B360),1)</f>
        <v>0</v>
      </c>
      <c r="W360" s="1" cm="1">
        <f t="array" aca="1" ref="W360" ca="1">INDIRECT(CONCATENATE("'",$A$350,"'!t",B360),1)</f>
        <v>0</v>
      </c>
      <c r="X360" s="1" cm="1">
        <f t="array" aca="1" ref="X360" ca="1">INDIRECT(CONCATENATE("'",$A$350,"'!u",B360),1)</f>
        <v>0</v>
      </c>
      <c r="Y360" s="1" cm="1">
        <f t="array" aca="1" ref="Y360" ca="1">INDIRECT(CONCATENATE("'",$A$350,"'!v",B360),1)</f>
        <v>0</v>
      </c>
    </row>
    <row r="361" spans="2:25" ht="33.75" hidden="1" x14ac:dyDescent="0.25">
      <c r="B361" s="24">
        <f t="shared" si="31"/>
        <v>13</v>
      </c>
      <c r="C361" s="1" t="str" cm="1">
        <f t="array" aca="1" ref="C361" ca="1">INDIRECT(CONCATENATE("'",$A$350,"'!A",B361),1)</f>
        <v>Операционные системы</v>
      </c>
      <c r="D361" s="1" t="str" cm="1">
        <f t="array" aca="1" ref="D361" ca="1">INDIRECT(CONCATENATE("'",$A$350,"'!B",B361),1)</f>
        <v xml:space="preserve">09.03.01(09) 09.03.01(09у) </v>
      </c>
      <c r="E361" s="1" t="str" cm="1">
        <f t="array" aca="1" ref="E361" ca="1">INDIRECT(CONCATENATE("'",$A$350,"'!c",B361),1)</f>
        <v>3091з</v>
      </c>
      <c r="F361" s="1" cm="1">
        <f t="array" aca="1" ref="F361" ca="1">INDIRECT(CONCATENATE("'",$A$350,"'!d",B361),1)</f>
        <v>4</v>
      </c>
      <c r="G361" s="1" cm="1">
        <f t="array" aca="1" ref="G361" ca="1">INDIRECT(CONCATENATE("'",$A$350,"'!e",B361),1)</f>
        <v>1</v>
      </c>
      <c r="H361" s="1" cm="1">
        <f t="array" aca="1" ref="H361" ca="1">INDIRECT(CONCATENATE("'",$A$350,"'!f",B361),1)</f>
        <v>22</v>
      </c>
      <c r="I361" s="1" t="str" cm="1">
        <f t="array" aca="1" ref="I361" ca="1">INDIRECT(CONCATENATE("'",$A$350,"'!g",B361),1)</f>
        <v>ЭКЗ</v>
      </c>
      <c r="J361" s="1" cm="1">
        <f t="array" aca="1" ref="J361" ca="1">INDIRECT(CONCATENATE("'",$A$350,"'!h",B361),1)</f>
        <v>5</v>
      </c>
      <c r="K361" s="1" cm="1">
        <f t="array" aca="1" ref="K361" ca="1">INDIRECT(CONCATENATE("'",$A$350,"'!i",B361),1)</f>
        <v>4</v>
      </c>
      <c r="L361" s="1" cm="1">
        <f t="array" aca="1" ref="L361" ca="1">INDIRECT(CONCATENATE("'",$A$350,"'!j",B361),1)</f>
        <v>0</v>
      </c>
      <c r="M361" s="1" cm="1">
        <f t="array" aca="1" ref="M361" ca="1">INDIRECT(CONCATENATE("'",$A$350,"'!k",B361),1)</f>
        <v>12</v>
      </c>
      <c r="N361" s="1" t="str" cm="1">
        <f t="array" aca="1" ref="N361" ca="1">INDIRECT(CONCATENATE("'",$A$350,"'!l",B361),1)</f>
        <v>Петров Р.В.</v>
      </c>
      <c r="O361" s="1" cm="1">
        <f t="array" aca="1" ref="O361" ca="1">INDIRECT(CONCATENATE("'",$A$350,"'!m",B361),1)</f>
        <v>3315</v>
      </c>
      <c r="P361" s="1" t="str" cm="1">
        <f t="array" aca="1" ref="P361" ca="1">INDIRECT(CONCATENATE("'",$A$350,"'!n",B361),1)</f>
        <v>3п</v>
      </c>
      <c r="Q361" s="1" cm="1">
        <f t="array" aca="1" ref="Q361" ca="1">INDIRECT(CONCATENATE("'",$A$350,"'!o",B361),1)</f>
        <v>16.5</v>
      </c>
      <c r="R361" s="1" cm="1">
        <f t="array" aca="1" ref="R361" ca="1">INDIRECT(CONCATENATE("'",$A$350,"'!p",B361),1)</f>
        <v>11</v>
      </c>
      <c r="S361" s="1">
        <f t="shared" ca="1" si="30"/>
        <v>0</v>
      </c>
      <c r="T361" s="1" t="str" cm="1">
        <f t="array" aca="1" ref="T361" ca="1">INDIRECT(CONCATENATE("'",$A$350,"'!q",B361),1)</f>
        <v>Петров Р.В.</v>
      </c>
      <c r="U361" s="1" cm="1">
        <f t="array" aca="1" ref="U361" ca="1">INDIRECT(CONCATENATE("'",$A$350,"'!r",B361),1)</f>
        <v>43.5</v>
      </c>
      <c r="V361" s="1" cm="1">
        <f t="array" aca="1" ref="V361" ca="1">INDIRECT(CONCATENATE("'",$A$350,"'!s",B361),1)</f>
        <v>0</v>
      </c>
      <c r="W361" s="1" cm="1">
        <f t="array" aca="1" ref="W361" ca="1">INDIRECT(CONCATENATE("'",$A$350,"'!t",B361),1)</f>
        <v>0</v>
      </c>
      <c r="X361" s="1" cm="1">
        <f t="array" aca="1" ref="X361" ca="1">INDIRECT(CONCATENATE("'",$A$350,"'!u",B361),1)</f>
        <v>0</v>
      </c>
      <c r="Y361" s="1" cm="1">
        <f t="array" aca="1" ref="Y361" ca="1">INDIRECT(CONCATENATE("'",$A$350,"'!v",B361),1)</f>
        <v>0</v>
      </c>
    </row>
    <row r="362" spans="2:25" ht="45" hidden="1" x14ac:dyDescent="0.25">
      <c r="B362" s="24">
        <f t="shared" si="31"/>
        <v>14</v>
      </c>
      <c r="C362" s="1" t="str" cm="1">
        <f t="array" aca="1" ref="C362" ca="1">INDIRECT(CONCATENATE("'",$A$350,"'!A",B362),1)</f>
        <v>Основы программирования и анализа данных на языке Python(установ.)</v>
      </c>
      <c r="D362" s="1" t="str" cm="1">
        <f t="array" aca="1" ref="D362" ca="1">INDIRECT(CONCATENATE("'",$A$350,"'!B",B362),1)</f>
        <v>09.03.01(09)</v>
      </c>
      <c r="E362" s="1" t="str" cm="1">
        <f t="array" aca="1" ref="E362" ca="1">INDIRECT(CONCATENATE("'",$A$350,"'!c",B362),1)</f>
        <v>3091з</v>
      </c>
      <c r="F362" s="1" cm="1">
        <f t="array" aca="1" ref="F362" ca="1">INDIRECT(CONCATENATE("'",$A$350,"'!d",B362),1)</f>
        <v>4</v>
      </c>
      <c r="G362" s="1" cm="1">
        <f t="array" aca="1" ref="G362" ca="1">INDIRECT(CONCATENATE("'",$A$350,"'!e",B362),1)</f>
        <v>1</v>
      </c>
      <c r="H362" s="1" cm="1">
        <f t="array" aca="1" ref="H362" ca="1">INDIRECT(CONCATENATE("'",$A$350,"'!f",B362),1)</f>
        <v>22</v>
      </c>
      <c r="I362" s="1" cm="1">
        <f t="array" aca="1" ref="I362" ca="1">INDIRECT(CONCATENATE("'",$A$350,"'!g",B362),1)</f>
        <v>0</v>
      </c>
      <c r="J362" s="1" cm="1">
        <f t="array" aca="1" ref="J362" ca="1">INDIRECT(CONCATENATE("'",$A$350,"'!h",B362),1)</f>
        <v>0</v>
      </c>
      <c r="K362" s="1" cm="1">
        <f t="array" aca="1" ref="K362" ca="1">INDIRECT(CONCATENATE("'",$A$350,"'!i",B362),1)</f>
        <v>2</v>
      </c>
      <c r="L362" s="1" cm="1">
        <f t="array" aca="1" ref="L362" ca="1">INDIRECT(CONCATENATE("'",$A$350,"'!j",B362),1)</f>
        <v>0</v>
      </c>
      <c r="M362" s="1" cm="1">
        <f t="array" aca="1" ref="M362" ca="1">INDIRECT(CONCATENATE("'",$A$350,"'!k",B362),1)</f>
        <v>0</v>
      </c>
      <c r="N362" s="1" t="str" cm="1">
        <f t="array" aca="1" ref="N362" ca="1">INDIRECT(CONCATENATE("'",$A$350,"'!l",B362),1)</f>
        <v>Телина И.С.</v>
      </c>
      <c r="O362" s="1" cm="1">
        <f t="array" aca="1" ref="O362" ca="1">INDIRECT(CONCATENATE("'",$A$350,"'!m",B362),1)</f>
        <v>3312</v>
      </c>
      <c r="P362" s="1" t="str" cm="1">
        <f t="array" aca="1" ref="P362" ca="1">INDIRECT(CONCATENATE("'",$A$350,"'!n",B362),1)</f>
        <v>уст.</v>
      </c>
      <c r="Q362" s="1" cm="1">
        <f t="array" aca="1" ref="Q362" ca="1">INDIRECT(CONCATENATE("'",$A$350,"'!o",B362),1)</f>
        <v>0</v>
      </c>
      <c r="R362" s="1" cm="1">
        <f t="array" aca="1" ref="R362" ca="1">INDIRECT(CONCATENATE("'",$A$350,"'!p",B362),1)</f>
        <v>0</v>
      </c>
      <c r="S362" s="1">
        <f t="shared" ca="1" si="30"/>
        <v>0</v>
      </c>
      <c r="T362" s="1" t="str" cm="1">
        <f t="array" aca="1" ref="T362" ca="1">INDIRECT(CONCATENATE("'",$A$350,"'!q",B362),1)</f>
        <v>Телина И.С.</v>
      </c>
      <c r="U362" s="1" cm="1">
        <f t="array" aca="1" ref="U362" ca="1">INDIRECT(CONCATENATE("'",$A$350,"'!r",B362),1)</f>
        <v>0</v>
      </c>
      <c r="V362" s="1" cm="1">
        <f t="array" aca="1" ref="V362" ca="1">INDIRECT(CONCATENATE("'",$A$350,"'!s",B362),1)</f>
        <v>0</v>
      </c>
      <c r="W362" s="1" cm="1">
        <f t="array" aca="1" ref="W362" ca="1">INDIRECT(CONCATENATE("'",$A$350,"'!t",B362),1)</f>
        <v>0</v>
      </c>
      <c r="X362" s="1" cm="1">
        <f t="array" aca="1" ref="X362" ca="1">INDIRECT(CONCATENATE("'",$A$350,"'!u",B362),1)</f>
        <v>0</v>
      </c>
      <c r="Y362" s="1" cm="1">
        <f t="array" aca="1" ref="Y362" ca="1">INDIRECT(CONCATENATE("'",$A$350,"'!v",B362),1)</f>
        <v>0</v>
      </c>
    </row>
    <row r="363" spans="2:25" ht="33.75" hidden="1" x14ac:dyDescent="0.25">
      <c r="B363" s="24">
        <f t="shared" si="31"/>
        <v>15</v>
      </c>
      <c r="C363" s="1" t="str" cm="1">
        <f t="array" aca="1" ref="C363" ca="1">INDIRECT(CONCATENATE("'",$A$350,"'!A",B363),1)</f>
        <v>Объектно-ориентированное программирование (уст)</v>
      </c>
      <c r="D363" s="1" t="str" cm="1">
        <f t="array" aca="1" ref="D363" ca="1">INDIRECT(CONCATENATE("'",$A$350,"'!B",B363),1)</f>
        <v>09.03.01(09)</v>
      </c>
      <c r="E363" s="1" t="str" cm="1">
        <f t="array" aca="1" ref="E363" ca="1">INDIRECT(CONCATENATE("'",$A$350,"'!c",B363),1)</f>
        <v>3091з</v>
      </c>
      <c r="F363" s="1" cm="1">
        <f t="array" aca="1" ref="F363" ca="1">INDIRECT(CONCATENATE("'",$A$350,"'!d",B363),1)</f>
        <v>4</v>
      </c>
      <c r="G363" s="1" cm="1">
        <f t="array" aca="1" ref="G363" ca="1">INDIRECT(CONCATENATE("'",$A$350,"'!e",B363),1)</f>
        <v>1</v>
      </c>
      <c r="H363" s="1" cm="1">
        <f t="array" aca="1" ref="H363" ca="1">INDIRECT(CONCATENATE("'",$A$350,"'!f",B363),1)</f>
        <v>22</v>
      </c>
      <c r="I363" s="1" cm="1">
        <f t="array" aca="1" ref="I363" ca="1">INDIRECT(CONCATENATE("'",$A$350,"'!g",B363),1)</f>
        <v>0</v>
      </c>
      <c r="J363" s="1" cm="1">
        <f t="array" aca="1" ref="J363" ca="1">INDIRECT(CONCATENATE("'",$A$350,"'!h",B363),1)</f>
        <v>0</v>
      </c>
      <c r="K363" s="1" cm="1">
        <f t="array" aca="1" ref="K363" ca="1">INDIRECT(CONCATENATE("'",$A$350,"'!i",B363),1)</f>
        <v>2</v>
      </c>
      <c r="L363" s="1" cm="1">
        <f t="array" aca="1" ref="L363" ca="1">INDIRECT(CONCATENATE("'",$A$350,"'!j",B363),1)</f>
        <v>0</v>
      </c>
      <c r="M363" s="1" cm="1">
        <f t="array" aca="1" ref="M363" ca="1">INDIRECT(CONCATENATE("'",$A$350,"'!k",B363),1)</f>
        <v>0</v>
      </c>
      <c r="N363" s="1" t="str" cm="1">
        <f t="array" aca="1" ref="N363" ca="1">INDIRECT(CONCATENATE("'",$A$350,"'!l",B363),1)</f>
        <v>Кулаков И.Ю.</v>
      </c>
      <c r="O363" s="1" cm="1">
        <f t="array" aca="1" ref="O363" ca="1">INDIRECT(CONCATENATE("'",$A$350,"'!m",B363),1)</f>
        <v>3315</v>
      </c>
      <c r="P363" s="1" t="str" cm="1">
        <f t="array" aca="1" ref="P363" ca="1">INDIRECT(CONCATENATE("'",$A$350,"'!n",B363),1)</f>
        <v>уст.</v>
      </c>
      <c r="Q363" s="1" cm="1">
        <f t="array" aca="1" ref="Q363" ca="1">INDIRECT(CONCATENATE("'",$A$350,"'!o",B363),1)</f>
        <v>0</v>
      </c>
      <c r="R363" s="1" cm="1">
        <f t="array" aca="1" ref="R363" ca="1">INDIRECT(CONCATENATE("'",$A$350,"'!p",B363),1)</f>
        <v>0</v>
      </c>
      <c r="S363" s="1">
        <f t="shared" ca="1" si="30"/>
        <v>0</v>
      </c>
      <c r="T363" s="1" t="str" cm="1">
        <f t="array" aca="1" ref="T363" ca="1">INDIRECT(CONCATENATE("'",$A$350,"'!q",B363),1)</f>
        <v>Кулаков И.Ю.</v>
      </c>
      <c r="U363" s="1" cm="1">
        <f t="array" aca="1" ref="U363" ca="1">INDIRECT(CONCATENATE("'",$A$350,"'!r",B363),1)</f>
        <v>0</v>
      </c>
      <c r="V363" s="1" cm="1">
        <f t="array" aca="1" ref="V363" ca="1">INDIRECT(CONCATENATE("'",$A$350,"'!s",B363),1)</f>
        <v>0</v>
      </c>
      <c r="W363" s="1" cm="1">
        <f t="array" aca="1" ref="W363" ca="1">INDIRECT(CONCATENATE("'",$A$350,"'!t",B363),1)</f>
        <v>0</v>
      </c>
      <c r="X363" s="1" cm="1">
        <f t="array" aca="1" ref="X363" ca="1">INDIRECT(CONCATENATE("'",$A$350,"'!u",B363),1)</f>
        <v>0</v>
      </c>
      <c r="Y363" s="1" cm="1">
        <f t="array" aca="1" ref="Y363" ca="1">INDIRECT(CONCATENATE("'",$A$350,"'!v",B363),1)</f>
        <v>0</v>
      </c>
    </row>
    <row r="364" spans="2:25" hidden="1" x14ac:dyDescent="0.25">
      <c r="B364" s="24">
        <f t="shared" si="31"/>
        <v>16</v>
      </c>
      <c r="C364" s="1" cm="1">
        <f t="array" aca="1" ref="C364" ca="1">INDIRECT(CONCATENATE("'",$A$350,"'!A",B364),1)</f>
        <v>0</v>
      </c>
      <c r="D364" s="1" cm="1">
        <f t="array" aca="1" ref="D364" ca="1">INDIRECT(CONCATENATE("'",$A$350,"'!B",B364),1)</f>
        <v>0</v>
      </c>
      <c r="E364" s="1" cm="1">
        <f t="array" aca="1" ref="E364" ca="1">INDIRECT(CONCATENATE("'",$A$350,"'!c",B364),1)</f>
        <v>0</v>
      </c>
      <c r="F364" s="1" cm="1">
        <f t="array" aca="1" ref="F364" ca="1">INDIRECT(CONCATENATE("'",$A$350,"'!d",B364),1)</f>
        <v>0</v>
      </c>
      <c r="G364" s="1" cm="1">
        <f t="array" aca="1" ref="G364" ca="1">INDIRECT(CONCATENATE("'",$A$350,"'!e",B364),1)</f>
        <v>0</v>
      </c>
      <c r="H364" s="1" cm="1">
        <f t="array" aca="1" ref="H364" ca="1">INDIRECT(CONCATENATE("'",$A$350,"'!f",B364),1)</f>
        <v>0</v>
      </c>
      <c r="I364" s="1" cm="1">
        <f t="array" aca="1" ref="I364" ca="1">INDIRECT(CONCATENATE("'",$A$350,"'!g",B364),1)</f>
        <v>0</v>
      </c>
      <c r="J364" s="1" cm="1">
        <f t="array" aca="1" ref="J364" ca="1">INDIRECT(CONCATENATE("'",$A$350,"'!h",B364),1)</f>
        <v>0</v>
      </c>
      <c r="K364" s="1" cm="1">
        <f t="array" aca="1" ref="K364" ca="1">INDIRECT(CONCATENATE("'",$A$350,"'!i",B364),1)</f>
        <v>0</v>
      </c>
      <c r="L364" s="1" cm="1">
        <f t="array" aca="1" ref="L364" ca="1">INDIRECT(CONCATENATE("'",$A$350,"'!j",B364),1)</f>
        <v>0</v>
      </c>
      <c r="M364" s="1" cm="1">
        <f t="array" aca="1" ref="M364" ca="1">INDIRECT(CONCATENATE("'",$A$350,"'!k",B364),1)</f>
        <v>0</v>
      </c>
      <c r="N364" s="1" t="str" cm="1">
        <f t="array" aca="1" ref="N364" ca="1">INDIRECT(CONCATENATE("'",$A$350,"'!l",B364),1)</f>
        <v/>
      </c>
      <c r="O364" s="1" cm="1">
        <f t="array" aca="1" ref="O364" ca="1">INDIRECT(CONCATENATE("'",$A$350,"'!m",B364),1)</f>
        <v>0</v>
      </c>
      <c r="P364" s="1" cm="1">
        <f t="array" aca="1" ref="P364" ca="1">INDIRECT(CONCATENATE("'",$A$350,"'!n",B364),1)</f>
        <v>0</v>
      </c>
      <c r="Q364" s="1" cm="1">
        <f t="array" aca="1" ref="Q364" ca="1">INDIRECT(CONCATENATE("'",$A$350,"'!o",B364),1)</f>
        <v>0</v>
      </c>
      <c r="R364" s="1" cm="1">
        <f t="array" aca="1" ref="R364" ca="1">INDIRECT(CONCATENATE("'",$A$350,"'!p",B364),1)</f>
        <v>0</v>
      </c>
      <c r="S364" s="1">
        <f t="shared" ca="1" si="30"/>
        <v>0</v>
      </c>
      <c r="T364" s="1" cm="1">
        <f t="array" aca="1" ref="T364" ca="1">INDIRECT(CONCATENATE("'",$A$350,"'!q",B364),1)</f>
        <v>0</v>
      </c>
      <c r="U364" s="1" cm="1">
        <f t="array" aca="1" ref="U364" ca="1">INDIRECT(CONCATENATE("'",$A$350,"'!r",B364),1)</f>
        <v>0</v>
      </c>
      <c r="V364" s="1" cm="1">
        <f t="array" aca="1" ref="V364" ca="1">INDIRECT(CONCATENATE("'",$A$350,"'!s",B364),1)</f>
        <v>0</v>
      </c>
      <c r="W364" s="1" cm="1">
        <f t="array" aca="1" ref="W364" ca="1">INDIRECT(CONCATENATE("'",$A$350,"'!t",B364),1)</f>
        <v>0</v>
      </c>
      <c r="X364" s="1" cm="1">
        <f t="array" aca="1" ref="X364" ca="1">INDIRECT(CONCATENATE("'",$A$350,"'!u",B364),1)</f>
        <v>0</v>
      </c>
      <c r="Y364" s="1" cm="1">
        <f t="array" aca="1" ref="Y364" ca="1">INDIRECT(CONCATENATE("'",$A$350,"'!v",B364),1)</f>
        <v>0</v>
      </c>
    </row>
    <row r="365" spans="2:25" hidden="1" x14ac:dyDescent="0.25">
      <c r="B365" s="24">
        <f t="shared" si="31"/>
        <v>17</v>
      </c>
      <c r="C365" s="1" t="str" cm="1">
        <f t="array" aca="1" ref="C365" ca="1">INDIRECT(CONCATENATE("'",$A$350,"'!A",B365),1)</f>
        <v>Майноры(установ.)</v>
      </c>
      <c r="D365" s="1" t="str" cm="1">
        <f t="array" aca="1" ref="D365" ca="1">INDIRECT(CONCATENATE("'",$A$350,"'!B",B365),1)</f>
        <v>09.03.01(09)</v>
      </c>
      <c r="E365" s="1" t="str" cm="1">
        <f t="array" aca="1" ref="E365" ca="1">INDIRECT(CONCATENATE("'",$A$350,"'!c",B365),1)</f>
        <v>3091з</v>
      </c>
      <c r="F365" s="1" cm="1">
        <f t="array" aca="1" ref="F365" ca="1">INDIRECT(CONCATENATE("'",$A$350,"'!d",B365),1)</f>
        <v>4</v>
      </c>
      <c r="G365" s="1" cm="1">
        <f t="array" aca="1" ref="G365" ca="1">INDIRECT(CONCATENATE("'",$A$350,"'!e",B365),1)</f>
        <v>1</v>
      </c>
      <c r="H365" s="1" cm="1">
        <f t="array" aca="1" ref="H365" ca="1">INDIRECT(CONCATENATE("'",$A$350,"'!f",B365),1)</f>
        <v>22</v>
      </c>
      <c r="I365" s="1" cm="1">
        <f t="array" aca="1" ref="I365" ca="1">INDIRECT(CONCATENATE("'",$A$350,"'!g",B365),1)</f>
        <v>0</v>
      </c>
      <c r="J365" s="1" cm="1">
        <f t="array" aca="1" ref="J365" ca="1">INDIRECT(CONCATENATE("'",$A$350,"'!h",B365),1)</f>
        <v>0</v>
      </c>
      <c r="K365" s="1" cm="1">
        <f t="array" aca="1" ref="K365" ca="1">INDIRECT(CONCATENATE("'",$A$350,"'!i",B365),1)</f>
        <v>2</v>
      </c>
      <c r="L365" s="1" cm="1">
        <f t="array" aca="1" ref="L365" ca="1">INDIRECT(CONCATENATE("'",$A$350,"'!j",B365),1)</f>
        <v>0</v>
      </c>
      <c r="M365" s="1" cm="1">
        <f t="array" aca="1" ref="M365" ca="1">INDIRECT(CONCATENATE("'",$A$350,"'!k",B365),1)</f>
        <v>0</v>
      </c>
      <c r="N365" s="1" t="str" cm="1">
        <f t="array" aca="1" ref="N365" ca="1">INDIRECT(CONCATENATE("'",$A$350,"'!l",B365),1)</f>
        <v>Залилов Р.Ю.</v>
      </c>
      <c r="O365" s="1" cm="1">
        <f t="array" aca="1" ref="O365" ca="1">INDIRECT(CONCATENATE("'",$A$350,"'!m",B365),1)</f>
        <v>3315</v>
      </c>
      <c r="P365" s="1" t="str" cm="1">
        <f t="array" aca="1" ref="P365" ca="1">INDIRECT(CONCATENATE("'",$A$350,"'!n",B365),1)</f>
        <v>уст.</v>
      </c>
      <c r="Q365" s="1" cm="1">
        <f t="array" aca="1" ref="Q365" ca="1">INDIRECT(CONCATENATE("'",$A$350,"'!o",B365),1)</f>
        <v>0</v>
      </c>
      <c r="R365" s="1" cm="1">
        <f t="array" aca="1" ref="R365" ca="1">INDIRECT(CONCATENATE("'",$A$350,"'!p",B365),1)</f>
        <v>0</v>
      </c>
      <c r="S365" s="1">
        <f t="shared" ca="1" si="30"/>
        <v>0</v>
      </c>
      <c r="T365" s="1" t="str" cm="1">
        <f t="array" aca="1" ref="T365" ca="1">INDIRECT(CONCATENATE("'",$A$350,"'!q",B365),1)</f>
        <v>Залилов Р.Ю.</v>
      </c>
      <c r="U365" s="1" cm="1">
        <f t="array" aca="1" ref="U365" ca="1">INDIRECT(CONCATENATE("'",$A$350,"'!r",B365),1)</f>
        <v>0</v>
      </c>
      <c r="V365" s="1" cm="1">
        <f t="array" aca="1" ref="V365" ca="1">INDIRECT(CONCATENATE("'",$A$350,"'!s",B365),1)</f>
        <v>0</v>
      </c>
      <c r="W365" s="1" cm="1">
        <f t="array" aca="1" ref="W365" ca="1">INDIRECT(CONCATENATE("'",$A$350,"'!t",B365),1)</f>
        <v>0</v>
      </c>
      <c r="X365" s="1" cm="1">
        <f t="array" aca="1" ref="X365" ca="1">INDIRECT(CONCATENATE("'",$A$350,"'!u",B365),1)</f>
        <v>0</v>
      </c>
      <c r="Y365" s="1" cm="1">
        <f t="array" aca="1" ref="Y365" ca="1">INDIRECT(CONCATENATE("'",$A$350,"'!v",B365),1)</f>
        <v>0</v>
      </c>
    </row>
    <row r="366" spans="2:25" ht="22.5" x14ac:dyDescent="0.25">
      <c r="B366" s="24">
        <f t="shared" si="31"/>
        <v>18</v>
      </c>
      <c r="C366" s="1" t="str" cm="1">
        <f t="array" aca="1" ref="C366" ca="1">INDIRECT(CONCATENATE("'",$A$350,"'!A",B366),1)</f>
        <v>Проектный практикум</v>
      </c>
      <c r="D366" s="1" t="str" cm="1">
        <f t="array" aca="1" ref="D366" ca="1">INDIRECT(CONCATENATE("'",$A$350,"'!B",B366),1)</f>
        <v>09.03.01(09у)</v>
      </c>
      <c r="E366" s="1" t="str" cm="1">
        <f t="array" aca="1" ref="E366" ca="1">INDIRECT(CONCATENATE("'",$A$350,"'!c",B366),1)</f>
        <v>3091з</v>
      </c>
      <c r="F366" s="1" cm="1">
        <f t="array" aca="1" ref="F366" ca="1">INDIRECT(CONCATENATE("'",$A$350,"'!d",B366),1)</f>
        <v>4</v>
      </c>
      <c r="G366" s="1" cm="1">
        <f t="array" aca="1" ref="G366" ca="1">INDIRECT(CONCATENATE("'",$A$350,"'!e",B366),1)</f>
        <v>2</v>
      </c>
      <c r="H366" s="1" cm="1">
        <f t="array" aca="1" ref="H366" ca="1">INDIRECT(CONCATENATE("'",$A$350,"'!f",B366),1)</f>
        <v>22</v>
      </c>
      <c r="I366" s="1" t="str" cm="1">
        <f t="array" aca="1" ref="I366" ca="1">INDIRECT(CONCATENATE("'",$A$350,"'!g",B366),1)</f>
        <v>ЗАЧ</v>
      </c>
      <c r="J366" s="1" cm="1">
        <f t="array" aca="1" ref="J366" ca="1">INDIRECT(CONCATENATE("'",$A$350,"'!h",B366),1)</f>
        <v>1</v>
      </c>
      <c r="K366" s="1" cm="1">
        <f t="array" aca="1" ref="K366" ca="1">INDIRECT(CONCATENATE("'",$A$350,"'!i",B366),1)</f>
        <v>0</v>
      </c>
      <c r="L366" s="1" cm="1">
        <f t="array" aca="1" ref="L366" ca="1">INDIRECT(CONCATENATE("'",$A$350,"'!j",B366),1)</f>
        <v>4</v>
      </c>
      <c r="M366" s="1" cm="1">
        <f t="array" aca="1" ref="M366" ca="1">INDIRECT(CONCATENATE("'",$A$350,"'!k",B366),1)</f>
        <v>0</v>
      </c>
      <c r="N366" s="1" t="str" cm="1">
        <f t="array" aca="1" ref="N366" ca="1">INDIRECT(CONCATENATE("'",$A$350,"'!l",B366),1)</f>
        <v>Савинова М.А.</v>
      </c>
      <c r="O366" s="1" cm="1">
        <f t="array" aca="1" ref="O366" ca="1">INDIRECT(CONCATENATE("'",$A$350,"'!m",B366),1)</f>
        <v>0</v>
      </c>
      <c r="P366" s="1" t="str" cm="1">
        <f t="array" aca="1" ref="P366" ca="1">INDIRECT(CONCATENATE("'",$A$350,"'!n",B366),1)</f>
        <v>2п</v>
      </c>
      <c r="Q366" s="1" cm="1">
        <f t="array" aca="1" ref="Q366" ca="1">INDIRECT(CONCATENATE("'",$A$350,"'!o",B366),1)</f>
        <v>33</v>
      </c>
      <c r="R366" s="1" cm="1">
        <f t="array" aca="1" ref="R366" ca="1">INDIRECT(CONCATENATE("'",$A$350,"'!p",B366),1)</f>
        <v>0</v>
      </c>
      <c r="S366" s="1">
        <f t="shared" ca="1" si="30"/>
        <v>33</v>
      </c>
      <c r="T366" s="1" t="str" cm="1">
        <f t="array" aca="1" ref="T366" ca="1">INDIRECT(CONCATENATE("'",$A$350,"'!q",B366),1)</f>
        <v>Савинова М.А.</v>
      </c>
      <c r="U366" s="1" cm="1">
        <f t="array" aca="1" ref="U366" ca="1">INDIRECT(CONCATENATE("'",$A$350,"'!r",B366),1)</f>
        <v>33</v>
      </c>
      <c r="V366" s="1" cm="1">
        <f t="array" aca="1" ref="V366" ca="1">INDIRECT(CONCATENATE("'",$A$350,"'!s",B366),1)</f>
        <v>0</v>
      </c>
      <c r="W366" s="1" cm="1">
        <f t="array" aca="1" ref="W366" ca="1">INDIRECT(CONCATENATE("'",$A$350,"'!t",B366),1)</f>
        <v>0</v>
      </c>
      <c r="X366" s="1" cm="1">
        <f t="array" aca="1" ref="X366" ca="1">INDIRECT(CONCATENATE("'",$A$350,"'!u",B366),1)</f>
        <v>0</v>
      </c>
      <c r="Y366" s="1" cm="1">
        <f t="array" aca="1" ref="Y366" ca="1">INDIRECT(CONCATENATE("'",$A$350,"'!v",B366),1)</f>
        <v>0</v>
      </c>
    </row>
    <row r="367" spans="2:25" hidden="1" x14ac:dyDescent="0.25">
      <c r="B367" s="24">
        <f t="shared" si="31"/>
        <v>19</v>
      </c>
      <c r="C367" s="1" cm="1">
        <f t="array" aca="1" ref="C367" ca="1">INDIRECT(CONCATENATE("'",$A$350,"'!A",B367),1)</f>
        <v>0</v>
      </c>
      <c r="D367" s="1" cm="1">
        <f t="array" aca="1" ref="D367" ca="1">INDIRECT(CONCATENATE("'",$A$350,"'!B",B367),1)</f>
        <v>0</v>
      </c>
      <c r="E367" s="1" cm="1">
        <f t="array" aca="1" ref="E367" ca="1">INDIRECT(CONCATENATE("'",$A$350,"'!c",B367),1)</f>
        <v>0</v>
      </c>
      <c r="F367" s="1" cm="1">
        <f t="array" aca="1" ref="F367" ca="1">INDIRECT(CONCATENATE("'",$A$350,"'!d",B367),1)</f>
        <v>0</v>
      </c>
      <c r="G367" s="1" cm="1">
        <f t="array" aca="1" ref="G367" ca="1">INDIRECT(CONCATENATE("'",$A$350,"'!e",B367),1)</f>
        <v>0</v>
      </c>
      <c r="H367" s="1" cm="1">
        <f t="array" aca="1" ref="H367" ca="1">INDIRECT(CONCATENATE("'",$A$350,"'!f",B367),1)</f>
        <v>0</v>
      </c>
      <c r="I367" s="1" cm="1">
        <f t="array" aca="1" ref="I367" ca="1">INDIRECT(CONCATENATE("'",$A$350,"'!g",B367),1)</f>
        <v>0</v>
      </c>
      <c r="J367" s="1" cm="1">
        <f t="array" aca="1" ref="J367" ca="1">INDIRECT(CONCATENATE("'",$A$350,"'!h",B367),1)</f>
        <v>0</v>
      </c>
      <c r="K367" s="1" cm="1">
        <f t="array" aca="1" ref="K367" ca="1">INDIRECT(CONCATENATE("'",$A$350,"'!i",B367),1)</f>
        <v>0</v>
      </c>
      <c r="L367" s="1" cm="1">
        <f t="array" aca="1" ref="L367" ca="1">INDIRECT(CONCATENATE("'",$A$350,"'!j",B367),1)</f>
        <v>0</v>
      </c>
      <c r="M367" s="1" cm="1">
        <f t="array" aca="1" ref="M367" ca="1">INDIRECT(CONCATENATE("'",$A$350,"'!k",B367),1)</f>
        <v>0</v>
      </c>
      <c r="N367" s="1" t="str" cm="1">
        <f t="array" aca="1" ref="N367" ca="1">INDIRECT(CONCATENATE("'",$A$350,"'!l",B367),1)</f>
        <v/>
      </c>
      <c r="O367" s="1" cm="1">
        <f t="array" aca="1" ref="O367" ca="1">INDIRECT(CONCATENATE("'",$A$350,"'!m",B367),1)</f>
        <v>0</v>
      </c>
      <c r="P367" s="1" cm="1">
        <f t="array" aca="1" ref="P367" ca="1">INDIRECT(CONCATENATE("'",$A$350,"'!n",B367),1)</f>
        <v>0</v>
      </c>
      <c r="Q367" s="1" cm="1">
        <f t="array" aca="1" ref="Q367" ca="1">INDIRECT(CONCATENATE("'",$A$350,"'!o",B367),1)</f>
        <v>0</v>
      </c>
      <c r="R367" s="1" cm="1">
        <f t="array" aca="1" ref="R367" ca="1">INDIRECT(CONCATENATE("'",$A$350,"'!p",B367),1)</f>
        <v>0</v>
      </c>
      <c r="S367" s="1">
        <f t="shared" ca="1" si="30"/>
        <v>0</v>
      </c>
      <c r="T367" s="1" cm="1">
        <f t="array" aca="1" ref="T367" ca="1">INDIRECT(CONCATENATE("'",$A$350,"'!q",B367),1)</f>
        <v>0</v>
      </c>
      <c r="U367" s="1" cm="1">
        <f t="array" aca="1" ref="U367" ca="1">INDIRECT(CONCATENATE("'",$A$350,"'!r",B367),1)</f>
        <v>0</v>
      </c>
      <c r="V367" s="1" cm="1">
        <f t="array" aca="1" ref="V367" ca="1">INDIRECT(CONCATENATE("'",$A$350,"'!s",B367),1)</f>
        <v>0</v>
      </c>
      <c r="W367" s="1" cm="1">
        <f t="array" aca="1" ref="W367" ca="1">INDIRECT(CONCATENATE("'",$A$350,"'!t",B367),1)</f>
        <v>0</v>
      </c>
      <c r="X367" s="1" cm="1">
        <f t="array" aca="1" ref="X367" ca="1">INDIRECT(CONCATENATE("'",$A$350,"'!u",B367),1)</f>
        <v>0</v>
      </c>
      <c r="Y367" s="1" cm="1">
        <f t="array" aca="1" ref="Y367" ca="1">INDIRECT(CONCATENATE("'",$A$350,"'!v",B367),1)</f>
        <v>0</v>
      </c>
    </row>
    <row r="368" spans="2:25" ht="45" hidden="1" x14ac:dyDescent="0.25">
      <c r="B368" s="24">
        <f t="shared" si="31"/>
        <v>20</v>
      </c>
      <c r="C368" s="1" t="str" cm="1">
        <f t="array" aca="1" ref="C368" ca="1">INDIRECT(CONCATENATE("'",$A$350,"'!A",B368),1)</f>
        <v>Основы программирования: Структуры данных и алгоритмы</v>
      </c>
      <c r="D368" s="1" t="str" cm="1">
        <f t="array" aca="1" ref="D368" ca="1">INDIRECT(CONCATENATE("'",$A$350,"'!B",B368),1)</f>
        <v>09.03.01(09)</v>
      </c>
      <c r="E368" s="1" t="str" cm="1">
        <f t="array" aca="1" ref="E368" ca="1">INDIRECT(CONCATENATE("'",$A$350,"'!c",B368),1)</f>
        <v>3091з</v>
      </c>
      <c r="F368" s="1" cm="1">
        <f t="array" aca="1" ref="F368" ca="1">INDIRECT(CONCATENATE("'",$A$350,"'!d",B368),1)</f>
        <v>5</v>
      </c>
      <c r="G368" s="1" cm="1">
        <f t="array" aca="1" ref="G368" ca="1">INDIRECT(CONCATENATE("'",$A$350,"'!e",B368),1)</f>
        <v>1</v>
      </c>
      <c r="H368" s="1" cm="1">
        <f t="array" aca="1" ref="H368" ca="1">INDIRECT(CONCATENATE("'",$A$350,"'!f",B368),1)</f>
        <v>15</v>
      </c>
      <c r="I368" s="1" t="str" cm="1">
        <f t="array" aca="1" ref="I368" ca="1">INDIRECT(CONCATENATE("'",$A$350,"'!g",B368),1)</f>
        <v>ЭКЗ</v>
      </c>
      <c r="J368" s="1" cm="1">
        <f t="array" aca="1" ref="J368" ca="1">INDIRECT(CONCATENATE("'",$A$350,"'!h",B368),1)</f>
        <v>8</v>
      </c>
      <c r="K368" s="1" cm="1">
        <f t="array" aca="1" ref="K368" ca="1">INDIRECT(CONCATENATE("'",$A$350,"'!i",B368),1)</f>
        <v>8</v>
      </c>
      <c r="L368" s="1" cm="1">
        <f t="array" aca="1" ref="L368" ca="1">INDIRECT(CONCATENATE("'",$A$350,"'!j",B368),1)</f>
        <v>10</v>
      </c>
      <c r="M368" s="1" cm="1">
        <f t="array" aca="1" ref="M368" ca="1">INDIRECT(CONCATENATE("'",$A$350,"'!k",B368),1)</f>
        <v>10</v>
      </c>
      <c r="N368" s="1" t="str" cm="1">
        <f t="array" aca="1" ref="N368" ca="1">INDIRECT(CONCATENATE("'",$A$350,"'!l",B368),1)</f>
        <v>Винник Л.И.</v>
      </c>
      <c r="O368" s="1" cm="1">
        <f t="array" aca="1" ref="O368" ca="1">INDIRECT(CONCATENATE("'",$A$350,"'!m",B368),1)</f>
        <v>3315</v>
      </c>
      <c r="P368" s="1" t="str" cm="1">
        <f t="array" aca="1" ref="P368" ca="1">INDIRECT(CONCATENATE("'",$A$350,"'!n",B368),1)</f>
        <v>1п</v>
      </c>
      <c r="Q368" s="1" cm="1">
        <f t="array" aca="1" ref="Q368" ca="1">INDIRECT(CONCATENATE("'",$A$350,"'!o",B368),1)</f>
        <v>18</v>
      </c>
      <c r="R368" s="1" cm="1">
        <f t="array" aca="1" ref="R368" ca="1">INDIRECT(CONCATENATE("'",$A$350,"'!p",B368),1)</f>
        <v>12</v>
      </c>
      <c r="S368" s="1">
        <f t="shared" ca="1" si="30"/>
        <v>0</v>
      </c>
      <c r="T368" s="1" t="str" cm="1">
        <f t="array" aca="1" ref="T368" ca="1">INDIRECT(CONCATENATE("'",$A$350,"'!q",B368),1)</f>
        <v>Винник Л.И.</v>
      </c>
      <c r="U368" s="1" cm="1">
        <f t="array" aca="1" ref="U368" ca="1">INDIRECT(CONCATENATE("'",$A$350,"'!r",B368),1)</f>
        <v>58</v>
      </c>
      <c r="V368" s="1" cm="1">
        <f t="array" aca="1" ref="V368" ca="1">INDIRECT(CONCATENATE("'",$A$350,"'!s",B368),1)</f>
        <v>0</v>
      </c>
      <c r="W368" s="1" cm="1">
        <f t="array" aca="1" ref="W368" ca="1">INDIRECT(CONCATENATE("'",$A$350,"'!t",B368),1)</f>
        <v>0</v>
      </c>
      <c r="X368" s="1" cm="1">
        <f t="array" aca="1" ref="X368" ca="1">INDIRECT(CONCATENATE("'",$A$350,"'!u",B368),1)</f>
        <v>0</v>
      </c>
      <c r="Y368" s="1" cm="1">
        <f t="array" aca="1" ref="Y368" ca="1">INDIRECT(CONCATENATE("'",$A$350,"'!v",B368),1)</f>
        <v>0</v>
      </c>
    </row>
    <row r="369" spans="2:25" ht="22.5" hidden="1" x14ac:dyDescent="0.25">
      <c r="B369" s="24">
        <f t="shared" si="31"/>
        <v>21</v>
      </c>
      <c r="C369" s="1" t="str" cm="1">
        <f t="array" aca="1" ref="C369" ca="1">INDIRECT(CONCATENATE("'",$A$350,"'!A",B369),1)</f>
        <v>Методы защиты информации(установ.)</v>
      </c>
      <c r="D369" s="1" t="str" cm="1">
        <f t="array" aca="1" ref="D369" ca="1">INDIRECT(CONCATENATE("'",$A$350,"'!B",B369),1)</f>
        <v>09.03.01(09)</v>
      </c>
      <c r="E369" s="1" t="str" cm="1">
        <f t="array" aca="1" ref="E369" ca="1">INDIRECT(CONCATENATE("'",$A$350,"'!c",B369),1)</f>
        <v>3091з</v>
      </c>
      <c r="F369" s="1" cm="1">
        <f t="array" aca="1" ref="F369" ca="1">INDIRECT(CONCATENATE("'",$A$350,"'!d",B369),1)</f>
        <v>5</v>
      </c>
      <c r="G369" s="1" cm="1">
        <f t="array" aca="1" ref="G369" ca="1">INDIRECT(CONCATENATE("'",$A$350,"'!e",B369),1)</f>
        <v>1</v>
      </c>
      <c r="H369" s="1" cm="1">
        <f t="array" aca="1" ref="H369" ca="1">INDIRECT(CONCATENATE("'",$A$350,"'!f",B369),1)</f>
        <v>15</v>
      </c>
      <c r="I369" s="1" t="str" cm="1">
        <f t="array" aca="1" ref="I369" ca="1">INDIRECT(CONCATENATE("'",$A$350,"'!g",B369),1)</f>
        <v>ДЗ</v>
      </c>
      <c r="J369" s="1" cm="1">
        <f t="array" aca="1" ref="J369" ca="1">INDIRECT(CONCATENATE("'",$A$350,"'!h",B369),1)</f>
        <v>0</v>
      </c>
      <c r="K369" s="1" cm="1">
        <f t="array" aca="1" ref="K369" ca="1">INDIRECT(CONCATENATE("'",$A$350,"'!i",B369),1)</f>
        <v>0</v>
      </c>
      <c r="L369" s="1" cm="1">
        <f t="array" aca="1" ref="L369" ca="1">INDIRECT(CONCATENATE("'",$A$350,"'!j",B369),1)</f>
        <v>2</v>
      </c>
      <c r="M369" s="1" cm="1">
        <f t="array" aca="1" ref="M369" ca="1">INDIRECT(CONCATENATE("'",$A$350,"'!k",B369),1)</f>
        <v>0</v>
      </c>
      <c r="N369" s="1" t="str" cm="1">
        <f t="array" aca="1" ref="N369" ca="1">INDIRECT(CONCATENATE("'",$A$350,"'!l",B369),1)</f>
        <v>Жгун Т.В.</v>
      </c>
      <c r="O369" s="1" cm="1">
        <f t="array" aca="1" ref="O369" ca="1">INDIRECT(CONCATENATE("'",$A$350,"'!m",B369),1)</f>
        <v>3300</v>
      </c>
      <c r="P369" s="1" t="str" cm="1">
        <f t="array" aca="1" ref="P369" ca="1">INDIRECT(CONCATENATE("'",$A$350,"'!n",B369),1)</f>
        <v>уст.</v>
      </c>
      <c r="Q369" s="1" cm="1">
        <f t="array" aca="1" ref="Q369" ca="1">INDIRECT(CONCATENATE("'",$A$350,"'!o",B369),1)</f>
        <v>0</v>
      </c>
      <c r="R369" s="1" cm="1">
        <f t="array" aca="1" ref="R369" ca="1">INDIRECT(CONCATENATE("'",$A$350,"'!p",B369),1)</f>
        <v>0</v>
      </c>
      <c r="S369" s="1">
        <f t="shared" ca="1" si="30"/>
        <v>0</v>
      </c>
      <c r="T369" s="1" t="str" cm="1">
        <f t="array" aca="1" ref="T369" ca="1">INDIRECT(CONCATENATE("'",$A$350,"'!q",B369),1)</f>
        <v>Жгун Т.В.</v>
      </c>
      <c r="U369" s="1" cm="1">
        <f t="array" aca="1" ref="U369" ca="1">INDIRECT(CONCATENATE("'",$A$350,"'!r",B369),1)</f>
        <v>0</v>
      </c>
      <c r="V369" s="1" cm="1">
        <f t="array" aca="1" ref="V369" ca="1">INDIRECT(CONCATENATE("'",$A$350,"'!s",B369),1)</f>
        <v>0</v>
      </c>
      <c r="W369" s="1" cm="1">
        <f t="array" aca="1" ref="W369" ca="1">INDIRECT(CONCATENATE("'",$A$350,"'!t",B369),1)</f>
        <v>0</v>
      </c>
      <c r="X369" s="1" cm="1">
        <f t="array" aca="1" ref="X369" ca="1">INDIRECT(CONCATENATE("'",$A$350,"'!u",B369),1)</f>
        <v>0</v>
      </c>
      <c r="Y369" s="1" cm="1">
        <f t="array" aca="1" ref="Y369" ca="1">INDIRECT(CONCATENATE("'",$A$350,"'!v",B369),1)</f>
        <v>0</v>
      </c>
    </row>
    <row r="370" spans="2:25" ht="22.5" hidden="1" x14ac:dyDescent="0.25">
      <c r="B370" s="24">
        <f t="shared" si="31"/>
        <v>22</v>
      </c>
      <c r="C370" s="1" t="str" cm="1">
        <f t="array" aca="1" ref="C370" ca="1">INDIRECT(CONCATENATE("'",$A$350,"'!A",B370),1)</f>
        <v>Системное программирование</v>
      </c>
      <c r="D370" s="1" t="str" cm="1">
        <f t="array" aca="1" ref="D370" ca="1">INDIRECT(CONCATENATE("'",$A$350,"'!B",B370),1)</f>
        <v>09.03.01(09)</v>
      </c>
      <c r="E370" s="1" t="str" cm="1">
        <f t="array" aca="1" ref="E370" ca="1">INDIRECT(CONCATENATE("'",$A$350,"'!c",B370),1)</f>
        <v>3091з</v>
      </c>
      <c r="F370" s="1" cm="1">
        <f t="array" aca="1" ref="F370" ca="1">INDIRECT(CONCATENATE("'",$A$350,"'!d",B370),1)</f>
        <v>5</v>
      </c>
      <c r="G370" s="1" cm="1">
        <f t="array" aca="1" ref="G370" ca="1">INDIRECT(CONCATENATE("'",$A$350,"'!e",B370),1)</f>
        <v>1</v>
      </c>
      <c r="H370" s="1" cm="1">
        <f t="array" aca="1" ref="H370" ca="1">INDIRECT(CONCATENATE("'",$A$350,"'!f",B370),1)</f>
        <v>15</v>
      </c>
      <c r="I370" s="1" t="str" cm="1">
        <f t="array" aca="1" ref="I370" ca="1">INDIRECT(CONCATENATE("'",$A$350,"'!g",B370),1)</f>
        <v>ЭКЗ</v>
      </c>
      <c r="J370" s="1" cm="1">
        <f t="array" aca="1" ref="J370" ca="1">INDIRECT(CONCATENATE("'",$A$350,"'!h",B370),1)</f>
        <v>6</v>
      </c>
      <c r="K370" s="1" cm="1">
        <f t="array" aca="1" ref="K370" ca="1">INDIRECT(CONCATENATE("'",$A$350,"'!i",B370),1)</f>
        <v>8</v>
      </c>
      <c r="L370" s="1" cm="1">
        <f t="array" aca="1" ref="L370" ca="1">INDIRECT(CONCATENATE("'",$A$350,"'!j",B370),1)</f>
        <v>0</v>
      </c>
      <c r="M370" s="1" cm="1">
        <f t="array" aca="1" ref="M370" ca="1">INDIRECT(CONCATENATE("'",$A$350,"'!k",B370),1)</f>
        <v>12</v>
      </c>
      <c r="N370" s="1" t="str" cm="1">
        <f t="array" aca="1" ref="N370" ca="1">INDIRECT(CONCATENATE("'",$A$350,"'!l",B370),1)</f>
        <v>Иванов А.</v>
      </c>
      <c r="O370" s="1" cm="1">
        <f t="array" aca="1" ref="O370" ca="1">INDIRECT(CONCATENATE("'",$A$350,"'!m",B370),1)</f>
        <v>3315.1116999999999</v>
      </c>
      <c r="P370" s="1" t="str" cm="1">
        <f t="array" aca="1" ref="P370" ca="1">INDIRECT(CONCATENATE("'",$A$350,"'!n",B370),1)</f>
        <v>1п</v>
      </c>
      <c r="Q370" s="1" cm="1">
        <f t="array" aca="1" ref="Q370" ca="1">INDIRECT(CONCATENATE("'",$A$350,"'!o",B370),1)</f>
        <v>13.5</v>
      </c>
      <c r="R370" s="1" cm="1">
        <f t="array" aca="1" ref="R370" ca="1">INDIRECT(CONCATENATE("'",$A$350,"'!p",B370),1)</f>
        <v>9</v>
      </c>
      <c r="S370" s="1">
        <f t="shared" ca="1" si="30"/>
        <v>0</v>
      </c>
      <c r="T370" s="1" t="str" cm="1">
        <f t="array" aca="1" ref="T370" ca="1">INDIRECT(CONCATENATE("'",$A$350,"'!q",B370),1)</f>
        <v>Иванов А.</v>
      </c>
      <c r="U370" s="1" cm="1">
        <f t="array" aca="1" ref="U370" ca="1">INDIRECT(CONCATENATE("'",$A$350,"'!r",B370),1)</f>
        <v>42.5</v>
      </c>
      <c r="V370" s="1" cm="1">
        <f t="array" aca="1" ref="V370" ca="1">INDIRECT(CONCATENATE("'",$A$350,"'!s",B370),1)</f>
        <v>0</v>
      </c>
      <c r="W370" s="1" cm="1">
        <f t="array" aca="1" ref="W370" ca="1">INDIRECT(CONCATENATE("'",$A$350,"'!t",B370),1)</f>
        <v>0</v>
      </c>
      <c r="X370" s="1" cm="1">
        <f t="array" aca="1" ref="X370" ca="1">INDIRECT(CONCATENATE("'",$A$350,"'!u",B370),1)</f>
        <v>0</v>
      </c>
      <c r="Y370" s="1" cm="1">
        <f t="array" aca="1" ref="Y370" ca="1">INDIRECT(CONCATENATE("'",$A$350,"'!v",B370),1)</f>
        <v>0</v>
      </c>
    </row>
    <row r="371" spans="2:25" ht="22.5" hidden="1" x14ac:dyDescent="0.25">
      <c r="B371" s="24">
        <f t="shared" si="31"/>
        <v>23</v>
      </c>
      <c r="C371" s="1" t="str" cm="1">
        <f t="array" aca="1" ref="C371" ca="1">INDIRECT(CONCATENATE("'",$A$350,"'!A",B371),1)</f>
        <v>Системное программирование</v>
      </c>
      <c r="D371" s="1" t="str" cm="1">
        <f t="array" aca="1" ref="D371" ca="1">INDIRECT(CONCATENATE("'",$A$350,"'!B",B371),1)</f>
        <v>09.03.01(09)</v>
      </c>
      <c r="E371" s="1" t="str" cm="1">
        <f t="array" aca="1" ref="E371" ca="1">INDIRECT(CONCATENATE("'",$A$350,"'!c",B371),1)</f>
        <v>3091з
3092з</v>
      </c>
      <c r="F371" s="1" cm="1">
        <f t="array" aca="1" ref="F371" ca="1">INDIRECT(CONCATENATE("'",$A$350,"'!d",B371),1)</f>
        <v>5</v>
      </c>
      <c r="G371" s="1" cm="1">
        <f t="array" aca="1" ref="G371" ca="1">INDIRECT(CONCATENATE("'",$A$350,"'!e",B371),1)</f>
        <v>2</v>
      </c>
      <c r="H371" s="1" cm="1">
        <f t="array" aca="1" ref="H371" ca="1">INDIRECT(CONCATENATE("'",$A$350,"'!f",B371),1)</f>
        <v>30</v>
      </c>
      <c r="I371" s="1" t="str" cm="1">
        <f t="array" aca="1" ref="I371" ca="1">INDIRECT(CONCATENATE("'",$A$350,"'!g",B371),1)</f>
        <v>кп</v>
      </c>
      <c r="J371" s="1" cm="1">
        <f t="array" aca="1" ref="J371" ca="1">INDIRECT(CONCATENATE("'",$A$350,"'!h",B371),1)</f>
        <v>0</v>
      </c>
      <c r="K371" s="1" cm="1">
        <f t="array" aca="1" ref="K371" ca="1">INDIRECT(CONCATENATE("'",$A$350,"'!i",B371),1)</f>
        <v>0</v>
      </c>
      <c r="L371" s="1" cm="1">
        <f t="array" aca="1" ref="L371" ca="1">INDIRECT(CONCATENATE("'",$A$350,"'!j",B371),1)</f>
        <v>0</v>
      </c>
      <c r="M371" s="1" cm="1">
        <f t="array" aca="1" ref="M371" ca="1">INDIRECT(CONCATENATE("'",$A$350,"'!k",B371),1)</f>
        <v>0</v>
      </c>
      <c r="N371" s="1" t="str" cm="1">
        <f t="array" aca="1" ref="N371" ca="1">INDIRECT(CONCATENATE("'",$A$350,"'!l",B371),1)</f>
        <v>Иванов А.</v>
      </c>
      <c r="O371" s="1" cm="1">
        <f t="array" aca="1" ref="O371" ca="1">INDIRECT(CONCATENATE("'",$A$350,"'!m",B371),1)</f>
        <v>3315.1116999999999</v>
      </c>
      <c r="P371" s="1" t="str" cm="1">
        <f t="array" aca="1" ref="P371" ca="1">INDIRECT(CONCATENATE("'",$A$350,"'!n",B371),1)</f>
        <v>1п</v>
      </c>
      <c r="Q371" s="1" cm="1">
        <f t="array" aca="1" ref="Q371" ca="1">INDIRECT(CONCATENATE("'",$A$350,"'!o",B371),1)</f>
        <v>45</v>
      </c>
      <c r="R371" s="1" cm="1">
        <f t="array" aca="1" ref="R371" ca="1">INDIRECT(CONCATENATE("'",$A$350,"'!p",B371),1)</f>
        <v>0</v>
      </c>
      <c r="S371" s="1">
        <f t="shared" ca="1" si="30"/>
        <v>0</v>
      </c>
      <c r="T371" s="1" t="str" cm="1">
        <f t="array" aca="1" ref="T371" ca="1">INDIRECT(CONCATENATE("'",$A$350,"'!q",B371),1)</f>
        <v>Иванов А.</v>
      </c>
      <c r="U371" s="1" cm="1">
        <f t="array" aca="1" ref="U371" ca="1">INDIRECT(CONCATENATE("'",$A$350,"'!r",B371),1)</f>
        <v>45</v>
      </c>
      <c r="V371" s="1" cm="1">
        <f t="array" aca="1" ref="V371" ca="1">INDIRECT(CONCATENATE("'",$A$350,"'!s",B371),1)</f>
        <v>0</v>
      </c>
      <c r="W371" s="1" cm="1">
        <f t="array" aca="1" ref="W371" ca="1">INDIRECT(CONCATENATE("'",$A$350,"'!t",B371),1)</f>
        <v>0</v>
      </c>
      <c r="X371" s="1" cm="1">
        <f t="array" aca="1" ref="X371" ca="1">INDIRECT(CONCATENATE("'",$A$350,"'!u",B371),1)</f>
        <v>0</v>
      </c>
      <c r="Y371" s="1" cm="1">
        <f t="array" aca="1" ref="Y371" ca="1">INDIRECT(CONCATENATE("'",$A$350,"'!v",B371),1)</f>
        <v>0</v>
      </c>
    </row>
    <row r="372" spans="2:25" ht="33.75" hidden="1" x14ac:dyDescent="0.25">
      <c r="B372" s="24">
        <f t="shared" si="31"/>
        <v>24</v>
      </c>
      <c r="C372" s="1" t="str" cm="1">
        <f t="array" aca="1" ref="C372" ca="1">INDIRECT(CONCATENATE("'",$A$350,"'!A",B372),1)</f>
        <v>Объектно-ориентированное программирование</v>
      </c>
      <c r="D372" s="1" t="str" cm="1">
        <f t="array" aca="1" ref="D372" ca="1">INDIRECT(CONCATENATE("'",$A$350,"'!B",B372),1)</f>
        <v>09.03.01(09)</v>
      </c>
      <c r="E372" s="1" t="str" cm="1">
        <f t="array" aca="1" ref="E372" ca="1">INDIRECT(CONCATENATE("'",$A$350,"'!c",B372),1)</f>
        <v>3091з
3092з</v>
      </c>
      <c r="F372" s="1" cm="1">
        <f t="array" aca="1" ref="F372" ca="1">INDIRECT(CONCATENATE("'",$A$350,"'!d",B372),1)</f>
        <v>5</v>
      </c>
      <c r="G372" s="1" cm="1">
        <f t="array" aca="1" ref="G372" ca="1">INDIRECT(CONCATENATE("'",$A$350,"'!e",B372),1)</f>
        <v>0</v>
      </c>
      <c r="H372" s="1" cm="1">
        <f t="array" aca="1" ref="H372" ca="1">INDIRECT(CONCATENATE("'",$A$350,"'!f",B372),1)</f>
        <v>0</v>
      </c>
      <c r="I372" s="1" t="str" cm="1">
        <f t="array" aca="1" ref="I372" ca="1">INDIRECT(CONCATENATE("'",$A$350,"'!g",B372),1)</f>
        <v>ДЗ</v>
      </c>
      <c r="J372" s="1" cm="1">
        <f t="array" aca="1" ref="J372" ca="1">INDIRECT(CONCATENATE("'",$A$350,"'!h",B372),1)</f>
        <v>4</v>
      </c>
      <c r="K372" s="1" cm="1">
        <f t="array" aca="1" ref="K372" ca="1">INDIRECT(CONCATENATE("'",$A$350,"'!i",B372),1)</f>
        <v>4</v>
      </c>
      <c r="L372" s="1" cm="1">
        <f t="array" aca="1" ref="L372" ca="1">INDIRECT(CONCATENATE("'",$A$350,"'!j",B372),1)</f>
        <v>4</v>
      </c>
      <c r="M372" s="1" cm="1">
        <f t="array" aca="1" ref="M372" ca="1">INDIRECT(CONCATENATE("'",$A$350,"'!k",B372),1)</f>
        <v>16</v>
      </c>
      <c r="N372" s="1" t="str" cm="1">
        <f t="array" aca="1" ref="N372" ca="1">INDIRECT(CONCATENATE("'",$A$350,"'!l",B372),1)</f>
        <v>Кулаков И.Ю.</v>
      </c>
      <c r="O372" s="1" cm="1">
        <f t="array" aca="1" ref="O372" ca="1">INDIRECT(CONCATENATE("'",$A$350,"'!m",B372),1)</f>
        <v>0</v>
      </c>
      <c r="P372" s="1" t="str" cm="1">
        <f t="array" aca="1" ref="P372" ca="1">INDIRECT(CONCATENATE("'",$A$350,"'!n",B372),1)</f>
        <v>2п</v>
      </c>
      <c r="Q372" s="1" cm="1">
        <f t="array" aca="1" ref="Q372" ca="1">INDIRECT(CONCATENATE("'",$A$350,"'!o",B372),1)</f>
        <v>18</v>
      </c>
      <c r="R372" s="1" cm="1">
        <f t="array" aca="1" ref="R372" ca="1">INDIRECT(CONCATENATE("'",$A$350,"'!p",B372),1)</f>
        <v>0</v>
      </c>
      <c r="S372" s="1">
        <f t="shared" ca="1" si="30"/>
        <v>0</v>
      </c>
      <c r="T372" s="1" t="str" cm="1">
        <f t="array" aca="1" ref="T372" ca="1">INDIRECT(CONCATENATE("'",$A$350,"'!q",B372),1)</f>
        <v>Кулаков И.Ю.</v>
      </c>
      <c r="U372" s="1" cm="1">
        <f t="array" aca="1" ref="U372" ca="1">INDIRECT(CONCATENATE("'",$A$350,"'!r",B372),1)</f>
        <v>42</v>
      </c>
      <c r="V372" s="1" cm="1">
        <f t="array" aca="1" ref="V372" ca="1">INDIRECT(CONCATENATE("'",$A$350,"'!s",B372),1)</f>
        <v>0</v>
      </c>
      <c r="W372" s="1" cm="1">
        <f t="array" aca="1" ref="W372" ca="1">INDIRECT(CONCATENATE("'",$A$350,"'!t",B372),1)</f>
        <v>0</v>
      </c>
      <c r="X372" s="1" cm="1">
        <f t="array" aca="1" ref="X372" ca="1">INDIRECT(CONCATENATE("'",$A$350,"'!u",B372),1)</f>
        <v>0</v>
      </c>
      <c r="Y372" s="1" cm="1">
        <f t="array" aca="1" ref="Y372" ca="1">INDIRECT(CONCATENATE("'",$A$350,"'!v",B372),1)</f>
        <v>0</v>
      </c>
    </row>
    <row r="373" spans="2:25" ht="45" hidden="1" x14ac:dyDescent="0.25">
      <c r="B373" s="24">
        <f t="shared" si="31"/>
        <v>25</v>
      </c>
      <c r="C373" s="1" t="str" cm="1">
        <f t="array" aca="1" ref="C373" ca="1">INDIRECT(CONCATENATE("'",$A$350,"'!A",B373),1)</f>
        <v>Основы программирования и анализа данных на языке Python</v>
      </c>
      <c r="D373" s="1" t="str" cm="1">
        <f t="array" aca="1" ref="D373" ca="1">INDIRECT(CONCATENATE("'",$A$350,"'!B",B373),1)</f>
        <v>09.03.01(09)</v>
      </c>
      <c r="E373" s="1" t="str" cm="1">
        <f t="array" aca="1" ref="E373" ca="1">INDIRECT(CONCATENATE("'",$A$350,"'!c",B373),1)</f>
        <v>3091з
3092з</v>
      </c>
      <c r="F373" s="1" cm="1">
        <f t="array" aca="1" ref="F373" ca="1">INDIRECT(CONCATENATE("'",$A$350,"'!d",B373),1)</f>
        <v>5</v>
      </c>
      <c r="G373" s="1" cm="1">
        <f t="array" aca="1" ref="G373" ca="1">INDIRECT(CONCATENATE("'",$A$350,"'!e",B373),1)</f>
        <v>0</v>
      </c>
      <c r="H373" s="1" cm="1">
        <f t="array" aca="1" ref="H373" ca="1">INDIRECT(CONCATENATE("'",$A$350,"'!f",B373),1)</f>
        <v>0</v>
      </c>
      <c r="I373" s="1" t="str" cm="1">
        <f t="array" aca="1" ref="I373" ca="1">INDIRECT(CONCATENATE("'",$A$350,"'!g",B373),1)</f>
        <v>ДЗ</v>
      </c>
      <c r="J373" s="1" cm="1">
        <f t="array" aca="1" ref="J373" ca="1">INDIRECT(CONCATENATE("'",$A$350,"'!h",B373),1)</f>
        <v>3</v>
      </c>
      <c r="K373" s="1" cm="1">
        <f t="array" aca="1" ref="K373" ca="1">INDIRECT(CONCATENATE("'",$A$350,"'!i",B373),1)</f>
        <v>4</v>
      </c>
      <c r="L373" s="1" cm="1">
        <f t="array" aca="1" ref="L373" ca="1">INDIRECT(CONCATENATE("'",$A$350,"'!j",B373),1)</f>
        <v>0</v>
      </c>
      <c r="M373" s="1" cm="1">
        <f t="array" aca="1" ref="M373" ca="1">INDIRECT(CONCATENATE("'",$A$350,"'!k",B373),1)</f>
        <v>16</v>
      </c>
      <c r="N373" s="1" t="str" cm="1">
        <f t="array" aca="1" ref="N373" ca="1">INDIRECT(CONCATENATE("'",$A$350,"'!l",B373),1)</f>
        <v>Телина И.С.</v>
      </c>
      <c r="O373" s="1" cm="1">
        <f t="array" aca="1" ref="O373" ca="1">INDIRECT(CONCATENATE("'",$A$350,"'!m",B373),1)</f>
        <v>0</v>
      </c>
      <c r="P373" s="1" t="str" cm="1">
        <f t="array" aca="1" ref="P373" ca="1">INDIRECT(CONCATENATE("'",$A$350,"'!n",B373),1)</f>
        <v>2п</v>
      </c>
      <c r="Q373" s="1" cm="1">
        <f t="array" aca="1" ref="Q373" ca="1">INDIRECT(CONCATENATE("'",$A$350,"'!o",B373),1)</f>
        <v>13.5</v>
      </c>
      <c r="R373" s="1" cm="1">
        <f t="array" aca="1" ref="R373" ca="1">INDIRECT(CONCATENATE("'",$A$350,"'!p",B373),1)</f>
        <v>0</v>
      </c>
      <c r="S373" s="1">
        <f t="shared" ca="1" si="30"/>
        <v>0</v>
      </c>
      <c r="T373" s="1" t="str" cm="1">
        <f t="array" aca="1" ref="T373" ca="1">INDIRECT(CONCATENATE("'",$A$350,"'!q",B373),1)</f>
        <v>Телина И.С.</v>
      </c>
      <c r="U373" s="1" cm="1">
        <f t="array" aca="1" ref="U373" ca="1">INDIRECT(CONCATENATE("'",$A$350,"'!r",B373),1)</f>
        <v>33.5</v>
      </c>
      <c r="V373" s="1" cm="1">
        <f t="array" aca="1" ref="V373" ca="1">INDIRECT(CONCATENATE("'",$A$350,"'!s",B373),1)</f>
        <v>0</v>
      </c>
      <c r="W373" s="1" cm="1">
        <f t="array" aca="1" ref="W373" ca="1">INDIRECT(CONCATENATE("'",$A$350,"'!t",B373),1)</f>
        <v>0</v>
      </c>
      <c r="X373" s="1" cm="1">
        <f t="array" aca="1" ref="X373" ca="1">INDIRECT(CONCATENATE("'",$A$350,"'!u",B373),1)</f>
        <v>0</v>
      </c>
      <c r="Y373" s="1" cm="1">
        <f t="array" aca="1" ref="Y373" ca="1">INDIRECT(CONCATENATE("'",$A$350,"'!v",B373),1)</f>
        <v>0</v>
      </c>
    </row>
    <row r="374" spans="2:25" ht="22.5" x14ac:dyDescent="0.25">
      <c r="B374" s="24">
        <f t="shared" si="31"/>
        <v>26</v>
      </c>
      <c r="C374" s="1" t="str" cm="1">
        <f t="array" aca="1" ref="C374" ca="1">INDIRECT(CONCATENATE("'",$A$350,"'!A",B374),1)</f>
        <v>Проектный практикум</v>
      </c>
      <c r="D374" s="1" t="str" cm="1">
        <f t="array" aca="1" ref="D374" ca="1">INDIRECT(CONCATENATE("'",$A$350,"'!B",B374),1)</f>
        <v>09.03.01(09)</v>
      </c>
      <c r="E374" s="1" t="str" cm="1">
        <f t="array" aca="1" ref="E374" ca="1">INDIRECT(CONCATENATE("'",$A$350,"'!c",B374),1)</f>
        <v>3091з
3092з</v>
      </c>
      <c r="F374" s="1" cm="1">
        <f t="array" aca="1" ref="F374" ca="1">INDIRECT(CONCATENATE("'",$A$350,"'!d",B374),1)</f>
        <v>5</v>
      </c>
      <c r="G374" s="1" cm="1">
        <f t="array" aca="1" ref="G374" ca="1">INDIRECT(CONCATENATE("'",$A$350,"'!e",B374),1)</f>
        <v>0</v>
      </c>
      <c r="H374" s="1" cm="1">
        <f t="array" aca="1" ref="H374" ca="1">INDIRECT(CONCATENATE("'",$A$350,"'!f",B374),1)</f>
        <v>0</v>
      </c>
      <c r="I374" s="1" t="str" cm="1">
        <f t="array" aca="1" ref="I374" ca="1">INDIRECT(CONCATENATE("'",$A$350,"'!g",B374),1)</f>
        <v>ЗАЧ</v>
      </c>
      <c r="J374" s="1" cm="1">
        <f t="array" aca="1" ref="J374" ca="1">INDIRECT(CONCATENATE("'",$A$350,"'!h",B374),1)</f>
        <v>1</v>
      </c>
      <c r="K374" s="1" cm="1">
        <f t="array" aca="1" ref="K374" ca="1">INDIRECT(CONCATENATE("'",$A$350,"'!i",B374),1)</f>
        <v>0</v>
      </c>
      <c r="L374" s="1" cm="1">
        <f t="array" aca="1" ref="L374" ca="1">INDIRECT(CONCATENATE("'",$A$350,"'!j",B374),1)</f>
        <v>4</v>
      </c>
      <c r="M374" s="1" cm="1">
        <f t="array" aca="1" ref="M374" ca="1">INDIRECT(CONCATENATE("'",$A$350,"'!k",B374),1)</f>
        <v>0</v>
      </c>
      <c r="N374" s="1" t="str" cm="1">
        <f t="array" aca="1" ref="N374" ca="1">INDIRECT(CONCATENATE("'",$A$350,"'!l",B374),1)</f>
        <v>Савинова М.А.</v>
      </c>
      <c r="O374" s="1" cm="1">
        <f t="array" aca="1" ref="O374" ca="1">INDIRECT(CONCATENATE("'",$A$350,"'!m",B374),1)</f>
        <v>0</v>
      </c>
      <c r="P374" s="1" cm="1">
        <f t="array" aca="1" ref="P374" ca="1">INDIRECT(CONCATENATE("'",$A$350,"'!n",B374),1)</f>
        <v>0</v>
      </c>
      <c r="Q374" s="1" cm="1">
        <f t="array" aca="1" ref="Q374" ca="1">INDIRECT(CONCATENATE("'",$A$350,"'!o",B374),1)</f>
        <v>45</v>
      </c>
      <c r="R374" s="1" cm="1">
        <f t="array" aca="1" ref="R374" ca="1">INDIRECT(CONCATENATE("'",$A$350,"'!p",B374),1)</f>
        <v>0</v>
      </c>
      <c r="S374" s="1">
        <f t="shared" ca="1" si="30"/>
        <v>45</v>
      </c>
      <c r="T374" s="1" t="str" cm="1">
        <f t="array" aca="1" ref="T374" ca="1">INDIRECT(CONCATENATE("'",$A$350,"'!q",B374),1)</f>
        <v>Савинова М.А.</v>
      </c>
      <c r="U374" s="1" cm="1">
        <f t="array" aca="1" ref="U374" ca="1">INDIRECT(CONCATENATE("'",$A$350,"'!r",B374),1)</f>
        <v>45</v>
      </c>
      <c r="V374" s="1" cm="1">
        <f t="array" aca="1" ref="V374" ca="1">INDIRECT(CONCATENATE("'",$A$350,"'!s",B374),1)</f>
        <v>0</v>
      </c>
      <c r="W374" s="1" cm="1">
        <f t="array" aca="1" ref="W374" ca="1">INDIRECT(CONCATENATE("'",$A$350,"'!t",B374),1)</f>
        <v>0</v>
      </c>
      <c r="X374" s="1" cm="1">
        <f t="array" aca="1" ref="X374" ca="1">INDIRECT(CONCATENATE("'",$A$350,"'!u",B374),1)</f>
        <v>0</v>
      </c>
      <c r="Y374" s="1" cm="1">
        <f t="array" aca="1" ref="Y374" ca="1">INDIRECT(CONCATENATE("'",$A$350,"'!v",B374),1)</f>
        <v>0</v>
      </c>
    </row>
    <row r="375" spans="2:25" ht="22.5" hidden="1" x14ac:dyDescent="0.25">
      <c r="B375" s="24">
        <f t="shared" si="31"/>
        <v>27</v>
      </c>
      <c r="C375" s="1" t="str" cm="1">
        <f t="array" aca="1" ref="C375" ca="1">INDIRECT(CONCATENATE("'",$A$350,"'!A",B375),1)</f>
        <v>Майноры</v>
      </c>
      <c r="D375" s="1" t="str" cm="1">
        <f t="array" aca="1" ref="D375" ca="1">INDIRECT(CONCATENATE("'",$A$350,"'!B",B375),1)</f>
        <v>09.03.01(09)</v>
      </c>
      <c r="E375" s="1" t="str" cm="1">
        <f t="array" aca="1" ref="E375" ca="1">INDIRECT(CONCATENATE("'",$A$350,"'!c",B375),1)</f>
        <v>3091з
3092з</v>
      </c>
      <c r="F375" s="1" cm="1">
        <f t="array" aca="1" ref="F375" ca="1">INDIRECT(CONCATENATE("'",$A$350,"'!d",B375),1)</f>
        <v>5</v>
      </c>
      <c r="G375" s="1" cm="1">
        <f t="array" aca="1" ref="G375" ca="1">INDIRECT(CONCATENATE("'",$A$350,"'!e",B375),1)</f>
        <v>0</v>
      </c>
      <c r="H375" s="1" cm="1">
        <f t="array" aca="1" ref="H375" ca="1">INDIRECT(CONCATENATE("'",$A$350,"'!f",B375),1)</f>
        <v>0</v>
      </c>
      <c r="I375" s="1" t="str" cm="1">
        <f t="array" aca="1" ref="I375" ca="1">INDIRECT(CONCATENATE("'",$A$350,"'!g",B375),1)</f>
        <v>ДЗ</v>
      </c>
      <c r="J375" s="1" cm="1">
        <f t="array" aca="1" ref="J375" ca="1">INDIRECT(CONCATENATE("'",$A$350,"'!h",B375),1)</f>
        <v>4</v>
      </c>
      <c r="K375" s="1" cm="1">
        <f t="array" aca="1" ref="K375" ca="1">INDIRECT(CONCATENATE("'",$A$350,"'!i",B375),1)</f>
        <v>0</v>
      </c>
      <c r="L375" s="1" cm="1">
        <f t="array" aca="1" ref="L375" ca="1">INDIRECT(CONCATENATE("'",$A$350,"'!j",B375),1)</f>
        <v>16</v>
      </c>
      <c r="M375" s="1" cm="1">
        <f t="array" aca="1" ref="M375" ca="1">INDIRECT(CONCATENATE("'",$A$350,"'!k",B375),1)</f>
        <v>0</v>
      </c>
      <c r="N375" s="1" t="str" cm="1">
        <f t="array" aca="1" ref="N375" ca="1">INDIRECT(CONCATENATE("'",$A$350,"'!l",B375),1)</f>
        <v>Сазонова Н.В.</v>
      </c>
      <c r="O375" s="1" cm="1">
        <f t="array" aca="1" ref="O375" ca="1">INDIRECT(CONCATENATE("'",$A$350,"'!m",B375),1)</f>
        <v>0</v>
      </c>
      <c r="P375" s="1" t="str" cm="1">
        <f t="array" aca="1" ref="P375" ca="1">INDIRECT(CONCATENATE("'",$A$350,"'!n",B375),1)</f>
        <v>2п</v>
      </c>
      <c r="Q375" s="1" cm="1">
        <f t="array" aca="1" ref="Q375" ca="1">INDIRECT(CONCATENATE("'",$A$350,"'!o",B375),1)</f>
        <v>9</v>
      </c>
      <c r="R375" s="1" cm="1">
        <f t="array" aca="1" ref="R375" ca="1">INDIRECT(CONCATENATE("'",$A$350,"'!p",B375),1)</f>
        <v>0</v>
      </c>
      <c r="S375" s="1">
        <f t="shared" ca="1" si="30"/>
        <v>0</v>
      </c>
      <c r="T375" s="1" t="str" cm="1">
        <f t="array" aca="1" ref="T375" ca="1">INDIRECT(CONCATENATE("'",$A$350,"'!q",B375),1)</f>
        <v>Сазонова Н.В.</v>
      </c>
      <c r="U375" s="1" cm="1">
        <f t="array" aca="1" ref="U375" ca="1">INDIRECT(CONCATENATE("'",$A$350,"'!r",B375),1)</f>
        <v>25</v>
      </c>
      <c r="V375" s="1" cm="1">
        <f t="array" aca="1" ref="V375" ca="1">INDIRECT(CONCATENATE("'",$A$350,"'!s",B375),1)</f>
        <v>0</v>
      </c>
      <c r="W375" s="1" cm="1">
        <f t="array" aca="1" ref="W375" ca="1">INDIRECT(CONCATENATE("'",$A$350,"'!t",B375),1)</f>
        <v>0</v>
      </c>
      <c r="X375" s="1" cm="1">
        <f t="array" aca="1" ref="X375" ca="1">INDIRECT(CONCATENATE("'",$A$350,"'!u",B375),1)</f>
        <v>0</v>
      </c>
      <c r="Y375" s="1" cm="1">
        <f t="array" aca="1" ref="Y375" ca="1">INDIRECT(CONCATENATE("'",$A$350,"'!v",B375),1)</f>
        <v>0</v>
      </c>
    </row>
    <row r="376" spans="2:25" ht="22.5" hidden="1" x14ac:dyDescent="0.25">
      <c r="B376" s="24">
        <f t="shared" si="31"/>
        <v>28</v>
      </c>
      <c r="C376" s="1" t="str" cm="1">
        <f t="array" aca="1" ref="C376" ca="1">INDIRECT(CONCATENATE("'",$A$350,"'!A",B376),1)</f>
        <v>Майноры</v>
      </c>
      <c r="D376" s="1" t="str" cm="1">
        <f t="array" aca="1" ref="D376" ca="1">INDIRECT(CONCATENATE("'",$A$350,"'!B",B376),1)</f>
        <v>09.03.01(09)</v>
      </c>
      <c r="E376" s="1" t="str" cm="1">
        <f t="array" aca="1" ref="E376" ca="1">INDIRECT(CONCATENATE("'",$A$350,"'!c",B376),1)</f>
        <v>3091з
3092з</v>
      </c>
      <c r="F376" s="1" cm="1">
        <f t="array" aca="1" ref="F376" ca="1">INDIRECT(CONCATENATE("'",$A$350,"'!d",B376),1)</f>
        <v>5</v>
      </c>
      <c r="G376" s="1" cm="1">
        <f t="array" aca="1" ref="G376" ca="1">INDIRECT(CONCATENATE("'",$A$350,"'!e",B376),1)</f>
        <v>0</v>
      </c>
      <c r="H376" s="1" cm="1">
        <f t="array" aca="1" ref="H376" ca="1">INDIRECT(CONCATENATE("'",$A$350,"'!f",B376),1)</f>
        <v>0</v>
      </c>
      <c r="I376" s="1" t="str" cm="1">
        <f t="array" aca="1" ref="I376" ca="1">INDIRECT(CONCATENATE("'",$A$350,"'!g",B376),1)</f>
        <v>ДЗ</v>
      </c>
      <c r="J376" s="1" cm="1">
        <f t="array" aca="1" ref="J376" ca="1">INDIRECT(CONCATENATE("'",$A$350,"'!h",B376),1)</f>
        <v>4</v>
      </c>
      <c r="K376" s="1" cm="1">
        <f t="array" aca="1" ref="K376" ca="1">INDIRECT(CONCATENATE("'",$A$350,"'!i",B376),1)</f>
        <v>8</v>
      </c>
      <c r="L376" s="1" cm="1">
        <f t="array" aca="1" ref="L376" ca="1">INDIRECT(CONCATENATE("'",$A$350,"'!j",B376),1)</f>
        <v>0</v>
      </c>
      <c r="M376" s="1" cm="1">
        <f t="array" aca="1" ref="M376" ca="1">INDIRECT(CONCATENATE("'",$A$350,"'!k",B376),1)</f>
        <v>0</v>
      </c>
      <c r="N376" s="1" t="str" cm="1">
        <f t="array" aca="1" ref="N376" ca="1">INDIRECT(CONCATENATE("'",$A$350,"'!l",B376),1)</f>
        <v>Залилов Р.Ю.</v>
      </c>
      <c r="O376" s="1" cm="1">
        <f t="array" aca="1" ref="O376" ca="1">INDIRECT(CONCATENATE("'",$A$350,"'!m",B376),1)</f>
        <v>0</v>
      </c>
      <c r="P376" s="1" cm="1">
        <f t="array" aca="1" ref="P376" ca="1">INDIRECT(CONCATENATE("'",$A$350,"'!n",B376),1)</f>
        <v>0</v>
      </c>
      <c r="Q376" s="1" cm="1">
        <f t="array" aca="1" ref="Q376" ca="1">INDIRECT(CONCATENATE("'",$A$350,"'!o",B376),1)</f>
        <v>9</v>
      </c>
      <c r="R376" s="1" cm="1">
        <f t="array" aca="1" ref="R376" ca="1">INDIRECT(CONCATENATE("'",$A$350,"'!p",B376),1)</f>
        <v>0</v>
      </c>
      <c r="S376" s="1">
        <f t="shared" ca="1" si="30"/>
        <v>0</v>
      </c>
      <c r="T376" s="1" t="str" cm="1">
        <f t="array" aca="1" ref="T376" ca="1">INDIRECT(CONCATENATE("'",$A$350,"'!q",B376),1)</f>
        <v>Залилов Р.Ю.</v>
      </c>
      <c r="U376" s="1" cm="1">
        <f t="array" aca="1" ref="U376" ca="1">INDIRECT(CONCATENATE("'",$A$350,"'!r",B376),1)</f>
        <v>17</v>
      </c>
      <c r="V376" s="1" cm="1">
        <f t="array" aca="1" ref="V376" ca="1">INDIRECT(CONCATENATE("'",$A$350,"'!s",B376),1)</f>
        <v>0</v>
      </c>
      <c r="W376" s="1" cm="1">
        <f t="array" aca="1" ref="W376" ca="1">INDIRECT(CONCATENATE("'",$A$350,"'!t",B376),1)</f>
        <v>0</v>
      </c>
      <c r="X376" s="1" cm="1">
        <f t="array" aca="1" ref="X376" ca="1">INDIRECT(CONCATENATE("'",$A$350,"'!u",B376),1)</f>
        <v>0</v>
      </c>
      <c r="Y376" s="1" cm="1">
        <f t="array" aca="1" ref="Y376" ca="1">INDIRECT(CONCATENATE("'",$A$350,"'!v",B376),1)</f>
        <v>0</v>
      </c>
    </row>
    <row r="377" spans="2:25" ht="33.75" hidden="1" x14ac:dyDescent="0.25">
      <c r="B377" s="24">
        <f t="shared" si="31"/>
        <v>29</v>
      </c>
      <c r="C377" s="1" t="str" cm="1">
        <f t="array" aca="1" ref="C377" ca="1">INDIRECT(CONCATENATE("'",$A$350,"'!A",B377),1)</f>
        <v>Микросервисные технологии и архитектура(установ.)</v>
      </c>
      <c r="D377" s="1" t="str" cm="1">
        <f t="array" aca="1" ref="D377" ca="1">INDIRECT(CONCATENATE("'",$A$350,"'!B",B377),1)</f>
        <v>09.03.01(09)</v>
      </c>
      <c r="E377" s="1" t="str" cm="1">
        <f t="array" aca="1" ref="E377" ca="1">INDIRECT(CONCATENATE("'",$A$350,"'!c",B377),1)</f>
        <v>3091з</v>
      </c>
      <c r="F377" s="1" cm="1">
        <f t="array" aca="1" ref="F377" ca="1">INDIRECT(CONCATENATE("'",$A$350,"'!d",B377),1)</f>
        <v>5</v>
      </c>
      <c r="G377" s="1" cm="1">
        <f t="array" aca="1" ref="G377" ca="1">INDIRECT(CONCATENATE("'",$A$350,"'!e",B377),1)</f>
        <v>1</v>
      </c>
      <c r="H377" s="1" cm="1">
        <f t="array" aca="1" ref="H377" ca="1">INDIRECT(CONCATENATE("'",$A$350,"'!f",B377),1)</f>
        <v>15</v>
      </c>
      <c r="I377" s="1" t="str" cm="1">
        <f t="array" aca="1" ref="I377" ca="1">INDIRECT(CONCATENATE("'",$A$350,"'!g",B377),1)</f>
        <v>ЭКЗ</v>
      </c>
      <c r="J377" s="1" cm="1">
        <f t="array" aca="1" ref="J377" ca="1">INDIRECT(CONCATENATE("'",$A$350,"'!h",B377),1)</f>
        <v>0</v>
      </c>
      <c r="K377" s="1" cm="1">
        <f t="array" aca="1" ref="K377" ca="1">INDIRECT(CONCATENATE("'",$A$350,"'!i",B377),1)</f>
        <v>0</v>
      </c>
      <c r="L377" s="1" cm="1">
        <f t="array" aca="1" ref="L377" ca="1">INDIRECT(CONCATENATE("'",$A$350,"'!j",B377),1)</f>
        <v>2</v>
      </c>
      <c r="M377" s="1" cm="1">
        <f t="array" aca="1" ref="M377" ca="1">INDIRECT(CONCATENATE("'",$A$350,"'!k",B377),1)</f>
        <v>0</v>
      </c>
      <c r="N377" s="1" t="str" cm="1">
        <f t="array" aca="1" ref="N377" ca="1">INDIRECT(CONCATENATE("'",$A$350,"'!l",B377),1)</f>
        <v>Сидорин С.Н.</v>
      </c>
      <c r="O377" s="1" cm="1">
        <f t="array" aca="1" ref="O377" ca="1">INDIRECT(CONCATENATE("'",$A$350,"'!m",B377),1)</f>
        <v>3315</v>
      </c>
      <c r="P377" s="1" t="str" cm="1">
        <f t="array" aca="1" ref="P377" ca="1">INDIRECT(CONCATENATE("'",$A$350,"'!n",B377),1)</f>
        <v>уст.</v>
      </c>
      <c r="Q377" s="1" cm="1">
        <f t="array" aca="1" ref="Q377" ca="1">INDIRECT(CONCATENATE("'",$A$350,"'!o",B377),1)</f>
        <v>0</v>
      </c>
      <c r="R377" s="1" cm="1">
        <f t="array" aca="1" ref="R377" ca="1">INDIRECT(CONCATENATE("'",$A$350,"'!p",B377),1)</f>
        <v>0</v>
      </c>
      <c r="S377" s="1">
        <f t="shared" ca="1" si="30"/>
        <v>0</v>
      </c>
      <c r="T377" s="1" t="str" cm="1">
        <f t="array" aca="1" ref="T377" ca="1">INDIRECT(CONCATENATE("'",$A$350,"'!q",B377),1)</f>
        <v>Сидорин С.Н.</v>
      </c>
      <c r="U377" s="1" cm="1">
        <f t="array" aca="1" ref="U377" ca="1">INDIRECT(CONCATENATE("'",$A$350,"'!r",B377),1)</f>
        <v>0</v>
      </c>
      <c r="V377" s="1" cm="1">
        <f t="array" aca="1" ref="V377" ca="1">INDIRECT(CONCATENATE("'",$A$350,"'!s",B377),1)</f>
        <v>0</v>
      </c>
      <c r="W377" s="1" cm="1">
        <f t="array" aca="1" ref="W377" ca="1">INDIRECT(CONCATENATE("'",$A$350,"'!t",B377),1)</f>
        <v>0</v>
      </c>
      <c r="X377" s="1" cm="1">
        <f t="array" aca="1" ref="X377" ca="1">INDIRECT(CONCATENATE("'",$A$350,"'!u",B377),1)</f>
        <v>0</v>
      </c>
      <c r="Y377" s="1" cm="1">
        <f t="array" aca="1" ref="Y377" ca="1">INDIRECT(CONCATENATE("'",$A$350,"'!v",B377),1)</f>
        <v>0</v>
      </c>
    </row>
    <row r="378" spans="2:25" ht="22.5" hidden="1" x14ac:dyDescent="0.25">
      <c r="B378" s="24">
        <f t="shared" si="31"/>
        <v>30</v>
      </c>
      <c r="C378" s="1" t="str" cm="1">
        <f t="array" aca="1" ref="C378" ca="1">INDIRECT(CONCATENATE("'",$A$350,"'!A",B378),1)</f>
        <v>Базы данных (уст)</v>
      </c>
      <c r="D378" s="1" t="str" cm="1">
        <f t="array" aca="1" ref="D378" ca="1">INDIRECT(CONCATENATE("'",$A$350,"'!B",B378),1)</f>
        <v>09.03.01(09)</v>
      </c>
      <c r="E378" s="1" t="str" cm="1">
        <f t="array" aca="1" ref="E378" ca="1">INDIRECT(CONCATENATE("'",$A$350,"'!c",B378),1)</f>
        <v>3091з</v>
      </c>
      <c r="F378" s="1" cm="1">
        <f t="array" aca="1" ref="F378" ca="1">INDIRECT(CONCATENATE("'",$A$350,"'!d",B378),1)</f>
        <v>5</v>
      </c>
      <c r="G378" s="1" cm="1">
        <f t="array" aca="1" ref="G378" ca="1">INDIRECT(CONCATENATE("'",$A$350,"'!e",B378),1)</f>
        <v>1</v>
      </c>
      <c r="H378" s="1" cm="1">
        <f t="array" aca="1" ref="H378" ca="1">INDIRECT(CONCATENATE("'",$A$350,"'!f",B378),1)</f>
        <v>15</v>
      </c>
      <c r="I378" s="1" t="str" cm="1">
        <f t="array" aca="1" ref="I378" ca="1">INDIRECT(CONCATENATE("'",$A$350,"'!g",B378),1)</f>
        <v>ЭКЗ</v>
      </c>
      <c r="J378" s="1" cm="1">
        <f t="array" aca="1" ref="J378" ca="1">INDIRECT(CONCATENATE("'",$A$350,"'!h",B378),1)</f>
        <v>0</v>
      </c>
      <c r="K378" s="1" cm="1">
        <f t="array" aca="1" ref="K378" ca="1">INDIRECT(CONCATENATE("'",$A$350,"'!i",B378),1)</f>
        <v>0</v>
      </c>
      <c r="L378" s="1" cm="1">
        <f t="array" aca="1" ref="L378" ca="1">INDIRECT(CONCATENATE("'",$A$350,"'!j",B378),1)</f>
        <v>2</v>
      </c>
      <c r="M378" s="1" cm="1">
        <f t="array" aca="1" ref="M378" ca="1">INDIRECT(CONCATENATE("'",$A$350,"'!k",B378),1)</f>
        <v>0</v>
      </c>
      <c r="N378" s="1" t="str" cm="1">
        <f t="array" aca="1" ref="N378" ca="1">INDIRECT(CONCATENATE("'",$A$350,"'!l",B378),1)</f>
        <v>Цымбалюк Л.Н.</v>
      </c>
      <c r="O378" s="1" cm="1">
        <f t="array" aca="1" ref="O378" ca="1">INDIRECT(CONCATENATE("'",$A$350,"'!m",B378),1)</f>
        <v>124</v>
      </c>
      <c r="P378" s="1" t="str" cm="1">
        <f t="array" aca="1" ref="P378" ca="1">INDIRECT(CONCATENATE("'",$A$350,"'!n",B378),1)</f>
        <v>уст.</v>
      </c>
      <c r="Q378" s="1" cm="1">
        <f t="array" aca="1" ref="Q378" ca="1">INDIRECT(CONCATENATE("'",$A$350,"'!o",B378),1)</f>
        <v>0</v>
      </c>
      <c r="R378" s="1" cm="1">
        <f t="array" aca="1" ref="R378" ca="1">INDIRECT(CONCATENATE("'",$A$350,"'!p",B378),1)</f>
        <v>0</v>
      </c>
      <c r="S378" s="1">
        <f t="shared" ca="1" si="30"/>
        <v>0</v>
      </c>
      <c r="T378" s="1" t="str" cm="1">
        <f t="array" aca="1" ref="T378" ca="1">INDIRECT(CONCATENATE("'",$A$350,"'!q",B378),1)</f>
        <v>Цымбалюк Л.Н.</v>
      </c>
      <c r="U378" s="1" cm="1">
        <f t="array" aca="1" ref="U378" ca="1">INDIRECT(CONCATENATE("'",$A$350,"'!r",B378),1)</f>
        <v>0</v>
      </c>
      <c r="V378" s="1" cm="1">
        <f t="array" aca="1" ref="V378" ca="1">INDIRECT(CONCATENATE("'",$A$350,"'!s",B378),1)</f>
        <v>0</v>
      </c>
      <c r="W378" s="1" cm="1">
        <f t="array" aca="1" ref="W378" ca="1">INDIRECT(CONCATENATE("'",$A$350,"'!t",B378),1)</f>
        <v>0</v>
      </c>
      <c r="X378" s="1" cm="1">
        <f t="array" aca="1" ref="X378" ca="1">INDIRECT(CONCATENATE("'",$A$350,"'!u",B378),1)</f>
        <v>0</v>
      </c>
      <c r="Y378" s="1" cm="1">
        <f t="array" aca="1" ref="Y378" ca="1">INDIRECT(CONCATENATE("'",$A$350,"'!v",B378),1)</f>
        <v>0</v>
      </c>
    </row>
    <row r="379" spans="2:25" ht="22.5" hidden="1" x14ac:dyDescent="0.25">
      <c r="B379" s="24">
        <f t="shared" si="31"/>
        <v>31</v>
      </c>
      <c r="C379" s="1" t="str" cm="1">
        <f t="array" aca="1" ref="C379" ca="1">INDIRECT(CONCATENATE("'",$A$350,"'!A",B379),1)</f>
        <v>WEB-программирование</v>
      </c>
      <c r="D379" s="1" t="str" cm="1">
        <f t="array" aca="1" ref="D379" ca="1">INDIRECT(CONCATENATE("'",$A$350,"'!B",B379),1)</f>
        <v>09.03.01(09)</v>
      </c>
      <c r="E379" s="1" t="str" cm="1">
        <f t="array" aca="1" ref="E379" ca="1">INDIRECT(CONCATENATE("'",$A$350,"'!c",B379),1)</f>
        <v>3091з</v>
      </c>
      <c r="F379" s="1" cm="1">
        <f t="array" aca="1" ref="F379" ca="1">INDIRECT(CONCATENATE("'",$A$350,"'!d",B379),1)</f>
        <v>5</v>
      </c>
      <c r="G379" s="1" cm="1">
        <f t="array" aca="1" ref="G379" ca="1">INDIRECT(CONCATENATE("'",$A$350,"'!e",B379),1)</f>
        <v>1</v>
      </c>
      <c r="H379" s="1" cm="1">
        <f t="array" aca="1" ref="H379" ca="1">INDIRECT(CONCATENATE("'",$A$350,"'!f",B379),1)</f>
        <v>15</v>
      </c>
      <c r="I379" s="1" t="str" cm="1">
        <f t="array" aca="1" ref="I379" ca="1">INDIRECT(CONCATENATE("'",$A$350,"'!g",B379),1)</f>
        <v>ДЗ</v>
      </c>
      <c r="J379" s="1" cm="1">
        <f t="array" aca="1" ref="J379" ca="1">INDIRECT(CONCATENATE("'",$A$350,"'!h",B379),1)</f>
        <v>3</v>
      </c>
      <c r="K379" s="1" cm="1">
        <f t="array" aca="1" ref="K379" ca="1">INDIRECT(CONCATENATE("'",$A$350,"'!i",B379),1)</f>
        <v>4</v>
      </c>
      <c r="L379" s="1" cm="1">
        <f t="array" aca="1" ref="L379" ca="1">INDIRECT(CONCATENATE("'",$A$350,"'!j",B379),1)</f>
        <v>0</v>
      </c>
      <c r="M379" s="1" cm="1">
        <f t="array" aca="1" ref="M379" ca="1">INDIRECT(CONCATENATE("'",$A$350,"'!k",B379),1)</f>
        <v>8</v>
      </c>
      <c r="N379" s="1" t="str" cm="1">
        <f t="array" aca="1" ref="N379" ca="1">INDIRECT(CONCATENATE("'",$A$350,"'!l",B379),1)</f>
        <v>Соколова Г.Ю.</v>
      </c>
      <c r="O379" s="1" cm="1">
        <f t="array" aca="1" ref="O379" ca="1">INDIRECT(CONCATENATE("'",$A$350,"'!m",B379),1)</f>
        <v>3312.3314999999998</v>
      </c>
      <c r="P379" s="1" cm="1">
        <f t="array" aca="1" ref="P379" ca="1">INDIRECT(CONCATENATE("'",$A$350,"'!n",B379),1)</f>
        <v>0</v>
      </c>
      <c r="Q379" s="1" cm="1">
        <f t="array" aca="1" ref="Q379" ca="1">INDIRECT(CONCATENATE("'",$A$350,"'!o",B379),1)</f>
        <v>6.8</v>
      </c>
      <c r="R379" s="1" cm="1">
        <f t="array" aca="1" ref="R379" ca="1">INDIRECT(CONCATENATE("'",$A$350,"'!p",B379),1)</f>
        <v>0</v>
      </c>
      <c r="S379" s="1">
        <f t="shared" ca="1" si="30"/>
        <v>0</v>
      </c>
      <c r="T379" s="1" t="str" cm="1">
        <f t="array" aca="1" ref="T379" ca="1">INDIRECT(CONCATENATE("'",$A$350,"'!q",B379),1)</f>
        <v>Соколова Г.Ю.</v>
      </c>
      <c r="U379" s="1" cm="1">
        <f t="array" aca="1" ref="U379" ca="1">INDIRECT(CONCATENATE("'",$A$350,"'!r",B379),1)</f>
        <v>18.8</v>
      </c>
      <c r="V379" s="1" cm="1">
        <f t="array" aca="1" ref="V379" ca="1">INDIRECT(CONCATENATE("'",$A$350,"'!s",B379),1)</f>
        <v>0</v>
      </c>
      <c r="W379" s="1" cm="1">
        <f t="array" aca="1" ref="W379" ca="1">INDIRECT(CONCATENATE("'",$A$350,"'!t",B379),1)</f>
        <v>0</v>
      </c>
      <c r="X379" s="1" cm="1">
        <f t="array" aca="1" ref="X379" ca="1">INDIRECT(CONCATENATE("'",$A$350,"'!u",B379),1)</f>
        <v>0</v>
      </c>
      <c r="Y379" s="1" cm="1">
        <f t="array" aca="1" ref="Y379" ca="1">INDIRECT(CONCATENATE("'",$A$350,"'!v",B379),1)</f>
        <v>0</v>
      </c>
    </row>
    <row r="380" spans="2:25" ht="33.75" hidden="1" x14ac:dyDescent="0.25">
      <c r="B380" s="24">
        <f t="shared" si="31"/>
        <v>32</v>
      </c>
      <c r="C380" s="1" t="str" cm="1">
        <f t="array" aca="1" ref="C380" ca="1">INDIRECT(CONCATENATE("'",$A$350,"'!A",B380),1)</f>
        <v>Практика учебная: практика проектно-технологическая (уст)</v>
      </c>
      <c r="D380" s="1" t="str" cm="1">
        <f t="array" aca="1" ref="D380" ca="1">INDIRECT(CONCATENATE("'",$A$350,"'!B",B380),1)</f>
        <v>09.03.01(09)</v>
      </c>
      <c r="E380" s="1" t="str" cm="1">
        <f t="array" aca="1" ref="E380" ca="1">INDIRECT(CONCATENATE("'",$A$350,"'!c",B380),1)</f>
        <v>3091з</v>
      </c>
      <c r="F380" s="1" cm="1">
        <f t="array" aca="1" ref="F380" ca="1">INDIRECT(CONCATENATE("'",$A$350,"'!d",B380),1)</f>
        <v>5</v>
      </c>
      <c r="G380" s="1" cm="1">
        <f t="array" aca="1" ref="G380" ca="1">INDIRECT(CONCATENATE("'",$A$350,"'!e",B380),1)</f>
        <v>1</v>
      </c>
      <c r="H380" s="1" cm="1">
        <f t="array" aca="1" ref="H380" ca="1">INDIRECT(CONCATENATE("'",$A$350,"'!f",B380),1)</f>
        <v>15</v>
      </c>
      <c r="I380" s="1" t="str" cm="1">
        <f t="array" aca="1" ref="I380" ca="1">INDIRECT(CONCATENATE("'",$A$350,"'!g",B380),1)</f>
        <v>ДЗ</v>
      </c>
      <c r="J380" s="1" cm="1">
        <f t="array" aca="1" ref="J380" ca="1">INDIRECT(CONCATENATE("'",$A$350,"'!h",B380),1)</f>
        <v>1</v>
      </c>
      <c r="K380" s="1" cm="1">
        <f t="array" aca="1" ref="K380" ca="1">INDIRECT(CONCATENATE("'",$A$350,"'!i",B380),1)</f>
        <v>0</v>
      </c>
      <c r="L380" s="1" cm="1">
        <f t="array" aca="1" ref="L380" ca="1">INDIRECT(CONCATENATE("'",$A$350,"'!j",B380),1)</f>
        <v>1</v>
      </c>
      <c r="M380" s="1" cm="1">
        <f t="array" aca="1" ref="M380" ca="1">INDIRECT(CONCATENATE("'",$A$350,"'!k",B380),1)</f>
        <v>0</v>
      </c>
      <c r="N380" s="1" t="str" cm="1">
        <f t="array" aca="1" ref="N380" ca="1">INDIRECT(CONCATENATE("'",$A$350,"'!l",B380),1)</f>
        <v>Моркин С.А.</v>
      </c>
      <c r="O380" s="1" cm="1">
        <f t="array" aca="1" ref="O380" ca="1">INDIRECT(CONCATENATE("'",$A$350,"'!m",B380),1)</f>
        <v>3312.3314999999998</v>
      </c>
      <c r="P380" s="1" t="str" cm="1">
        <f t="array" aca="1" ref="P380" ca="1">INDIRECT(CONCATENATE("'",$A$350,"'!n",B380),1)</f>
        <v>уст.</v>
      </c>
      <c r="Q380" s="1" cm="1">
        <f t="array" aca="1" ref="Q380" ca="1">INDIRECT(CONCATENATE("'",$A$350,"'!o",B380),1)</f>
        <v>0</v>
      </c>
      <c r="R380" s="1" cm="1">
        <f t="array" aca="1" ref="R380" ca="1">INDIRECT(CONCATENATE("'",$A$350,"'!p",B380),1)</f>
        <v>0</v>
      </c>
      <c r="S380" s="1">
        <f t="shared" ca="1" si="30"/>
        <v>0</v>
      </c>
      <c r="T380" s="1" t="str" cm="1">
        <f t="array" aca="1" ref="T380" ca="1">INDIRECT(CONCATENATE("'",$A$350,"'!q",B380),1)</f>
        <v>Моркин С.А.</v>
      </c>
      <c r="U380" s="1" cm="1">
        <f t="array" aca="1" ref="U380" ca="1">INDIRECT(CONCATENATE("'",$A$350,"'!r",B380),1)</f>
        <v>0</v>
      </c>
      <c r="V380" s="1" cm="1">
        <f t="array" aca="1" ref="V380" ca="1">INDIRECT(CONCATENATE("'",$A$350,"'!s",B380),1)</f>
        <v>0</v>
      </c>
      <c r="W380" s="1" cm="1">
        <f t="array" aca="1" ref="W380" ca="1">INDIRECT(CONCATENATE("'",$A$350,"'!t",B380),1)</f>
        <v>0</v>
      </c>
      <c r="X380" s="1" cm="1">
        <f t="array" aca="1" ref="X380" ca="1">INDIRECT(CONCATENATE("'",$A$350,"'!u",B380),1)</f>
        <v>0</v>
      </c>
      <c r="Y380" s="1" cm="1">
        <f t="array" aca="1" ref="Y380" ca="1">INDIRECT(CONCATENATE("'",$A$350,"'!v",B380),1)</f>
        <v>0</v>
      </c>
    </row>
    <row r="381" spans="2:25" hidden="1" x14ac:dyDescent="0.25">
      <c r="B381" s="24">
        <f t="shared" si="31"/>
        <v>33</v>
      </c>
      <c r="C381" s="1" cm="1">
        <f t="array" aca="1" ref="C381" ca="1">INDIRECT(CONCATENATE("'",$A$350,"'!A",B381),1)</f>
        <v>0</v>
      </c>
      <c r="D381" s="1" cm="1">
        <f t="array" aca="1" ref="D381" ca="1">INDIRECT(CONCATENATE("'",$A$350,"'!B",B381),1)</f>
        <v>0</v>
      </c>
      <c r="E381" s="1" cm="1">
        <f t="array" aca="1" ref="E381" ca="1">INDIRECT(CONCATENATE("'",$A$350,"'!c",B381),1)</f>
        <v>0</v>
      </c>
      <c r="F381" s="1" cm="1">
        <f t="array" aca="1" ref="F381" ca="1">INDIRECT(CONCATENATE("'",$A$350,"'!d",B381),1)</f>
        <v>0</v>
      </c>
      <c r="G381" s="1" cm="1">
        <f t="array" aca="1" ref="G381" ca="1">INDIRECT(CONCATENATE("'",$A$350,"'!e",B381),1)</f>
        <v>0</v>
      </c>
      <c r="H381" s="1" cm="1">
        <f t="array" aca="1" ref="H381" ca="1">INDIRECT(CONCATENATE("'",$A$350,"'!f",B381),1)</f>
        <v>0</v>
      </c>
      <c r="I381" s="1" cm="1">
        <f t="array" aca="1" ref="I381" ca="1">INDIRECT(CONCATENATE("'",$A$350,"'!g",B381),1)</f>
        <v>0</v>
      </c>
      <c r="J381" s="1" cm="1">
        <f t="array" aca="1" ref="J381" ca="1">INDIRECT(CONCATENATE("'",$A$350,"'!h",B381),1)</f>
        <v>0</v>
      </c>
      <c r="K381" s="1" cm="1">
        <f t="array" aca="1" ref="K381" ca="1">INDIRECT(CONCATENATE("'",$A$350,"'!i",B381),1)</f>
        <v>0</v>
      </c>
      <c r="L381" s="1" cm="1">
        <f t="array" aca="1" ref="L381" ca="1">INDIRECT(CONCATENATE("'",$A$350,"'!j",B381),1)</f>
        <v>0</v>
      </c>
      <c r="M381" s="1" cm="1">
        <f t="array" aca="1" ref="M381" ca="1">INDIRECT(CONCATENATE("'",$A$350,"'!k",B381),1)</f>
        <v>0</v>
      </c>
      <c r="N381" s="1" t="str" cm="1">
        <f t="array" aca="1" ref="N381" ca="1">INDIRECT(CONCATENATE("'",$A$350,"'!l",B381),1)</f>
        <v/>
      </c>
      <c r="O381" s="1" cm="1">
        <f t="array" aca="1" ref="O381" ca="1">INDIRECT(CONCATENATE("'",$A$350,"'!m",B381),1)</f>
        <v>0</v>
      </c>
      <c r="P381" s="1" cm="1">
        <f t="array" aca="1" ref="P381" ca="1">INDIRECT(CONCATENATE("'",$A$350,"'!n",B381),1)</f>
        <v>0</v>
      </c>
      <c r="Q381" s="1" cm="1">
        <f t="array" aca="1" ref="Q381" ca="1">INDIRECT(CONCATENATE("'",$A$350,"'!o",B381),1)</f>
        <v>0</v>
      </c>
      <c r="R381" s="1" cm="1">
        <f t="array" aca="1" ref="R381" ca="1">INDIRECT(CONCATENATE("'",$A$350,"'!p",B381),1)</f>
        <v>0</v>
      </c>
      <c r="S381" s="1">
        <f t="shared" ca="1" si="30"/>
        <v>0</v>
      </c>
      <c r="T381" s="1" cm="1">
        <f t="array" aca="1" ref="T381" ca="1">INDIRECT(CONCATENATE("'",$A$350,"'!q",B381),1)</f>
        <v>0</v>
      </c>
      <c r="U381" s="1" cm="1">
        <f t="array" aca="1" ref="U381" ca="1">INDIRECT(CONCATENATE("'",$A$350,"'!r",B381),1)</f>
        <v>0</v>
      </c>
      <c r="V381" s="1" cm="1">
        <f t="array" aca="1" ref="V381" ca="1">INDIRECT(CONCATENATE("'",$A$350,"'!s",B381),1)</f>
        <v>0</v>
      </c>
      <c r="W381" s="1" cm="1">
        <f t="array" aca="1" ref="W381" ca="1">INDIRECT(CONCATENATE("'",$A$350,"'!t",B381),1)</f>
        <v>0</v>
      </c>
      <c r="X381" s="1" cm="1">
        <f t="array" aca="1" ref="X381" ca="1">INDIRECT(CONCATENATE("'",$A$350,"'!u",B381),1)</f>
        <v>0</v>
      </c>
      <c r="Y381" s="1" cm="1">
        <f t="array" aca="1" ref="Y381" ca="1">INDIRECT(CONCATENATE("'",$A$350,"'!v",B381),1)</f>
        <v>0</v>
      </c>
    </row>
    <row r="382" spans="2:25" ht="22.5" hidden="1" x14ac:dyDescent="0.25">
      <c r="B382" s="24">
        <f t="shared" si="31"/>
        <v>34</v>
      </c>
      <c r="C382" s="1" t="str" cm="1">
        <f t="array" aca="1" ref="C382" ca="1">INDIRECT(CONCATENATE("'",$A$350,"'!A",B382),1)</f>
        <v>Web-программирование</v>
      </c>
      <c r="D382" s="1" t="str" cm="1">
        <f t="array" aca="1" ref="D382" ca="1">INDIRECT(CONCATENATE("'",$A$350,"'!B",B382),1)</f>
        <v>09.03.01(09)</v>
      </c>
      <c r="E382" s="1" t="str" cm="1">
        <f t="array" aca="1" ref="E382" ca="1">INDIRECT(CONCATENATE("'",$A$350,"'!c",B382),1)</f>
        <v>3091з</v>
      </c>
      <c r="F382" s="1" cm="1">
        <f t="array" aca="1" ref="F382" ca="1">INDIRECT(CONCATENATE("'",$A$350,"'!d",B382),1)</f>
        <v>6</v>
      </c>
      <c r="G382" s="1" cm="1">
        <f t="array" aca="1" ref="G382" ca="1">INDIRECT(CONCATENATE("'",$A$350,"'!e",B382),1)</f>
        <v>1</v>
      </c>
      <c r="H382" s="1" cm="1">
        <f t="array" aca="1" ref="H382" ca="1">INDIRECT(CONCATENATE("'",$A$350,"'!f",B382),1)</f>
        <v>15</v>
      </c>
      <c r="I382" s="1" t="str" cm="1">
        <f t="array" aca="1" ref="I382" ca="1">INDIRECT(CONCATENATE("'",$A$350,"'!g",B382),1)</f>
        <v>ДЗ</v>
      </c>
      <c r="J382" s="1" cm="1">
        <f t="array" aca="1" ref="J382" ca="1">INDIRECT(CONCATENATE("'",$A$350,"'!h",B382),1)</f>
        <v>3</v>
      </c>
      <c r="K382" s="1" cm="1">
        <f t="array" aca="1" ref="K382" ca="1">INDIRECT(CONCATENATE("'",$A$350,"'!i",B382),1)</f>
        <v>4</v>
      </c>
      <c r="L382" s="1" cm="1">
        <f t="array" aca="1" ref="L382" ca="1">INDIRECT(CONCATENATE("'",$A$350,"'!j",B382),1)</f>
        <v>0</v>
      </c>
      <c r="M382" s="1" cm="1">
        <f t="array" aca="1" ref="M382" ca="1">INDIRECT(CONCATENATE("'",$A$350,"'!k",B382),1)</f>
        <v>8</v>
      </c>
      <c r="N382" s="1" t="str" cm="1">
        <f t="array" aca="1" ref="N382" ca="1">INDIRECT(CONCATENATE("'",$A$350,"'!l",B382),1)</f>
        <v>Соколова Г.Ю.</v>
      </c>
      <c r="O382" s="1" cm="1">
        <f t="array" aca="1" ref="O382" ca="1">INDIRECT(CONCATENATE("'",$A$350,"'!m",B382),1)</f>
        <v>3300</v>
      </c>
      <c r="P382" s="1" t="str" cm="1">
        <f t="array" aca="1" ref="P382" ca="1">INDIRECT(CONCATENATE("'",$A$350,"'!n",B382),1)</f>
        <v>2п</v>
      </c>
      <c r="Q382" s="1" cm="1">
        <f t="array" aca="1" ref="Q382" ca="1">INDIRECT(CONCATENATE("'",$A$350,"'!o",B382),1)</f>
        <v>6.8</v>
      </c>
      <c r="R382" s="1" cm="1">
        <f t="array" aca="1" ref="R382" ca="1">INDIRECT(CONCATENATE("'",$A$350,"'!p",B382),1)</f>
        <v>0</v>
      </c>
      <c r="S382" s="1">
        <f t="shared" ca="1" si="30"/>
        <v>0</v>
      </c>
      <c r="T382" s="1" t="str" cm="1">
        <f t="array" aca="1" ref="T382" ca="1">INDIRECT(CONCATENATE("'",$A$350,"'!q",B382),1)</f>
        <v>Соколова Г.Ю.</v>
      </c>
      <c r="U382" s="1" cm="1">
        <f t="array" aca="1" ref="U382" ca="1">INDIRECT(CONCATENATE("'",$A$350,"'!r",B382),1)</f>
        <v>18.8</v>
      </c>
      <c r="V382" s="1" cm="1">
        <f t="array" aca="1" ref="V382" ca="1">INDIRECT(CONCATENATE("'",$A$350,"'!s",B382),1)</f>
        <v>0</v>
      </c>
      <c r="W382" s="1" cm="1">
        <f t="array" aca="1" ref="W382" ca="1">INDIRECT(CONCATENATE("'",$A$350,"'!t",B382),1)</f>
        <v>0</v>
      </c>
      <c r="X382" s="1" cm="1">
        <f t="array" aca="1" ref="X382" ca="1">INDIRECT(CONCATENATE("'",$A$350,"'!u",B382),1)</f>
        <v>0</v>
      </c>
      <c r="Y382" s="1" cm="1">
        <f t="array" aca="1" ref="Y382" ca="1">INDIRECT(CONCATENATE("'",$A$350,"'!v",B382),1)</f>
        <v>0</v>
      </c>
    </row>
    <row r="383" spans="2:25" ht="22.5" hidden="1" x14ac:dyDescent="0.25">
      <c r="B383" s="24">
        <f t="shared" si="31"/>
        <v>35</v>
      </c>
      <c r="C383" s="1" t="str" cm="1">
        <f t="array" aca="1" ref="C383" ca="1">INDIRECT(CONCATENATE("'",$A$350,"'!A",B383),1)</f>
        <v>Методы защиты информации</v>
      </c>
      <c r="D383" s="1" t="str" cm="1">
        <f t="array" aca="1" ref="D383" ca="1">INDIRECT(CONCATENATE("'",$A$350,"'!B",B383),1)</f>
        <v>09.03.01(09)</v>
      </c>
      <c r="E383" s="1" t="str" cm="1">
        <f t="array" aca="1" ref="E383" ca="1">INDIRECT(CONCATENATE("'",$A$350,"'!c",B383),1)</f>
        <v>3091з</v>
      </c>
      <c r="F383" s="1" cm="1">
        <f t="array" aca="1" ref="F383" ca="1">INDIRECT(CONCATENATE("'",$A$350,"'!d",B383),1)</f>
        <v>6</v>
      </c>
      <c r="G383" s="1" cm="1">
        <f t="array" aca="1" ref="G383" ca="1">INDIRECT(CONCATENATE("'",$A$350,"'!e",B383),1)</f>
        <v>1</v>
      </c>
      <c r="H383" s="1" cm="1">
        <f t="array" aca="1" ref="H383" ca="1">INDIRECT(CONCATENATE("'",$A$350,"'!f",B383),1)</f>
        <v>15</v>
      </c>
      <c r="I383" s="1" t="str" cm="1">
        <f t="array" aca="1" ref="I383" ca="1">INDIRECT(CONCATENATE("'",$A$350,"'!g",B383),1)</f>
        <v>ДЗ</v>
      </c>
      <c r="J383" s="1" cm="1">
        <f t="array" aca="1" ref="J383" ca="1">INDIRECT(CONCATENATE("'",$A$350,"'!h",B383),1)</f>
        <v>4</v>
      </c>
      <c r="K383" s="1" cm="1">
        <f t="array" aca="1" ref="K383" ca="1">INDIRECT(CONCATENATE("'",$A$350,"'!i",B383),1)</f>
        <v>4</v>
      </c>
      <c r="L383" s="1" cm="1">
        <f t="array" aca="1" ref="L383" ca="1">INDIRECT(CONCATENATE("'",$A$350,"'!j",B383),1)</f>
        <v>0</v>
      </c>
      <c r="M383" s="1" cm="1">
        <f t="array" aca="1" ref="M383" ca="1">INDIRECT(CONCATENATE("'",$A$350,"'!k",B383),1)</f>
        <v>12</v>
      </c>
      <c r="N383" s="1" t="str" cm="1">
        <f t="array" aca="1" ref="N383" ca="1">INDIRECT(CONCATENATE("'",$A$350,"'!l",B383),1)</f>
        <v>Жгун Т.В.</v>
      </c>
      <c r="O383" s="1" cm="1">
        <f t="array" aca="1" ref="O383" ca="1">INDIRECT(CONCATENATE("'",$A$350,"'!m",B383),1)</f>
        <v>3300</v>
      </c>
      <c r="P383" s="1" t="str" cm="1">
        <f t="array" aca="1" ref="P383" ca="1">INDIRECT(CONCATENATE("'",$A$350,"'!n",B383),1)</f>
        <v>1п</v>
      </c>
      <c r="Q383" s="1" cm="1">
        <f t="array" aca="1" ref="Q383" ca="1">INDIRECT(CONCATENATE("'",$A$350,"'!o",B383),1)</f>
        <v>9</v>
      </c>
      <c r="R383" s="1" cm="1">
        <f t="array" aca="1" ref="R383" ca="1">INDIRECT(CONCATENATE("'",$A$350,"'!p",B383),1)</f>
        <v>0</v>
      </c>
      <c r="S383" s="1">
        <f t="shared" ca="1" si="30"/>
        <v>0</v>
      </c>
      <c r="T383" s="1" t="str" cm="1">
        <f t="array" aca="1" ref="T383" ca="1">INDIRECT(CONCATENATE("'",$A$350,"'!q",B383),1)</f>
        <v>Жгун Т.В.</v>
      </c>
      <c r="U383" s="1" cm="1">
        <f t="array" aca="1" ref="U383" ca="1">INDIRECT(CONCATENATE("'",$A$350,"'!r",B383),1)</f>
        <v>25</v>
      </c>
      <c r="V383" s="1" cm="1">
        <f t="array" aca="1" ref="V383" ca="1">INDIRECT(CONCATENATE("'",$A$350,"'!s",B383),1)</f>
        <v>0</v>
      </c>
      <c r="W383" s="1" cm="1">
        <f t="array" aca="1" ref="W383" ca="1">INDIRECT(CONCATENATE("'",$A$350,"'!t",B383),1)</f>
        <v>0</v>
      </c>
      <c r="X383" s="1" cm="1">
        <f t="array" aca="1" ref="X383" ca="1">INDIRECT(CONCATENATE("'",$A$350,"'!u",B383),1)</f>
        <v>0</v>
      </c>
      <c r="Y383" s="1" cm="1">
        <f t="array" aca="1" ref="Y383" ca="1">INDIRECT(CONCATENATE("'",$A$350,"'!v",B383),1)</f>
        <v>0</v>
      </c>
    </row>
    <row r="384" spans="2:25" ht="33.75" hidden="1" x14ac:dyDescent="0.25">
      <c r="B384" s="24">
        <f t="shared" si="31"/>
        <v>36</v>
      </c>
      <c r="C384" s="1" t="str" cm="1">
        <f t="array" aca="1" ref="C384" ca="1">INDIRECT(CONCATENATE("'",$A$350,"'!A",B384),1)</f>
        <v>Микросервисные технологии и архитектура</v>
      </c>
      <c r="D384" s="1" t="str" cm="1">
        <f t="array" aca="1" ref="D384" ca="1">INDIRECT(CONCATENATE("'",$A$350,"'!B",B384),1)</f>
        <v>09.03.01(09)</v>
      </c>
      <c r="E384" s="1" t="str" cm="1">
        <f t="array" aca="1" ref="E384" ca="1">INDIRECT(CONCATENATE("'",$A$350,"'!c",B384),1)</f>
        <v>3091з</v>
      </c>
      <c r="F384" s="1" cm="1">
        <f t="array" aca="1" ref="F384" ca="1">INDIRECT(CONCATENATE("'",$A$350,"'!d",B384),1)</f>
        <v>6</v>
      </c>
      <c r="G384" s="1" cm="1">
        <f t="array" aca="1" ref="G384" ca="1">INDIRECT(CONCATENATE("'",$A$350,"'!e",B384),1)</f>
        <v>1</v>
      </c>
      <c r="H384" s="1" cm="1">
        <f t="array" aca="1" ref="H384" ca="1">INDIRECT(CONCATENATE("'",$A$350,"'!f",B384),1)</f>
        <v>15</v>
      </c>
      <c r="I384" s="1" t="str" cm="1">
        <f t="array" aca="1" ref="I384" ca="1">INDIRECT(CONCATENATE("'",$A$350,"'!g",B384),1)</f>
        <v>ЭКЗ</v>
      </c>
      <c r="J384" s="1" cm="1">
        <f t="array" aca="1" ref="J384" ca="1">INDIRECT(CONCATENATE("'",$A$350,"'!h",B384),1)</f>
        <v>5</v>
      </c>
      <c r="K384" s="1" cm="1">
        <f t="array" aca="1" ref="K384" ca="1">INDIRECT(CONCATENATE("'",$A$350,"'!i",B384),1)</f>
        <v>8</v>
      </c>
      <c r="L384" s="1" cm="1">
        <f t="array" aca="1" ref="L384" ca="1">INDIRECT(CONCATENATE("'",$A$350,"'!j",B384),1)</f>
        <v>0</v>
      </c>
      <c r="M384" s="1" cm="1">
        <f t="array" aca="1" ref="M384" ca="1">INDIRECT(CONCATENATE("'",$A$350,"'!k",B384),1)</f>
        <v>8</v>
      </c>
      <c r="N384" s="1" t="str" cm="1">
        <f t="array" aca="1" ref="N384" ca="1">INDIRECT(CONCATENATE("'",$A$350,"'!l",B384),1)</f>
        <v>Жгун Т.В.</v>
      </c>
      <c r="O384" s="1" cm="1">
        <f t="array" aca="1" ref="O384" ca="1">INDIRECT(CONCATENATE("'",$A$350,"'!m",B384),1)</f>
        <v>3300</v>
      </c>
      <c r="P384" s="1" t="str" cm="1">
        <f t="array" aca="1" ref="P384" ca="1">INDIRECT(CONCATENATE("'",$A$350,"'!n",B384),1)</f>
        <v>1п</v>
      </c>
      <c r="Q384" s="1" cm="1">
        <f t="array" aca="1" ref="Q384" ca="1">INDIRECT(CONCATENATE("'",$A$350,"'!o",B384),1)</f>
        <v>11.3</v>
      </c>
      <c r="R384" s="1" cm="1">
        <f t="array" aca="1" ref="R384" ca="1">INDIRECT(CONCATENATE("'",$A$350,"'!p",B384),1)</f>
        <v>7.5</v>
      </c>
      <c r="S384" s="1">
        <f t="shared" ca="1" si="30"/>
        <v>0</v>
      </c>
      <c r="T384" s="1" t="str" cm="1">
        <f t="array" aca="1" ref="T384" ca="1">INDIRECT(CONCATENATE("'",$A$350,"'!q",B384),1)</f>
        <v>Жгун Т.В.</v>
      </c>
      <c r="U384" s="1" cm="1">
        <f t="array" aca="1" ref="U384" ca="1">INDIRECT(CONCATENATE("'",$A$350,"'!r",B384),1)</f>
        <v>34.799999999999997</v>
      </c>
      <c r="V384" s="1" cm="1">
        <f t="array" aca="1" ref="V384" ca="1">INDIRECT(CONCATENATE("'",$A$350,"'!s",B384),1)</f>
        <v>0</v>
      </c>
      <c r="W384" s="1" cm="1">
        <f t="array" aca="1" ref="W384" ca="1">INDIRECT(CONCATENATE("'",$A$350,"'!t",B384),1)</f>
        <v>0</v>
      </c>
      <c r="X384" s="1" cm="1">
        <f t="array" aca="1" ref="X384" ca="1">INDIRECT(CONCATENATE("'",$A$350,"'!u",B384),1)</f>
        <v>0</v>
      </c>
      <c r="Y384" s="1" cm="1">
        <f t="array" aca="1" ref="Y384" ca="1">INDIRECT(CONCATENATE("'",$A$350,"'!v",B384),1)</f>
        <v>0</v>
      </c>
    </row>
    <row r="385" spans="2:25" ht="33.75" hidden="1" x14ac:dyDescent="0.25">
      <c r="B385" s="24">
        <f t="shared" si="31"/>
        <v>37</v>
      </c>
      <c r="C385" s="1" t="str" cm="1">
        <f t="array" aca="1" ref="C385" ca="1">INDIRECT(CONCATENATE("'",$A$350,"'!A",B385),1)</f>
        <v>Сети и теллекоммуникации (уст)</v>
      </c>
      <c r="D385" s="1" t="str" cm="1">
        <f t="array" aca="1" ref="D385" ca="1">INDIRECT(CONCATENATE("'",$A$350,"'!B",B385),1)</f>
        <v>09.03.01(09)</v>
      </c>
      <c r="E385" s="1" t="str" cm="1">
        <f t="array" aca="1" ref="E385" ca="1">INDIRECT(CONCATENATE("'",$A$350,"'!c",B385),1)</f>
        <v>3091з</v>
      </c>
      <c r="F385" s="1" cm="1">
        <f t="array" aca="1" ref="F385" ca="1">INDIRECT(CONCATENATE("'",$A$350,"'!d",B385),1)</f>
        <v>6</v>
      </c>
      <c r="G385" s="1" cm="1">
        <f t="array" aca="1" ref="G385" ca="1">INDIRECT(CONCATENATE("'",$A$350,"'!e",B385),1)</f>
        <v>1</v>
      </c>
      <c r="H385" s="1" cm="1">
        <f t="array" aca="1" ref="H385" ca="1">INDIRECT(CONCATENATE("'",$A$350,"'!f",B385),1)</f>
        <v>15</v>
      </c>
      <c r="I385" s="1" t="str" cm="1">
        <f t="array" aca="1" ref="I385" ca="1">INDIRECT(CONCATENATE("'",$A$350,"'!g",B385),1)</f>
        <v>ЭКЗ</v>
      </c>
      <c r="J385" s="1" cm="1">
        <f t="array" aca="1" ref="J385" ca="1">INDIRECT(CONCATENATE("'",$A$350,"'!h",B385),1)</f>
        <v>0</v>
      </c>
      <c r="K385" s="1" cm="1">
        <f t="array" aca="1" ref="K385" ca="1">INDIRECT(CONCATENATE("'",$A$350,"'!i",B385),1)</f>
        <v>2</v>
      </c>
      <c r="L385" s="1" cm="1">
        <f t="array" aca="1" ref="L385" ca="1">INDIRECT(CONCATENATE("'",$A$350,"'!j",B385),1)</f>
        <v>0</v>
      </c>
      <c r="M385" s="1" cm="1">
        <f t="array" aca="1" ref="M385" ca="1">INDIRECT(CONCATENATE("'",$A$350,"'!k",B385),1)</f>
        <v>0</v>
      </c>
      <c r="N385" s="1" t="str" cm="1">
        <f t="array" aca="1" ref="N385" ca="1">INDIRECT(CONCATENATE("'",$A$350,"'!l",B385),1)</f>
        <v>Журавлева М.П.</v>
      </c>
      <c r="O385" s="1" cm="1">
        <f t="array" aca="1" ref="O385" ca="1">INDIRECT(CONCATENATE("'",$A$350,"'!m",B385),1)</f>
        <v>2309</v>
      </c>
      <c r="P385" s="1" t="str" cm="1">
        <f t="array" aca="1" ref="P385" ca="1">INDIRECT(CONCATENATE("'",$A$350,"'!n",B385),1)</f>
        <v>уст.</v>
      </c>
      <c r="Q385" s="1" cm="1">
        <f t="array" aca="1" ref="Q385" ca="1">INDIRECT(CONCATENATE("'",$A$350,"'!o",B385),1)</f>
        <v>0</v>
      </c>
      <c r="R385" s="1" cm="1">
        <f t="array" aca="1" ref="R385" ca="1">INDIRECT(CONCATENATE("'",$A$350,"'!p",B385),1)</f>
        <v>0</v>
      </c>
      <c r="S385" s="1">
        <f t="shared" ca="1" si="30"/>
        <v>0</v>
      </c>
      <c r="T385" s="1" t="str" cm="1">
        <f t="array" aca="1" ref="T385" ca="1">INDIRECT(CONCATENATE("'",$A$350,"'!q",B385),1)</f>
        <v>Журавлева М.П.</v>
      </c>
      <c r="U385" s="1" cm="1">
        <f t="array" aca="1" ref="U385" ca="1">INDIRECT(CONCATENATE("'",$A$350,"'!r",B385),1)</f>
        <v>0</v>
      </c>
      <c r="V385" s="1" cm="1">
        <f t="array" aca="1" ref="V385" ca="1">INDIRECT(CONCATENATE("'",$A$350,"'!s",B385),1)</f>
        <v>0</v>
      </c>
      <c r="W385" s="1" cm="1">
        <f t="array" aca="1" ref="W385" ca="1">INDIRECT(CONCATENATE("'",$A$350,"'!t",B385),1)</f>
        <v>0</v>
      </c>
      <c r="X385" s="1" cm="1">
        <f t="array" aca="1" ref="X385" ca="1">INDIRECT(CONCATENATE("'",$A$350,"'!u",B385),1)</f>
        <v>0</v>
      </c>
      <c r="Y385" s="1" cm="1">
        <f t="array" aca="1" ref="Y385" ca="1">INDIRECT(CONCATENATE("'",$A$350,"'!v",B385),1)</f>
        <v>0</v>
      </c>
    </row>
    <row r="386" spans="2:25" ht="22.5" hidden="1" x14ac:dyDescent="0.25">
      <c r="B386" s="24">
        <f t="shared" si="31"/>
        <v>38</v>
      </c>
      <c r="C386" s="1" t="str" cm="1">
        <f t="array" aca="1" ref="C386" ca="1">INDIRECT(CONCATENATE("'",$A$350,"'!A",B386),1)</f>
        <v>Базы данных</v>
      </c>
      <c r="D386" s="1" t="str" cm="1">
        <f t="array" aca="1" ref="D386" ca="1">INDIRECT(CONCATENATE("'",$A$350,"'!B",B386),1)</f>
        <v>09.03.01(09)</v>
      </c>
      <c r="E386" s="1" t="str" cm="1">
        <f t="array" aca="1" ref="E386" ca="1">INDIRECT(CONCATENATE("'",$A$350,"'!c",B386),1)</f>
        <v>3091з</v>
      </c>
      <c r="F386" s="1" cm="1">
        <f t="array" aca="1" ref="F386" ca="1">INDIRECT(CONCATENATE("'",$A$350,"'!d",B386),1)</f>
        <v>6</v>
      </c>
      <c r="G386" s="1" cm="1">
        <f t="array" aca="1" ref="G386" ca="1">INDIRECT(CONCATENATE("'",$A$350,"'!e",B386),1)</f>
        <v>1</v>
      </c>
      <c r="H386" s="1" cm="1">
        <f t="array" aca="1" ref="H386" ca="1">INDIRECT(CONCATENATE("'",$A$350,"'!f",B386),1)</f>
        <v>15</v>
      </c>
      <c r="I386" s="1" t="str" cm="1">
        <f t="array" aca="1" ref="I386" ca="1">INDIRECT(CONCATENATE("'",$A$350,"'!g",B386),1)</f>
        <v>ЭКЗ</v>
      </c>
      <c r="J386" s="1" cm="1">
        <f t="array" aca="1" ref="J386" ca="1">INDIRECT(CONCATENATE("'",$A$350,"'!h",B386),1)</f>
        <v>6</v>
      </c>
      <c r="K386" s="1" cm="1">
        <f t="array" aca="1" ref="K386" ca="1">INDIRECT(CONCATENATE("'",$A$350,"'!i",B386),1)</f>
        <v>8</v>
      </c>
      <c r="L386" s="1" cm="1">
        <f t="array" aca="1" ref="L386" ca="1">INDIRECT(CONCATENATE("'",$A$350,"'!j",B386),1)</f>
        <v>0</v>
      </c>
      <c r="M386" s="1" cm="1">
        <f t="array" aca="1" ref="M386" ca="1">INDIRECT(CONCATENATE("'",$A$350,"'!k",B386),1)</f>
        <v>12</v>
      </c>
      <c r="N386" s="1" t="str" cm="1">
        <f t="array" aca="1" ref="N386" ca="1">INDIRECT(CONCATENATE("'",$A$350,"'!l",B386),1)</f>
        <v>Цымбалюк Л.Н.</v>
      </c>
      <c r="O386" s="1" cm="1">
        <f t="array" aca="1" ref="O386" ca="1">INDIRECT(CONCATENATE("'",$A$350,"'!m",B386),1)</f>
        <v>0</v>
      </c>
      <c r="P386" s="1" t="str" cm="1">
        <f t="array" aca="1" ref="P386" ca="1">INDIRECT(CONCATENATE("'",$A$350,"'!n",B386),1)</f>
        <v>1п</v>
      </c>
      <c r="Q386" s="1" cm="1">
        <f t="array" aca="1" ref="Q386" ca="1">INDIRECT(CONCATENATE("'",$A$350,"'!o",B386),1)</f>
        <v>13.5</v>
      </c>
      <c r="R386" s="1" cm="1">
        <f t="array" aca="1" ref="R386" ca="1">INDIRECT(CONCATENATE("'",$A$350,"'!p",B386),1)</f>
        <v>9</v>
      </c>
      <c r="S386" s="1">
        <f t="shared" ca="1" si="30"/>
        <v>0</v>
      </c>
      <c r="T386" s="1" t="str" cm="1">
        <f t="array" aca="1" ref="T386" ca="1">INDIRECT(CONCATENATE("'",$A$350,"'!q",B386),1)</f>
        <v>Цымбалюк Л.Н.</v>
      </c>
      <c r="U386" s="1" cm="1">
        <f t="array" aca="1" ref="U386" ca="1">INDIRECT(CONCATENATE("'",$A$350,"'!r",B386),1)</f>
        <v>42.5</v>
      </c>
      <c r="V386" s="1" cm="1">
        <f t="array" aca="1" ref="V386" ca="1">INDIRECT(CONCATENATE("'",$A$350,"'!s",B386),1)</f>
        <v>0</v>
      </c>
      <c r="W386" s="1" cm="1">
        <f t="array" aca="1" ref="W386" ca="1">INDIRECT(CONCATENATE("'",$A$350,"'!t",B386),1)</f>
        <v>0</v>
      </c>
      <c r="X386" s="1" cm="1">
        <f t="array" aca="1" ref="X386" ca="1">INDIRECT(CONCATENATE("'",$A$350,"'!u",B386),1)</f>
        <v>0</v>
      </c>
      <c r="Y386" s="1" cm="1">
        <f t="array" aca="1" ref="Y386" ca="1">INDIRECT(CONCATENATE("'",$A$350,"'!v",B386),1)</f>
        <v>0</v>
      </c>
    </row>
    <row r="387" spans="2:25" ht="22.5" hidden="1" x14ac:dyDescent="0.25">
      <c r="B387" s="24">
        <f t="shared" si="31"/>
        <v>39</v>
      </c>
      <c r="C387" s="1" t="str" cm="1">
        <f t="array" aca="1" ref="C387" ca="1">INDIRECT(CONCATENATE("'",$A$350,"'!A",B387),1)</f>
        <v>Базы данных</v>
      </c>
      <c r="D387" s="1" t="str" cm="1">
        <f t="array" aca="1" ref="D387" ca="1">INDIRECT(CONCATENATE("'",$A$350,"'!B",B387),1)</f>
        <v>09.03.01(09)</v>
      </c>
      <c r="E387" s="1" t="str" cm="1">
        <f t="array" aca="1" ref="E387" ca="1">INDIRECT(CONCATENATE("'",$A$350,"'!c",B387),1)</f>
        <v>3091з</v>
      </c>
      <c r="F387" s="1" cm="1">
        <f t="array" aca="1" ref="F387" ca="1">INDIRECT(CONCATENATE("'",$A$350,"'!d",B387),1)</f>
        <v>6</v>
      </c>
      <c r="G387" s="1" cm="1">
        <f t="array" aca="1" ref="G387" ca="1">INDIRECT(CONCATENATE("'",$A$350,"'!e",B387),1)</f>
        <v>1</v>
      </c>
      <c r="H387" s="1" cm="1">
        <f t="array" aca="1" ref="H387" ca="1">INDIRECT(CONCATENATE("'",$A$350,"'!f",B387),1)</f>
        <v>15</v>
      </c>
      <c r="I387" s="1" t="str" cm="1">
        <f t="array" aca="1" ref="I387" ca="1">INDIRECT(CONCATENATE("'",$A$350,"'!g",B387),1)</f>
        <v>КП</v>
      </c>
      <c r="J387" s="1" cm="1">
        <f t="array" aca="1" ref="J387" ca="1">INDIRECT(CONCATENATE("'",$A$350,"'!h",B387),1)</f>
        <v>1</v>
      </c>
      <c r="K387" s="1" cm="1">
        <f t="array" aca="1" ref="K387" ca="1">INDIRECT(CONCATENATE("'",$A$350,"'!i",B387),1)</f>
        <v>0</v>
      </c>
      <c r="L387" s="1" cm="1">
        <f t="array" aca="1" ref="L387" ca="1">INDIRECT(CONCATENATE("'",$A$350,"'!j",B387),1)</f>
        <v>0</v>
      </c>
      <c r="M387" s="1" cm="1">
        <f t="array" aca="1" ref="M387" ca="1">INDIRECT(CONCATENATE("'",$A$350,"'!k",B387),1)</f>
        <v>0</v>
      </c>
      <c r="N387" s="1" t="str" cm="1">
        <f t="array" aca="1" ref="N387" ca="1">INDIRECT(CONCATENATE("'",$A$350,"'!l",B387),1)</f>
        <v>Цымбалюк Л.Н.</v>
      </c>
      <c r="O387" s="1" cm="1">
        <f t="array" aca="1" ref="O387" ca="1">INDIRECT(CONCATENATE("'",$A$350,"'!m",B387),1)</f>
        <v>0</v>
      </c>
      <c r="P387" s="1" t="str" cm="1">
        <f t="array" aca="1" ref="P387" ca="1">INDIRECT(CONCATENATE("'",$A$350,"'!n",B387),1)</f>
        <v>1п</v>
      </c>
      <c r="Q387" s="1" cm="1">
        <f t="array" aca="1" ref="Q387" ca="1">INDIRECT(CONCATENATE("'",$A$350,"'!o",B387),1)</f>
        <v>22.5</v>
      </c>
      <c r="R387" s="1" cm="1">
        <f t="array" aca="1" ref="R387" ca="1">INDIRECT(CONCATENATE("'",$A$350,"'!p",B387),1)</f>
        <v>0</v>
      </c>
      <c r="S387" s="1">
        <f t="shared" ca="1" si="30"/>
        <v>0</v>
      </c>
      <c r="T387" s="1" t="str" cm="1">
        <f t="array" aca="1" ref="T387" ca="1">INDIRECT(CONCATENATE("'",$A$350,"'!q",B387),1)</f>
        <v>Цымбалюк Л.Н.</v>
      </c>
      <c r="U387" s="1" cm="1">
        <f t="array" aca="1" ref="U387" ca="1">INDIRECT(CONCATENATE("'",$A$350,"'!r",B387),1)</f>
        <v>22.5</v>
      </c>
      <c r="V387" s="1" cm="1">
        <f t="array" aca="1" ref="V387" ca="1">INDIRECT(CONCATENATE("'",$A$350,"'!s",B387),1)</f>
        <v>0</v>
      </c>
      <c r="W387" s="1" cm="1">
        <f t="array" aca="1" ref="W387" ca="1">INDIRECT(CONCATENATE("'",$A$350,"'!t",B387),1)</f>
        <v>0</v>
      </c>
      <c r="X387" s="1" cm="1">
        <f t="array" aca="1" ref="X387" ca="1">INDIRECT(CONCATENATE("'",$A$350,"'!u",B387),1)</f>
        <v>0</v>
      </c>
      <c r="Y387" s="1" cm="1">
        <f t="array" aca="1" ref="Y387" ca="1">INDIRECT(CONCATENATE("'",$A$350,"'!v",B387),1)</f>
        <v>0</v>
      </c>
    </row>
    <row r="388" spans="2:25" ht="22.5" hidden="1" x14ac:dyDescent="0.25">
      <c r="B388" s="24">
        <f t="shared" si="31"/>
        <v>40</v>
      </c>
      <c r="C388" s="1" t="str" cm="1">
        <f t="array" aca="1" ref="C388" ca="1">INDIRECT(CONCATENATE("'",$A$350,"'!A",B388),1)</f>
        <v>Моделирование систем (уст)</v>
      </c>
      <c r="D388" s="1" t="str" cm="1">
        <f t="array" aca="1" ref="D388" ca="1">INDIRECT(CONCATENATE("'",$A$350,"'!B",B388),1)</f>
        <v>09.03.01(09)</v>
      </c>
      <c r="E388" s="1" t="str" cm="1">
        <f t="array" aca="1" ref="E388" ca="1">INDIRECT(CONCATENATE("'",$A$350,"'!c",B388),1)</f>
        <v>3091з</v>
      </c>
      <c r="F388" s="1" cm="1">
        <f t="array" aca="1" ref="F388" ca="1">INDIRECT(CONCATENATE("'",$A$350,"'!d",B388),1)</f>
        <v>6</v>
      </c>
      <c r="G388" s="1" cm="1">
        <f t="array" aca="1" ref="G388" ca="1">INDIRECT(CONCATENATE("'",$A$350,"'!e",B388),1)</f>
        <v>1</v>
      </c>
      <c r="H388" s="1" cm="1">
        <f t="array" aca="1" ref="H388" ca="1">INDIRECT(CONCATENATE("'",$A$350,"'!f",B388),1)</f>
        <v>15</v>
      </c>
      <c r="I388" s="1" t="str" cm="1">
        <f t="array" aca="1" ref="I388" ca="1">INDIRECT(CONCATENATE("'",$A$350,"'!g",B388),1)</f>
        <v>ДЗ</v>
      </c>
      <c r="J388" s="1" cm="1">
        <f t="array" aca="1" ref="J388" ca="1">INDIRECT(CONCATENATE("'",$A$350,"'!h",B388),1)</f>
        <v>0</v>
      </c>
      <c r="K388" s="1" cm="1">
        <f t="array" aca="1" ref="K388" ca="1">INDIRECT(CONCATENATE("'",$A$350,"'!i",B388),1)</f>
        <v>2</v>
      </c>
      <c r="L388" s="1" cm="1">
        <f t="array" aca="1" ref="L388" ca="1">INDIRECT(CONCATENATE("'",$A$350,"'!j",B388),1)</f>
        <v>0</v>
      </c>
      <c r="M388" s="1" cm="1">
        <f t="array" aca="1" ref="M388" ca="1">INDIRECT(CONCATENATE("'",$A$350,"'!k",B388),1)</f>
        <v>0</v>
      </c>
      <c r="N388" s="1" t="str" cm="1">
        <f t="array" aca="1" ref="N388" ca="1">INDIRECT(CONCATENATE("'",$A$350,"'!l",B388),1)</f>
        <v>Эминов С.И.</v>
      </c>
      <c r="O388" s="1" cm="1">
        <f t="array" aca="1" ref="O388" ca="1">INDIRECT(CONCATENATE("'",$A$350,"'!m",B388),1)</f>
        <v>3312.3314999999998</v>
      </c>
      <c r="P388" s="1" t="str" cm="1">
        <f t="array" aca="1" ref="P388" ca="1">INDIRECT(CONCATENATE("'",$A$350,"'!n",B388),1)</f>
        <v>уст.</v>
      </c>
      <c r="Q388" s="1" cm="1">
        <f t="array" aca="1" ref="Q388" ca="1">INDIRECT(CONCATENATE("'",$A$350,"'!o",B388),1)</f>
        <v>0</v>
      </c>
      <c r="R388" s="1" cm="1">
        <f t="array" aca="1" ref="R388" ca="1">INDIRECT(CONCATENATE("'",$A$350,"'!p",B388),1)</f>
        <v>0</v>
      </c>
      <c r="S388" s="1">
        <f t="shared" ca="1" si="30"/>
        <v>0</v>
      </c>
      <c r="T388" s="1" t="str" cm="1">
        <f t="array" aca="1" ref="T388" ca="1">INDIRECT(CONCATENATE("'",$A$350,"'!q",B388),1)</f>
        <v>Эминов С.И.</v>
      </c>
      <c r="U388" s="1" cm="1">
        <f t="array" aca="1" ref="U388" ca="1">INDIRECT(CONCATENATE("'",$A$350,"'!r",B388),1)</f>
        <v>0</v>
      </c>
      <c r="V388" s="1" cm="1">
        <f t="array" aca="1" ref="V388" ca="1">INDIRECT(CONCATENATE("'",$A$350,"'!s",B388),1)</f>
        <v>0</v>
      </c>
      <c r="W388" s="1" cm="1">
        <f t="array" aca="1" ref="W388" ca="1">INDIRECT(CONCATENATE("'",$A$350,"'!t",B388),1)</f>
        <v>0</v>
      </c>
      <c r="X388" s="1" cm="1">
        <f t="array" aca="1" ref="X388" ca="1">INDIRECT(CONCATENATE("'",$A$350,"'!u",B388),1)</f>
        <v>0</v>
      </c>
      <c r="Y388" s="1" cm="1">
        <f t="array" aca="1" ref="Y388" ca="1">INDIRECT(CONCATENATE("'",$A$350,"'!v",B388),1)</f>
        <v>0</v>
      </c>
    </row>
    <row r="389" spans="2:25" ht="22.5" hidden="1" x14ac:dyDescent="0.25">
      <c r="B389" s="24">
        <f t="shared" si="31"/>
        <v>41</v>
      </c>
      <c r="C389" s="1" t="str" cm="1">
        <f t="array" aca="1" ref="C389" ca="1">INDIRECT(CONCATENATE("'",$A$350,"'!A",B389),1)</f>
        <v>Основы теории управления(установ.)</v>
      </c>
      <c r="D389" s="1" t="str" cm="1">
        <f t="array" aca="1" ref="D389" ca="1">INDIRECT(CONCATENATE("'",$A$350,"'!B",B389),1)</f>
        <v>09.03.01(09)</v>
      </c>
      <c r="E389" s="1" t="str" cm="1">
        <f t="array" aca="1" ref="E389" ca="1">INDIRECT(CONCATENATE("'",$A$350,"'!c",B389),1)</f>
        <v>3091з</v>
      </c>
      <c r="F389" s="1" cm="1">
        <f t="array" aca="1" ref="F389" ca="1">INDIRECT(CONCATENATE("'",$A$350,"'!d",B389),1)</f>
        <v>6</v>
      </c>
      <c r="G389" s="1" cm="1">
        <f t="array" aca="1" ref="G389" ca="1">INDIRECT(CONCATENATE("'",$A$350,"'!e",B389),1)</f>
        <v>1</v>
      </c>
      <c r="H389" s="1" cm="1">
        <f t="array" aca="1" ref="H389" ca="1">INDIRECT(CONCATENATE("'",$A$350,"'!f",B389),1)</f>
        <v>15</v>
      </c>
      <c r="I389" s="1" t="str" cm="1">
        <f t="array" aca="1" ref="I389" ca="1">INDIRECT(CONCATENATE("'",$A$350,"'!g",B389),1)</f>
        <v>ДЗ</v>
      </c>
      <c r="J389" s="1" cm="1">
        <f t="array" aca="1" ref="J389" ca="1">INDIRECT(CONCATENATE("'",$A$350,"'!h",B389),1)</f>
        <v>0</v>
      </c>
      <c r="K389" s="1" cm="1">
        <f t="array" aca="1" ref="K389" ca="1">INDIRECT(CONCATENATE("'",$A$350,"'!i",B389),1)</f>
        <v>2</v>
      </c>
      <c r="L389" s="1" cm="1">
        <f t="array" aca="1" ref="L389" ca="1">INDIRECT(CONCATENATE("'",$A$350,"'!j",B389),1)</f>
        <v>0</v>
      </c>
      <c r="M389" s="1" cm="1">
        <f t="array" aca="1" ref="M389" ca="1">INDIRECT(CONCATENATE("'",$A$350,"'!k",B389),1)</f>
        <v>0</v>
      </c>
      <c r="N389" s="1" t="str" cm="1">
        <f t="array" aca="1" ref="N389" ca="1">INDIRECT(CONCATENATE("'",$A$350,"'!l",B389),1)</f>
        <v>Эминов С.И.</v>
      </c>
      <c r="O389" s="1" cm="1">
        <f t="array" aca="1" ref="O389" ca="1">INDIRECT(CONCATENATE("'",$A$350,"'!m",B389),1)</f>
        <v>3312</v>
      </c>
      <c r="P389" s="1" t="str" cm="1">
        <f t="array" aca="1" ref="P389" ca="1">INDIRECT(CONCATENATE("'",$A$350,"'!n",B389),1)</f>
        <v>1п</v>
      </c>
      <c r="Q389" s="1" cm="1">
        <f t="array" aca="1" ref="Q389" ca="1">INDIRECT(CONCATENATE("'",$A$350,"'!o",B389),1)</f>
        <v>0</v>
      </c>
      <c r="R389" s="1" cm="1">
        <f t="array" aca="1" ref="R389" ca="1">INDIRECT(CONCATENATE("'",$A$350,"'!p",B389),1)</f>
        <v>0</v>
      </c>
      <c r="S389" s="1">
        <f t="shared" ca="1" si="30"/>
        <v>0</v>
      </c>
      <c r="T389" s="1" t="str" cm="1">
        <f t="array" aca="1" ref="T389" ca="1">INDIRECT(CONCATENATE("'",$A$350,"'!q",B389),1)</f>
        <v>Эминов С.И.</v>
      </c>
      <c r="U389" s="1" cm="1">
        <f t="array" aca="1" ref="U389" ca="1">INDIRECT(CONCATENATE("'",$A$350,"'!r",B389),1)</f>
        <v>0</v>
      </c>
      <c r="V389" s="1" cm="1">
        <f t="array" aca="1" ref="V389" ca="1">INDIRECT(CONCATENATE("'",$A$350,"'!s",B389),1)</f>
        <v>0</v>
      </c>
      <c r="W389" s="1" cm="1">
        <f t="array" aca="1" ref="W389" ca="1">INDIRECT(CONCATENATE("'",$A$350,"'!t",B389),1)</f>
        <v>0</v>
      </c>
      <c r="X389" s="1" cm="1">
        <f t="array" aca="1" ref="X389" ca="1">INDIRECT(CONCATENATE("'",$A$350,"'!u",B389),1)</f>
        <v>0</v>
      </c>
      <c r="Y389" s="1" cm="1">
        <f t="array" aca="1" ref="Y389" ca="1">INDIRECT(CONCATENATE("'",$A$350,"'!v",B389),1)</f>
        <v>0</v>
      </c>
    </row>
    <row r="390" spans="2:25" ht="33.75" hidden="1" x14ac:dyDescent="0.25">
      <c r="B390" s="24">
        <f t="shared" si="31"/>
        <v>42</v>
      </c>
      <c r="C390" s="1" t="str" cm="1">
        <f t="array" aca="1" ref="C390" ca="1">INDIRECT(CONCATENATE("'",$A$350,"'!A",B390),1)</f>
        <v>Машинное обучение и большие данные(установ.)</v>
      </c>
      <c r="D390" s="1" t="str" cm="1">
        <f t="array" aca="1" ref="D390" ca="1">INDIRECT(CONCATENATE("'",$A$350,"'!B",B390),1)</f>
        <v>09.03.01(09)</v>
      </c>
      <c r="E390" s="1" t="str" cm="1">
        <f t="array" aca="1" ref="E390" ca="1">INDIRECT(CONCATENATE("'",$A$350,"'!c",B390),1)</f>
        <v>3091з</v>
      </c>
      <c r="F390" s="1" cm="1">
        <f t="array" aca="1" ref="F390" ca="1">INDIRECT(CONCATENATE("'",$A$350,"'!d",B390),1)</f>
        <v>6</v>
      </c>
      <c r="G390" s="1" cm="1">
        <f t="array" aca="1" ref="G390" ca="1">INDIRECT(CONCATENATE("'",$A$350,"'!e",B390),1)</f>
        <v>1</v>
      </c>
      <c r="H390" s="1" cm="1">
        <f t="array" aca="1" ref="H390" ca="1">INDIRECT(CONCATENATE("'",$A$350,"'!f",B390),1)</f>
        <v>15</v>
      </c>
      <c r="I390" s="1" t="str" cm="1">
        <f t="array" aca="1" ref="I390" ca="1">INDIRECT(CONCATENATE("'",$A$350,"'!g",B390),1)</f>
        <v>ДЗ</v>
      </c>
      <c r="J390" s="1" cm="1">
        <f t="array" aca="1" ref="J390" ca="1">INDIRECT(CONCATENATE("'",$A$350,"'!h",B390),1)</f>
        <v>0</v>
      </c>
      <c r="K390" s="1" cm="1">
        <f t="array" aca="1" ref="K390" ca="1">INDIRECT(CONCATENATE("'",$A$350,"'!i",B390),1)</f>
        <v>2</v>
      </c>
      <c r="L390" s="1" cm="1">
        <f t="array" aca="1" ref="L390" ca="1">INDIRECT(CONCATENATE("'",$A$350,"'!j",B390),1)</f>
        <v>0</v>
      </c>
      <c r="M390" s="1" cm="1">
        <f t="array" aca="1" ref="M390" ca="1">INDIRECT(CONCATENATE("'",$A$350,"'!k",B390),1)</f>
        <v>0</v>
      </c>
      <c r="N390" s="1" t="str" cm="1">
        <f t="array" aca="1" ref="N390" ca="1">INDIRECT(CONCATENATE("'",$A$350,"'!l",B390),1)</f>
        <v>Телина И.С.</v>
      </c>
      <c r="O390" s="1" cm="1">
        <f t="array" aca="1" ref="O390" ca="1">INDIRECT(CONCATENATE("'",$A$350,"'!m",B390),1)</f>
        <v>2407</v>
      </c>
      <c r="P390" s="1" t="str" cm="1">
        <f t="array" aca="1" ref="P390" ca="1">INDIRECT(CONCATENATE("'",$A$350,"'!n",B390),1)</f>
        <v>уст.</v>
      </c>
      <c r="Q390" s="1" cm="1">
        <f t="array" aca="1" ref="Q390" ca="1">INDIRECT(CONCATENATE("'",$A$350,"'!o",B390),1)</f>
        <v>0</v>
      </c>
      <c r="R390" s="1" cm="1">
        <f t="array" aca="1" ref="R390" ca="1">INDIRECT(CONCATENATE("'",$A$350,"'!p",B390),1)</f>
        <v>0</v>
      </c>
      <c r="S390" s="1">
        <f t="shared" ca="1" si="30"/>
        <v>0</v>
      </c>
      <c r="T390" s="1" t="str" cm="1">
        <f t="array" aca="1" ref="T390" ca="1">INDIRECT(CONCATENATE("'",$A$350,"'!q",B390),1)</f>
        <v>Телина И.С.</v>
      </c>
      <c r="U390" s="1" cm="1">
        <f t="array" aca="1" ref="U390" ca="1">INDIRECT(CONCATENATE("'",$A$350,"'!r",B390),1)</f>
        <v>0</v>
      </c>
      <c r="V390" s="1" cm="1">
        <f t="array" aca="1" ref="V390" ca="1">INDIRECT(CONCATENATE("'",$A$350,"'!s",B390),1)</f>
        <v>0</v>
      </c>
      <c r="W390" s="1" cm="1">
        <f t="array" aca="1" ref="W390" ca="1">INDIRECT(CONCATENATE("'",$A$350,"'!t",B390),1)</f>
        <v>0</v>
      </c>
      <c r="X390" s="1" cm="1">
        <f t="array" aca="1" ref="X390" ca="1">INDIRECT(CONCATENATE("'",$A$350,"'!u",B390),1)</f>
        <v>0</v>
      </c>
      <c r="Y390" s="1" cm="1">
        <f t="array" aca="1" ref="Y390" ca="1">INDIRECT(CONCATENATE("'",$A$350,"'!v",B390),1)</f>
        <v>0</v>
      </c>
    </row>
    <row r="391" spans="2:25" ht="33.75" hidden="1" x14ac:dyDescent="0.25">
      <c r="B391" s="24">
        <f t="shared" si="31"/>
        <v>43</v>
      </c>
      <c r="C391" s="1" t="str" cm="1">
        <f t="array" aca="1" ref="C391" ca="1">INDIRECT(CONCATENATE("'",$A$350,"'!A",B391),1)</f>
        <v>Технология разработки программного обеспечения(установ.)</v>
      </c>
      <c r="D391" s="1" t="str" cm="1">
        <f t="array" aca="1" ref="D391" ca="1">INDIRECT(CONCATENATE("'",$A$350,"'!B",B391),1)</f>
        <v>09.03.01(09)</v>
      </c>
      <c r="E391" s="1" t="str" cm="1">
        <f t="array" aca="1" ref="E391" ca="1">INDIRECT(CONCATENATE("'",$A$350,"'!c",B391),1)</f>
        <v>3091з</v>
      </c>
      <c r="F391" s="1" cm="1">
        <f t="array" aca="1" ref="F391" ca="1">INDIRECT(CONCATENATE("'",$A$350,"'!d",B391),1)</f>
        <v>6</v>
      </c>
      <c r="G391" s="1" cm="1">
        <f t="array" aca="1" ref="G391" ca="1">INDIRECT(CONCATENATE("'",$A$350,"'!e",B391),1)</f>
        <v>1</v>
      </c>
      <c r="H391" s="1" cm="1">
        <f t="array" aca="1" ref="H391" ca="1">INDIRECT(CONCATENATE("'",$A$350,"'!f",B391),1)</f>
        <v>15</v>
      </c>
      <c r="I391" s="1" t="str" cm="1">
        <f t="array" aca="1" ref="I391" ca="1">INDIRECT(CONCATENATE("'",$A$350,"'!g",B391),1)</f>
        <v>ДЗ</v>
      </c>
      <c r="J391" s="1" cm="1">
        <f t="array" aca="1" ref="J391" ca="1">INDIRECT(CONCATENATE("'",$A$350,"'!h",B391),1)</f>
        <v>0</v>
      </c>
      <c r="K391" s="1" cm="1">
        <f t="array" aca="1" ref="K391" ca="1">INDIRECT(CONCATENATE("'",$A$350,"'!i",B391),1)</f>
        <v>2</v>
      </c>
      <c r="L391" s="1" cm="1">
        <f t="array" aca="1" ref="L391" ca="1">INDIRECT(CONCATENATE("'",$A$350,"'!j",B391),1)</f>
        <v>0</v>
      </c>
      <c r="M391" s="1" cm="1">
        <f t="array" aca="1" ref="M391" ca="1">INDIRECT(CONCATENATE("'",$A$350,"'!k",B391),1)</f>
        <v>0</v>
      </c>
      <c r="N391" s="1" t="str" cm="1">
        <f t="array" aca="1" ref="N391" ca="1">INDIRECT(CONCATENATE("'",$A$350,"'!l",B391),1)</f>
        <v>Алексеев П.С.</v>
      </c>
      <c r="O391" s="1" cm="1">
        <f t="array" aca="1" ref="O391" ca="1">INDIRECT(CONCATENATE("'",$A$350,"'!m",B391),1)</f>
        <v>2407</v>
      </c>
      <c r="P391" s="1" t="str" cm="1">
        <f t="array" aca="1" ref="P391" ca="1">INDIRECT(CONCATENATE("'",$A$350,"'!n",B391),1)</f>
        <v>уст.</v>
      </c>
      <c r="Q391" s="1" cm="1">
        <f t="array" aca="1" ref="Q391" ca="1">INDIRECT(CONCATENATE("'",$A$350,"'!o",B391),1)</f>
        <v>0</v>
      </c>
      <c r="R391" s="1" cm="1">
        <f t="array" aca="1" ref="R391" ca="1">INDIRECT(CONCATENATE("'",$A$350,"'!p",B391),1)</f>
        <v>0</v>
      </c>
      <c r="S391" s="1">
        <f t="shared" ca="1" si="30"/>
        <v>0</v>
      </c>
      <c r="T391" s="1" t="str" cm="1">
        <f t="array" aca="1" ref="T391" ca="1">INDIRECT(CONCATENATE("'",$A$350,"'!q",B391),1)</f>
        <v>Алексеев П.С.</v>
      </c>
      <c r="U391" s="1" cm="1">
        <f t="array" aca="1" ref="U391" ca="1">INDIRECT(CONCATENATE("'",$A$350,"'!r",B391),1)</f>
        <v>0</v>
      </c>
      <c r="V391" s="1" cm="1">
        <f t="array" aca="1" ref="V391" ca="1">INDIRECT(CONCATENATE("'",$A$350,"'!s",B391),1)</f>
        <v>0</v>
      </c>
      <c r="W391" s="1" cm="1">
        <f t="array" aca="1" ref="W391" ca="1">INDIRECT(CONCATENATE("'",$A$350,"'!t",B391),1)</f>
        <v>0</v>
      </c>
      <c r="X391" s="1" cm="1">
        <f t="array" aca="1" ref="X391" ca="1">INDIRECT(CONCATENATE("'",$A$350,"'!u",B391),1)</f>
        <v>0</v>
      </c>
      <c r="Y391" s="1" cm="1">
        <f t="array" aca="1" ref="Y391" ca="1">INDIRECT(CONCATENATE("'",$A$350,"'!v",B391),1)</f>
        <v>0</v>
      </c>
    </row>
    <row r="392" spans="2:25" ht="33.75" hidden="1" x14ac:dyDescent="0.25">
      <c r="B392" s="24">
        <f t="shared" si="31"/>
        <v>44</v>
      </c>
      <c r="C392" s="1" t="str" cm="1">
        <f t="array" aca="1" ref="C392" ca="1">INDIRECT(CONCATENATE("'",$A$350,"'!A",B392),1)</f>
        <v>Практика учебная: практика проектно-технологическая</v>
      </c>
      <c r="D392" s="1" t="str" cm="1">
        <f t="array" aca="1" ref="D392" ca="1">INDIRECT(CONCATENATE("'",$A$350,"'!B",B392),1)</f>
        <v>09.03.01(09)</v>
      </c>
      <c r="E392" s="1" t="str" cm="1">
        <f t="array" aca="1" ref="E392" ca="1">INDIRECT(CONCATENATE("'",$A$350,"'!c",B392),1)</f>
        <v>3091з</v>
      </c>
      <c r="F392" s="1" cm="1">
        <f t="array" aca="1" ref="F392" ca="1">INDIRECT(CONCATENATE("'",$A$350,"'!d",B392),1)</f>
        <v>6</v>
      </c>
      <c r="G392" s="1" cm="1">
        <f t="array" aca="1" ref="G392" ca="1">INDIRECT(CONCATENATE("'",$A$350,"'!e",B392),1)</f>
        <v>1</v>
      </c>
      <c r="H392" s="1" cm="1">
        <f t="array" aca="1" ref="H392" ca="1">INDIRECT(CONCATENATE("'",$A$350,"'!f",B392),1)</f>
        <v>15</v>
      </c>
      <c r="I392" s="1" t="str" cm="1">
        <f t="array" aca="1" ref="I392" ca="1">INDIRECT(CONCATENATE("'",$A$350,"'!g",B392),1)</f>
        <v>ДЗ</v>
      </c>
      <c r="J392" s="1" cm="1">
        <f t="array" aca="1" ref="J392" ca="1">INDIRECT(CONCATENATE("'",$A$350,"'!h",B392),1)</f>
        <v>1</v>
      </c>
      <c r="K392" s="1" cm="1">
        <f t="array" aca="1" ref="K392" ca="1">INDIRECT(CONCATENATE("'",$A$350,"'!i",B392),1)</f>
        <v>0</v>
      </c>
      <c r="L392" s="1" cm="1">
        <f t="array" aca="1" ref="L392" ca="1">INDIRECT(CONCATENATE("'",$A$350,"'!j",B392),1)</f>
        <v>2</v>
      </c>
      <c r="M392" s="1" cm="1">
        <f t="array" aca="1" ref="M392" ca="1">INDIRECT(CONCATENATE("'",$A$350,"'!k",B392),1)</f>
        <v>0</v>
      </c>
      <c r="N392" s="1" t="str" cm="1">
        <f t="array" aca="1" ref="N392" ca="1">INDIRECT(CONCATENATE("'",$A$350,"'!l",B392),1)</f>
        <v>Моркин С.А.</v>
      </c>
      <c r="O392" s="1" cm="1">
        <f t="array" aca="1" ref="O392" ca="1">INDIRECT(CONCATENATE("'",$A$350,"'!m",B392),1)</f>
        <v>3312</v>
      </c>
      <c r="P392" s="1" t="str" cm="1">
        <f t="array" aca="1" ref="P392" ca="1">INDIRECT(CONCATENATE("'",$A$350,"'!n",B392),1)</f>
        <v>1п</v>
      </c>
      <c r="Q392" s="1" cm="1">
        <f t="array" aca="1" ref="Q392" ca="1">INDIRECT(CONCATENATE("'",$A$350,"'!o",B392),1)</f>
        <v>4.5</v>
      </c>
      <c r="R392" s="1" cm="1">
        <f t="array" aca="1" ref="R392" ca="1">INDIRECT(CONCATENATE("'",$A$350,"'!p",B392),1)</f>
        <v>0</v>
      </c>
      <c r="S392" s="1">
        <f t="shared" ca="1" si="30"/>
        <v>0</v>
      </c>
      <c r="T392" s="1" t="str" cm="1">
        <f t="array" aca="1" ref="T392" ca="1">INDIRECT(CONCATENATE("'",$A$350,"'!q",B392),1)</f>
        <v>Моркин С.А.</v>
      </c>
      <c r="U392" s="1" cm="1">
        <f t="array" aca="1" ref="U392" ca="1">INDIRECT(CONCATENATE("'",$A$350,"'!r",B392),1)</f>
        <v>4.5</v>
      </c>
      <c r="V392" s="1" cm="1">
        <f t="array" aca="1" ref="V392" ca="1">INDIRECT(CONCATENATE("'",$A$350,"'!s",B392),1)</f>
        <v>0</v>
      </c>
      <c r="W392" s="1" cm="1">
        <f t="array" aca="1" ref="W392" ca="1">INDIRECT(CONCATENATE("'",$A$350,"'!t",B392),1)</f>
        <v>0</v>
      </c>
      <c r="X392" s="1" cm="1">
        <f t="array" aca="1" ref="X392" ca="1">INDIRECT(CONCATENATE("'",$A$350,"'!u",B392),1)</f>
        <v>0</v>
      </c>
      <c r="Y392" s="1" cm="1">
        <f t="array" aca="1" ref="Y392" ca="1">INDIRECT(CONCATENATE("'",$A$350,"'!v",B392),1)</f>
        <v>0</v>
      </c>
    </row>
    <row r="393" spans="2:25" ht="45" hidden="1" x14ac:dyDescent="0.25">
      <c r="B393" s="24">
        <f t="shared" si="31"/>
        <v>45</v>
      </c>
      <c r="C393" s="1" t="str" cm="1">
        <f t="array" aca="1" ref="C393" ca="1">INDIRECT(CONCATENATE("'",$A$350,"'!A",B393),1)</f>
        <v>Практика учебная: Практика проектно-технологическая(установ.)</v>
      </c>
      <c r="D393" s="1" t="str" cm="1">
        <f t="array" aca="1" ref="D393" ca="1">INDIRECT(CONCATENATE("'",$A$350,"'!B",B393),1)</f>
        <v>09.03.01(09)</v>
      </c>
      <c r="E393" s="1" t="str" cm="1">
        <f t="array" aca="1" ref="E393" ca="1">INDIRECT(CONCATENATE("'",$A$350,"'!c",B393),1)</f>
        <v>3091з</v>
      </c>
      <c r="F393" s="1" cm="1">
        <f t="array" aca="1" ref="F393" ca="1">INDIRECT(CONCATENATE("'",$A$350,"'!d",B393),1)</f>
        <v>6</v>
      </c>
      <c r="G393" s="1" cm="1">
        <f t="array" aca="1" ref="G393" ca="1">INDIRECT(CONCATENATE("'",$A$350,"'!e",B393),1)</f>
        <v>1</v>
      </c>
      <c r="H393" s="1" cm="1">
        <f t="array" aca="1" ref="H393" ca="1">INDIRECT(CONCATENATE("'",$A$350,"'!f",B393),1)</f>
        <v>15</v>
      </c>
      <c r="I393" s="1" t="str" cm="1">
        <f t="array" aca="1" ref="I393" ca="1">INDIRECT(CONCATENATE("'",$A$350,"'!g",B393),1)</f>
        <v>ДЗ</v>
      </c>
      <c r="J393" s="1" cm="1">
        <f t="array" aca="1" ref="J393" ca="1">INDIRECT(CONCATENATE("'",$A$350,"'!h",B393),1)</f>
        <v>1</v>
      </c>
      <c r="K393" s="1" cm="1">
        <f t="array" aca="1" ref="K393" ca="1">INDIRECT(CONCATENATE("'",$A$350,"'!i",B393),1)</f>
        <v>0</v>
      </c>
      <c r="L393" s="1" cm="1">
        <f t="array" aca="1" ref="L393" ca="1">INDIRECT(CONCATENATE("'",$A$350,"'!j",B393),1)</f>
        <v>1</v>
      </c>
      <c r="M393" s="1" cm="1">
        <f t="array" aca="1" ref="M393" ca="1">INDIRECT(CONCATENATE("'",$A$350,"'!k",B393),1)</f>
        <v>0</v>
      </c>
      <c r="N393" s="1" t="str" cm="1">
        <f t="array" aca="1" ref="N393" ca="1">INDIRECT(CONCATENATE("'",$A$350,"'!l",B393),1)</f>
        <v>Моркин С.А.</v>
      </c>
      <c r="O393" s="1" cm="1">
        <f t="array" aca="1" ref="O393" ca="1">INDIRECT(CONCATENATE("'",$A$350,"'!m",B393),1)</f>
        <v>3312.3314999999998</v>
      </c>
      <c r="P393" s="1" t="str" cm="1">
        <f t="array" aca="1" ref="P393" ca="1">INDIRECT(CONCATENATE("'",$A$350,"'!n",B393),1)</f>
        <v>уст.</v>
      </c>
      <c r="Q393" s="1" cm="1">
        <f t="array" aca="1" ref="Q393" ca="1">INDIRECT(CONCATENATE("'",$A$350,"'!o",B393),1)</f>
        <v>0</v>
      </c>
      <c r="R393" s="1" cm="1">
        <f t="array" aca="1" ref="R393" ca="1">INDIRECT(CONCATENATE("'",$A$350,"'!p",B393),1)</f>
        <v>0</v>
      </c>
      <c r="S393" s="1">
        <f t="shared" ca="1" si="30"/>
        <v>0</v>
      </c>
      <c r="T393" s="1" t="str" cm="1">
        <f t="array" aca="1" ref="T393" ca="1">INDIRECT(CONCATENATE("'",$A$350,"'!q",B393),1)</f>
        <v>Моркин С.А.</v>
      </c>
      <c r="U393" s="1" cm="1">
        <f t="array" aca="1" ref="U393" ca="1">INDIRECT(CONCATENATE("'",$A$350,"'!r",B393),1)</f>
        <v>0</v>
      </c>
      <c r="V393" s="1" cm="1">
        <f t="array" aca="1" ref="V393" ca="1">INDIRECT(CONCATENATE("'",$A$350,"'!s",B393),1)</f>
        <v>0</v>
      </c>
      <c r="W393" s="1" cm="1">
        <f t="array" aca="1" ref="W393" ca="1">INDIRECT(CONCATENATE("'",$A$350,"'!t",B393),1)</f>
        <v>0</v>
      </c>
      <c r="X393" s="1" cm="1">
        <f t="array" aca="1" ref="X393" ca="1">INDIRECT(CONCATENATE("'",$A$350,"'!u",B393),1)</f>
        <v>0</v>
      </c>
      <c r="Y393" s="1" cm="1">
        <f t="array" aca="1" ref="Y393" ca="1">INDIRECT(CONCATENATE("'",$A$350,"'!v",B393),1)</f>
        <v>0</v>
      </c>
    </row>
    <row r="394" spans="2:25" hidden="1" x14ac:dyDescent="0.25">
      <c r="B394" s="24">
        <f t="shared" si="31"/>
        <v>46</v>
      </c>
      <c r="C394" s="1" cm="1">
        <f t="array" aca="1" ref="C394" ca="1">INDIRECT(CONCATENATE("'",$A$350,"'!A",B394),1)</f>
        <v>0</v>
      </c>
      <c r="D394" s="1" cm="1">
        <f t="array" aca="1" ref="D394" ca="1">INDIRECT(CONCATENATE("'",$A$350,"'!B",B394),1)</f>
        <v>0</v>
      </c>
      <c r="E394" s="1" cm="1">
        <f t="array" aca="1" ref="E394" ca="1">INDIRECT(CONCATENATE("'",$A$350,"'!c",B394),1)</f>
        <v>0</v>
      </c>
      <c r="F394" s="1" cm="1">
        <f t="array" aca="1" ref="F394" ca="1">INDIRECT(CONCATENATE("'",$A$350,"'!d",B394),1)</f>
        <v>0</v>
      </c>
      <c r="G394" s="1" cm="1">
        <f t="array" aca="1" ref="G394" ca="1">INDIRECT(CONCATENATE("'",$A$350,"'!e",B394),1)</f>
        <v>0</v>
      </c>
      <c r="H394" s="1" cm="1">
        <f t="array" aca="1" ref="H394" ca="1">INDIRECT(CONCATENATE("'",$A$350,"'!f",B394),1)</f>
        <v>0</v>
      </c>
      <c r="I394" s="1" cm="1">
        <f t="array" aca="1" ref="I394" ca="1">INDIRECT(CONCATENATE("'",$A$350,"'!g",B394),1)</f>
        <v>0</v>
      </c>
      <c r="J394" s="1" cm="1">
        <f t="array" aca="1" ref="J394" ca="1">INDIRECT(CONCATENATE("'",$A$350,"'!h",B394),1)</f>
        <v>0</v>
      </c>
      <c r="K394" s="1" cm="1">
        <f t="array" aca="1" ref="K394" ca="1">INDIRECT(CONCATENATE("'",$A$350,"'!i",B394),1)</f>
        <v>0</v>
      </c>
      <c r="L394" s="1" cm="1">
        <f t="array" aca="1" ref="L394" ca="1">INDIRECT(CONCATENATE("'",$A$350,"'!j",B394),1)</f>
        <v>0</v>
      </c>
      <c r="M394" s="1" cm="1">
        <f t="array" aca="1" ref="M394" ca="1">INDIRECT(CONCATENATE("'",$A$350,"'!k",B394),1)</f>
        <v>0</v>
      </c>
      <c r="N394" s="1" t="str" cm="1">
        <f t="array" aca="1" ref="N394" ca="1">INDIRECT(CONCATENATE("'",$A$350,"'!l",B394),1)</f>
        <v/>
      </c>
      <c r="O394" s="1" cm="1">
        <f t="array" aca="1" ref="O394" ca="1">INDIRECT(CONCATENATE("'",$A$350,"'!m",B394),1)</f>
        <v>0</v>
      </c>
      <c r="P394" s="1" cm="1">
        <f t="array" aca="1" ref="P394" ca="1">INDIRECT(CONCATENATE("'",$A$350,"'!n",B394),1)</f>
        <v>0</v>
      </c>
      <c r="Q394" s="1" cm="1">
        <f t="array" aca="1" ref="Q394" ca="1">INDIRECT(CONCATENATE("'",$A$350,"'!o",B394),1)</f>
        <v>0</v>
      </c>
      <c r="R394" s="1" cm="1">
        <f t="array" aca="1" ref="R394" ca="1">INDIRECT(CONCATENATE("'",$A$350,"'!p",B394),1)</f>
        <v>0</v>
      </c>
      <c r="S394" s="1">
        <f t="shared" ca="1" si="30"/>
        <v>0</v>
      </c>
      <c r="T394" s="1" cm="1">
        <f t="array" aca="1" ref="T394" ca="1">INDIRECT(CONCATENATE("'",$A$350,"'!q",B394),1)</f>
        <v>0</v>
      </c>
      <c r="U394" s="1" cm="1">
        <f t="array" aca="1" ref="U394" ca="1">INDIRECT(CONCATENATE("'",$A$350,"'!r",B394),1)</f>
        <v>0</v>
      </c>
      <c r="V394" s="1" cm="1">
        <f t="array" aca="1" ref="V394" ca="1">INDIRECT(CONCATENATE("'",$A$350,"'!s",B394),1)</f>
        <v>0</v>
      </c>
      <c r="W394" s="1" cm="1">
        <f t="array" aca="1" ref="W394" ca="1">INDIRECT(CONCATENATE("'",$A$350,"'!t",B394),1)</f>
        <v>0</v>
      </c>
      <c r="X394" s="1" cm="1">
        <f t="array" aca="1" ref="X394" ca="1">INDIRECT(CONCATENATE("'",$A$350,"'!u",B394),1)</f>
        <v>0</v>
      </c>
      <c r="Y394" s="1" cm="1">
        <f t="array" aca="1" ref="Y394" ca="1">INDIRECT(CONCATENATE("'",$A$350,"'!v",B394),1)</f>
        <v>0</v>
      </c>
    </row>
    <row r="395" spans="2:25" ht="22.5" hidden="1" x14ac:dyDescent="0.25">
      <c r="B395" s="24">
        <f t="shared" si="31"/>
        <v>47</v>
      </c>
      <c r="C395" s="1" t="str" cm="1">
        <f t="array" aca="1" ref="C395" ca="1">INDIRECT(CONCATENATE("'",$A$350,"'!A",B395),1)</f>
        <v>Сети и телекоммуникации</v>
      </c>
      <c r="D395" s="1" t="str" cm="1">
        <f t="array" aca="1" ref="D395" ca="1">INDIRECT(CONCATENATE("'",$A$350,"'!B",B395),1)</f>
        <v>09.03.01(09)</v>
      </c>
      <c r="E395" s="1" t="str" cm="1">
        <f t="array" aca="1" ref="E395" ca="1">INDIRECT(CONCATENATE("'",$A$350,"'!c",B395),1)</f>
        <v>2091з</v>
      </c>
      <c r="F395" s="1" cm="1">
        <f t="array" aca="1" ref="F395" ca="1">INDIRECT(CONCATENATE("'",$A$350,"'!d",B395),1)</f>
        <v>7</v>
      </c>
      <c r="G395" s="1" cm="1">
        <f t="array" aca="1" ref="G395" ca="1">INDIRECT(CONCATENATE("'",$A$350,"'!e",B395),1)</f>
        <v>1</v>
      </c>
      <c r="H395" s="1" cm="1">
        <f t="array" aca="1" ref="H395" ca="1">INDIRECT(CONCATENATE("'",$A$350,"'!f",B395),1)</f>
        <v>11</v>
      </c>
      <c r="I395" s="1" t="str" cm="1">
        <f t="array" aca="1" ref="I395" ca="1">INDIRECT(CONCATENATE("'",$A$350,"'!g",B395),1)</f>
        <v>ДЗ</v>
      </c>
      <c r="J395" s="1" cm="1">
        <f t="array" aca="1" ref="J395" ca="1">INDIRECT(CONCATENATE("'",$A$350,"'!h",B395),1)</f>
        <v>4</v>
      </c>
      <c r="K395" s="1" cm="1">
        <f t="array" aca="1" ref="K395" ca="1">INDIRECT(CONCATENATE("'",$A$350,"'!i",B395),1)</f>
        <v>8</v>
      </c>
      <c r="L395" s="1" cm="1">
        <f t="array" aca="1" ref="L395" ca="1">INDIRECT(CONCATENATE("'",$A$350,"'!j",B395),1)</f>
        <v>0</v>
      </c>
      <c r="M395" s="1" cm="1">
        <f t="array" aca="1" ref="M395" ca="1">INDIRECT(CONCATENATE("'",$A$350,"'!k",B395),1)</f>
        <v>8</v>
      </c>
      <c r="N395" s="1" t="str" cm="1">
        <f t="array" aca="1" ref="N395" ca="1">INDIRECT(CONCATENATE("'",$A$350,"'!l",B395),1)</f>
        <v>Журавлева М.П.</v>
      </c>
      <c r="O395" s="1" cm="1">
        <f t="array" aca="1" ref="O395" ca="1">INDIRECT(CONCATENATE("'",$A$350,"'!m",B395),1)</f>
        <v>3300</v>
      </c>
      <c r="P395" s="1" t="str" cm="1">
        <f t="array" aca="1" ref="P395" ca="1">INDIRECT(CONCATENATE("'",$A$350,"'!n",B395),1)</f>
        <v>1п</v>
      </c>
      <c r="Q395" s="1" cm="1">
        <f t="array" aca="1" ref="Q395" ca="1">INDIRECT(CONCATENATE("'",$A$350,"'!o",B395),1)</f>
        <v>6.6</v>
      </c>
      <c r="R395" s="1" cm="1">
        <f t="array" aca="1" ref="R395" ca="1">INDIRECT(CONCATENATE("'",$A$350,"'!p",B395),1)</f>
        <v>0</v>
      </c>
      <c r="S395" s="1">
        <f t="shared" ca="1" si="30"/>
        <v>0</v>
      </c>
      <c r="T395" s="1" t="str" cm="1">
        <f t="array" aca="1" ref="T395" ca="1">INDIRECT(CONCATENATE("'",$A$350,"'!q",B395),1)</f>
        <v>Журавлева М.П.</v>
      </c>
      <c r="U395" s="1" cm="1">
        <f t="array" aca="1" ref="U395" ca="1">INDIRECT(CONCATENATE("'",$A$350,"'!r",B395),1)</f>
        <v>22.6</v>
      </c>
      <c r="V395" s="1" cm="1">
        <f t="array" aca="1" ref="V395" ca="1">INDIRECT(CONCATENATE("'",$A$350,"'!s",B395),1)</f>
        <v>0</v>
      </c>
      <c r="W395" s="1" cm="1">
        <f t="array" aca="1" ref="W395" ca="1">INDIRECT(CONCATENATE("'",$A$350,"'!t",B395),1)</f>
        <v>0</v>
      </c>
      <c r="X395" s="1" cm="1">
        <f t="array" aca="1" ref="X395" ca="1">INDIRECT(CONCATENATE("'",$A$350,"'!u",B395),1)</f>
        <v>0</v>
      </c>
      <c r="Y395" s="1" cm="1">
        <f t="array" aca="1" ref="Y395" ca="1">INDIRECT(CONCATENATE("'",$A$350,"'!v",B395),1)</f>
        <v>0</v>
      </c>
    </row>
    <row r="396" spans="2:25" hidden="1" x14ac:dyDescent="0.25">
      <c r="B396" s="24">
        <f t="shared" si="31"/>
        <v>48</v>
      </c>
      <c r="C396" s="1" t="str" cm="1">
        <f t="array" aca="1" ref="C396" ca="1">INDIRECT(CONCATENATE("'",$A$350,"'!A",B396),1)</f>
        <v>Моделирование систем</v>
      </c>
      <c r="D396" s="1" t="str" cm="1">
        <f t="array" aca="1" ref="D396" ca="1">INDIRECT(CONCATENATE("'",$A$350,"'!B",B396),1)</f>
        <v>09.03.01(09)</v>
      </c>
      <c r="E396" s="1" t="str" cm="1">
        <f t="array" aca="1" ref="E396" ca="1">INDIRECT(CONCATENATE("'",$A$350,"'!c",B396),1)</f>
        <v>2091з</v>
      </c>
      <c r="F396" s="1" cm="1">
        <f t="array" aca="1" ref="F396" ca="1">INDIRECT(CONCATENATE("'",$A$350,"'!d",B396),1)</f>
        <v>7</v>
      </c>
      <c r="G396" s="1" cm="1">
        <f t="array" aca="1" ref="G396" ca="1">INDIRECT(CONCATENATE("'",$A$350,"'!e",B396),1)</f>
        <v>1</v>
      </c>
      <c r="H396" s="1" cm="1">
        <f t="array" aca="1" ref="H396" ca="1">INDIRECT(CONCATENATE("'",$A$350,"'!f",B396),1)</f>
        <v>11</v>
      </c>
      <c r="I396" s="1" t="str" cm="1">
        <f t="array" aca="1" ref="I396" ca="1">INDIRECT(CONCATENATE("'",$A$350,"'!g",B396),1)</f>
        <v>ДЗ</v>
      </c>
      <c r="J396" s="1" cm="1">
        <f t="array" aca="1" ref="J396" ca="1">INDIRECT(CONCATENATE("'",$A$350,"'!h",B396),1)</f>
        <v>5</v>
      </c>
      <c r="K396" s="1" cm="1">
        <f t="array" aca="1" ref="K396" ca="1">INDIRECT(CONCATENATE("'",$A$350,"'!i",B396),1)</f>
        <v>4</v>
      </c>
      <c r="L396" s="1" cm="1">
        <f t="array" aca="1" ref="L396" ca="1">INDIRECT(CONCATENATE("'",$A$350,"'!j",B396),1)</f>
        <v>0</v>
      </c>
      <c r="M396" s="1" cm="1">
        <f t="array" aca="1" ref="M396" ca="1">INDIRECT(CONCATENATE("'",$A$350,"'!k",B396),1)</f>
        <v>12</v>
      </c>
      <c r="N396" s="1" t="str" cm="1">
        <f t="array" aca="1" ref="N396" ca="1">INDIRECT(CONCATENATE("'",$A$350,"'!l",B396),1)</f>
        <v>Эминов С.И.</v>
      </c>
      <c r="O396" s="1" cm="1">
        <f t="array" aca="1" ref="O396" ca="1">INDIRECT(CONCATENATE("'",$A$350,"'!m",B396),1)</f>
        <v>3315</v>
      </c>
      <c r="P396" s="1" t="str" cm="1">
        <f t="array" aca="1" ref="P396" ca="1">INDIRECT(CONCATENATE("'",$A$350,"'!n",B396),1)</f>
        <v>1п</v>
      </c>
      <c r="Q396" s="1" cm="1">
        <f t="array" aca="1" ref="Q396" ca="1">INDIRECT(CONCATENATE("'",$A$350,"'!o",B396),1)</f>
        <v>6.6</v>
      </c>
      <c r="R396" s="1" cm="1">
        <f t="array" aca="1" ref="R396" ca="1">INDIRECT(CONCATENATE("'",$A$350,"'!p",B396),1)</f>
        <v>0</v>
      </c>
      <c r="S396" s="1">
        <f t="shared" ca="1" si="30"/>
        <v>0</v>
      </c>
      <c r="T396" s="1" t="str" cm="1">
        <f t="array" aca="1" ref="T396" ca="1">INDIRECT(CONCATENATE("'",$A$350,"'!q",B396),1)</f>
        <v>Эминов С.И.</v>
      </c>
      <c r="U396" s="1" cm="1">
        <f t="array" aca="1" ref="U396" ca="1">INDIRECT(CONCATENATE("'",$A$350,"'!r",B396),1)</f>
        <v>22.6</v>
      </c>
      <c r="V396" s="1" cm="1">
        <f t="array" aca="1" ref="V396" ca="1">INDIRECT(CONCATENATE("'",$A$350,"'!s",B396),1)</f>
        <v>0</v>
      </c>
      <c r="W396" s="1" cm="1">
        <f t="array" aca="1" ref="W396" ca="1">INDIRECT(CONCATENATE("'",$A$350,"'!t",B396),1)</f>
        <v>0</v>
      </c>
      <c r="X396" s="1" cm="1">
        <f t="array" aca="1" ref="X396" ca="1">INDIRECT(CONCATENATE("'",$A$350,"'!u",B396),1)</f>
        <v>0</v>
      </c>
      <c r="Y396" s="1" cm="1">
        <f t="array" aca="1" ref="Y396" ca="1">INDIRECT(CONCATENATE("'",$A$350,"'!v",B396),1)</f>
        <v>0</v>
      </c>
    </row>
    <row r="397" spans="2:25" ht="22.5" hidden="1" x14ac:dyDescent="0.25">
      <c r="B397" s="24">
        <f t="shared" si="31"/>
        <v>49</v>
      </c>
      <c r="C397" s="1" t="str" cm="1">
        <f t="array" aca="1" ref="C397" ca="1">INDIRECT(CONCATENATE("'",$A$350,"'!A",B397),1)</f>
        <v>Системы искусственного интеллекта(установ.)</v>
      </c>
      <c r="D397" s="1" t="str" cm="1">
        <f t="array" aca="1" ref="D397" ca="1">INDIRECT(CONCATENATE("'",$A$350,"'!B",B397),1)</f>
        <v>09.03.01(09)</v>
      </c>
      <c r="E397" s="1" t="str" cm="1">
        <f t="array" aca="1" ref="E397" ca="1">INDIRECT(CONCATENATE("'",$A$350,"'!c",B397),1)</f>
        <v>2091з</v>
      </c>
      <c r="F397" s="1" cm="1">
        <f t="array" aca="1" ref="F397" ca="1">INDIRECT(CONCATENATE("'",$A$350,"'!d",B397),1)</f>
        <v>7</v>
      </c>
      <c r="G397" s="1" cm="1">
        <f t="array" aca="1" ref="G397" ca="1">INDIRECT(CONCATENATE("'",$A$350,"'!e",B397),1)</f>
        <v>1</v>
      </c>
      <c r="H397" s="1" cm="1">
        <f t="array" aca="1" ref="H397" ca="1">INDIRECT(CONCATENATE("'",$A$350,"'!f",B397),1)</f>
        <v>11</v>
      </c>
      <c r="I397" s="1" cm="1">
        <f t="array" aca="1" ref="I397" ca="1">INDIRECT(CONCATENATE("'",$A$350,"'!g",B397),1)</f>
        <v>0</v>
      </c>
      <c r="J397" s="1" cm="1">
        <f t="array" aca="1" ref="J397" ca="1">INDIRECT(CONCATENATE("'",$A$350,"'!h",B397),1)</f>
        <v>0</v>
      </c>
      <c r="K397" s="1" cm="1">
        <f t="array" aca="1" ref="K397" ca="1">INDIRECT(CONCATENATE("'",$A$350,"'!i",B397),1)</f>
        <v>2</v>
      </c>
      <c r="L397" s="1" cm="1">
        <f t="array" aca="1" ref="L397" ca="1">INDIRECT(CONCATENATE("'",$A$350,"'!j",B397),1)</f>
        <v>0</v>
      </c>
      <c r="M397" s="1" cm="1">
        <f t="array" aca="1" ref="M397" ca="1">INDIRECT(CONCATENATE("'",$A$350,"'!k",B397),1)</f>
        <v>0</v>
      </c>
      <c r="N397" s="1" t="str" cm="1">
        <f t="array" aca="1" ref="N397" ca="1">INDIRECT(CONCATENATE("'",$A$350,"'!l",B397),1)</f>
        <v>Михайлов Д.В.</v>
      </c>
      <c r="O397" s="1" cm="1">
        <f t="array" aca="1" ref="O397" ca="1">INDIRECT(CONCATENATE("'",$A$350,"'!m",B397),1)</f>
        <v>3305</v>
      </c>
      <c r="P397" s="1" t="str" cm="1">
        <f t="array" aca="1" ref="P397" ca="1">INDIRECT(CONCATENATE("'",$A$350,"'!n",B397),1)</f>
        <v>уст.</v>
      </c>
      <c r="Q397" s="1" cm="1">
        <f t="array" aca="1" ref="Q397" ca="1">INDIRECT(CONCATENATE("'",$A$350,"'!o",B397),1)</f>
        <v>0</v>
      </c>
      <c r="R397" s="1" cm="1">
        <f t="array" aca="1" ref="R397" ca="1">INDIRECT(CONCATENATE("'",$A$350,"'!p",B397),1)</f>
        <v>0</v>
      </c>
      <c r="S397" s="1">
        <f t="shared" ca="1" si="30"/>
        <v>0</v>
      </c>
      <c r="T397" s="1" t="str" cm="1">
        <f t="array" aca="1" ref="T397" ca="1">INDIRECT(CONCATENATE("'",$A$350,"'!q",B397),1)</f>
        <v>Михайлов Д.В.</v>
      </c>
      <c r="U397" s="1" cm="1">
        <f t="array" aca="1" ref="U397" ca="1">INDIRECT(CONCATENATE("'",$A$350,"'!r",B397),1)</f>
        <v>0</v>
      </c>
      <c r="V397" s="1" cm="1">
        <f t="array" aca="1" ref="V397" ca="1">INDIRECT(CONCATENATE("'",$A$350,"'!s",B397),1)</f>
        <v>0</v>
      </c>
      <c r="W397" s="1" cm="1">
        <f t="array" aca="1" ref="W397" ca="1">INDIRECT(CONCATENATE("'",$A$350,"'!t",B397),1)</f>
        <v>0</v>
      </c>
      <c r="X397" s="1" cm="1">
        <f t="array" aca="1" ref="X397" ca="1">INDIRECT(CONCATENATE("'",$A$350,"'!u",B397),1)</f>
        <v>0</v>
      </c>
      <c r="Y397" s="1" cm="1">
        <f t="array" aca="1" ref="Y397" ca="1">INDIRECT(CONCATENATE("'",$A$350,"'!v",B397),1)</f>
        <v>0</v>
      </c>
    </row>
    <row r="398" spans="2:25" ht="33.75" hidden="1" x14ac:dyDescent="0.25">
      <c r="B398" s="24">
        <f t="shared" si="31"/>
        <v>50</v>
      </c>
      <c r="C398" s="1" t="str" cm="1">
        <f t="array" aca="1" ref="C398" ca="1">INDIRECT(CONCATENATE("'",$A$350,"'!A",B398),1)</f>
        <v>Проектирование информационных систем(установ.)</v>
      </c>
      <c r="D398" s="1" t="str" cm="1">
        <f t="array" aca="1" ref="D398" ca="1">INDIRECT(CONCATENATE("'",$A$350,"'!B",B398),1)</f>
        <v>09.03.01(09)</v>
      </c>
      <c r="E398" s="1" t="str" cm="1">
        <f t="array" aca="1" ref="E398" ca="1">INDIRECT(CONCATENATE("'",$A$350,"'!c",B398),1)</f>
        <v>2091з</v>
      </c>
      <c r="F398" s="1" cm="1">
        <f t="array" aca="1" ref="F398" ca="1">INDIRECT(CONCATENATE("'",$A$350,"'!d",B398),1)</f>
        <v>7</v>
      </c>
      <c r="G398" s="1" cm="1">
        <f t="array" aca="1" ref="G398" ca="1">INDIRECT(CONCATENATE("'",$A$350,"'!e",B398),1)</f>
        <v>1</v>
      </c>
      <c r="H398" s="1" cm="1">
        <f t="array" aca="1" ref="H398" ca="1">INDIRECT(CONCATENATE("'",$A$350,"'!f",B398),1)</f>
        <v>11</v>
      </c>
      <c r="I398" s="1" cm="1">
        <f t="array" aca="1" ref="I398" ca="1">INDIRECT(CONCATENATE("'",$A$350,"'!g",B398),1)</f>
        <v>0</v>
      </c>
      <c r="J398" s="1" cm="1">
        <f t="array" aca="1" ref="J398" ca="1">INDIRECT(CONCATENATE("'",$A$350,"'!h",B398),1)</f>
        <v>0</v>
      </c>
      <c r="K398" s="1" cm="1">
        <f t="array" aca="1" ref="K398" ca="1">INDIRECT(CONCATENATE("'",$A$350,"'!i",B398),1)</f>
        <v>2</v>
      </c>
      <c r="L398" s="1" cm="1">
        <f t="array" aca="1" ref="L398" ca="1">INDIRECT(CONCATENATE("'",$A$350,"'!j",B398),1)</f>
        <v>0</v>
      </c>
      <c r="M398" s="1" cm="1">
        <f t="array" aca="1" ref="M398" ca="1">INDIRECT(CONCATENATE("'",$A$350,"'!k",B398),1)</f>
        <v>0</v>
      </c>
      <c r="N398" s="1" t="str" cm="1">
        <f t="array" aca="1" ref="N398" ca="1">INDIRECT(CONCATENATE("'",$A$350,"'!l",B398),1)</f>
        <v>Цымбалюк Л.Н.</v>
      </c>
      <c r="O398" s="1" cm="1">
        <f t="array" aca="1" ref="O398" ca="1">INDIRECT(CONCATENATE("'",$A$350,"'!m",B398),1)</f>
        <v>3305</v>
      </c>
      <c r="P398" s="1" t="str" cm="1">
        <f t="array" aca="1" ref="P398" ca="1">INDIRECT(CONCATENATE("'",$A$350,"'!n",B398),1)</f>
        <v>уст.</v>
      </c>
      <c r="Q398" s="1" cm="1">
        <f t="array" aca="1" ref="Q398" ca="1">INDIRECT(CONCATENATE("'",$A$350,"'!o",B398),1)</f>
        <v>0</v>
      </c>
      <c r="R398" s="1" cm="1">
        <f t="array" aca="1" ref="R398" ca="1">INDIRECT(CONCATENATE("'",$A$350,"'!p",B398),1)</f>
        <v>0</v>
      </c>
      <c r="S398" s="1">
        <f t="shared" ca="1" si="30"/>
        <v>0</v>
      </c>
      <c r="T398" s="1" t="str" cm="1">
        <f t="array" aca="1" ref="T398" ca="1">INDIRECT(CONCATENATE("'",$A$350,"'!q",B398),1)</f>
        <v>Цымбалюк Л.Н.</v>
      </c>
      <c r="U398" s="1" cm="1">
        <f t="array" aca="1" ref="U398" ca="1">INDIRECT(CONCATENATE("'",$A$350,"'!r",B398),1)</f>
        <v>0</v>
      </c>
      <c r="V398" s="1" cm="1">
        <f t="array" aca="1" ref="V398" ca="1">INDIRECT(CONCATENATE("'",$A$350,"'!s",B398),1)</f>
        <v>0</v>
      </c>
      <c r="W398" s="1" cm="1">
        <f t="array" aca="1" ref="W398" ca="1">INDIRECT(CONCATENATE("'",$A$350,"'!t",B398),1)</f>
        <v>0</v>
      </c>
      <c r="X398" s="1" cm="1">
        <f t="array" aca="1" ref="X398" ca="1">INDIRECT(CONCATENATE("'",$A$350,"'!u",B398),1)</f>
        <v>0</v>
      </c>
      <c r="Y398" s="1" cm="1">
        <f t="array" aca="1" ref="Y398" ca="1">INDIRECT(CONCATENATE("'",$A$350,"'!v",B398),1)</f>
        <v>0</v>
      </c>
    </row>
    <row r="399" spans="2:25" ht="33.75" hidden="1" x14ac:dyDescent="0.25">
      <c r="B399" s="24">
        <f t="shared" si="31"/>
        <v>51</v>
      </c>
      <c r="C399" s="1" t="str" cm="1">
        <f t="array" aca="1" ref="C399" ca="1">INDIRECT(CONCATENATE("'",$A$350,"'!A",B399),1)</f>
        <v>Инженерная и компьютерная графика(установ.)</v>
      </c>
      <c r="D399" s="1" t="str" cm="1">
        <f t="array" aca="1" ref="D399" ca="1">INDIRECT(CONCATENATE("'",$A$350,"'!B",B399),1)</f>
        <v>09.03.01(09)</v>
      </c>
      <c r="E399" s="1" t="str" cm="1">
        <f t="array" aca="1" ref="E399" ca="1">INDIRECT(CONCATENATE("'",$A$350,"'!c",B399),1)</f>
        <v>2091з</v>
      </c>
      <c r="F399" s="1" cm="1">
        <f t="array" aca="1" ref="F399" ca="1">INDIRECT(CONCATENATE("'",$A$350,"'!d",B399),1)</f>
        <v>7</v>
      </c>
      <c r="G399" s="1" cm="1">
        <f t="array" aca="1" ref="G399" ca="1">INDIRECT(CONCATENATE("'",$A$350,"'!e",B399),1)</f>
        <v>1</v>
      </c>
      <c r="H399" s="1" cm="1">
        <f t="array" aca="1" ref="H399" ca="1">INDIRECT(CONCATENATE("'",$A$350,"'!f",B399),1)</f>
        <v>11</v>
      </c>
      <c r="I399" s="1" cm="1">
        <f t="array" aca="1" ref="I399" ca="1">INDIRECT(CONCATENATE("'",$A$350,"'!g",B399),1)</f>
        <v>0</v>
      </c>
      <c r="J399" s="1" cm="1">
        <f t="array" aca="1" ref="J399" ca="1">INDIRECT(CONCATENATE("'",$A$350,"'!h",B399),1)</f>
        <v>0</v>
      </c>
      <c r="K399" s="1" cm="1">
        <f t="array" aca="1" ref="K399" ca="1">INDIRECT(CONCATENATE("'",$A$350,"'!i",B399),1)</f>
        <v>2</v>
      </c>
      <c r="L399" s="1" cm="1">
        <f t="array" aca="1" ref="L399" ca="1">INDIRECT(CONCATENATE("'",$A$350,"'!j",B399),1)</f>
        <v>0</v>
      </c>
      <c r="M399" s="1" cm="1">
        <f t="array" aca="1" ref="M399" ca="1">INDIRECT(CONCATENATE("'",$A$350,"'!k",B399),1)</f>
        <v>0</v>
      </c>
      <c r="N399" s="1" t="str" cm="1">
        <f t="array" aca="1" ref="N399" ca="1">INDIRECT(CONCATENATE("'",$A$350,"'!l",B399),1)</f>
        <v>Гареева Т.Ю.</v>
      </c>
      <c r="O399" s="1" cm="1">
        <f t="array" aca="1" ref="O399" ca="1">INDIRECT(CONCATENATE("'",$A$350,"'!m",B399),1)</f>
        <v>3305</v>
      </c>
      <c r="P399" s="1" t="str" cm="1">
        <f t="array" aca="1" ref="P399" ca="1">INDIRECT(CONCATENATE("'",$A$350,"'!n",B399),1)</f>
        <v>уст.</v>
      </c>
      <c r="Q399" s="1" cm="1">
        <f t="array" aca="1" ref="Q399" ca="1">INDIRECT(CONCATENATE("'",$A$350,"'!o",B399),1)</f>
        <v>0</v>
      </c>
      <c r="R399" s="1" cm="1">
        <f t="array" aca="1" ref="R399" ca="1">INDIRECT(CONCATENATE("'",$A$350,"'!p",B399),1)</f>
        <v>0</v>
      </c>
      <c r="S399" s="1">
        <f t="shared" ca="1" si="30"/>
        <v>0</v>
      </c>
      <c r="T399" s="1" t="str" cm="1">
        <f t="array" aca="1" ref="T399" ca="1">INDIRECT(CONCATENATE("'",$A$350,"'!q",B399),1)</f>
        <v>Гареева Т.Ю.</v>
      </c>
      <c r="U399" s="1" cm="1">
        <f t="array" aca="1" ref="U399" ca="1">INDIRECT(CONCATENATE("'",$A$350,"'!r",B399),1)</f>
        <v>0</v>
      </c>
      <c r="V399" s="1" cm="1">
        <f t="array" aca="1" ref="V399" ca="1">INDIRECT(CONCATENATE("'",$A$350,"'!s",B399),1)</f>
        <v>0</v>
      </c>
      <c r="W399" s="1" cm="1">
        <f t="array" aca="1" ref="W399" ca="1">INDIRECT(CONCATENATE("'",$A$350,"'!t",B399),1)</f>
        <v>0</v>
      </c>
      <c r="X399" s="1" cm="1">
        <f t="array" aca="1" ref="X399" ca="1">INDIRECT(CONCATENATE("'",$A$350,"'!u",B399),1)</f>
        <v>0</v>
      </c>
      <c r="Y399" s="1" cm="1">
        <f t="array" aca="1" ref="Y399" ca="1">INDIRECT(CONCATENATE("'",$A$350,"'!v",B399),1)</f>
        <v>0</v>
      </c>
    </row>
    <row r="400" spans="2:25" ht="45" x14ac:dyDescent="0.25">
      <c r="B400" s="24">
        <f t="shared" si="31"/>
        <v>52</v>
      </c>
      <c r="C400" s="1" t="str" cm="1">
        <f t="array" aca="1" ref="C400" ca="1">INDIRECT(CONCATENATE("'",$A$350,"'!A",B400),1)</f>
        <v>Технические и программные средства информатизации(установ.)</v>
      </c>
      <c r="D400" s="1" t="str" cm="1">
        <f t="array" aca="1" ref="D400" ca="1">INDIRECT(CONCATENATE("'",$A$350,"'!B",B400),1)</f>
        <v>09.03.01(09)</v>
      </c>
      <c r="E400" s="1" t="str" cm="1">
        <f t="array" aca="1" ref="E400" ca="1">INDIRECT(CONCATENATE("'",$A$350,"'!c",B400),1)</f>
        <v>2091з</v>
      </c>
      <c r="F400" s="1" cm="1">
        <f t="array" aca="1" ref="F400" ca="1">INDIRECT(CONCATENATE("'",$A$350,"'!d",B400),1)</f>
        <v>7</v>
      </c>
      <c r="G400" s="1" cm="1">
        <f t="array" aca="1" ref="G400" ca="1">INDIRECT(CONCATENATE("'",$A$350,"'!e",B400),1)</f>
        <v>1</v>
      </c>
      <c r="H400" s="1" cm="1">
        <f t="array" aca="1" ref="H400" ca="1">INDIRECT(CONCATENATE("'",$A$350,"'!f",B400),1)</f>
        <v>11</v>
      </c>
      <c r="I400" s="1" cm="1">
        <f t="array" aca="1" ref="I400" ca="1">INDIRECT(CONCATENATE("'",$A$350,"'!g",B400),1)</f>
        <v>0</v>
      </c>
      <c r="J400" s="1" cm="1">
        <f t="array" aca="1" ref="J400" ca="1">INDIRECT(CONCATENATE("'",$A$350,"'!h",B400),1)</f>
        <v>0</v>
      </c>
      <c r="K400" s="1" cm="1">
        <f t="array" aca="1" ref="K400" ca="1">INDIRECT(CONCATENATE("'",$A$350,"'!i",B400),1)</f>
        <v>2</v>
      </c>
      <c r="L400" s="1" cm="1">
        <f t="array" aca="1" ref="L400" ca="1">INDIRECT(CONCATENATE("'",$A$350,"'!j",B400),1)</f>
        <v>0</v>
      </c>
      <c r="M400" s="1" cm="1">
        <f t="array" aca="1" ref="M400" ca="1">INDIRECT(CONCATENATE("'",$A$350,"'!k",B400),1)</f>
        <v>0</v>
      </c>
      <c r="N400" s="1" t="str" cm="1">
        <f t="array" aca="1" ref="N400" ca="1">INDIRECT(CONCATENATE("'",$A$350,"'!l",B400),1)</f>
        <v>Савинова М.А.</v>
      </c>
      <c r="O400" s="1" cm="1">
        <f t="array" aca="1" ref="O400" ca="1">INDIRECT(CONCATENATE("'",$A$350,"'!m",B400),1)</f>
        <v>3305</v>
      </c>
      <c r="P400" s="1" t="str" cm="1">
        <f t="array" aca="1" ref="P400" ca="1">INDIRECT(CONCATENATE("'",$A$350,"'!n",B400),1)</f>
        <v>уст.</v>
      </c>
      <c r="Q400" s="1" cm="1">
        <f t="array" aca="1" ref="Q400" ca="1">INDIRECT(CONCATENATE("'",$A$350,"'!o",B400),1)</f>
        <v>0</v>
      </c>
      <c r="R400" s="1" cm="1">
        <f t="array" aca="1" ref="R400" ca="1">INDIRECT(CONCATENATE("'",$A$350,"'!p",B400),1)</f>
        <v>0</v>
      </c>
      <c r="S400" s="1">
        <f t="shared" ca="1" si="30"/>
        <v>0</v>
      </c>
      <c r="T400" s="1" t="str" cm="1">
        <f t="array" aca="1" ref="T400" ca="1">INDIRECT(CONCATENATE("'",$A$350,"'!q",B400),1)</f>
        <v>Савинова М.А.</v>
      </c>
      <c r="U400" s="1" cm="1">
        <f t="array" aca="1" ref="U400" ca="1">INDIRECT(CONCATENATE("'",$A$350,"'!r",B400),1)</f>
        <v>0</v>
      </c>
      <c r="V400" s="1" cm="1">
        <f t="array" aca="1" ref="V400" ca="1">INDIRECT(CONCATENATE("'",$A$350,"'!s",B400),1)</f>
        <v>0</v>
      </c>
      <c r="W400" s="1" cm="1">
        <f t="array" aca="1" ref="W400" ca="1">INDIRECT(CONCATENATE("'",$A$350,"'!t",B400),1)</f>
        <v>0</v>
      </c>
      <c r="X400" s="1" cm="1">
        <f t="array" aca="1" ref="X400" ca="1">INDIRECT(CONCATENATE("'",$A$350,"'!u",B400),1)</f>
        <v>0</v>
      </c>
      <c r="Y400" s="1" cm="1">
        <f t="array" aca="1" ref="Y400" ca="1">INDIRECT(CONCATENATE("'",$A$350,"'!v",B400),1)</f>
        <v>0</v>
      </c>
    </row>
    <row r="401" spans="2:25" ht="22.5" hidden="1" x14ac:dyDescent="0.25">
      <c r="B401" s="24">
        <f t="shared" ref="B401:B449" si="32">B400+1</f>
        <v>53</v>
      </c>
      <c r="C401" s="1" t="str" cm="1">
        <f t="array" aca="1" ref="C401" ca="1">INDIRECT(CONCATENATE("'",$A$350,"'!A",B401),1)</f>
        <v>Машинное обучение и большие данные</v>
      </c>
      <c r="D401" s="1" t="str" cm="1">
        <f t="array" aca="1" ref="D401" ca="1">INDIRECT(CONCATENATE("'",$A$350,"'!B",B401),1)</f>
        <v>09.03.01(09)</v>
      </c>
      <c r="E401" s="1" t="str" cm="1">
        <f t="array" aca="1" ref="E401" ca="1">INDIRECT(CONCATENATE("'",$A$350,"'!c",B401),1)</f>
        <v>2091з</v>
      </c>
      <c r="F401" s="1" cm="1">
        <f t="array" aca="1" ref="F401" ca="1">INDIRECT(CONCATENATE("'",$A$350,"'!d",B401),1)</f>
        <v>7</v>
      </c>
      <c r="G401" s="1" cm="1">
        <f t="array" aca="1" ref="G401" ca="1">INDIRECT(CONCATENATE("'",$A$350,"'!e",B401),1)</f>
        <v>1</v>
      </c>
      <c r="H401" s="1" cm="1">
        <f t="array" aca="1" ref="H401" ca="1">INDIRECT(CONCATENATE("'",$A$350,"'!f",B401),1)</f>
        <v>11</v>
      </c>
      <c r="I401" s="1" t="str" cm="1">
        <f t="array" aca="1" ref="I401" ca="1">INDIRECT(CONCATENATE("'",$A$350,"'!g",B401),1)</f>
        <v>ЭКЗ</v>
      </c>
      <c r="J401" s="1" cm="1">
        <f t="array" aca="1" ref="J401" ca="1">INDIRECT(CONCATENATE("'",$A$350,"'!h",B401),1)</f>
        <v>4</v>
      </c>
      <c r="K401" s="1" cm="1">
        <f t="array" aca="1" ref="K401" ca="1">INDIRECT(CONCATENATE("'",$A$350,"'!i",B401),1)</f>
        <v>4</v>
      </c>
      <c r="L401" s="1" cm="1">
        <f t="array" aca="1" ref="L401" ca="1">INDIRECT(CONCATENATE("'",$A$350,"'!j",B401),1)</f>
        <v>0</v>
      </c>
      <c r="M401" s="1" cm="1">
        <f t="array" aca="1" ref="M401" ca="1">INDIRECT(CONCATENATE("'",$A$350,"'!k",B401),1)</f>
        <v>8</v>
      </c>
      <c r="N401" s="1" t="str" cm="1">
        <f t="array" aca="1" ref="N401" ca="1">INDIRECT(CONCATENATE("'",$A$350,"'!l",B401),1)</f>
        <v>Телина И.С.</v>
      </c>
      <c r="O401" s="1" cm="1">
        <f t="array" aca="1" ref="O401" ca="1">INDIRECT(CONCATENATE("'",$A$350,"'!m",B401),1)</f>
        <v>3300</v>
      </c>
      <c r="P401" s="1" t="str" cm="1">
        <f t="array" aca="1" ref="P401" ca="1">INDIRECT(CONCATENATE("'",$A$350,"'!n",B401),1)</f>
        <v>1п</v>
      </c>
      <c r="Q401" s="1" cm="1">
        <f t="array" aca="1" ref="Q401" ca="1">INDIRECT(CONCATENATE("'",$A$350,"'!o",B401),1)</f>
        <v>6.6</v>
      </c>
      <c r="R401" s="1" cm="1">
        <f t="array" aca="1" ref="R401" ca="1">INDIRECT(CONCATENATE("'",$A$350,"'!p",B401),1)</f>
        <v>4.4000000000000004</v>
      </c>
      <c r="S401" s="1">
        <f t="shared" ca="1" si="30"/>
        <v>0</v>
      </c>
      <c r="T401" s="1" t="str" cm="1">
        <f t="array" aca="1" ref="T401" ca="1">INDIRECT(CONCATENATE("'",$A$350,"'!q",B401),1)</f>
        <v>Телина И.С.</v>
      </c>
      <c r="U401" s="1" cm="1">
        <f t="array" aca="1" ref="U401" ca="1">INDIRECT(CONCATENATE("'",$A$350,"'!r",B401),1)</f>
        <v>23</v>
      </c>
      <c r="V401" s="1" cm="1">
        <f t="array" aca="1" ref="V401" ca="1">INDIRECT(CONCATENATE("'",$A$350,"'!s",B401),1)</f>
        <v>0</v>
      </c>
      <c r="W401" s="1" cm="1">
        <f t="array" aca="1" ref="W401" ca="1">INDIRECT(CONCATENATE("'",$A$350,"'!t",B401),1)</f>
        <v>0</v>
      </c>
      <c r="X401" s="1" cm="1">
        <f t="array" aca="1" ref="X401" ca="1">INDIRECT(CONCATENATE("'",$A$350,"'!u",B401),1)</f>
        <v>0</v>
      </c>
      <c r="Y401" s="1" cm="1">
        <f t="array" aca="1" ref="Y401" ca="1">INDIRECT(CONCATENATE("'",$A$350,"'!v",B401),1)</f>
        <v>0</v>
      </c>
    </row>
    <row r="402" spans="2:25" ht="22.5" hidden="1" x14ac:dyDescent="0.25">
      <c r="B402" s="24">
        <f t="shared" si="32"/>
        <v>54</v>
      </c>
      <c r="C402" s="1" t="str" cm="1">
        <f t="array" aca="1" ref="C402" ca="1">INDIRECT(CONCATENATE("'",$A$350,"'!A",B402),1)</f>
        <v>Методы защиты информации(установ.)</v>
      </c>
      <c r="D402" s="1" t="str" cm="1">
        <f t="array" aca="1" ref="D402" ca="1">INDIRECT(CONCATENATE("'",$A$350,"'!B",B402),1)</f>
        <v>09.03.01(09)</v>
      </c>
      <c r="E402" s="1" t="str" cm="1">
        <f t="array" aca="1" ref="E402" ca="1">INDIRECT(CONCATENATE("'",$A$350,"'!c",B402),1)</f>
        <v>2091з</v>
      </c>
      <c r="F402" s="1" cm="1">
        <f t="array" aca="1" ref="F402" ca="1">INDIRECT(CONCATENATE("'",$A$350,"'!d",B402),1)</f>
        <v>7</v>
      </c>
      <c r="G402" s="1" cm="1">
        <f t="array" aca="1" ref="G402" ca="1">INDIRECT(CONCATENATE("'",$A$350,"'!e",B402),1)</f>
        <v>1</v>
      </c>
      <c r="H402" s="1" cm="1">
        <f t="array" aca="1" ref="H402" ca="1">INDIRECT(CONCATENATE("'",$A$350,"'!f",B402),1)</f>
        <v>11</v>
      </c>
      <c r="I402" s="1" t="str" cm="1">
        <f t="array" aca="1" ref="I402" ca="1">INDIRECT(CONCATENATE("'",$A$350,"'!g",B402),1)</f>
        <v>ДЗ</v>
      </c>
      <c r="J402" s="1" cm="1">
        <f t="array" aca="1" ref="J402" ca="1">INDIRECT(CONCATENATE("'",$A$350,"'!h",B402),1)</f>
        <v>0</v>
      </c>
      <c r="K402" s="1" cm="1">
        <f t="array" aca="1" ref="K402" ca="1">INDIRECT(CONCATENATE("'",$A$350,"'!i",B402),1)</f>
        <v>2</v>
      </c>
      <c r="L402" s="1" cm="1">
        <f t="array" aca="1" ref="L402" ca="1">INDIRECT(CONCATENATE("'",$A$350,"'!j",B402),1)</f>
        <v>0</v>
      </c>
      <c r="M402" s="1" cm="1">
        <f t="array" aca="1" ref="M402" ca="1">INDIRECT(CONCATENATE("'",$A$350,"'!k",B402),1)</f>
        <v>0</v>
      </c>
      <c r="N402" s="1" t="str" cm="1">
        <f t="array" aca="1" ref="N402" ca="1">INDIRECT(CONCATENATE("'",$A$350,"'!l",B402),1)</f>
        <v>Жгун Т.В.</v>
      </c>
      <c r="O402" s="1" cm="1">
        <f t="array" aca="1" ref="O402" ca="1">INDIRECT(CONCATENATE("'",$A$350,"'!m",B402),1)</f>
        <v>3305</v>
      </c>
      <c r="P402" s="1" t="str" cm="1">
        <f t="array" aca="1" ref="P402" ca="1">INDIRECT(CONCATENATE("'",$A$350,"'!n",B402),1)</f>
        <v>уст.</v>
      </c>
      <c r="Q402" s="1" cm="1">
        <f t="array" aca="1" ref="Q402" ca="1">INDIRECT(CONCATENATE("'",$A$350,"'!o",B402),1)</f>
        <v>0</v>
      </c>
      <c r="R402" s="1" cm="1">
        <f t="array" aca="1" ref="R402" ca="1">INDIRECT(CONCATENATE("'",$A$350,"'!p",B402),1)</f>
        <v>0</v>
      </c>
      <c r="S402" s="1">
        <f t="shared" ca="1" si="30"/>
        <v>0</v>
      </c>
      <c r="T402" s="1" t="str" cm="1">
        <f t="array" aca="1" ref="T402" ca="1">INDIRECT(CONCATENATE("'",$A$350,"'!q",B402),1)</f>
        <v>Жгун Т.В.</v>
      </c>
      <c r="U402" s="1" cm="1">
        <f t="array" aca="1" ref="U402" ca="1">INDIRECT(CONCATENATE("'",$A$350,"'!r",B402),1)</f>
        <v>0</v>
      </c>
      <c r="V402" s="1" cm="1">
        <f t="array" aca="1" ref="V402" ca="1">INDIRECT(CONCATENATE("'",$A$350,"'!s",B402),1)</f>
        <v>0</v>
      </c>
      <c r="W402" s="1" cm="1">
        <f t="array" aca="1" ref="W402" ca="1">INDIRECT(CONCATENATE("'",$A$350,"'!t",B402),1)</f>
        <v>0</v>
      </c>
      <c r="X402" s="1" cm="1">
        <f t="array" aca="1" ref="X402" ca="1">INDIRECT(CONCATENATE("'",$A$350,"'!u",B402),1)</f>
        <v>0</v>
      </c>
      <c r="Y402" s="1" cm="1">
        <f t="array" aca="1" ref="Y402" ca="1">INDIRECT(CONCATENATE("'",$A$350,"'!v",B402),1)</f>
        <v>0</v>
      </c>
    </row>
    <row r="403" spans="2:25" ht="45" hidden="1" x14ac:dyDescent="0.25">
      <c r="B403" s="24">
        <f t="shared" si="32"/>
        <v>55</v>
      </c>
      <c r="C403" s="1" t="str" cm="1">
        <f t="array" aca="1" ref="C403" ca="1">INDIRECT(CONCATENATE("'",$A$350,"'!A",B403),1)</f>
        <v>Практика учебная: Практика проектно-технологическая(установ.)</v>
      </c>
      <c r="D403" s="1" t="str" cm="1">
        <f t="array" aca="1" ref="D403" ca="1">INDIRECT(CONCATENATE("'",$A$350,"'!B",B403),1)</f>
        <v>09.03.01(09)</v>
      </c>
      <c r="E403" s="1" t="str" cm="1">
        <f t="array" aca="1" ref="E403" ca="1">INDIRECT(CONCATENATE("'",$A$350,"'!c",B403),1)</f>
        <v>2091з</v>
      </c>
      <c r="F403" s="1" cm="1">
        <f t="array" aca="1" ref="F403" ca="1">INDIRECT(CONCATENATE("'",$A$350,"'!d",B403),1)</f>
        <v>7</v>
      </c>
      <c r="G403" s="1" cm="1">
        <f t="array" aca="1" ref="G403" ca="1">INDIRECT(CONCATENATE("'",$A$350,"'!e",B403),1)</f>
        <v>1</v>
      </c>
      <c r="H403" s="1" cm="1">
        <f t="array" aca="1" ref="H403" ca="1">INDIRECT(CONCATENATE("'",$A$350,"'!f",B403),1)</f>
        <v>11</v>
      </c>
      <c r="I403" s="1" cm="1">
        <f t="array" aca="1" ref="I403" ca="1">INDIRECT(CONCATENATE("'",$A$350,"'!g",B403),1)</f>
        <v>0</v>
      </c>
      <c r="J403" s="1" cm="1">
        <f t="array" aca="1" ref="J403" ca="1">INDIRECT(CONCATENATE("'",$A$350,"'!h",B403),1)</f>
        <v>0</v>
      </c>
      <c r="K403" s="1" cm="1">
        <f t="array" aca="1" ref="K403" ca="1">INDIRECT(CONCATENATE("'",$A$350,"'!i",B403),1)</f>
        <v>0</v>
      </c>
      <c r="L403" s="1" cm="1">
        <f t="array" aca="1" ref="L403" ca="1">INDIRECT(CONCATENATE("'",$A$350,"'!j",B403),1)</f>
        <v>1</v>
      </c>
      <c r="M403" s="1" cm="1">
        <f t="array" aca="1" ref="M403" ca="1">INDIRECT(CONCATENATE("'",$A$350,"'!k",B403),1)</f>
        <v>0</v>
      </c>
      <c r="N403" s="1" t="str" cm="1">
        <f t="array" aca="1" ref="N403" ca="1">INDIRECT(CONCATENATE("'",$A$350,"'!l",B403),1)</f>
        <v>Моркин С.А.</v>
      </c>
      <c r="O403" s="1" cm="1">
        <f t="array" aca="1" ref="O403" ca="1">INDIRECT(CONCATENATE("'",$A$350,"'!m",B403),1)</f>
        <v>3317</v>
      </c>
      <c r="P403" s="1" t="str" cm="1">
        <f t="array" aca="1" ref="P403" ca="1">INDIRECT(CONCATENATE("'",$A$350,"'!n",B403),1)</f>
        <v>уст.</v>
      </c>
      <c r="Q403" s="1" cm="1">
        <f t="array" aca="1" ref="Q403" ca="1">INDIRECT(CONCATENATE("'",$A$350,"'!o",B403),1)</f>
        <v>0</v>
      </c>
      <c r="R403" s="1" cm="1">
        <f t="array" aca="1" ref="R403" ca="1">INDIRECT(CONCATENATE("'",$A$350,"'!p",B403),1)</f>
        <v>0</v>
      </c>
      <c r="S403" s="1">
        <f t="shared" ca="1" si="30"/>
        <v>0</v>
      </c>
      <c r="T403" s="1" t="str" cm="1">
        <f t="array" aca="1" ref="T403" ca="1">INDIRECT(CONCATENATE("'",$A$350,"'!q",B403),1)</f>
        <v>Моркин С.А.</v>
      </c>
      <c r="U403" s="1" cm="1">
        <f t="array" aca="1" ref="U403" ca="1">INDIRECT(CONCATENATE("'",$A$350,"'!r",B403),1)</f>
        <v>0</v>
      </c>
      <c r="V403" s="1" cm="1">
        <f t="array" aca="1" ref="V403" ca="1">INDIRECT(CONCATENATE("'",$A$350,"'!s",B403),1)</f>
        <v>0</v>
      </c>
      <c r="W403" s="1" cm="1">
        <f t="array" aca="1" ref="W403" ca="1">INDIRECT(CONCATENATE("'",$A$350,"'!t",B403),1)</f>
        <v>0</v>
      </c>
      <c r="X403" s="1" cm="1">
        <f t="array" aca="1" ref="X403" ca="1">INDIRECT(CONCATENATE("'",$A$350,"'!u",B403),1)</f>
        <v>0</v>
      </c>
      <c r="Y403" s="1" cm="1">
        <f t="array" aca="1" ref="Y403" ca="1">INDIRECT(CONCATENATE("'",$A$350,"'!v",B403),1)</f>
        <v>0</v>
      </c>
    </row>
    <row r="404" spans="2:25" ht="33.75" hidden="1" x14ac:dyDescent="0.25">
      <c r="B404" s="24">
        <f t="shared" si="32"/>
        <v>56</v>
      </c>
      <c r="C404" s="1" t="str" cm="1">
        <f t="array" aca="1" ref="C404" ca="1">INDIRECT(CONCATENATE("'",$A$350,"'!A",B404),1)</f>
        <v>Практика учебная: Практика проектно-технологическая</v>
      </c>
      <c r="D404" s="1" t="str" cm="1">
        <f t="array" aca="1" ref="D404" ca="1">INDIRECT(CONCATENATE("'",$A$350,"'!B",B404),1)</f>
        <v>09.03.01(09)</v>
      </c>
      <c r="E404" s="1" t="str" cm="1">
        <f t="array" aca="1" ref="E404" ca="1">INDIRECT(CONCATENATE("'",$A$350,"'!c",B404),1)</f>
        <v>2091з</v>
      </c>
      <c r="F404" s="1" cm="1">
        <f t="array" aca="1" ref="F404" ca="1">INDIRECT(CONCATENATE("'",$A$350,"'!d",B404),1)</f>
        <v>7</v>
      </c>
      <c r="G404" s="1" cm="1">
        <f t="array" aca="1" ref="G404" ca="1">INDIRECT(CONCATENATE("'",$A$350,"'!e",B404),1)</f>
        <v>1</v>
      </c>
      <c r="H404" s="1" cm="1">
        <f t="array" aca="1" ref="H404" ca="1">INDIRECT(CONCATENATE("'",$A$350,"'!f",B404),1)</f>
        <v>11</v>
      </c>
      <c r="I404" s="1" t="str" cm="1">
        <f t="array" aca="1" ref="I404" ca="1">INDIRECT(CONCATENATE("'",$A$350,"'!g",B404),1)</f>
        <v>ДЗ</v>
      </c>
      <c r="J404" s="1" cm="1">
        <f t="array" aca="1" ref="J404" ca="1">INDIRECT(CONCATENATE("'",$A$350,"'!h",B404),1)</f>
        <v>1</v>
      </c>
      <c r="K404" s="1" cm="1">
        <f t="array" aca="1" ref="K404" ca="1">INDIRECT(CONCATENATE("'",$A$350,"'!i",B404),1)</f>
        <v>0</v>
      </c>
      <c r="L404" s="1" cm="1">
        <f t="array" aca="1" ref="L404" ca="1">INDIRECT(CONCATENATE("'",$A$350,"'!j",B404),1)</f>
        <v>2</v>
      </c>
      <c r="M404" s="1" cm="1">
        <f t="array" aca="1" ref="M404" ca="1">INDIRECT(CONCATENATE("'",$A$350,"'!k",B404),1)</f>
        <v>0</v>
      </c>
      <c r="N404" s="1" t="str" cm="1">
        <f t="array" aca="1" ref="N404" ca="1">INDIRECT(CONCATENATE("'",$A$350,"'!l",B404),1)</f>
        <v>Моркин С.А.</v>
      </c>
      <c r="O404" s="1" cm="1">
        <f t="array" aca="1" ref="O404" ca="1">INDIRECT(CONCATENATE("'",$A$350,"'!m",B404),1)</f>
        <v>3317</v>
      </c>
      <c r="P404" s="1" t="str" cm="1">
        <f t="array" aca="1" ref="P404" ca="1">INDIRECT(CONCATENATE("'",$A$350,"'!n",B404),1)</f>
        <v>1п</v>
      </c>
      <c r="Q404" s="1" cm="1">
        <f t="array" aca="1" ref="Q404" ca="1">INDIRECT(CONCATENATE("'",$A$350,"'!o",B404),1)</f>
        <v>3.3</v>
      </c>
      <c r="R404" s="1" cm="1">
        <f t="array" aca="1" ref="R404" ca="1">INDIRECT(CONCATENATE("'",$A$350,"'!p",B404),1)</f>
        <v>0</v>
      </c>
      <c r="S404" s="1">
        <f t="shared" ca="1" si="30"/>
        <v>0</v>
      </c>
      <c r="T404" s="1" t="str" cm="1">
        <f t="array" aca="1" ref="T404" ca="1">INDIRECT(CONCATENATE("'",$A$350,"'!q",B404),1)</f>
        <v>Моркин С.А.</v>
      </c>
      <c r="U404" s="1" cm="1">
        <f t="array" aca="1" ref="U404" ca="1">INDIRECT(CONCATENATE("'",$A$350,"'!r",B404),1)</f>
        <v>3.3</v>
      </c>
      <c r="V404" s="1" cm="1">
        <f t="array" aca="1" ref="V404" ca="1">INDIRECT(CONCATENATE("'",$A$350,"'!s",B404),1)</f>
        <v>0</v>
      </c>
      <c r="W404" s="1" cm="1">
        <f t="array" aca="1" ref="W404" ca="1">INDIRECT(CONCATENATE("'",$A$350,"'!t",B404),1)</f>
        <v>0</v>
      </c>
      <c r="X404" s="1" cm="1">
        <f t="array" aca="1" ref="X404" ca="1">INDIRECT(CONCATENATE("'",$A$350,"'!u",B404),1)</f>
        <v>0</v>
      </c>
      <c r="Y404" s="1" cm="1">
        <f t="array" aca="1" ref="Y404" ca="1">INDIRECT(CONCATENATE("'",$A$350,"'!v",B404),1)</f>
        <v>0</v>
      </c>
    </row>
    <row r="405" spans="2:25" ht="45" hidden="1" x14ac:dyDescent="0.25">
      <c r="B405" s="24">
        <f t="shared" si="32"/>
        <v>57</v>
      </c>
      <c r="C405" s="1" t="str" cm="1">
        <f t="array" aca="1" ref="C405" ca="1">INDIRECT(CONCATENATE("'",$A$350,"'!A",B405),1)</f>
        <v>Практика учебная: Практика проектно-эксплуатационная (установ.)</v>
      </c>
      <c r="D405" s="1" t="str" cm="1">
        <f t="array" aca="1" ref="D405" ca="1">INDIRECT(CONCATENATE("'",$A$350,"'!B",B405),1)</f>
        <v>09.03.01(09)</v>
      </c>
      <c r="E405" s="1" t="str" cm="1">
        <f t="array" aca="1" ref="E405" ca="1">INDIRECT(CONCATENATE("'",$A$350,"'!c",B405),1)</f>
        <v>2091з</v>
      </c>
      <c r="F405" s="1" cm="1">
        <f t="array" aca="1" ref="F405" ca="1">INDIRECT(CONCATENATE("'",$A$350,"'!d",B405),1)</f>
        <v>7</v>
      </c>
      <c r="G405" s="1" cm="1">
        <f t="array" aca="1" ref="G405" ca="1">INDIRECT(CONCATENATE("'",$A$350,"'!e",B405),1)</f>
        <v>1</v>
      </c>
      <c r="H405" s="1" cm="1">
        <f t="array" aca="1" ref="H405" ca="1">INDIRECT(CONCATENATE("'",$A$350,"'!f",B405),1)</f>
        <v>11</v>
      </c>
      <c r="I405" s="1" cm="1">
        <f t="array" aca="1" ref="I405" ca="1">INDIRECT(CONCATENATE("'",$A$350,"'!g",B405),1)</f>
        <v>0</v>
      </c>
      <c r="J405" s="1" cm="1">
        <f t="array" aca="1" ref="J405" ca="1">INDIRECT(CONCATENATE("'",$A$350,"'!h",B405),1)</f>
        <v>0</v>
      </c>
      <c r="K405" s="1" cm="1">
        <f t="array" aca="1" ref="K405" ca="1">INDIRECT(CONCATENATE("'",$A$350,"'!i",B405),1)</f>
        <v>0</v>
      </c>
      <c r="L405" s="1" cm="1">
        <f t="array" aca="1" ref="L405" ca="1">INDIRECT(CONCATENATE("'",$A$350,"'!j",B405),1)</f>
        <v>1</v>
      </c>
      <c r="M405" s="1" cm="1">
        <f t="array" aca="1" ref="M405" ca="1">INDIRECT(CONCATENATE("'",$A$350,"'!k",B405),1)</f>
        <v>0</v>
      </c>
      <c r="N405" s="1" t="str" cm="1">
        <f t="array" aca="1" ref="N405" ca="1">INDIRECT(CONCATENATE("'",$A$350,"'!l",B405),1)</f>
        <v>Моркин С.А.</v>
      </c>
      <c r="O405" s="1" cm="1">
        <f t="array" aca="1" ref="O405" ca="1">INDIRECT(CONCATENATE("'",$A$350,"'!m",B405),1)</f>
        <v>3317</v>
      </c>
      <c r="P405" s="1" t="str" cm="1">
        <f t="array" aca="1" ref="P405" ca="1">INDIRECT(CONCATENATE("'",$A$350,"'!n",B405),1)</f>
        <v>уст.</v>
      </c>
      <c r="Q405" s="1" cm="1">
        <f t="array" aca="1" ref="Q405" ca="1">INDIRECT(CONCATENATE("'",$A$350,"'!o",B405),1)</f>
        <v>0</v>
      </c>
      <c r="R405" s="1" cm="1">
        <f t="array" aca="1" ref="R405" ca="1">INDIRECT(CONCATENATE("'",$A$350,"'!p",B405),1)</f>
        <v>0</v>
      </c>
      <c r="S405" s="1">
        <f t="shared" ca="1" si="30"/>
        <v>0</v>
      </c>
      <c r="T405" s="1" t="str" cm="1">
        <f t="array" aca="1" ref="T405" ca="1">INDIRECT(CONCATENATE("'",$A$350,"'!q",B405),1)</f>
        <v>Моркин С.А.</v>
      </c>
      <c r="U405" s="1" cm="1">
        <f t="array" aca="1" ref="U405" ca="1">INDIRECT(CONCATENATE("'",$A$350,"'!r",B405),1)</f>
        <v>0</v>
      </c>
      <c r="V405" s="1" cm="1">
        <f t="array" aca="1" ref="V405" ca="1">INDIRECT(CONCATENATE("'",$A$350,"'!s",B405),1)</f>
        <v>0</v>
      </c>
      <c r="W405" s="1" cm="1">
        <f t="array" aca="1" ref="W405" ca="1">INDIRECT(CONCATENATE("'",$A$350,"'!t",B405),1)</f>
        <v>0</v>
      </c>
      <c r="X405" s="1" cm="1">
        <f t="array" aca="1" ref="X405" ca="1">INDIRECT(CONCATENATE("'",$A$350,"'!u",B405),1)</f>
        <v>0</v>
      </c>
      <c r="Y405" s="1" cm="1">
        <f t="array" aca="1" ref="Y405" ca="1">INDIRECT(CONCATENATE("'",$A$350,"'!v",B405),1)</f>
        <v>0</v>
      </c>
    </row>
    <row r="406" spans="2:25" hidden="1" x14ac:dyDescent="0.25">
      <c r="B406" s="24">
        <f t="shared" si="32"/>
        <v>58</v>
      </c>
      <c r="C406" s="1" cm="1">
        <f t="array" aca="1" ref="C406" ca="1">INDIRECT(CONCATENATE("'",$A$350,"'!A",B406),1)</f>
        <v>0</v>
      </c>
      <c r="D406" s="1" cm="1">
        <f t="array" aca="1" ref="D406" ca="1">INDIRECT(CONCATENATE("'",$A$350,"'!B",B406),1)</f>
        <v>0</v>
      </c>
      <c r="E406" s="1" cm="1">
        <f t="array" aca="1" ref="E406" ca="1">INDIRECT(CONCATENATE("'",$A$350,"'!c",B406),1)</f>
        <v>0</v>
      </c>
      <c r="F406" s="1" cm="1">
        <f t="array" aca="1" ref="F406" ca="1">INDIRECT(CONCATENATE("'",$A$350,"'!d",B406),1)</f>
        <v>0</v>
      </c>
      <c r="G406" s="1" cm="1">
        <f t="array" aca="1" ref="G406" ca="1">INDIRECT(CONCATENATE("'",$A$350,"'!e",B406),1)</f>
        <v>0</v>
      </c>
      <c r="H406" s="1" cm="1">
        <f t="array" aca="1" ref="H406" ca="1">INDIRECT(CONCATENATE("'",$A$350,"'!f",B406),1)</f>
        <v>0</v>
      </c>
      <c r="I406" s="1" cm="1">
        <f t="array" aca="1" ref="I406" ca="1">INDIRECT(CONCATENATE("'",$A$350,"'!g",B406),1)</f>
        <v>0</v>
      </c>
      <c r="J406" s="1" cm="1">
        <f t="array" aca="1" ref="J406" ca="1">INDIRECT(CONCATENATE("'",$A$350,"'!h",B406),1)</f>
        <v>0</v>
      </c>
      <c r="K406" s="1" cm="1">
        <f t="array" aca="1" ref="K406" ca="1">INDIRECT(CONCATENATE("'",$A$350,"'!i",B406),1)</f>
        <v>0</v>
      </c>
      <c r="L406" s="1" cm="1">
        <f t="array" aca="1" ref="L406" ca="1">INDIRECT(CONCATENATE("'",$A$350,"'!j",B406),1)</f>
        <v>0</v>
      </c>
      <c r="M406" s="1" cm="1">
        <f t="array" aca="1" ref="M406" ca="1">INDIRECT(CONCATENATE("'",$A$350,"'!k",B406),1)</f>
        <v>0</v>
      </c>
      <c r="N406" s="1" t="str" cm="1">
        <f t="array" aca="1" ref="N406" ca="1">INDIRECT(CONCATENATE("'",$A$350,"'!l",B406),1)</f>
        <v/>
      </c>
      <c r="O406" s="1" cm="1">
        <f t="array" aca="1" ref="O406" ca="1">INDIRECT(CONCATENATE("'",$A$350,"'!m",B406),1)</f>
        <v>0</v>
      </c>
      <c r="P406" s="1" cm="1">
        <f t="array" aca="1" ref="P406" ca="1">INDIRECT(CONCATENATE("'",$A$350,"'!n",B406),1)</f>
        <v>0</v>
      </c>
      <c r="Q406" s="1" cm="1">
        <f t="array" aca="1" ref="Q406" ca="1">INDIRECT(CONCATENATE("'",$A$350,"'!o",B406),1)</f>
        <v>0</v>
      </c>
      <c r="R406" s="1" cm="1">
        <f t="array" aca="1" ref="R406" ca="1">INDIRECT(CONCATENATE("'",$A$350,"'!p",B406),1)</f>
        <v>0</v>
      </c>
      <c r="S406" s="1">
        <f t="shared" ca="1" si="30"/>
        <v>0</v>
      </c>
      <c r="T406" s="1" cm="1">
        <f t="array" aca="1" ref="T406" ca="1">INDIRECT(CONCATENATE("'",$A$350,"'!q",B406),1)</f>
        <v>0</v>
      </c>
      <c r="U406" s="1" cm="1">
        <f t="array" aca="1" ref="U406" ca="1">INDIRECT(CONCATENATE("'",$A$350,"'!r",B406),1)</f>
        <v>0</v>
      </c>
      <c r="V406" s="1" cm="1">
        <f t="array" aca="1" ref="V406" ca="1">INDIRECT(CONCATENATE("'",$A$350,"'!s",B406),1)</f>
        <v>0</v>
      </c>
      <c r="W406" s="1" cm="1">
        <f t="array" aca="1" ref="W406" ca="1">INDIRECT(CONCATENATE("'",$A$350,"'!t",B406),1)</f>
        <v>0</v>
      </c>
      <c r="X406" s="1" cm="1">
        <f t="array" aca="1" ref="X406" ca="1">INDIRECT(CONCATENATE("'",$A$350,"'!u",B406),1)</f>
        <v>0</v>
      </c>
      <c r="Y406" s="1" cm="1">
        <f t="array" aca="1" ref="Y406" ca="1">INDIRECT(CONCATENATE("'",$A$350,"'!v",B406),1)</f>
        <v>0</v>
      </c>
    </row>
    <row r="407" spans="2:25" ht="22.5" hidden="1" x14ac:dyDescent="0.25">
      <c r="B407" s="24">
        <f t="shared" si="32"/>
        <v>59</v>
      </c>
      <c r="C407" s="1" t="str" cm="1">
        <f t="array" aca="1" ref="C407" ca="1">INDIRECT(CONCATENATE("'",$A$350,"'!A",B407),1)</f>
        <v>Сети и телекоммуникации</v>
      </c>
      <c r="D407" s="1" t="str" cm="1">
        <f t="array" aca="1" ref="D407" ca="1">INDIRECT(CONCATENATE("'",$A$350,"'!B",B407),1)</f>
        <v>09.03.01(09)</v>
      </c>
      <c r="E407" s="1" t="str" cm="1">
        <f t="array" aca="1" ref="E407" ca="1">INDIRECT(CONCATENATE("'",$A$350,"'!c",B407),1)</f>
        <v>2091з</v>
      </c>
      <c r="F407" s="1" cm="1">
        <f t="array" aca="1" ref="F407" ca="1">INDIRECT(CONCATENATE("'",$A$350,"'!d",B407),1)</f>
        <v>8</v>
      </c>
      <c r="G407" s="1" cm="1">
        <f t="array" aca="1" ref="G407" ca="1">INDIRECT(CONCATENATE("'",$A$350,"'!e",B407),1)</f>
        <v>1</v>
      </c>
      <c r="H407" s="1" cm="1">
        <f t="array" aca="1" ref="H407" ca="1">INDIRECT(CONCATENATE("'",$A$350,"'!f",B407),1)</f>
        <v>11</v>
      </c>
      <c r="I407" s="1" t="str" cm="1">
        <f t="array" aca="1" ref="I407" ca="1">INDIRECT(CONCATENATE("'",$A$350,"'!g",B407),1)</f>
        <v>ЭКЗ</v>
      </c>
      <c r="J407" s="1" cm="1">
        <f t="array" aca="1" ref="J407" ca="1">INDIRECT(CONCATENATE("'",$A$350,"'!h",B407),1)</f>
        <v>6</v>
      </c>
      <c r="K407" s="1" cm="1">
        <f t="array" aca="1" ref="K407" ca="1">INDIRECT(CONCATENATE("'",$A$350,"'!i",B407),1)</f>
        <v>8</v>
      </c>
      <c r="L407" s="1" cm="1">
        <f t="array" aca="1" ref="L407" ca="1">INDIRECT(CONCATENATE("'",$A$350,"'!j",B407),1)</f>
        <v>0</v>
      </c>
      <c r="M407" s="1" cm="1">
        <f t="array" aca="1" ref="M407" ca="1">INDIRECT(CONCATENATE("'",$A$350,"'!k",B407),1)</f>
        <v>12</v>
      </c>
      <c r="N407" s="1" t="str" cm="1">
        <f t="array" aca="1" ref="N407" ca="1">INDIRECT(CONCATENATE("'",$A$350,"'!l",B407),1)</f>
        <v>Журавлева М.П.</v>
      </c>
      <c r="O407" s="1" cm="1">
        <f t="array" aca="1" ref="O407" ca="1">INDIRECT(CONCATENATE("'",$A$350,"'!m",B407),1)</f>
        <v>3300</v>
      </c>
      <c r="P407" s="1" t="str" cm="1">
        <f t="array" aca="1" ref="P407" ca="1">INDIRECT(CONCATENATE("'",$A$350,"'!n",B407),1)</f>
        <v>1п</v>
      </c>
      <c r="Q407" s="1" cm="1">
        <f t="array" aca="1" ref="Q407" ca="1">INDIRECT(CONCATENATE("'",$A$350,"'!o",B407),1)</f>
        <v>17.100000000000001</v>
      </c>
      <c r="R407" s="1" cm="1">
        <f t="array" aca="1" ref="R407" ca="1">INDIRECT(CONCATENATE("'",$A$350,"'!p",B407),1)</f>
        <v>11.4</v>
      </c>
      <c r="S407" s="1">
        <f t="shared" ca="1" si="30"/>
        <v>0</v>
      </c>
      <c r="T407" s="1" t="str" cm="1">
        <f t="array" aca="1" ref="T407" ca="1">INDIRECT(CONCATENATE("'",$A$350,"'!q",B407),1)</f>
        <v>Журавлева М.П.</v>
      </c>
      <c r="U407" s="1" cm="1">
        <f t="array" aca="1" ref="U407" ca="1">INDIRECT(CONCATENATE("'",$A$350,"'!r",B407),1)</f>
        <v>48.5</v>
      </c>
      <c r="V407" s="1" cm="1">
        <f t="array" aca="1" ref="V407" ca="1">INDIRECT(CONCATENATE("'",$A$350,"'!s",B407),1)</f>
        <v>0</v>
      </c>
      <c r="W407" s="1" cm="1">
        <f t="array" aca="1" ref="W407" ca="1">INDIRECT(CONCATENATE("'",$A$350,"'!t",B407),1)</f>
        <v>0</v>
      </c>
      <c r="X407" s="1" cm="1">
        <f t="array" aca="1" ref="X407" ca="1">INDIRECT(CONCATENATE("'",$A$350,"'!u",B407),1)</f>
        <v>0</v>
      </c>
      <c r="Y407" s="1" cm="1">
        <f t="array" aca="1" ref="Y407" ca="1">INDIRECT(CONCATENATE("'",$A$350,"'!v",B407),1)</f>
        <v>0</v>
      </c>
    </row>
    <row r="408" spans="2:25" hidden="1" x14ac:dyDescent="0.25">
      <c r="B408" s="24">
        <f t="shared" si="32"/>
        <v>60</v>
      </c>
      <c r="C408" s="1" t="str" cm="1">
        <f t="array" aca="1" ref="C408" ca="1">INDIRECT(CONCATENATE("'",$A$350,"'!A",B408),1)</f>
        <v>Моделирование систем</v>
      </c>
      <c r="D408" s="1" t="str" cm="1">
        <f t="array" aca="1" ref="D408" ca="1">INDIRECT(CONCATENATE("'",$A$350,"'!B",B408),1)</f>
        <v>09.03.01(09)</v>
      </c>
      <c r="E408" s="1" t="str" cm="1">
        <f t="array" aca="1" ref="E408" ca="1">INDIRECT(CONCATENATE("'",$A$350,"'!c",B408),1)</f>
        <v>2091з</v>
      </c>
      <c r="F408" s="1" cm="1">
        <f t="array" aca="1" ref="F408" ca="1">INDIRECT(CONCATENATE("'",$A$350,"'!d",B408),1)</f>
        <v>8</v>
      </c>
      <c r="G408" s="1" cm="1">
        <f t="array" aca="1" ref="G408" ca="1">INDIRECT(CONCATENATE("'",$A$350,"'!e",B408),1)</f>
        <v>1</v>
      </c>
      <c r="H408" s="1" cm="1">
        <f t="array" aca="1" ref="H408" ca="1">INDIRECT(CONCATENATE("'",$A$350,"'!f",B408),1)</f>
        <v>11</v>
      </c>
      <c r="I408" s="1" t="str" cm="1">
        <f t="array" aca="1" ref="I408" ca="1">INDIRECT(CONCATENATE("'",$A$350,"'!g",B408),1)</f>
        <v>ДЗ</v>
      </c>
      <c r="J408" s="1" cm="1">
        <f t="array" aca="1" ref="J408" ca="1">INDIRECT(CONCATENATE("'",$A$350,"'!h",B408),1)</f>
        <v>5</v>
      </c>
      <c r="K408" s="1" cm="1">
        <f t="array" aca="1" ref="K408" ca="1">INDIRECT(CONCATENATE("'",$A$350,"'!i",B408),1)</f>
        <v>8</v>
      </c>
      <c r="L408" s="1" cm="1">
        <f t="array" aca="1" ref="L408" ca="1">INDIRECT(CONCATENATE("'",$A$350,"'!j",B408),1)</f>
        <v>0</v>
      </c>
      <c r="M408" s="1" cm="1">
        <f t="array" aca="1" ref="M408" ca="1">INDIRECT(CONCATENATE("'",$A$350,"'!k",B408),1)</f>
        <v>8</v>
      </c>
      <c r="N408" s="1" t="str" cm="1">
        <f t="array" aca="1" ref="N408" ca="1">INDIRECT(CONCATENATE("'",$A$350,"'!l",B408),1)</f>
        <v>Эминов С.И.</v>
      </c>
      <c r="O408" s="1" cm="1">
        <f t="array" aca="1" ref="O408" ca="1">INDIRECT(CONCATENATE("'",$A$350,"'!m",B408),1)</f>
        <v>3315</v>
      </c>
      <c r="P408" s="1" t="str" cm="1">
        <f t="array" aca="1" ref="P408" ca="1">INDIRECT(CONCATENATE("'",$A$350,"'!n",B408),1)</f>
        <v>1п</v>
      </c>
      <c r="Q408" s="1" cm="1">
        <f t="array" aca="1" ref="Q408" ca="1">INDIRECT(CONCATENATE("'",$A$350,"'!o",B408),1)</f>
        <v>11.4</v>
      </c>
      <c r="R408" s="1" cm="1">
        <f t="array" aca="1" ref="R408" ca="1">INDIRECT(CONCATENATE("'",$A$350,"'!p",B408),1)</f>
        <v>0</v>
      </c>
      <c r="S408" s="1">
        <f t="shared" ca="1" si="30"/>
        <v>0</v>
      </c>
      <c r="T408" s="1" t="str" cm="1">
        <f t="array" aca="1" ref="T408" ca="1">INDIRECT(CONCATENATE("'",$A$350,"'!q",B408),1)</f>
        <v>Эминов С.И.</v>
      </c>
      <c r="U408" s="1" cm="1">
        <f t="array" aca="1" ref="U408" ca="1">INDIRECT(CONCATENATE("'",$A$350,"'!r",B408),1)</f>
        <v>27.4</v>
      </c>
      <c r="V408" s="1" cm="1">
        <f t="array" aca="1" ref="V408" ca="1">INDIRECT(CONCATENATE("'",$A$350,"'!s",B408),1)</f>
        <v>0</v>
      </c>
      <c r="W408" s="1" cm="1">
        <f t="array" aca="1" ref="W408" ca="1">INDIRECT(CONCATENATE("'",$A$350,"'!t",B408),1)</f>
        <v>0</v>
      </c>
      <c r="X408" s="1" cm="1">
        <f t="array" aca="1" ref="X408" ca="1">INDIRECT(CONCATENATE("'",$A$350,"'!u",B408),1)</f>
        <v>0</v>
      </c>
      <c r="Y408" s="1" cm="1">
        <f t="array" aca="1" ref="Y408" ca="1">INDIRECT(CONCATENATE("'",$A$350,"'!v",B408),1)</f>
        <v>0</v>
      </c>
    </row>
    <row r="409" spans="2:25" ht="22.5" hidden="1" x14ac:dyDescent="0.25">
      <c r="B409" s="24">
        <f t="shared" si="32"/>
        <v>61</v>
      </c>
      <c r="C409" s="1" t="str" cm="1">
        <f t="array" aca="1" ref="C409" ca="1">INDIRECT(CONCATENATE("'",$A$350,"'!A",B409),1)</f>
        <v>Системы искусственного интеллекта</v>
      </c>
      <c r="D409" s="1" t="str" cm="1">
        <f t="array" aca="1" ref="D409" ca="1">INDIRECT(CONCATENATE("'",$A$350,"'!B",B409),1)</f>
        <v>09.03.01(09)</v>
      </c>
      <c r="E409" s="1" t="str" cm="1">
        <f t="array" aca="1" ref="E409" ca="1">INDIRECT(CONCATENATE("'",$A$350,"'!c",B409),1)</f>
        <v>2091з</v>
      </c>
      <c r="F409" s="1" cm="1">
        <f t="array" aca="1" ref="F409" ca="1">INDIRECT(CONCATENATE("'",$A$350,"'!d",B409),1)</f>
        <v>8</v>
      </c>
      <c r="G409" s="1" cm="1">
        <f t="array" aca="1" ref="G409" ca="1">INDIRECT(CONCATENATE("'",$A$350,"'!e",B409),1)</f>
        <v>1</v>
      </c>
      <c r="H409" s="1" cm="1">
        <f t="array" aca="1" ref="H409" ca="1">INDIRECT(CONCATENATE("'",$A$350,"'!f",B409),1)</f>
        <v>11</v>
      </c>
      <c r="I409" s="1" t="str" cm="1">
        <f t="array" aca="1" ref="I409" ca="1">INDIRECT(CONCATENATE("'",$A$350,"'!g",B409),1)</f>
        <v>ДЗ</v>
      </c>
      <c r="J409" s="1" cm="1">
        <f t="array" aca="1" ref="J409" ca="1">INDIRECT(CONCATENATE("'",$A$350,"'!h",B409),1)</f>
        <v>4</v>
      </c>
      <c r="K409" s="1" cm="1">
        <f t="array" aca="1" ref="K409" ca="1">INDIRECT(CONCATENATE("'",$A$350,"'!i",B409),1)</f>
        <v>4</v>
      </c>
      <c r="L409" s="1" cm="1">
        <f t="array" aca="1" ref="L409" ca="1">INDIRECT(CONCATENATE("'",$A$350,"'!j",B409),1)</f>
        <v>4</v>
      </c>
      <c r="M409" s="1" cm="1">
        <f t="array" aca="1" ref="M409" ca="1">INDIRECT(CONCATENATE("'",$A$350,"'!k",B409),1)</f>
        <v>4</v>
      </c>
      <c r="N409" s="1" t="str" cm="1">
        <f t="array" aca="1" ref="N409" ca="1">INDIRECT(CONCATENATE("'",$A$350,"'!l",B409),1)</f>
        <v>Михайлов Д.В.</v>
      </c>
      <c r="O409" s="1" cm="1">
        <f t="array" aca="1" ref="O409" ca="1">INDIRECT(CONCATENATE("'",$A$350,"'!m",B409),1)</f>
        <v>3305</v>
      </c>
      <c r="P409" s="1" t="str" cm="1">
        <f t="array" aca="1" ref="P409" ca="1">INDIRECT(CONCATENATE("'",$A$350,"'!n",B409),1)</f>
        <v>1п</v>
      </c>
      <c r="Q409" s="1" cm="1">
        <f t="array" aca="1" ref="Q409" ca="1">INDIRECT(CONCATENATE("'",$A$350,"'!o",B409),1)</f>
        <v>6.6</v>
      </c>
      <c r="R409" s="1" cm="1">
        <f t="array" aca="1" ref="R409" ca="1">INDIRECT(CONCATENATE("'",$A$350,"'!p",B409),1)</f>
        <v>4.4000000000000004</v>
      </c>
      <c r="S409" s="1">
        <f t="shared" ca="1" si="30"/>
        <v>0</v>
      </c>
      <c r="T409" s="1" t="str" cm="1">
        <f t="array" aca="1" ref="T409" ca="1">INDIRECT(CONCATENATE("'",$A$350,"'!q",B409),1)</f>
        <v>Михайлов Д.В.</v>
      </c>
      <c r="U409" s="1" cm="1">
        <f t="array" aca="1" ref="U409" ca="1">INDIRECT(CONCATENATE("'",$A$350,"'!r",B409),1)</f>
        <v>23</v>
      </c>
      <c r="V409" s="1" cm="1">
        <f t="array" aca="1" ref="V409" ca="1">INDIRECT(CONCATENATE("'",$A$350,"'!s",B409),1)</f>
        <v>0</v>
      </c>
      <c r="W409" s="1" cm="1">
        <f t="array" aca="1" ref="W409" ca="1">INDIRECT(CONCATENATE("'",$A$350,"'!t",B409),1)</f>
        <v>0</v>
      </c>
      <c r="X409" s="1" cm="1">
        <f t="array" aca="1" ref="X409" ca="1">INDIRECT(CONCATENATE("'",$A$350,"'!u",B409),1)</f>
        <v>0</v>
      </c>
      <c r="Y409" s="1" cm="1">
        <f t="array" aca="1" ref="Y409" ca="1">INDIRECT(CONCATENATE("'",$A$350,"'!v",B409),1)</f>
        <v>0</v>
      </c>
    </row>
    <row r="410" spans="2:25" ht="33.75" hidden="1" x14ac:dyDescent="0.25">
      <c r="B410" s="24">
        <f t="shared" si="32"/>
        <v>62</v>
      </c>
      <c r="C410" s="1" t="str" cm="1">
        <f t="array" aca="1" ref="C410" ca="1">INDIRECT(CONCATENATE("'",$A$350,"'!A",B410),1)</f>
        <v>Проектирование информационных систем</v>
      </c>
      <c r="D410" s="1" t="str" cm="1">
        <f t="array" aca="1" ref="D410" ca="1">INDIRECT(CONCATENATE("'",$A$350,"'!B",B410),1)</f>
        <v>09.03.01(09)</v>
      </c>
      <c r="E410" s="1" t="str" cm="1">
        <f t="array" aca="1" ref="E410" ca="1">INDIRECT(CONCATENATE("'",$A$350,"'!c",B410),1)</f>
        <v>2091з</v>
      </c>
      <c r="F410" s="1" cm="1">
        <f t="array" aca="1" ref="F410" ca="1">INDIRECT(CONCATENATE("'",$A$350,"'!d",B410),1)</f>
        <v>8</v>
      </c>
      <c r="G410" s="1" cm="1">
        <f t="array" aca="1" ref="G410" ca="1">INDIRECT(CONCATENATE("'",$A$350,"'!e",B410),1)</f>
        <v>1</v>
      </c>
      <c r="H410" s="1" cm="1">
        <f t="array" aca="1" ref="H410" ca="1">INDIRECT(CONCATENATE("'",$A$350,"'!f",B410),1)</f>
        <v>11</v>
      </c>
      <c r="I410" s="1" t="str" cm="1">
        <f t="array" aca="1" ref="I410" ca="1">INDIRECT(CONCATENATE("'",$A$350,"'!g",B410),1)</f>
        <v>ДЗ</v>
      </c>
      <c r="J410" s="1" cm="1">
        <f t="array" aca="1" ref="J410" ca="1">INDIRECT(CONCATENATE("'",$A$350,"'!h",B410),1)</f>
        <v>5</v>
      </c>
      <c r="K410" s="1" cm="1">
        <f t="array" aca="1" ref="K410" ca="1">INDIRECT(CONCATENATE("'",$A$350,"'!i",B410),1)</f>
        <v>4</v>
      </c>
      <c r="L410" s="1" cm="1">
        <f t="array" aca="1" ref="L410" ca="1">INDIRECT(CONCATENATE("'",$A$350,"'!j",B410),1)</f>
        <v>0</v>
      </c>
      <c r="M410" s="1" cm="1">
        <f t="array" aca="1" ref="M410" ca="1">INDIRECT(CONCATENATE("'",$A$350,"'!k",B410),1)</f>
        <v>12</v>
      </c>
      <c r="N410" s="1" t="str" cm="1">
        <f t="array" aca="1" ref="N410" ca="1">INDIRECT(CONCATENATE("'",$A$350,"'!l",B410),1)</f>
        <v>Цымбалюк Л.Н.</v>
      </c>
      <c r="O410" s="1" cm="1">
        <f t="array" aca="1" ref="O410" ca="1">INDIRECT(CONCATENATE("'",$A$350,"'!m",B410),1)</f>
        <v>3305</v>
      </c>
      <c r="P410" s="1" t="str" cm="1">
        <f t="array" aca="1" ref="P410" ca="1">INDIRECT(CONCATENATE("'",$A$350,"'!n",B410),1)</f>
        <v>1п</v>
      </c>
      <c r="Q410" s="1" cm="1">
        <f t="array" aca="1" ref="Q410" ca="1">INDIRECT(CONCATENATE("'",$A$350,"'!o",B410),1)</f>
        <v>8.3000000000000007</v>
      </c>
      <c r="R410" s="1" cm="1">
        <f t="array" aca="1" ref="R410" ca="1">INDIRECT(CONCATENATE("'",$A$350,"'!p",B410),1)</f>
        <v>5.5</v>
      </c>
      <c r="S410" s="1">
        <f t="shared" ca="1" si="30"/>
        <v>0</v>
      </c>
      <c r="T410" s="1" t="str" cm="1">
        <f t="array" aca="1" ref="T410" ca="1">INDIRECT(CONCATENATE("'",$A$350,"'!q",B410),1)</f>
        <v>Цымбалюк Л.Н.</v>
      </c>
      <c r="U410" s="1" cm="1">
        <f t="array" aca="1" ref="U410" ca="1">INDIRECT(CONCATENATE("'",$A$350,"'!r",B410),1)</f>
        <v>29.8</v>
      </c>
      <c r="V410" s="1" cm="1">
        <f t="array" aca="1" ref="V410" ca="1">INDIRECT(CONCATENATE("'",$A$350,"'!s",B410),1)</f>
        <v>0</v>
      </c>
      <c r="W410" s="1" cm="1">
        <f t="array" aca="1" ref="W410" ca="1">INDIRECT(CONCATENATE("'",$A$350,"'!t",B410),1)</f>
        <v>0</v>
      </c>
      <c r="X410" s="1" cm="1">
        <f t="array" aca="1" ref="X410" ca="1">INDIRECT(CONCATENATE("'",$A$350,"'!u",B410),1)</f>
        <v>0</v>
      </c>
      <c r="Y410" s="1" cm="1">
        <f t="array" aca="1" ref="Y410" ca="1">INDIRECT(CONCATENATE("'",$A$350,"'!v",B410),1)</f>
        <v>0</v>
      </c>
    </row>
    <row r="411" spans="2:25" ht="45" hidden="1" x14ac:dyDescent="0.25">
      <c r="B411" s="24">
        <f t="shared" si="32"/>
        <v>63</v>
      </c>
      <c r="C411" s="1" t="str" cm="1">
        <f t="array" aca="1" ref="C411" ca="1">INDIRECT(CONCATENATE("'",$A$350,"'!A",B411),1)</f>
        <v>Проектирование информационных систем</v>
      </c>
      <c r="D411" s="1" t="str" cm="1">
        <f t="array" aca="1" ref="D411" ca="1">INDIRECT(CONCATENATE("'",$A$350,"'!B",B411),1)</f>
        <v>09.03.01(09)</v>
      </c>
      <c r="E411" s="1" t="str" cm="1">
        <f t="array" aca="1" ref="E411" ca="1">INDIRECT(CONCATENATE("'",$A$350,"'!c",B411),1)</f>
        <v>2091з</v>
      </c>
      <c r="F411" s="1" cm="1">
        <f t="array" aca="1" ref="F411" ca="1">INDIRECT(CONCATENATE("'",$A$350,"'!d",B411),1)</f>
        <v>8</v>
      </c>
      <c r="G411" s="1" cm="1">
        <f t="array" aca="1" ref="G411" ca="1">INDIRECT(CONCATENATE("'",$A$350,"'!e",B411),1)</f>
        <v>1</v>
      </c>
      <c r="H411" s="1" cm="1">
        <f t="array" aca="1" ref="H411" ca="1">INDIRECT(CONCATENATE("'",$A$350,"'!f",B411),1)</f>
        <v>11</v>
      </c>
      <c r="I411" s="1" t="str" cm="1">
        <f t="array" aca="1" ref="I411" ca="1">INDIRECT(CONCATENATE("'",$A$350,"'!g",B411),1)</f>
        <v>ДЗ</v>
      </c>
      <c r="J411" s="1" cm="1">
        <f t="array" aca="1" ref="J411" ca="1">INDIRECT(CONCATENATE("'",$A$350,"'!h",B411),1)</f>
        <v>1</v>
      </c>
      <c r="K411" s="1" cm="1">
        <f t="array" aca="1" ref="K411" ca="1">INDIRECT(CONCATENATE("'",$A$350,"'!i",B411),1)</f>
        <v>0</v>
      </c>
      <c r="L411" s="1" cm="1">
        <f t="array" aca="1" ref="L411" ca="1">INDIRECT(CONCATENATE("'",$A$350,"'!j",B411),1)</f>
        <v>0</v>
      </c>
      <c r="M411" s="1" cm="1">
        <f t="array" aca="1" ref="M411" ca="1">INDIRECT(CONCATENATE("'",$A$350,"'!k",B411),1)</f>
        <v>0</v>
      </c>
      <c r="N411" s="1" t="str" cm="1">
        <f t="array" aca="1" ref="N411" ca="1">INDIRECT(CONCATENATE("'",$A$350,"'!l",B411),1)</f>
        <v>Цымбалюк Л.Н.Цымбалюк А.Е.</v>
      </c>
      <c r="O411" s="1" cm="1">
        <f t="array" aca="1" ref="O411" ca="1">INDIRECT(CONCATENATE("'",$A$350,"'!m",B411),1)</f>
        <v>3305</v>
      </c>
      <c r="P411" s="1" t="str" cm="1">
        <f t="array" aca="1" ref="P411" ca="1">INDIRECT(CONCATENATE("'",$A$350,"'!n",B411),1)</f>
        <v>1п</v>
      </c>
      <c r="Q411" s="1" cm="1">
        <f t="array" aca="1" ref="Q411" ca="1">INDIRECT(CONCATENATE("'",$A$350,"'!o",B411),1)</f>
        <v>16.5</v>
      </c>
      <c r="R411" s="1" cm="1">
        <f t="array" aca="1" ref="R411" ca="1">INDIRECT(CONCATENATE("'",$A$350,"'!p",B411),1)</f>
        <v>0</v>
      </c>
      <c r="S411" s="1">
        <f t="shared" ca="1" si="30"/>
        <v>0</v>
      </c>
      <c r="T411" s="1" t="str" cm="1">
        <f t="array" aca="1" ref="T411" ca="1">INDIRECT(CONCATENATE("'",$A$350,"'!q",B411),1)</f>
        <v>Цымбалюк Л.Н.</v>
      </c>
      <c r="U411" s="1" cm="1">
        <f t="array" aca="1" ref="U411" ca="1">INDIRECT(CONCATENATE("'",$A$350,"'!r",B411),1)</f>
        <v>6.5</v>
      </c>
      <c r="V411" s="1" t="str" cm="1">
        <f t="array" aca="1" ref="V411" ca="1">INDIRECT(CONCATENATE("'",$A$350,"'!s",B411),1)</f>
        <v>Цымбалюк А.Е.</v>
      </c>
      <c r="W411" s="1" cm="1">
        <f t="array" aca="1" ref="W411" ca="1">INDIRECT(CONCATENATE("'",$A$350,"'!t",B411),1)</f>
        <v>10</v>
      </c>
      <c r="X411" s="1" cm="1">
        <f t="array" aca="1" ref="X411" ca="1">INDIRECT(CONCATENATE("'",$A$350,"'!u",B411),1)</f>
        <v>0</v>
      </c>
      <c r="Y411" s="1" cm="1">
        <f t="array" aca="1" ref="Y411" ca="1">INDIRECT(CONCATENATE("'",$A$350,"'!v",B411),1)</f>
        <v>0</v>
      </c>
    </row>
    <row r="412" spans="2:25" ht="22.5" hidden="1" x14ac:dyDescent="0.25">
      <c r="B412" s="24">
        <f t="shared" si="32"/>
        <v>64</v>
      </c>
      <c r="C412" s="1" t="str" cm="1">
        <f t="array" aca="1" ref="C412" ca="1">INDIRECT(CONCATENATE("'",$A$350,"'!A",B412),1)</f>
        <v>Инженерная и компьютерная графика</v>
      </c>
      <c r="D412" s="1" t="str" cm="1">
        <f t="array" aca="1" ref="D412" ca="1">INDIRECT(CONCATENATE("'",$A$350,"'!B",B412),1)</f>
        <v>09.03.01(09)</v>
      </c>
      <c r="E412" s="1" t="str" cm="1">
        <f t="array" aca="1" ref="E412" ca="1">INDIRECT(CONCATENATE("'",$A$350,"'!c",B412),1)</f>
        <v>2091з</v>
      </c>
      <c r="F412" s="1" cm="1">
        <f t="array" aca="1" ref="F412" ca="1">INDIRECT(CONCATENATE("'",$A$350,"'!d",B412),1)</f>
        <v>8</v>
      </c>
      <c r="G412" s="1" cm="1">
        <f t="array" aca="1" ref="G412" ca="1">INDIRECT(CONCATENATE("'",$A$350,"'!e",B412),1)</f>
        <v>1</v>
      </c>
      <c r="H412" s="1" cm="1">
        <f t="array" aca="1" ref="H412" ca="1">INDIRECT(CONCATENATE("'",$A$350,"'!f",B412),1)</f>
        <v>11</v>
      </c>
      <c r="I412" s="1" t="str" cm="1">
        <f t="array" aca="1" ref="I412" ca="1">INDIRECT(CONCATENATE("'",$A$350,"'!g",B412),1)</f>
        <v>ЭКЗ</v>
      </c>
      <c r="J412" s="1" cm="1">
        <f t="array" aca="1" ref="J412" ca="1">INDIRECT(CONCATENATE("'",$A$350,"'!h",B412),1)</f>
        <v>4</v>
      </c>
      <c r="K412" s="1" cm="1">
        <f t="array" aca="1" ref="K412" ca="1">INDIRECT(CONCATENATE("'",$A$350,"'!i",B412),1)</f>
        <v>4</v>
      </c>
      <c r="L412" s="1" cm="1">
        <f t="array" aca="1" ref="L412" ca="1">INDIRECT(CONCATENATE("'",$A$350,"'!j",B412),1)</f>
        <v>8</v>
      </c>
      <c r="M412" s="1" cm="1">
        <f t="array" aca="1" ref="M412" ca="1">INDIRECT(CONCATENATE("'",$A$350,"'!k",B412),1)</f>
        <v>0</v>
      </c>
      <c r="N412" s="1" t="str" cm="1">
        <f t="array" aca="1" ref="N412" ca="1">INDIRECT(CONCATENATE("'",$A$350,"'!l",B412),1)</f>
        <v>Гареева Т.Ю.</v>
      </c>
      <c r="O412" s="1" cm="1">
        <f t="array" aca="1" ref="O412" ca="1">INDIRECT(CONCATENATE("'",$A$350,"'!m",B412),1)</f>
        <v>4207</v>
      </c>
      <c r="P412" s="1" t="str" cm="1">
        <f t="array" aca="1" ref="P412" ca="1">INDIRECT(CONCATENATE("'",$A$350,"'!n",B412),1)</f>
        <v>1п</v>
      </c>
      <c r="Q412" s="1" cm="1">
        <f t="array" aca="1" ref="Q412" ca="1">INDIRECT(CONCATENATE("'",$A$350,"'!o",B412),1)</f>
        <v>6.6</v>
      </c>
      <c r="R412" s="1" cm="1">
        <f t="array" aca="1" ref="R412" ca="1">INDIRECT(CONCATENATE("'",$A$350,"'!p",B412),1)</f>
        <v>4.4000000000000004</v>
      </c>
      <c r="S412" s="1">
        <f t="shared" ca="1" si="30"/>
        <v>0</v>
      </c>
      <c r="T412" s="1" t="str" cm="1">
        <f t="array" aca="1" ref="T412" ca="1">INDIRECT(CONCATENATE("'",$A$350,"'!q",B412),1)</f>
        <v>Гареева Т.Ю.</v>
      </c>
      <c r="U412" s="1" cm="1">
        <f t="array" aca="1" ref="U412" ca="1">INDIRECT(CONCATENATE("'",$A$350,"'!r",B412),1)</f>
        <v>23</v>
      </c>
      <c r="V412" s="1" cm="1">
        <f t="array" aca="1" ref="V412" ca="1">INDIRECT(CONCATENATE("'",$A$350,"'!s",B412),1)</f>
        <v>0</v>
      </c>
      <c r="W412" s="1" cm="1">
        <f t="array" aca="1" ref="W412" ca="1">INDIRECT(CONCATENATE("'",$A$350,"'!t",B412),1)</f>
        <v>0</v>
      </c>
      <c r="X412" s="1" cm="1">
        <f t="array" aca="1" ref="X412" ca="1">INDIRECT(CONCATENATE("'",$A$350,"'!u",B412),1)</f>
        <v>0</v>
      </c>
      <c r="Y412" s="1" cm="1">
        <f t="array" aca="1" ref="Y412" ca="1">INDIRECT(CONCATENATE("'",$A$350,"'!v",B412),1)</f>
        <v>0</v>
      </c>
    </row>
    <row r="413" spans="2:25" ht="22.5" hidden="1" x14ac:dyDescent="0.25">
      <c r="B413" s="24">
        <f t="shared" si="32"/>
        <v>65</v>
      </c>
      <c r="C413" s="1" t="str" cm="1">
        <f t="array" aca="1" ref="C413" ca="1">INDIRECT(CONCATENATE("'",$A$350,"'!A",B413),1)</f>
        <v>Интеллектуальный анализ данных(установ.)</v>
      </c>
      <c r="D413" s="1" t="str" cm="1">
        <f t="array" aca="1" ref="D413" ca="1">INDIRECT(CONCATENATE("'",$A$350,"'!B",B413),1)</f>
        <v>09.03.01(09)</v>
      </c>
      <c r="E413" s="1" t="str" cm="1">
        <f t="array" aca="1" ref="E413" ca="1">INDIRECT(CONCATENATE("'",$A$350,"'!c",B413),1)</f>
        <v>2091з</v>
      </c>
      <c r="F413" s="1" cm="1">
        <f t="array" aca="1" ref="F413" ca="1">INDIRECT(CONCATENATE("'",$A$350,"'!d",B413),1)</f>
        <v>8</v>
      </c>
      <c r="G413" s="1" cm="1">
        <f t="array" aca="1" ref="G413" ca="1">INDIRECT(CONCATENATE("'",$A$350,"'!e",B413),1)</f>
        <v>1</v>
      </c>
      <c r="H413" s="1" cm="1">
        <f t="array" aca="1" ref="H413" ca="1">INDIRECT(CONCATENATE("'",$A$350,"'!f",B413),1)</f>
        <v>11</v>
      </c>
      <c r="I413" s="1" cm="1">
        <f t="array" aca="1" ref="I413" ca="1">INDIRECT(CONCATENATE("'",$A$350,"'!g",B413),1)</f>
        <v>0</v>
      </c>
      <c r="J413" s="1" cm="1">
        <f t="array" aca="1" ref="J413" ca="1">INDIRECT(CONCATENATE("'",$A$350,"'!h",B413),1)</f>
        <v>0</v>
      </c>
      <c r="K413" s="1" cm="1">
        <f t="array" aca="1" ref="K413" ca="1">INDIRECT(CONCATENATE("'",$A$350,"'!i",B413),1)</f>
        <v>2</v>
      </c>
      <c r="L413" s="1" cm="1">
        <f t="array" aca="1" ref="L413" ca="1">INDIRECT(CONCATENATE("'",$A$350,"'!j",B413),1)</f>
        <v>0</v>
      </c>
      <c r="M413" s="1" cm="1">
        <f t="array" aca="1" ref="M413" ca="1">INDIRECT(CONCATENATE("'",$A$350,"'!k",B413),1)</f>
        <v>0</v>
      </c>
      <c r="N413" s="1" t="str" cm="1">
        <f t="array" aca="1" ref="N413" ca="1">INDIRECT(CONCATENATE("'",$A$350,"'!l",B413),1)</f>
        <v>Телина И.С.</v>
      </c>
      <c r="O413" s="1" cm="1">
        <f t="array" aca="1" ref="O413" ca="1">INDIRECT(CONCATENATE("'",$A$350,"'!m",B413),1)</f>
        <v>3305</v>
      </c>
      <c r="P413" s="1" t="str" cm="1">
        <f t="array" aca="1" ref="P413" ca="1">INDIRECT(CONCATENATE("'",$A$350,"'!n",B413),1)</f>
        <v>уст.</v>
      </c>
      <c r="Q413" s="1" cm="1">
        <f t="array" aca="1" ref="Q413" ca="1">INDIRECT(CONCATENATE("'",$A$350,"'!o",B413),1)</f>
        <v>0</v>
      </c>
      <c r="R413" s="1" cm="1">
        <f t="array" aca="1" ref="R413" ca="1">INDIRECT(CONCATENATE("'",$A$350,"'!p",B413),1)</f>
        <v>0</v>
      </c>
      <c r="S413" s="1">
        <f t="shared" ca="1" si="30"/>
        <v>0</v>
      </c>
      <c r="T413" s="1" t="str" cm="1">
        <f t="array" aca="1" ref="T413" ca="1">INDIRECT(CONCATENATE("'",$A$350,"'!q",B413),1)</f>
        <v>Телина И.С.</v>
      </c>
      <c r="U413" s="1" cm="1">
        <f t="array" aca="1" ref="U413" ca="1">INDIRECT(CONCATENATE("'",$A$350,"'!r",B413),1)</f>
        <v>0</v>
      </c>
      <c r="V413" s="1" cm="1">
        <f t="array" aca="1" ref="V413" ca="1">INDIRECT(CONCATENATE("'",$A$350,"'!s",B413),1)</f>
        <v>0</v>
      </c>
      <c r="W413" s="1" cm="1">
        <f t="array" aca="1" ref="W413" ca="1">INDIRECT(CONCATENATE("'",$A$350,"'!t",B413),1)</f>
        <v>0</v>
      </c>
      <c r="X413" s="1" cm="1">
        <f t="array" aca="1" ref="X413" ca="1">INDIRECT(CONCATENATE("'",$A$350,"'!u",B413),1)</f>
        <v>0</v>
      </c>
      <c r="Y413" s="1" cm="1">
        <f t="array" aca="1" ref="Y413" ca="1">INDIRECT(CONCATENATE("'",$A$350,"'!v",B413),1)</f>
        <v>0</v>
      </c>
    </row>
    <row r="414" spans="2:25" ht="33.75" x14ac:dyDescent="0.25">
      <c r="B414" s="24">
        <f t="shared" si="32"/>
        <v>66</v>
      </c>
      <c r="C414" s="1" t="str" cm="1">
        <f t="array" aca="1" ref="C414" ca="1">INDIRECT(CONCATENATE("'",$A$350,"'!A",B414),1)</f>
        <v>Технические и программные средства информатизации</v>
      </c>
      <c r="D414" s="1" t="str" cm="1">
        <f t="array" aca="1" ref="D414" ca="1">INDIRECT(CONCATENATE("'",$A$350,"'!B",B414),1)</f>
        <v>09.03.01(09)</v>
      </c>
      <c r="E414" s="1" t="str" cm="1">
        <f t="array" aca="1" ref="E414" ca="1">INDIRECT(CONCATENATE("'",$A$350,"'!c",B414),1)</f>
        <v>2091з</v>
      </c>
      <c r="F414" s="1" cm="1">
        <f t="array" aca="1" ref="F414" ca="1">INDIRECT(CONCATENATE("'",$A$350,"'!d",B414),1)</f>
        <v>8</v>
      </c>
      <c r="G414" s="1" cm="1">
        <f t="array" aca="1" ref="G414" ca="1">INDIRECT(CONCATENATE("'",$A$350,"'!e",B414),1)</f>
        <v>1</v>
      </c>
      <c r="H414" s="1" cm="1">
        <f t="array" aca="1" ref="H414" ca="1">INDIRECT(CONCATENATE("'",$A$350,"'!f",B414),1)</f>
        <v>11</v>
      </c>
      <c r="I414" s="1" t="str" cm="1">
        <f t="array" aca="1" ref="I414" ca="1">INDIRECT(CONCATENATE("'",$A$350,"'!g",B414),1)</f>
        <v>ДЗ</v>
      </c>
      <c r="J414" s="1" cm="1">
        <f t="array" aca="1" ref="J414" ca="1">INDIRECT(CONCATENATE("'",$A$350,"'!h",B414),1)</f>
        <v>3</v>
      </c>
      <c r="K414" s="1" cm="1">
        <f t="array" aca="1" ref="K414" ca="1">INDIRECT(CONCATENATE("'",$A$350,"'!i",B414),1)</f>
        <v>4</v>
      </c>
      <c r="L414" s="1" cm="1">
        <f t="array" aca="1" ref="L414" ca="1">INDIRECT(CONCATENATE("'",$A$350,"'!j",B414),1)</f>
        <v>0</v>
      </c>
      <c r="M414" s="1" cm="1">
        <f t="array" aca="1" ref="M414" ca="1">INDIRECT(CONCATENATE("'",$A$350,"'!k",B414),1)</f>
        <v>8</v>
      </c>
      <c r="N414" s="1" t="str" cm="1">
        <f t="array" aca="1" ref="N414" ca="1">INDIRECT(CONCATENATE("'",$A$350,"'!l",B414),1)</f>
        <v>Савинова М.А.</v>
      </c>
      <c r="O414" s="1" cm="1">
        <f t="array" aca="1" ref="O414" ca="1">INDIRECT(CONCATENATE("'",$A$350,"'!m",B414),1)</f>
        <v>3305</v>
      </c>
      <c r="P414" s="1" t="str" cm="1">
        <f t="array" aca="1" ref="P414" ca="1">INDIRECT(CONCATENATE("'",$A$350,"'!n",B414),1)</f>
        <v>1п</v>
      </c>
      <c r="Q414" s="1" cm="1">
        <f t="array" aca="1" ref="Q414" ca="1">INDIRECT(CONCATENATE("'",$A$350,"'!o",B414),1)</f>
        <v>5</v>
      </c>
      <c r="R414" s="1" cm="1">
        <f t="array" aca="1" ref="R414" ca="1">INDIRECT(CONCATENATE("'",$A$350,"'!p",B414),1)</f>
        <v>0</v>
      </c>
      <c r="S414" s="1">
        <f t="shared" ca="1" si="30"/>
        <v>17</v>
      </c>
      <c r="T414" s="1" t="str" cm="1">
        <f t="array" aca="1" ref="T414" ca="1">INDIRECT(CONCATENATE("'",$A$350,"'!q",B414),1)</f>
        <v>Савинова М.А.</v>
      </c>
      <c r="U414" s="1" cm="1">
        <f t="array" aca="1" ref="U414" ca="1">INDIRECT(CONCATENATE("'",$A$350,"'!r",B414),1)</f>
        <v>17</v>
      </c>
      <c r="V414" s="1" cm="1">
        <f t="array" aca="1" ref="V414" ca="1">INDIRECT(CONCATENATE("'",$A$350,"'!s",B414),1)</f>
        <v>0</v>
      </c>
      <c r="W414" s="1" cm="1">
        <f t="array" aca="1" ref="W414" ca="1">INDIRECT(CONCATENATE("'",$A$350,"'!t",B414),1)</f>
        <v>0</v>
      </c>
      <c r="X414" s="1" cm="1">
        <f t="array" aca="1" ref="X414" ca="1">INDIRECT(CONCATENATE("'",$A$350,"'!u",B414),1)</f>
        <v>0</v>
      </c>
      <c r="Y414" s="1" cm="1">
        <f t="array" aca="1" ref="Y414" ca="1">INDIRECT(CONCATENATE("'",$A$350,"'!v",B414),1)</f>
        <v>0</v>
      </c>
    </row>
    <row r="415" spans="2:25" ht="45" hidden="1" x14ac:dyDescent="0.25">
      <c r="B415" s="24">
        <f t="shared" si="32"/>
        <v>67</v>
      </c>
      <c r="C415" s="1" t="str" cm="1">
        <f t="array" aca="1" ref="C415" ca="1">INDIRECT(CONCATENATE("'",$A$350,"'!A",B415),1)</f>
        <v>Информационная безопасность автоматизированных систем(установ.)</v>
      </c>
      <c r="D415" s="1" t="str" cm="1">
        <f t="array" aca="1" ref="D415" ca="1">INDIRECT(CONCATENATE("'",$A$350,"'!B",B415),1)</f>
        <v>09.03.01(09)</v>
      </c>
      <c r="E415" s="1" t="str" cm="1">
        <f t="array" aca="1" ref="E415" ca="1">INDIRECT(CONCATENATE("'",$A$350,"'!c",B415),1)</f>
        <v>2091з</v>
      </c>
      <c r="F415" s="1" cm="1">
        <f t="array" aca="1" ref="F415" ca="1">INDIRECT(CONCATENATE("'",$A$350,"'!d",B415),1)</f>
        <v>8</v>
      </c>
      <c r="G415" s="1" cm="1">
        <f t="array" aca="1" ref="G415" ca="1">INDIRECT(CONCATENATE("'",$A$350,"'!e",B415),1)</f>
        <v>1</v>
      </c>
      <c r="H415" s="1" cm="1">
        <f t="array" aca="1" ref="H415" ca="1">INDIRECT(CONCATENATE("'",$A$350,"'!f",B415),1)</f>
        <v>11</v>
      </c>
      <c r="I415" s="1" cm="1">
        <f t="array" aca="1" ref="I415" ca="1">INDIRECT(CONCATENATE("'",$A$350,"'!g",B415),1)</f>
        <v>0</v>
      </c>
      <c r="J415" s="1" cm="1">
        <f t="array" aca="1" ref="J415" ca="1">INDIRECT(CONCATENATE("'",$A$350,"'!h",B415),1)</f>
        <v>0</v>
      </c>
      <c r="K415" s="1" cm="1">
        <f t="array" aca="1" ref="K415" ca="1">INDIRECT(CONCATENATE("'",$A$350,"'!i",B415),1)</f>
        <v>2</v>
      </c>
      <c r="L415" s="1" cm="1">
        <f t="array" aca="1" ref="L415" ca="1">INDIRECT(CONCATENATE("'",$A$350,"'!j",B415),1)</f>
        <v>0</v>
      </c>
      <c r="M415" s="1" cm="1">
        <f t="array" aca="1" ref="M415" ca="1">INDIRECT(CONCATENATE("'",$A$350,"'!k",B415),1)</f>
        <v>0</v>
      </c>
      <c r="N415" s="1" t="str" cm="1">
        <f t="array" aca="1" ref="N415" ca="1">INDIRECT(CONCATENATE("'",$A$350,"'!l",B415),1)</f>
        <v>Цымбалюк А.Е.</v>
      </c>
      <c r="O415" s="1" cm="1">
        <f t="array" aca="1" ref="O415" ca="1">INDIRECT(CONCATENATE("'",$A$350,"'!m",B415),1)</f>
        <v>3305</v>
      </c>
      <c r="P415" s="1" t="str" cm="1">
        <f t="array" aca="1" ref="P415" ca="1">INDIRECT(CONCATENATE("'",$A$350,"'!n",B415),1)</f>
        <v>уст.</v>
      </c>
      <c r="Q415" s="1" cm="1">
        <f t="array" aca="1" ref="Q415" ca="1">INDIRECT(CONCATENATE("'",$A$350,"'!o",B415),1)</f>
        <v>0</v>
      </c>
      <c r="R415" s="1" cm="1">
        <f t="array" aca="1" ref="R415" ca="1">INDIRECT(CONCATENATE("'",$A$350,"'!p",B415),1)</f>
        <v>0</v>
      </c>
      <c r="S415" s="1">
        <f t="shared" ref="S415:S444" ca="1" si="33">SUMIFS(U415,T415,$N$1)+SUMIFS(W415,V415,$N$1)+SUMIFS(Y415,X415,$N$1)</f>
        <v>0</v>
      </c>
      <c r="T415" s="1" t="str" cm="1">
        <f t="array" aca="1" ref="T415" ca="1">INDIRECT(CONCATENATE("'",$A$350,"'!q",B415),1)</f>
        <v>Цымбалюк А.Е.</v>
      </c>
      <c r="U415" s="1" cm="1">
        <f t="array" aca="1" ref="U415" ca="1">INDIRECT(CONCATENATE("'",$A$350,"'!r",B415),1)</f>
        <v>0</v>
      </c>
      <c r="V415" s="1" cm="1">
        <f t="array" aca="1" ref="V415" ca="1">INDIRECT(CONCATENATE("'",$A$350,"'!s",B415),1)</f>
        <v>0</v>
      </c>
      <c r="W415" s="1" cm="1">
        <f t="array" aca="1" ref="W415" ca="1">INDIRECT(CONCATENATE("'",$A$350,"'!t",B415),1)</f>
        <v>0</v>
      </c>
      <c r="X415" s="1" cm="1">
        <f t="array" aca="1" ref="X415" ca="1">INDIRECT(CONCATENATE("'",$A$350,"'!u",B415),1)</f>
        <v>0</v>
      </c>
      <c r="Y415" s="1" cm="1">
        <f t="array" aca="1" ref="Y415" ca="1">INDIRECT(CONCATENATE("'",$A$350,"'!v",B415),1)</f>
        <v>0</v>
      </c>
    </row>
    <row r="416" spans="2:25" ht="22.5" hidden="1" x14ac:dyDescent="0.25">
      <c r="B416" s="24">
        <f t="shared" si="32"/>
        <v>68</v>
      </c>
      <c r="C416" s="1" t="str" cm="1">
        <f t="array" aca="1" ref="C416" ca="1">INDIRECT(CONCATENATE("'",$A$350,"'!A",B416),1)</f>
        <v>Методы защиты информации</v>
      </c>
      <c r="D416" s="1" t="str" cm="1">
        <f t="array" aca="1" ref="D416" ca="1">INDIRECT(CONCATENATE("'",$A$350,"'!B",B416),1)</f>
        <v>09.03.01(09)</v>
      </c>
      <c r="E416" s="1" t="str" cm="1">
        <f t="array" aca="1" ref="E416" ca="1">INDIRECT(CONCATENATE("'",$A$350,"'!c",B416),1)</f>
        <v>2091з</v>
      </c>
      <c r="F416" s="1" cm="1">
        <f t="array" aca="1" ref="F416" ca="1">INDIRECT(CONCATENATE("'",$A$350,"'!d",B416),1)</f>
        <v>8</v>
      </c>
      <c r="G416" s="1" cm="1">
        <f t="array" aca="1" ref="G416" ca="1">INDIRECT(CONCATENATE("'",$A$350,"'!e",B416),1)</f>
        <v>1</v>
      </c>
      <c r="H416" s="1" cm="1">
        <f t="array" aca="1" ref="H416" ca="1">INDIRECT(CONCATENATE("'",$A$350,"'!f",B416),1)</f>
        <v>11</v>
      </c>
      <c r="I416" s="1" t="str" cm="1">
        <f t="array" aca="1" ref="I416" ca="1">INDIRECT(CONCATENATE("'",$A$350,"'!g",B416),1)</f>
        <v>ДЗ</v>
      </c>
      <c r="J416" s="1" cm="1">
        <f t="array" aca="1" ref="J416" ca="1">INDIRECT(CONCATENATE("'",$A$350,"'!h",B416),1)</f>
        <v>4</v>
      </c>
      <c r="K416" s="1" cm="1">
        <f t="array" aca="1" ref="K416" ca="1">INDIRECT(CONCATENATE("'",$A$350,"'!i",B416),1)</f>
        <v>4</v>
      </c>
      <c r="L416" s="1" cm="1">
        <f t="array" aca="1" ref="L416" ca="1">INDIRECT(CONCATENATE("'",$A$350,"'!j",B416),1)</f>
        <v>0</v>
      </c>
      <c r="M416" s="1" cm="1">
        <f t="array" aca="1" ref="M416" ca="1">INDIRECT(CONCATENATE("'",$A$350,"'!k",B416),1)</f>
        <v>12</v>
      </c>
      <c r="N416" s="1" t="str" cm="1">
        <f t="array" aca="1" ref="N416" ca="1">INDIRECT(CONCATENATE("'",$A$350,"'!l",B416),1)</f>
        <v>Жгун Т.В.</v>
      </c>
      <c r="O416" s="1" cm="1">
        <f t="array" aca="1" ref="O416" ca="1">INDIRECT(CONCATENATE("'",$A$350,"'!m",B416),1)</f>
        <v>3305</v>
      </c>
      <c r="P416" s="1" t="str" cm="1">
        <f t="array" aca="1" ref="P416" ca="1">INDIRECT(CONCATENATE("'",$A$350,"'!n",B416),1)</f>
        <v>1п</v>
      </c>
      <c r="Q416" s="1" cm="1">
        <f t="array" aca="1" ref="Q416" ca="1">INDIRECT(CONCATENATE("'",$A$350,"'!o",B416),1)</f>
        <v>6.6</v>
      </c>
      <c r="R416" s="1" cm="1">
        <f t="array" aca="1" ref="R416" ca="1">INDIRECT(CONCATENATE("'",$A$350,"'!p",B416),1)</f>
        <v>0</v>
      </c>
      <c r="S416" s="1">
        <f t="shared" ca="1" si="33"/>
        <v>0</v>
      </c>
      <c r="T416" s="1" t="str" cm="1">
        <f t="array" aca="1" ref="T416" ca="1">INDIRECT(CONCATENATE("'",$A$350,"'!q",B416),1)</f>
        <v>Жгун Т.В.</v>
      </c>
      <c r="U416" s="1" cm="1">
        <f t="array" aca="1" ref="U416" ca="1">INDIRECT(CONCATENATE("'",$A$350,"'!r",B416),1)</f>
        <v>22.6</v>
      </c>
      <c r="V416" s="1" cm="1">
        <f t="array" aca="1" ref="V416" ca="1">INDIRECT(CONCATENATE("'",$A$350,"'!s",B416),1)</f>
        <v>0</v>
      </c>
      <c r="W416" s="1" cm="1">
        <f t="array" aca="1" ref="W416" ca="1">INDIRECT(CONCATENATE("'",$A$350,"'!t",B416),1)</f>
        <v>0</v>
      </c>
      <c r="X416" s="1" cm="1">
        <f t="array" aca="1" ref="X416" ca="1">INDIRECT(CONCATENATE("'",$A$350,"'!u",B416),1)</f>
        <v>0</v>
      </c>
      <c r="Y416" s="1" cm="1">
        <f t="array" aca="1" ref="Y416" ca="1">INDIRECT(CONCATENATE("'",$A$350,"'!v",B416),1)</f>
        <v>0</v>
      </c>
    </row>
    <row r="417" spans="2:25" ht="45" hidden="1" x14ac:dyDescent="0.25">
      <c r="B417" s="24">
        <f t="shared" si="32"/>
        <v>69</v>
      </c>
      <c r="C417" s="1" t="str" cm="1">
        <f t="array" aca="1" ref="C417" ca="1">INDIRECT(CONCATENATE("'",$A$350,"'!A",B417),1)</f>
        <v>Функциональное и логическое программирование(установ.)</v>
      </c>
      <c r="D417" s="1" t="str" cm="1">
        <f t="array" aca="1" ref="D417" ca="1">INDIRECT(CONCATENATE("'",$A$350,"'!B",B417),1)</f>
        <v>09.03.01(09)</v>
      </c>
      <c r="E417" s="1" t="str" cm="1">
        <f t="array" aca="1" ref="E417" ca="1">INDIRECT(CONCATENATE("'",$A$350,"'!c",B417),1)</f>
        <v>2091з</v>
      </c>
      <c r="F417" s="1" cm="1">
        <f t="array" aca="1" ref="F417" ca="1">INDIRECT(CONCATENATE("'",$A$350,"'!d",B417),1)</f>
        <v>8</v>
      </c>
      <c r="G417" s="1" cm="1">
        <f t="array" aca="1" ref="G417" ca="1">INDIRECT(CONCATENATE("'",$A$350,"'!e",B417),1)</f>
        <v>1</v>
      </c>
      <c r="H417" s="1" cm="1">
        <f t="array" aca="1" ref="H417" ca="1">INDIRECT(CONCATENATE("'",$A$350,"'!f",B417),1)</f>
        <v>11</v>
      </c>
      <c r="I417" s="1" cm="1">
        <f t="array" aca="1" ref="I417" ca="1">INDIRECT(CONCATENATE("'",$A$350,"'!g",B417),1)</f>
        <v>0</v>
      </c>
      <c r="J417" s="1" cm="1">
        <f t="array" aca="1" ref="J417" ca="1">INDIRECT(CONCATENATE("'",$A$350,"'!h",B417),1)</f>
        <v>0</v>
      </c>
      <c r="K417" s="1" cm="1">
        <f t="array" aca="1" ref="K417" ca="1">INDIRECT(CONCATENATE("'",$A$350,"'!i",B417),1)</f>
        <v>2</v>
      </c>
      <c r="L417" s="1" cm="1">
        <f t="array" aca="1" ref="L417" ca="1">INDIRECT(CONCATENATE("'",$A$350,"'!j",B417),1)</f>
        <v>0</v>
      </c>
      <c r="M417" s="1" cm="1">
        <f t="array" aca="1" ref="M417" ca="1">INDIRECT(CONCATENATE("'",$A$350,"'!k",B417),1)</f>
        <v>0</v>
      </c>
      <c r="N417" s="1" t="str" cm="1">
        <f t="array" aca="1" ref="N417" ca="1">INDIRECT(CONCATENATE("'",$A$350,"'!l",B417),1)</f>
        <v>Михайлов Д.В.</v>
      </c>
      <c r="O417" s="1" cm="1">
        <f t="array" aca="1" ref="O417" ca="1">INDIRECT(CONCATENATE("'",$A$350,"'!m",B417),1)</f>
        <v>3305</v>
      </c>
      <c r="P417" s="1" t="str" cm="1">
        <f t="array" aca="1" ref="P417" ca="1">INDIRECT(CONCATENATE("'",$A$350,"'!n",B417),1)</f>
        <v>уст.</v>
      </c>
      <c r="Q417" s="1" cm="1">
        <f t="array" aca="1" ref="Q417" ca="1">INDIRECT(CONCATENATE("'",$A$350,"'!o",B417),1)</f>
        <v>0</v>
      </c>
      <c r="R417" s="1" cm="1">
        <f t="array" aca="1" ref="R417" ca="1">INDIRECT(CONCATENATE("'",$A$350,"'!p",B417),1)</f>
        <v>0</v>
      </c>
      <c r="S417" s="1">
        <f t="shared" ca="1" si="33"/>
        <v>0</v>
      </c>
      <c r="T417" s="1" t="str" cm="1">
        <f t="array" aca="1" ref="T417" ca="1">INDIRECT(CONCATENATE("'",$A$350,"'!q",B417),1)</f>
        <v>Михайлов Д.В.</v>
      </c>
      <c r="U417" s="1" cm="1">
        <f t="array" aca="1" ref="U417" ca="1">INDIRECT(CONCATENATE("'",$A$350,"'!r",B417),1)</f>
        <v>0</v>
      </c>
      <c r="V417" s="1" cm="1">
        <f t="array" aca="1" ref="V417" ca="1">INDIRECT(CONCATENATE("'",$A$350,"'!s",B417),1)</f>
        <v>0</v>
      </c>
      <c r="W417" s="1" cm="1">
        <f t="array" aca="1" ref="W417" ca="1">INDIRECT(CONCATENATE("'",$A$350,"'!t",B417),1)</f>
        <v>0</v>
      </c>
      <c r="X417" s="1" cm="1">
        <f t="array" aca="1" ref="X417" ca="1">INDIRECT(CONCATENATE("'",$A$350,"'!u",B417),1)</f>
        <v>0</v>
      </c>
      <c r="Y417" s="1" cm="1">
        <f t="array" aca="1" ref="Y417" ca="1">INDIRECT(CONCATENATE("'",$A$350,"'!v",B417),1)</f>
        <v>0</v>
      </c>
    </row>
    <row r="418" spans="2:25" ht="56.25" hidden="1" x14ac:dyDescent="0.25">
      <c r="B418" s="24">
        <f t="shared" si="32"/>
        <v>70</v>
      </c>
      <c r="C418" s="1" t="str" cm="1">
        <f t="array" aca="1" ref="C418" ca="1">INDIRECT(CONCATENATE("'",$A$350,"'!A",B418),1)</f>
        <v>Основы автоматизированных информационных систем управления предприятием(установ.)</v>
      </c>
      <c r="D418" s="1" t="str" cm="1">
        <f t="array" aca="1" ref="D418" ca="1">INDIRECT(CONCATENATE("'",$A$350,"'!B",B418),1)</f>
        <v>09.03.01(09)</v>
      </c>
      <c r="E418" s="1" t="str" cm="1">
        <f t="array" aca="1" ref="E418" ca="1">INDIRECT(CONCATENATE("'",$A$350,"'!c",B418),1)</f>
        <v>2091з</v>
      </c>
      <c r="F418" s="1" cm="1">
        <f t="array" aca="1" ref="F418" ca="1">INDIRECT(CONCATENATE("'",$A$350,"'!d",B418),1)</f>
        <v>8</v>
      </c>
      <c r="G418" s="1" cm="1">
        <f t="array" aca="1" ref="G418" ca="1">INDIRECT(CONCATENATE("'",$A$350,"'!e",B418),1)</f>
        <v>1</v>
      </c>
      <c r="H418" s="1" cm="1">
        <f t="array" aca="1" ref="H418" ca="1">INDIRECT(CONCATENATE("'",$A$350,"'!f",B418),1)</f>
        <v>11</v>
      </c>
      <c r="I418" s="1" cm="1">
        <f t="array" aca="1" ref="I418" ca="1">INDIRECT(CONCATENATE("'",$A$350,"'!g",B418),1)</f>
        <v>0</v>
      </c>
      <c r="J418" s="1" cm="1">
        <f t="array" aca="1" ref="J418" ca="1">INDIRECT(CONCATENATE("'",$A$350,"'!h",B418),1)</f>
        <v>0</v>
      </c>
      <c r="K418" s="1" cm="1">
        <f t="array" aca="1" ref="K418" ca="1">INDIRECT(CONCATENATE("'",$A$350,"'!i",B418),1)</f>
        <v>2</v>
      </c>
      <c r="L418" s="1" cm="1">
        <f t="array" aca="1" ref="L418" ca="1">INDIRECT(CONCATENATE("'",$A$350,"'!j",B418),1)</f>
        <v>0</v>
      </c>
      <c r="M418" s="1" cm="1">
        <f t="array" aca="1" ref="M418" ca="1">INDIRECT(CONCATENATE("'",$A$350,"'!k",B418),1)</f>
        <v>0</v>
      </c>
      <c r="N418" s="1" t="str" cm="1">
        <f t="array" aca="1" ref="N418" ca="1">INDIRECT(CONCATENATE("'",$A$350,"'!l",B418),1)</f>
        <v>Соколова Г.Ю.</v>
      </c>
      <c r="O418" s="1" cm="1">
        <f t="array" aca="1" ref="O418" ca="1">INDIRECT(CONCATENATE("'",$A$350,"'!m",B418),1)</f>
        <v>3305</v>
      </c>
      <c r="P418" s="1" t="str" cm="1">
        <f t="array" aca="1" ref="P418" ca="1">INDIRECT(CONCATENATE("'",$A$350,"'!n",B418),1)</f>
        <v>уст.</v>
      </c>
      <c r="Q418" s="1" cm="1">
        <f t="array" aca="1" ref="Q418" ca="1">INDIRECT(CONCATENATE("'",$A$350,"'!o",B418),1)</f>
        <v>0</v>
      </c>
      <c r="R418" s="1" cm="1">
        <f t="array" aca="1" ref="R418" ca="1">INDIRECT(CONCATENATE("'",$A$350,"'!p",B418),1)</f>
        <v>0</v>
      </c>
      <c r="S418" s="1">
        <f t="shared" ca="1" si="33"/>
        <v>0</v>
      </c>
      <c r="T418" s="1" t="str" cm="1">
        <f t="array" aca="1" ref="T418" ca="1">INDIRECT(CONCATENATE("'",$A$350,"'!q",B418),1)</f>
        <v>Соколова Г.Ю.</v>
      </c>
      <c r="U418" s="1" cm="1">
        <f t="array" aca="1" ref="U418" ca="1">INDIRECT(CONCATENATE("'",$A$350,"'!r",B418),1)</f>
        <v>0</v>
      </c>
      <c r="V418" s="1" cm="1">
        <f t="array" aca="1" ref="V418" ca="1">INDIRECT(CONCATENATE("'",$A$350,"'!s",B418),1)</f>
        <v>0</v>
      </c>
      <c r="W418" s="1" cm="1">
        <f t="array" aca="1" ref="W418" ca="1">INDIRECT(CONCATENATE("'",$A$350,"'!t",B418),1)</f>
        <v>0</v>
      </c>
      <c r="X418" s="1" cm="1">
        <f t="array" aca="1" ref="X418" ca="1">INDIRECT(CONCATENATE("'",$A$350,"'!u",B418),1)</f>
        <v>0</v>
      </c>
      <c r="Y418" s="1" cm="1">
        <f t="array" aca="1" ref="Y418" ca="1">INDIRECT(CONCATENATE("'",$A$350,"'!v",B418),1)</f>
        <v>0</v>
      </c>
    </row>
    <row r="419" spans="2:25" ht="33.75" hidden="1" x14ac:dyDescent="0.25">
      <c r="B419" s="24">
        <f t="shared" si="32"/>
        <v>71</v>
      </c>
      <c r="C419" s="1" t="str" cm="1">
        <f t="array" aca="1" ref="C419" ca="1">INDIRECT(CONCATENATE("'",$A$350,"'!A",B419),1)</f>
        <v>Распознавание образов и обработка изображений(установ.)</v>
      </c>
      <c r="D419" s="1" t="str" cm="1">
        <f t="array" aca="1" ref="D419" ca="1">INDIRECT(CONCATENATE("'",$A$350,"'!B",B419),1)</f>
        <v>09.03.01(09)</v>
      </c>
      <c r="E419" s="1" t="str" cm="1">
        <f t="array" aca="1" ref="E419" ca="1">INDIRECT(CONCATENATE("'",$A$350,"'!c",B419),1)</f>
        <v>2091з</v>
      </c>
      <c r="F419" s="1" cm="1">
        <f t="array" aca="1" ref="F419" ca="1">INDIRECT(CONCATENATE("'",$A$350,"'!d",B419),1)</f>
        <v>8</v>
      </c>
      <c r="G419" s="1" cm="1">
        <f t="array" aca="1" ref="G419" ca="1">INDIRECT(CONCATENATE("'",$A$350,"'!e",B419),1)</f>
        <v>1</v>
      </c>
      <c r="H419" s="1" cm="1">
        <f t="array" aca="1" ref="H419" ca="1">INDIRECT(CONCATENATE("'",$A$350,"'!f",B419),1)</f>
        <v>11</v>
      </c>
      <c r="I419" s="1" cm="1">
        <f t="array" aca="1" ref="I419" ca="1">INDIRECT(CONCATENATE("'",$A$350,"'!g",B419),1)</f>
        <v>0</v>
      </c>
      <c r="J419" s="1" cm="1">
        <f t="array" aca="1" ref="J419" ca="1">INDIRECT(CONCATENATE("'",$A$350,"'!h",B419),1)</f>
        <v>0</v>
      </c>
      <c r="K419" s="1" cm="1">
        <f t="array" aca="1" ref="K419" ca="1">INDIRECT(CONCATENATE("'",$A$350,"'!i",B419),1)</f>
        <v>2</v>
      </c>
      <c r="L419" s="1" cm="1">
        <f t="array" aca="1" ref="L419" ca="1">INDIRECT(CONCATENATE("'",$A$350,"'!j",B419),1)</f>
        <v>0</v>
      </c>
      <c r="M419" s="1" cm="1">
        <f t="array" aca="1" ref="M419" ca="1">INDIRECT(CONCATENATE("'",$A$350,"'!k",B419),1)</f>
        <v>0</v>
      </c>
      <c r="N419" s="1" t="str" cm="1">
        <f t="array" aca="1" ref="N419" ca="1">INDIRECT(CONCATENATE("'",$A$350,"'!l",B419),1)</f>
        <v>Корнышев Н.П.</v>
      </c>
      <c r="O419" s="1" cm="1">
        <f t="array" aca="1" ref="O419" ca="1">INDIRECT(CONCATENATE("'",$A$350,"'!m",B419),1)</f>
        <v>3305</v>
      </c>
      <c r="P419" s="1" t="str" cm="1">
        <f t="array" aca="1" ref="P419" ca="1">INDIRECT(CONCATENATE("'",$A$350,"'!n",B419),1)</f>
        <v>уст.</v>
      </c>
      <c r="Q419" s="1" cm="1">
        <f t="array" aca="1" ref="Q419" ca="1">INDIRECT(CONCATENATE("'",$A$350,"'!o",B419),1)</f>
        <v>0</v>
      </c>
      <c r="R419" s="1" cm="1">
        <f t="array" aca="1" ref="R419" ca="1">INDIRECT(CONCATENATE("'",$A$350,"'!p",B419),1)</f>
        <v>0</v>
      </c>
      <c r="S419" s="1">
        <f t="shared" ca="1" si="33"/>
        <v>0</v>
      </c>
      <c r="T419" s="1" t="str" cm="1">
        <f t="array" aca="1" ref="T419" ca="1">INDIRECT(CONCATENATE("'",$A$350,"'!q",B419),1)</f>
        <v>Корнышев Н.П.</v>
      </c>
      <c r="U419" s="1" cm="1">
        <f t="array" aca="1" ref="U419" ca="1">INDIRECT(CONCATENATE("'",$A$350,"'!r",B419),1)</f>
        <v>0</v>
      </c>
      <c r="V419" s="1" cm="1">
        <f t="array" aca="1" ref="V419" ca="1">INDIRECT(CONCATENATE("'",$A$350,"'!s",B419),1)</f>
        <v>0</v>
      </c>
      <c r="W419" s="1" cm="1">
        <f t="array" aca="1" ref="W419" ca="1">INDIRECT(CONCATENATE("'",$A$350,"'!t",B419),1)</f>
        <v>0</v>
      </c>
      <c r="X419" s="1" cm="1">
        <f t="array" aca="1" ref="X419" ca="1">INDIRECT(CONCATENATE("'",$A$350,"'!u",B419),1)</f>
        <v>0</v>
      </c>
      <c r="Y419" s="1" cm="1">
        <f t="array" aca="1" ref="Y419" ca="1">INDIRECT(CONCATENATE("'",$A$350,"'!v",B419),1)</f>
        <v>0</v>
      </c>
    </row>
    <row r="420" spans="2:25" ht="56.25" hidden="1" x14ac:dyDescent="0.25">
      <c r="B420" s="24">
        <f t="shared" si="32"/>
        <v>72</v>
      </c>
      <c r="C420" s="1" t="str" cm="1">
        <f t="array" aca="1" ref="C420" ca="1">INDIRECT(CONCATENATE("'",$A$350,"'!A",B420),1)</f>
        <v>Практика производственная: Практика проектно-технологическая(установ.)</v>
      </c>
      <c r="D420" s="1" t="str" cm="1">
        <f t="array" aca="1" ref="D420" ca="1">INDIRECT(CONCATENATE("'",$A$350,"'!B",B420),1)</f>
        <v>09.03.01(09)</v>
      </c>
      <c r="E420" s="1" t="str" cm="1">
        <f t="array" aca="1" ref="E420" ca="1">INDIRECT(CONCATENATE("'",$A$350,"'!c",B420),1)</f>
        <v>2091з</v>
      </c>
      <c r="F420" s="1" cm="1">
        <f t="array" aca="1" ref="F420" ca="1">INDIRECT(CONCATENATE("'",$A$350,"'!d",B420),1)</f>
        <v>8</v>
      </c>
      <c r="G420" s="1" cm="1">
        <f t="array" aca="1" ref="G420" ca="1">INDIRECT(CONCATENATE("'",$A$350,"'!e",B420),1)</f>
        <v>1</v>
      </c>
      <c r="H420" s="1" cm="1">
        <f t="array" aca="1" ref="H420" ca="1">INDIRECT(CONCATENATE("'",$A$350,"'!f",B420),1)</f>
        <v>11</v>
      </c>
      <c r="I420" s="1" t="str" cm="1">
        <f t="array" aca="1" ref="I420" ca="1">INDIRECT(CONCATENATE("'",$A$350,"'!g",B420),1)</f>
        <v>ДЗ</v>
      </c>
      <c r="J420" s="1" cm="1">
        <f t="array" aca="1" ref="J420" ca="1">INDIRECT(CONCATENATE("'",$A$350,"'!h",B420),1)</f>
        <v>1</v>
      </c>
      <c r="K420" s="1" cm="1">
        <f t="array" aca="1" ref="K420" ca="1">INDIRECT(CONCATENATE("'",$A$350,"'!i",B420),1)</f>
        <v>0</v>
      </c>
      <c r="L420" s="1" cm="1">
        <f t="array" aca="1" ref="L420" ca="1">INDIRECT(CONCATENATE("'",$A$350,"'!j",B420),1)</f>
        <v>1</v>
      </c>
      <c r="M420" s="1" cm="1">
        <f t="array" aca="1" ref="M420" ca="1">INDIRECT(CONCATENATE("'",$A$350,"'!k",B420),1)</f>
        <v>0</v>
      </c>
      <c r="N420" s="1" t="str" cm="1">
        <f t="array" aca="1" ref="N420" ca="1">INDIRECT(CONCATENATE("'",$A$350,"'!l",B420),1)</f>
        <v>Соколова Г.Ю.</v>
      </c>
      <c r="O420" s="1" cm="1">
        <f t="array" aca="1" ref="O420" ca="1">INDIRECT(CONCATENATE("'",$A$350,"'!m",B420),1)</f>
        <v>3317</v>
      </c>
      <c r="P420" s="1" t="str" cm="1">
        <f t="array" aca="1" ref="P420" ca="1">INDIRECT(CONCATENATE("'",$A$350,"'!n",B420),1)</f>
        <v>уст.</v>
      </c>
      <c r="Q420" s="1" cm="1">
        <f t="array" aca="1" ref="Q420" ca="1">INDIRECT(CONCATENATE("'",$A$350,"'!o",B420),1)</f>
        <v>0</v>
      </c>
      <c r="R420" s="1" cm="1">
        <f t="array" aca="1" ref="R420" ca="1">INDIRECT(CONCATENATE("'",$A$350,"'!p",B420),1)</f>
        <v>0</v>
      </c>
      <c r="S420" s="1">
        <f t="shared" ca="1" si="33"/>
        <v>0</v>
      </c>
      <c r="T420" s="1" t="str" cm="1">
        <f t="array" aca="1" ref="T420" ca="1">INDIRECT(CONCATENATE("'",$A$350,"'!q",B420),1)</f>
        <v>Соколова Г.Ю.</v>
      </c>
      <c r="U420" s="1" cm="1">
        <f t="array" aca="1" ref="U420" ca="1">INDIRECT(CONCATENATE("'",$A$350,"'!r",B420),1)</f>
        <v>0</v>
      </c>
      <c r="V420" s="1" cm="1">
        <f t="array" aca="1" ref="V420" ca="1">INDIRECT(CONCATENATE("'",$A$350,"'!s",B420),1)</f>
        <v>0</v>
      </c>
      <c r="W420" s="1" cm="1">
        <f t="array" aca="1" ref="W420" ca="1">INDIRECT(CONCATENATE("'",$A$350,"'!t",B420),1)</f>
        <v>0</v>
      </c>
      <c r="X420" s="1" cm="1">
        <f t="array" aca="1" ref="X420" ca="1">INDIRECT(CONCATENATE("'",$A$350,"'!u",B420),1)</f>
        <v>0</v>
      </c>
      <c r="Y420" s="1" cm="1">
        <f t="array" aca="1" ref="Y420" ca="1">INDIRECT(CONCATENATE("'",$A$350,"'!v",B420),1)</f>
        <v>0</v>
      </c>
    </row>
    <row r="421" spans="2:25" ht="56.25" x14ac:dyDescent="0.25">
      <c r="B421" s="24">
        <f t="shared" si="32"/>
        <v>73</v>
      </c>
      <c r="C421" s="1" t="str" cm="1">
        <f t="array" aca="1" ref="C421" ca="1">INDIRECT(CONCATENATE("'",$A$350,"'!A",B421),1)</f>
        <v>Практика производственная: Практика эксплуатационная установ.)</v>
      </c>
      <c r="D421" s="1" t="str" cm="1">
        <f t="array" aca="1" ref="D421" ca="1">INDIRECT(CONCATENATE("'",$A$350,"'!B",B421),1)</f>
        <v>09.03.01(09)</v>
      </c>
      <c r="E421" s="1" t="str" cm="1">
        <f t="array" aca="1" ref="E421" ca="1">INDIRECT(CONCATENATE("'",$A$350,"'!c",B421),1)</f>
        <v>2091з</v>
      </c>
      <c r="F421" s="1" cm="1">
        <f t="array" aca="1" ref="F421" ca="1">INDIRECT(CONCATENATE("'",$A$350,"'!d",B421),1)</f>
        <v>8</v>
      </c>
      <c r="G421" s="1" cm="1">
        <f t="array" aca="1" ref="G421" ca="1">INDIRECT(CONCATENATE("'",$A$350,"'!e",B421),1)</f>
        <v>1</v>
      </c>
      <c r="H421" s="1" cm="1">
        <f t="array" aca="1" ref="H421" ca="1">INDIRECT(CONCATENATE("'",$A$350,"'!f",B421),1)</f>
        <v>11</v>
      </c>
      <c r="I421" s="1" t="str" cm="1">
        <f t="array" aca="1" ref="I421" ca="1">INDIRECT(CONCATENATE("'",$A$350,"'!g",B421),1)</f>
        <v>ДЗ</v>
      </c>
      <c r="J421" s="1" cm="1">
        <f t="array" aca="1" ref="J421" ca="1">INDIRECT(CONCATENATE("'",$A$350,"'!h",B421),1)</f>
        <v>1</v>
      </c>
      <c r="K421" s="1" cm="1">
        <f t="array" aca="1" ref="K421" ca="1">INDIRECT(CONCATENATE("'",$A$350,"'!i",B421),1)</f>
        <v>0</v>
      </c>
      <c r="L421" s="1" cm="1">
        <f t="array" aca="1" ref="L421" ca="1">INDIRECT(CONCATENATE("'",$A$350,"'!j",B421),1)</f>
        <v>1</v>
      </c>
      <c r="M421" s="1" cm="1">
        <f t="array" aca="1" ref="M421" ca="1">INDIRECT(CONCATENATE("'",$A$350,"'!k",B421),1)</f>
        <v>0</v>
      </c>
      <c r="N421" s="1" t="str" cm="1">
        <f t="array" aca="1" ref="N421" ca="1">INDIRECT(CONCATENATE("'",$A$350,"'!l",B421),1)</f>
        <v>Савинова М.А.</v>
      </c>
      <c r="O421" s="1" cm="1">
        <f t="array" aca="1" ref="O421" ca="1">INDIRECT(CONCATENATE("'",$A$350,"'!m",B421),1)</f>
        <v>3317</v>
      </c>
      <c r="P421" s="1" t="str" cm="1">
        <f t="array" aca="1" ref="P421" ca="1">INDIRECT(CONCATENATE("'",$A$350,"'!n",B421),1)</f>
        <v>уст.</v>
      </c>
      <c r="Q421" s="1" cm="1">
        <f t="array" aca="1" ref="Q421" ca="1">INDIRECT(CONCATENATE("'",$A$350,"'!o",B421),1)</f>
        <v>0</v>
      </c>
      <c r="R421" s="1" cm="1">
        <f t="array" aca="1" ref="R421" ca="1">INDIRECT(CONCATENATE("'",$A$350,"'!p",B421),1)</f>
        <v>0</v>
      </c>
      <c r="S421" s="1">
        <f t="shared" ca="1" si="33"/>
        <v>0</v>
      </c>
      <c r="T421" s="1" t="str" cm="1">
        <f t="array" aca="1" ref="T421" ca="1">INDIRECT(CONCATENATE("'",$A$350,"'!q",B421),1)</f>
        <v>Савинова М.А.</v>
      </c>
      <c r="U421" s="1" cm="1">
        <f t="array" aca="1" ref="U421" ca="1">INDIRECT(CONCATENATE("'",$A$350,"'!r",B421),1)</f>
        <v>0</v>
      </c>
      <c r="V421" s="1" cm="1">
        <f t="array" aca="1" ref="V421" ca="1">INDIRECT(CONCATENATE("'",$A$350,"'!s",B421),1)</f>
        <v>0</v>
      </c>
      <c r="W421" s="1" cm="1">
        <f t="array" aca="1" ref="W421" ca="1">INDIRECT(CONCATENATE("'",$A$350,"'!t",B421),1)</f>
        <v>0</v>
      </c>
      <c r="X421" s="1" cm="1">
        <f t="array" aca="1" ref="X421" ca="1">INDIRECT(CONCATENATE("'",$A$350,"'!u",B421),1)</f>
        <v>0</v>
      </c>
      <c r="Y421" s="1" cm="1">
        <f t="array" aca="1" ref="Y421" ca="1">INDIRECT(CONCATENATE("'",$A$350,"'!v",B421),1)</f>
        <v>0</v>
      </c>
    </row>
    <row r="422" spans="2:25" ht="33.75" hidden="1" x14ac:dyDescent="0.25">
      <c r="B422" s="24">
        <f t="shared" si="32"/>
        <v>74</v>
      </c>
      <c r="C422" s="1" t="str" cm="1">
        <f t="array" aca="1" ref="C422" ca="1">INDIRECT(CONCATENATE("'",$A$350,"'!A",B422),1)</f>
        <v>Практика учебная: Практика проектно-технологическая</v>
      </c>
      <c r="D422" s="1" t="str" cm="1">
        <f t="array" aca="1" ref="D422" ca="1">INDIRECT(CONCATENATE("'",$A$350,"'!B",B422),1)</f>
        <v>09.03.01(09)</v>
      </c>
      <c r="E422" s="1" t="str" cm="1">
        <f t="array" aca="1" ref="E422" ca="1">INDIRECT(CONCATENATE("'",$A$350,"'!c",B422),1)</f>
        <v>2091з</v>
      </c>
      <c r="F422" s="1" cm="1">
        <f t="array" aca="1" ref="F422" ca="1">INDIRECT(CONCATENATE("'",$A$350,"'!d",B422),1)</f>
        <v>8</v>
      </c>
      <c r="G422" s="1" cm="1">
        <f t="array" aca="1" ref="G422" ca="1">INDIRECT(CONCATENATE("'",$A$350,"'!e",B422),1)</f>
        <v>1</v>
      </c>
      <c r="H422" s="1" cm="1">
        <f t="array" aca="1" ref="H422" ca="1">INDIRECT(CONCATENATE("'",$A$350,"'!f",B422),1)</f>
        <v>11</v>
      </c>
      <c r="I422" s="1" t="str" cm="1">
        <f t="array" aca="1" ref="I422" ca="1">INDIRECT(CONCATENATE("'",$A$350,"'!g",B422),1)</f>
        <v>ДЗ</v>
      </c>
      <c r="J422" s="1" cm="1">
        <f t="array" aca="1" ref="J422" ca="1">INDIRECT(CONCATENATE("'",$A$350,"'!h",B422),1)</f>
        <v>1</v>
      </c>
      <c r="K422" s="1" cm="1">
        <f t="array" aca="1" ref="K422" ca="1">INDIRECT(CONCATENATE("'",$A$350,"'!i",B422),1)</f>
        <v>0</v>
      </c>
      <c r="L422" s="1" cm="1">
        <f t="array" aca="1" ref="L422" ca="1">INDIRECT(CONCATENATE("'",$A$350,"'!j",B422),1)</f>
        <v>1</v>
      </c>
      <c r="M422" s="1" cm="1">
        <f t="array" aca="1" ref="M422" ca="1">INDIRECT(CONCATENATE("'",$A$350,"'!k",B422),1)</f>
        <v>0</v>
      </c>
      <c r="N422" s="1" t="str" cm="1">
        <f t="array" aca="1" ref="N422" ca="1">INDIRECT(CONCATENATE("'",$A$350,"'!l",B422),1)</f>
        <v>Моркин С.А.</v>
      </c>
      <c r="O422" s="1" cm="1">
        <f t="array" aca="1" ref="O422" ca="1">INDIRECT(CONCATENATE("'",$A$350,"'!m",B422),1)</f>
        <v>3317</v>
      </c>
      <c r="P422" s="1" t="str" cm="1">
        <f t="array" aca="1" ref="P422" ca="1">INDIRECT(CONCATENATE("'",$A$350,"'!n",B422),1)</f>
        <v>1п</v>
      </c>
      <c r="Q422" s="1" cm="1">
        <f t="array" aca="1" ref="Q422" ca="1">INDIRECT(CONCATENATE("'",$A$350,"'!o",B422),1)</f>
        <v>3.3</v>
      </c>
      <c r="R422" s="1" cm="1">
        <f t="array" aca="1" ref="R422" ca="1">INDIRECT(CONCATENATE("'",$A$350,"'!p",B422),1)</f>
        <v>0</v>
      </c>
      <c r="S422" s="1">
        <f t="shared" ca="1" si="33"/>
        <v>0</v>
      </c>
      <c r="T422" s="1" t="str" cm="1">
        <f t="array" aca="1" ref="T422" ca="1">INDIRECT(CONCATENATE("'",$A$350,"'!q",B422),1)</f>
        <v>Моркин С.А.</v>
      </c>
      <c r="U422" s="1" cm="1">
        <f t="array" aca="1" ref="U422" ca="1">INDIRECT(CONCATENATE("'",$A$350,"'!r",B422),1)</f>
        <v>3.3</v>
      </c>
      <c r="V422" s="1" cm="1">
        <f t="array" aca="1" ref="V422" ca="1">INDIRECT(CONCATENATE("'",$A$350,"'!s",B422),1)</f>
        <v>0</v>
      </c>
      <c r="W422" s="1" cm="1">
        <f t="array" aca="1" ref="W422" ca="1">INDIRECT(CONCATENATE("'",$A$350,"'!t",B422),1)</f>
        <v>0</v>
      </c>
      <c r="X422" s="1" cm="1">
        <f t="array" aca="1" ref="X422" ca="1">INDIRECT(CONCATENATE("'",$A$350,"'!u",B422),1)</f>
        <v>0</v>
      </c>
      <c r="Y422" s="1" cm="1">
        <f t="array" aca="1" ref="Y422" ca="1">INDIRECT(CONCATENATE("'",$A$350,"'!v",B422),1)</f>
        <v>0</v>
      </c>
    </row>
    <row r="423" spans="2:25" ht="33.75" hidden="1" x14ac:dyDescent="0.25">
      <c r="B423" s="24">
        <f t="shared" si="32"/>
        <v>75</v>
      </c>
      <c r="C423" s="1" t="str" cm="1">
        <f t="array" aca="1" ref="C423" ca="1">INDIRECT(CONCATENATE("'",$A$350,"'!A",B423),1)</f>
        <v>Практика учебная: Практика проектно-эксплуатационная</v>
      </c>
      <c r="D423" s="1" t="str" cm="1">
        <f t="array" aca="1" ref="D423" ca="1">INDIRECT(CONCATENATE("'",$A$350,"'!B",B423),1)</f>
        <v>09.03.01(09)</v>
      </c>
      <c r="E423" s="1" t="str" cm="1">
        <f t="array" aca="1" ref="E423" ca="1">INDIRECT(CONCATENATE("'",$A$350,"'!c",B423),1)</f>
        <v>2091з</v>
      </c>
      <c r="F423" s="1" cm="1">
        <f t="array" aca="1" ref="F423" ca="1">INDIRECT(CONCATENATE("'",$A$350,"'!d",B423),1)</f>
        <v>8</v>
      </c>
      <c r="G423" s="1" cm="1">
        <f t="array" aca="1" ref="G423" ca="1">INDIRECT(CONCATENATE("'",$A$350,"'!e",B423),1)</f>
        <v>1</v>
      </c>
      <c r="H423" s="1" cm="1">
        <f t="array" aca="1" ref="H423" ca="1">INDIRECT(CONCATENATE("'",$A$350,"'!f",B423),1)</f>
        <v>11</v>
      </c>
      <c r="I423" s="1" t="str" cm="1">
        <f t="array" aca="1" ref="I423" ca="1">INDIRECT(CONCATENATE("'",$A$350,"'!g",B423),1)</f>
        <v>ДЗ</v>
      </c>
      <c r="J423" s="1" cm="1">
        <f t="array" aca="1" ref="J423" ca="1">INDIRECT(CONCATENATE("'",$A$350,"'!h",B423),1)</f>
        <v>3</v>
      </c>
      <c r="K423" s="1" cm="1">
        <f t="array" aca="1" ref="K423" ca="1">INDIRECT(CONCATENATE("'",$A$350,"'!i",B423),1)</f>
        <v>0</v>
      </c>
      <c r="L423" s="1" cm="1">
        <f t="array" aca="1" ref="L423" ca="1">INDIRECT(CONCATENATE("'",$A$350,"'!j",B423),1)</f>
        <v>2</v>
      </c>
      <c r="M423" s="1" cm="1">
        <f t="array" aca="1" ref="M423" ca="1">INDIRECT(CONCATENATE("'",$A$350,"'!k",B423),1)</f>
        <v>0</v>
      </c>
      <c r="N423" s="1" t="str" cm="1">
        <f t="array" aca="1" ref="N423" ca="1">INDIRECT(CONCATENATE("'",$A$350,"'!l",B423),1)</f>
        <v>Моркин С.А.</v>
      </c>
      <c r="O423" s="1" cm="1">
        <f t="array" aca="1" ref="O423" ca="1">INDIRECT(CONCATENATE("'",$A$350,"'!m",B423),1)</f>
        <v>3317</v>
      </c>
      <c r="P423" s="1" t="str" cm="1">
        <f t="array" aca="1" ref="P423" ca="1">INDIRECT(CONCATENATE("'",$A$350,"'!n",B423),1)</f>
        <v>1п</v>
      </c>
      <c r="Q423" s="1" cm="1">
        <f t="array" aca="1" ref="Q423" ca="1">INDIRECT(CONCATENATE("'",$A$350,"'!o",B423),1)</f>
        <v>9.9</v>
      </c>
      <c r="R423" s="1" cm="1">
        <f t="array" aca="1" ref="R423" ca="1">INDIRECT(CONCATENATE("'",$A$350,"'!p",B423),1)</f>
        <v>0</v>
      </c>
      <c r="S423" s="1">
        <f t="shared" ca="1" si="33"/>
        <v>0</v>
      </c>
      <c r="T423" s="1" t="str" cm="1">
        <f t="array" aca="1" ref="T423" ca="1">INDIRECT(CONCATENATE("'",$A$350,"'!q",B423),1)</f>
        <v>Моркин С.А.</v>
      </c>
      <c r="U423" s="1" cm="1">
        <f t="array" aca="1" ref="U423" ca="1">INDIRECT(CONCATENATE("'",$A$350,"'!r",B423),1)</f>
        <v>9.9</v>
      </c>
      <c r="V423" s="1" cm="1">
        <f t="array" aca="1" ref="V423" ca="1">INDIRECT(CONCATENATE("'",$A$350,"'!s",B423),1)</f>
        <v>0</v>
      </c>
      <c r="W423" s="1" cm="1">
        <f t="array" aca="1" ref="W423" ca="1">INDIRECT(CONCATENATE("'",$A$350,"'!t",B423),1)</f>
        <v>0</v>
      </c>
      <c r="X423" s="1" cm="1">
        <f t="array" aca="1" ref="X423" ca="1">INDIRECT(CONCATENATE("'",$A$350,"'!u",B423),1)</f>
        <v>0</v>
      </c>
      <c r="Y423" s="1" cm="1">
        <f t="array" aca="1" ref="Y423" ca="1">INDIRECT(CONCATENATE("'",$A$350,"'!v",B423),1)</f>
        <v>0</v>
      </c>
    </row>
    <row r="424" spans="2:25" hidden="1" x14ac:dyDescent="0.25">
      <c r="B424" s="24">
        <f t="shared" si="32"/>
        <v>76</v>
      </c>
      <c r="C424" s="1" cm="1">
        <f t="array" aca="1" ref="C424" ca="1">INDIRECT(CONCATENATE("'",$A$350,"'!A",B424),1)</f>
        <v>0</v>
      </c>
      <c r="D424" s="1" cm="1">
        <f t="array" aca="1" ref="D424" ca="1">INDIRECT(CONCATENATE("'",$A$350,"'!B",B424),1)</f>
        <v>0</v>
      </c>
      <c r="E424" s="1" cm="1">
        <f t="array" aca="1" ref="E424" ca="1">INDIRECT(CONCATENATE("'",$A$350,"'!c",B424),1)</f>
        <v>0</v>
      </c>
      <c r="F424" s="1" cm="1">
        <f t="array" aca="1" ref="F424" ca="1">INDIRECT(CONCATENATE("'",$A$350,"'!d",B424),1)</f>
        <v>0</v>
      </c>
      <c r="G424" s="1" cm="1">
        <f t="array" aca="1" ref="G424" ca="1">INDIRECT(CONCATENATE("'",$A$350,"'!e",B424),1)</f>
        <v>0</v>
      </c>
      <c r="H424" s="1" cm="1">
        <f t="array" aca="1" ref="H424" ca="1">INDIRECT(CONCATENATE("'",$A$350,"'!f",B424),1)</f>
        <v>0</v>
      </c>
      <c r="I424" s="1" cm="1">
        <f t="array" aca="1" ref="I424" ca="1">INDIRECT(CONCATENATE("'",$A$350,"'!g",B424),1)</f>
        <v>0</v>
      </c>
      <c r="J424" s="1" cm="1">
        <f t="array" aca="1" ref="J424" ca="1">INDIRECT(CONCATENATE("'",$A$350,"'!h",B424),1)</f>
        <v>0</v>
      </c>
      <c r="K424" s="1" cm="1">
        <f t="array" aca="1" ref="K424" ca="1">INDIRECT(CONCATENATE("'",$A$350,"'!i",B424),1)</f>
        <v>0</v>
      </c>
      <c r="L424" s="1" cm="1">
        <f t="array" aca="1" ref="L424" ca="1">INDIRECT(CONCATENATE("'",$A$350,"'!j",B424),1)</f>
        <v>0</v>
      </c>
      <c r="M424" s="1" cm="1">
        <f t="array" aca="1" ref="M424" ca="1">INDIRECT(CONCATENATE("'",$A$350,"'!k",B424),1)</f>
        <v>0</v>
      </c>
      <c r="N424" s="1" t="str" cm="1">
        <f t="array" aca="1" ref="N424" ca="1">INDIRECT(CONCATENATE("'",$A$350,"'!l",B424),1)</f>
        <v/>
      </c>
      <c r="O424" s="1" cm="1">
        <f t="array" aca="1" ref="O424" ca="1">INDIRECT(CONCATENATE("'",$A$350,"'!m",B424),1)</f>
        <v>0</v>
      </c>
      <c r="P424" s="1" cm="1">
        <f t="array" aca="1" ref="P424" ca="1">INDIRECT(CONCATENATE("'",$A$350,"'!n",B424),1)</f>
        <v>0</v>
      </c>
      <c r="Q424" s="1" cm="1">
        <f t="array" aca="1" ref="Q424" ca="1">INDIRECT(CONCATENATE("'",$A$350,"'!o",B424),1)</f>
        <v>0</v>
      </c>
      <c r="R424" s="1" cm="1">
        <f t="array" aca="1" ref="R424" ca="1">INDIRECT(CONCATENATE("'",$A$350,"'!p",B424),1)</f>
        <v>0</v>
      </c>
      <c r="S424" s="1">
        <f t="shared" ca="1" si="33"/>
        <v>0</v>
      </c>
      <c r="T424" s="1" cm="1">
        <f t="array" aca="1" ref="T424" ca="1">INDIRECT(CONCATENATE("'",$A$350,"'!q",B424),1)</f>
        <v>0</v>
      </c>
      <c r="U424" s="1" cm="1">
        <f t="array" aca="1" ref="U424" ca="1">INDIRECT(CONCATENATE("'",$A$350,"'!r",B424),1)</f>
        <v>0</v>
      </c>
      <c r="V424" s="1" cm="1">
        <f t="array" aca="1" ref="V424" ca="1">INDIRECT(CONCATENATE("'",$A$350,"'!s",B424),1)</f>
        <v>0</v>
      </c>
      <c r="W424" s="1" cm="1">
        <f t="array" aca="1" ref="W424" ca="1">INDIRECT(CONCATENATE("'",$A$350,"'!t",B424),1)</f>
        <v>0</v>
      </c>
      <c r="X424" s="1" cm="1">
        <f t="array" aca="1" ref="X424" ca="1">INDIRECT(CONCATENATE("'",$A$350,"'!u",B424),1)</f>
        <v>0</v>
      </c>
      <c r="Y424" s="1" cm="1">
        <f t="array" aca="1" ref="Y424" ca="1">INDIRECT(CONCATENATE("'",$A$350,"'!v",B424),1)</f>
        <v>0</v>
      </c>
    </row>
    <row r="425" spans="2:25" ht="22.5" hidden="1" x14ac:dyDescent="0.25">
      <c r="B425" s="24">
        <f t="shared" si="32"/>
        <v>77</v>
      </c>
      <c r="C425" s="1" t="str" cm="1">
        <f t="array" aca="1" ref="C425" ca="1">INDIRECT(CONCATENATE("'",$A$350,"'!A",B425),1)</f>
        <v>Управление качеством</v>
      </c>
      <c r="D425" s="1" t="str" cm="1">
        <f t="array" aca="1" ref="D425" ca="1">INDIRECT(CONCATENATE("'",$A$350,"'!B",B425),1)</f>
        <v>09.03.01(09)</v>
      </c>
      <c r="E425" s="1" t="str" cm="1">
        <f t="array" aca="1" ref="E425" ca="1">INDIRECT(CONCATENATE("'",$A$350,"'!c",B425),1)</f>
        <v>1091з</v>
      </c>
      <c r="F425" s="1" cm="1">
        <f t="array" aca="1" ref="F425" ca="1">INDIRECT(CONCATENATE("'",$A$350,"'!d",B425),1)</f>
        <v>9</v>
      </c>
      <c r="G425" s="1" cm="1">
        <f t="array" aca="1" ref="G425" ca="1">INDIRECT(CONCATENATE("'",$A$350,"'!e",B425),1)</f>
        <v>1</v>
      </c>
      <c r="H425" s="1" cm="1">
        <f t="array" aca="1" ref="H425" ca="1">INDIRECT(CONCATENATE("'",$A$350,"'!f",B425),1)</f>
        <v>17</v>
      </c>
      <c r="I425" s="1" t="str" cm="1">
        <f t="array" aca="1" ref="I425" ca="1">INDIRECT(CONCATENATE("'",$A$350,"'!g",B425),1)</f>
        <v>ЗАЧ</v>
      </c>
      <c r="J425" s="1" cm="1">
        <f t="array" aca="1" ref="J425" ca="1">INDIRECT(CONCATENATE("'",$A$350,"'!h",B425),1)</f>
        <v>3</v>
      </c>
      <c r="K425" s="1" cm="1">
        <f t="array" aca="1" ref="K425" ca="1">INDIRECT(CONCATENATE("'",$A$350,"'!i",B425),1)</f>
        <v>8</v>
      </c>
      <c r="L425" s="1" cm="1">
        <f t="array" aca="1" ref="L425" ca="1">INDIRECT(CONCATENATE("'",$A$350,"'!j",B425),1)</f>
        <v>4</v>
      </c>
      <c r="M425" s="1" cm="1">
        <f t="array" aca="1" ref="M425" ca="1">INDIRECT(CONCATENATE("'",$A$350,"'!k",B425),1)</f>
        <v>0</v>
      </c>
      <c r="N425" s="1" t="str" cm="1">
        <f t="array" aca="1" ref="N425" ca="1">INDIRECT(CONCATENATE("'",$A$350,"'!l",B425),1)</f>
        <v>Бритвина Л.Е.</v>
      </c>
      <c r="O425" s="1" cm="1">
        <f t="array" aca="1" ref="O425" ca="1">INDIRECT(CONCATENATE("'",$A$350,"'!m",B425),1)</f>
        <v>0</v>
      </c>
      <c r="P425" s="1" t="str" cm="1">
        <f t="array" aca="1" ref="P425" ca="1">INDIRECT(CONCATENATE("'",$A$350,"'!n",B425),1)</f>
        <v>1п</v>
      </c>
      <c r="Q425" s="1" cm="1">
        <f t="array" aca="1" ref="Q425" ca="1">INDIRECT(CONCATENATE("'",$A$350,"'!o",B425),1)</f>
        <v>7.7</v>
      </c>
      <c r="R425" s="1" cm="1">
        <f t="array" aca="1" ref="R425" ca="1">INDIRECT(CONCATENATE("'",$A$350,"'!p",B425),1)</f>
        <v>0</v>
      </c>
      <c r="S425" s="1">
        <f t="shared" ca="1" si="33"/>
        <v>0</v>
      </c>
      <c r="T425" s="1" t="str" cm="1">
        <f t="array" aca="1" ref="T425" ca="1">INDIRECT(CONCATENATE("'",$A$350,"'!q",B425),1)</f>
        <v>Бритвина Л.Е.</v>
      </c>
      <c r="U425" s="1" cm="1">
        <f t="array" aca="1" ref="U425" ca="1">INDIRECT(CONCATENATE("'",$A$350,"'!r",B425),1)</f>
        <v>17.7</v>
      </c>
      <c r="V425" s="1" cm="1">
        <f t="array" aca="1" ref="V425" ca="1">INDIRECT(CONCATENATE("'",$A$350,"'!s",B425),1)</f>
        <v>0</v>
      </c>
      <c r="W425" s="1" cm="1">
        <f t="array" aca="1" ref="W425" ca="1">INDIRECT(CONCATENATE("'",$A$350,"'!t",B425),1)</f>
        <v>0</v>
      </c>
      <c r="X425" s="1" cm="1">
        <f t="array" aca="1" ref="X425" ca="1">INDIRECT(CONCATENATE("'",$A$350,"'!u",B425),1)</f>
        <v>0</v>
      </c>
      <c r="Y425" s="1" cm="1">
        <f t="array" aca="1" ref="Y425" ca="1">INDIRECT(CONCATENATE("'",$A$350,"'!v",B425),1)</f>
        <v>0</v>
      </c>
    </row>
    <row r="426" spans="2:25" ht="45" hidden="1" x14ac:dyDescent="0.25">
      <c r="B426" s="24">
        <f t="shared" si="32"/>
        <v>78</v>
      </c>
      <c r="C426" s="1" t="str" cm="1">
        <f t="array" aca="1" ref="C426" ca="1">INDIRECT(CONCATENATE("'",$A$350,"'!A",B426),1)</f>
        <v>Информационная безопасность автоматизированных систем</v>
      </c>
      <c r="D426" s="1" t="str" cm="1">
        <f t="array" aca="1" ref="D426" ca="1">INDIRECT(CONCATENATE("'",$A$350,"'!B",B426),1)</f>
        <v>09.03.01(09)</v>
      </c>
      <c r="E426" s="1" t="str" cm="1">
        <f t="array" aca="1" ref="E426" ca="1">INDIRECT(CONCATENATE("'",$A$350,"'!c",B426),1)</f>
        <v>1091з</v>
      </c>
      <c r="F426" s="1" cm="1">
        <f t="array" aca="1" ref="F426" ca="1">INDIRECT(CONCATENATE("'",$A$350,"'!d",B426),1)</f>
        <v>9</v>
      </c>
      <c r="G426" s="1" cm="1">
        <f t="array" aca="1" ref="G426" ca="1">INDIRECT(CONCATENATE("'",$A$350,"'!e",B426),1)</f>
        <v>1</v>
      </c>
      <c r="H426" s="1" cm="1">
        <f t="array" aca="1" ref="H426" ca="1">INDIRECT(CONCATENATE("'",$A$350,"'!f",B426),1)</f>
        <v>17</v>
      </c>
      <c r="I426" s="1" t="str" cm="1">
        <f t="array" aca="1" ref="I426" ca="1">INDIRECT(CONCATENATE("'",$A$350,"'!g",B426),1)</f>
        <v>ЗАЧ</v>
      </c>
      <c r="J426" s="1" cm="1">
        <f t="array" aca="1" ref="J426" ca="1">INDIRECT(CONCATENATE("'",$A$350,"'!h",B426),1)</f>
        <v>3</v>
      </c>
      <c r="K426" s="1" cm="1">
        <f t="array" aca="1" ref="K426" ca="1">INDIRECT(CONCATENATE("'",$A$350,"'!i",B426),1)</f>
        <v>4</v>
      </c>
      <c r="L426" s="1" cm="1">
        <f t="array" aca="1" ref="L426" ca="1">INDIRECT(CONCATENATE("'",$A$350,"'!j",B426),1)</f>
        <v>0</v>
      </c>
      <c r="M426" s="1" cm="1">
        <f t="array" aca="1" ref="M426" ca="1">INDIRECT(CONCATENATE("'",$A$350,"'!k",B426),1)</f>
        <v>8</v>
      </c>
      <c r="N426" s="1" t="str" cm="1">
        <f t="array" aca="1" ref="N426" ca="1">INDIRECT(CONCATENATE("'",$A$350,"'!l",B426),1)</f>
        <v>Цымбалюк А.Е.</v>
      </c>
      <c r="O426" s="1" cm="1">
        <f t="array" aca="1" ref="O426" ca="1">INDIRECT(CONCATENATE("'",$A$350,"'!m",B426),1)</f>
        <v>0</v>
      </c>
      <c r="P426" s="1" t="str" cm="1">
        <f t="array" aca="1" ref="P426" ca="1">INDIRECT(CONCATENATE("'",$A$350,"'!n",B426),1)</f>
        <v>1п</v>
      </c>
      <c r="Q426" s="1" cm="1">
        <f t="array" aca="1" ref="Q426" ca="1">INDIRECT(CONCATENATE("'",$A$350,"'!o",B426),1)</f>
        <v>7.7</v>
      </c>
      <c r="R426" s="1" cm="1">
        <f t="array" aca="1" ref="R426" ca="1">INDIRECT(CONCATENATE("'",$A$350,"'!p",B426),1)</f>
        <v>0</v>
      </c>
      <c r="S426" s="1">
        <f t="shared" ca="1" si="33"/>
        <v>0</v>
      </c>
      <c r="T426" s="1" t="str" cm="1">
        <f t="array" aca="1" ref="T426" ca="1">INDIRECT(CONCATENATE("'",$A$350,"'!q",B426),1)</f>
        <v>Цымбалюк А.Е.</v>
      </c>
      <c r="U426" s="1" cm="1">
        <f t="array" aca="1" ref="U426" ca="1">INDIRECT(CONCATENATE("'",$A$350,"'!r",B426),1)</f>
        <v>17.7</v>
      </c>
      <c r="V426" s="1" cm="1">
        <f t="array" aca="1" ref="V426" ca="1">INDIRECT(CONCATENATE("'",$A$350,"'!s",B426),1)</f>
        <v>0</v>
      </c>
      <c r="W426" s="1" cm="1">
        <f t="array" aca="1" ref="W426" ca="1">INDIRECT(CONCATENATE("'",$A$350,"'!t",B426),1)</f>
        <v>0</v>
      </c>
      <c r="X426" s="1" cm="1">
        <f t="array" aca="1" ref="X426" ca="1">INDIRECT(CONCATENATE("'",$A$350,"'!u",B426),1)</f>
        <v>0</v>
      </c>
      <c r="Y426" s="1" cm="1">
        <f t="array" aca="1" ref="Y426" ca="1">INDIRECT(CONCATENATE("'",$A$350,"'!v",B426),1)</f>
        <v>0</v>
      </c>
    </row>
    <row r="427" spans="2:25" ht="33.75" hidden="1" x14ac:dyDescent="0.25">
      <c r="B427" s="24">
        <f t="shared" si="32"/>
        <v>79</v>
      </c>
      <c r="C427" s="1" t="str" cm="1">
        <f t="array" aca="1" ref="C427" ca="1">INDIRECT(CONCATENATE("'",$A$350,"'!A",B427),1)</f>
        <v>Функциональное и логическое программирование</v>
      </c>
      <c r="D427" s="1" t="str" cm="1">
        <f t="array" aca="1" ref="D427" ca="1">INDIRECT(CONCATENATE("'",$A$350,"'!B",B427),1)</f>
        <v>09.03.01(09)</v>
      </c>
      <c r="E427" s="1" t="str" cm="1">
        <f t="array" aca="1" ref="E427" ca="1">INDIRECT(CONCATENATE("'",$A$350,"'!c",B427),1)</f>
        <v>1091з</v>
      </c>
      <c r="F427" s="1" cm="1">
        <f t="array" aca="1" ref="F427" ca="1">INDIRECT(CONCATENATE("'",$A$350,"'!d",B427),1)</f>
        <v>9</v>
      </c>
      <c r="G427" s="1" cm="1">
        <f t="array" aca="1" ref="G427" ca="1">INDIRECT(CONCATENATE("'",$A$350,"'!e",B427),1)</f>
        <v>1</v>
      </c>
      <c r="H427" s="1" cm="1">
        <f t="array" aca="1" ref="H427" ca="1">INDIRECT(CONCATENATE("'",$A$350,"'!f",B427),1)</f>
        <v>17</v>
      </c>
      <c r="I427" s="1" t="str" cm="1">
        <f t="array" aca="1" ref="I427" ca="1">INDIRECT(CONCATENATE("'",$A$350,"'!g",B427),1)</f>
        <v>ЗАЧ</v>
      </c>
      <c r="J427" s="1" cm="1">
        <f t="array" aca="1" ref="J427" ca="1">INDIRECT(CONCATENATE("'",$A$350,"'!h",B427),1)</f>
        <v>3</v>
      </c>
      <c r="K427" s="1" cm="1">
        <f t="array" aca="1" ref="K427" ca="1">INDIRECT(CONCATENATE("'",$A$350,"'!i",B427),1)</f>
        <v>4</v>
      </c>
      <c r="L427" s="1" cm="1">
        <f t="array" aca="1" ref="L427" ca="1">INDIRECT(CONCATENATE("'",$A$350,"'!j",B427),1)</f>
        <v>4</v>
      </c>
      <c r="M427" s="1" cm="1">
        <f t="array" aca="1" ref="M427" ca="1">INDIRECT(CONCATENATE("'",$A$350,"'!k",B427),1)</f>
        <v>4</v>
      </c>
      <c r="N427" s="1" t="str" cm="1">
        <f t="array" aca="1" ref="N427" ca="1">INDIRECT(CONCATENATE("'",$A$350,"'!l",B427),1)</f>
        <v>Михайлов Д.В.</v>
      </c>
      <c r="O427" s="1" cm="1">
        <f t="array" aca="1" ref="O427" ca="1">INDIRECT(CONCATENATE("'",$A$350,"'!m",B427),1)</f>
        <v>0</v>
      </c>
      <c r="P427" s="1" t="str" cm="1">
        <f t="array" aca="1" ref="P427" ca="1">INDIRECT(CONCATENATE("'",$A$350,"'!n",B427),1)</f>
        <v>1п</v>
      </c>
      <c r="Q427" s="1" cm="1">
        <f t="array" aca="1" ref="Q427" ca="1">INDIRECT(CONCATENATE("'",$A$350,"'!o",B427),1)</f>
        <v>7.7</v>
      </c>
      <c r="R427" s="1" cm="1">
        <f t="array" aca="1" ref="R427" ca="1">INDIRECT(CONCATENATE("'",$A$350,"'!p",B427),1)</f>
        <v>0</v>
      </c>
      <c r="S427" s="1">
        <f t="shared" ca="1" si="33"/>
        <v>0</v>
      </c>
      <c r="T427" s="1" t="str" cm="1">
        <f t="array" aca="1" ref="T427" ca="1">INDIRECT(CONCATENATE("'",$A$350,"'!q",B427),1)</f>
        <v>Михайлов Д.В.</v>
      </c>
      <c r="U427" s="1" cm="1">
        <f t="array" aca="1" ref="U427" ca="1">INDIRECT(CONCATENATE("'",$A$350,"'!r",B427),1)</f>
        <v>17.7</v>
      </c>
      <c r="V427" s="1" cm="1">
        <f t="array" aca="1" ref="V427" ca="1">INDIRECT(CONCATENATE("'",$A$350,"'!s",B427),1)</f>
        <v>0</v>
      </c>
      <c r="W427" s="1" cm="1">
        <f t="array" aca="1" ref="W427" ca="1">INDIRECT(CONCATENATE("'",$A$350,"'!t",B427),1)</f>
        <v>0</v>
      </c>
      <c r="X427" s="1" cm="1">
        <f t="array" aca="1" ref="X427" ca="1">INDIRECT(CONCATENATE("'",$A$350,"'!u",B427),1)</f>
        <v>0</v>
      </c>
      <c r="Y427" s="1" cm="1">
        <f t="array" aca="1" ref="Y427" ca="1">INDIRECT(CONCATENATE("'",$A$350,"'!v",B427),1)</f>
        <v>0</v>
      </c>
    </row>
    <row r="428" spans="2:25" ht="56.25" hidden="1" x14ac:dyDescent="0.25">
      <c r="B428" s="24">
        <f t="shared" si="32"/>
        <v>80</v>
      </c>
      <c r="C428" s="1" t="str" cm="1">
        <f t="array" aca="1" ref="C428" ca="1">INDIRECT(CONCATENATE("'",$A$350,"'!A",B428),1)</f>
        <v>Основы автоматизированных информационных систем управления предприятием</v>
      </c>
      <c r="D428" s="1" t="str" cm="1">
        <f t="array" aca="1" ref="D428" ca="1">INDIRECT(CONCATENATE("'",$A$350,"'!B",B428),1)</f>
        <v>09.03.01(09)</v>
      </c>
      <c r="E428" s="1" t="str" cm="1">
        <f t="array" aca="1" ref="E428" ca="1">INDIRECT(CONCATENATE("'",$A$350,"'!c",B428),1)</f>
        <v>1091з</v>
      </c>
      <c r="F428" s="1" cm="1">
        <f t="array" aca="1" ref="F428" ca="1">INDIRECT(CONCATENATE("'",$A$350,"'!d",B428),1)</f>
        <v>9</v>
      </c>
      <c r="G428" s="1" cm="1">
        <f t="array" aca="1" ref="G428" ca="1">INDIRECT(CONCATENATE("'",$A$350,"'!e",B428),1)</f>
        <v>1</v>
      </c>
      <c r="H428" s="1" cm="1">
        <f t="array" aca="1" ref="H428" ca="1">INDIRECT(CONCATENATE("'",$A$350,"'!f",B428),1)</f>
        <v>17</v>
      </c>
      <c r="I428" s="1" t="str" cm="1">
        <f t="array" aca="1" ref="I428" ca="1">INDIRECT(CONCATENATE("'",$A$350,"'!g",B428),1)</f>
        <v>ЭКЗ</v>
      </c>
      <c r="J428" s="1" cm="1">
        <f t="array" aca="1" ref="J428" ca="1">INDIRECT(CONCATENATE("'",$A$350,"'!h",B428),1)</f>
        <v>6</v>
      </c>
      <c r="K428" s="1" cm="1">
        <f t="array" aca="1" ref="K428" ca="1">INDIRECT(CONCATENATE("'",$A$350,"'!i",B428),1)</f>
        <v>8</v>
      </c>
      <c r="L428" s="1" cm="1">
        <f t="array" aca="1" ref="L428" ca="1">INDIRECT(CONCATENATE("'",$A$350,"'!j",B428),1)</f>
        <v>0</v>
      </c>
      <c r="M428" s="1" cm="1">
        <f t="array" aca="1" ref="M428" ca="1">INDIRECT(CONCATENATE("'",$A$350,"'!k",B428),1)</f>
        <v>12</v>
      </c>
      <c r="N428" s="1" t="str" cm="1">
        <f t="array" aca="1" ref="N428" ca="1">INDIRECT(CONCATENATE("'",$A$350,"'!l",B428),1)</f>
        <v>Соколова Г.Ю.</v>
      </c>
      <c r="O428" s="1" cm="1">
        <f t="array" aca="1" ref="O428" ca="1">INDIRECT(CONCATENATE("'",$A$350,"'!m",B428),1)</f>
        <v>0</v>
      </c>
      <c r="P428" s="1" t="str" cm="1">
        <f t="array" aca="1" ref="P428" ca="1">INDIRECT(CONCATENATE("'",$A$350,"'!n",B428),1)</f>
        <v>1п</v>
      </c>
      <c r="Q428" s="1" cm="1">
        <f t="array" aca="1" ref="Q428" ca="1">INDIRECT(CONCATENATE("'",$A$350,"'!o",B428),1)</f>
        <v>15.299999999999999</v>
      </c>
      <c r="R428" s="1" cm="1">
        <f t="array" aca="1" ref="R428" ca="1">INDIRECT(CONCATENATE("'",$A$350,"'!p",B428),1)</f>
        <v>10.200000000000001</v>
      </c>
      <c r="S428" s="1">
        <f t="shared" ca="1" si="33"/>
        <v>0</v>
      </c>
      <c r="T428" s="1" t="str" cm="1">
        <f t="array" aca="1" ref="T428" ca="1">INDIRECT(CONCATENATE("'",$A$350,"'!q",B428),1)</f>
        <v>Соколова Г.Ю.</v>
      </c>
      <c r="U428" s="1" cm="1">
        <f t="array" aca="1" ref="U428" ca="1">INDIRECT(CONCATENATE("'",$A$350,"'!r",B428),1)</f>
        <v>43.5</v>
      </c>
      <c r="V428" s="1" cm="1">
        <f t="array" aca="1" ref="V428" ca="1">INDIRECT(CONCATENATE("'",$A$350,"'!s",B428),1)</f>
        <v>0</v>
      </c>
      <c r="W428" s="1" cm="1">
        <f t="array" aca="1" ref="W428" ca="1">INDIRECT(CONCATENATE("'",$A$350,"'!t",B428),1)</f>
        <v>0</v>
      </c>
      <c r="X428" s="1" cm="1">
        <f t="array" aca="1" ref="X428" ca="1">INDIRECT(CONCATENATE("'",$A$350,"'!u",B428),1)</f>
        <v>0</v>
      </c>
      <c r="Y428" s="1" cm="1">
        <f t="array" aca="1" ref="Y428" ca="1">INDIRECT(CONCATENATE("'",$A$350,"'!v",B428),1)</f>
        <v>0</v>
      </c>
    </row>
    <row r="429" spans="2:25" ht="22.5" hidden="1" x14ac:dyDescent="0.25">
      <c r="B429" s="24">
        <f t="shared" si="32"/>
        <v>81</v>
      </c>
      <c r="C429" s="1" t="str" cm="1">
        <f t="array" aca="1" ref="C429" ca="1">INDIRECT(CONCATENATE("'",$A$350,"'!A",B429),1)</f>
        <v>Распознавание образов и обработка изображений</v>
      </c>
      <c r="D429" s="1" t="str" cm="1">
        <f t="array" aca="1" ref="D429" ca="1">INDIRECT(CONCATENATE("'",$A$350,"'!B",B429),1)</f>
        <v>09.03.01(09)</v>
      </c>
      <c r="E429" s="1" t="str" cm="1">
        <f t="array" aca="1" ref="E429" ca="1">INDIRECT(CONCATENATE("'",$A$350,"'!c",B429),1)</f>
        <v>1091з</v>
      </c>
      <c r="F429" s="1" cm="1">
        <f t="array" aca="1" ref="F429" ca="1">INDIRECT(CONCATENATE("'",$A$350,"'!d",B429),1)</f>
        <v>9</v>
      </c>
      <c r="G429" s="1" cm="1">
        <f t="array" aca="1" ref="G429" ca="1">INDIRECT(CONCATENATE("'",$A$350,"'!e",B429),1)</f>
        <v>1</v>
      </c>
      <c r="H429" s="1" cm="1">
        <f t="array" aca="1" ref="H429" ca="1">INDIRECT(CONCATENATE("'",$A$350,"'!f",B429),1)</f>
        <v>17</v>
      </c>
      <c r="I429" s="1" t="str" cm="1">
        <f t="array" aca="1" ref="I429" ca="1">INDIRECT(CONCATENATE("'",$A$350,"'!g",B429),1)</f>
        <v>ЭКЗ</v>
      </c>
      <c r="J429" s="1" cm="1">
        <f t="array" aca="1" ref="J429" ca="1">INDIRECT(CONCATENATE("'",$A$350,"'!h",B429),1)</f>
        <v>5</v>
      </c>
      <c r="K429" s="1" cm="1">
        <f t="array" aca="1" ref="K429" ca="1">INDIRECT(CONCATENATE("'",$A$350,"'!i",B429),1)</f>
        <v>8</v>
      </c>
      <c r="L429" s="1" cm="1">
        <f t="array" aca="1" ref="L429" ca="1">INDIRECT(CONCATENATE("'",$A$350,"'!j",B429),1)</f>
        <v>8</v>
      </c>
      <c r="M429" s="1" cm="1">
        <f t="array" aca="1" ref="M429" ca="1">INDIRECT(CONCATENATE("'",$A$350,"'!k",B429),1)</f>
        <v>0</v>
      </c>
      <c r="N429" s="1" t="str" cm="1">
        <f t="array" aca="1" ref="N429" ca="1">INDIRECT(CONCATENATE("'",$A$350,"'!l",B429),1)</f>
        <v>Корнышев Н.П.</v>
      </c>
      <c r="O429" s="1" cm="1">
        <f t="array" aca="1" ref="O429" ca="1">INDIRECT(CONCATENATE("'",$A$350,"'!m",B429),1)</f>
        <v>0</v>
      </c>
      <c r="P429" s="1" t="str" cm="1">
        <f t="array" aca="1" ref="P429" ca="1">INDIRECT(CONCATENATE("'",$A$350,"'!n",B429),1)</f>
        <v>1п</v>
      </c>
      <c r="Q429" s="1" cm="1">
        <f t="array" aca="1" ref="Q429" ca="1">INDIRECT(CONCATENATE("'",$A$350,"'!o",B429),1)</f>
        <v>12.8</v>
      </c>
      <c r="R429" s="1" cm="1">
        <f t="array" aca="1" ref="R429" ca="1">INDIRECT(CONCATENATE("'",$A$350,"'!p",B429),1)</f>
        <v>8.5</v>
      </c>
      <c r="S429" s="1">
        <f t="shared" ca="1" si="33"/>
        <v>0</v>
      </c>
      <c r="T429" s="1" t="str" cm="1">
        <f t="array" aca="1" ref="T429" ca="1">INDIRECT(CONCATENATE("'",$A$350,"'!q",B429),1)</f>
        <v>Корнышев Н.П.</v>
      </c>
      <c r="U429" s="1" cm="1">
        <f t="array" aca="1" ref="U429" ca="1">INDIRECT(CONCATENATE("'",$A$350,"'!r",B429),1)</f>
        <v>35.299999999999997</v>
      </c>
      <c r="V429" s="1" cm="1">
        <f t="array" aca="1" ref="V429" ca="1">INDIRECT(CONCATENATE("'",$A$350,"'!s",B429),1)</f>
        <v>0</v>
      </c>
      <c r="W429" s="1" cm="1">
        <f t="array" aca="1" ref="W429" ca="1">INDIRECT(CONCATENATE("'",$A$350,"'!t",B429),1)</f>
        <v>0</v>
      </c>
      <c r="X429" s="1" cm="1">
        <f t="array" aca="1" ref="X429" ca="1">INDIRECT(CONCATENATE("'",$A$350,"'!u",B429),1)</f>
        <v>0</v>
      </c>
      <c r="Y429" s="1" cm="1">
        <f t="array" aca="1" ref="Y429" ca="1">INDIRECT(CONCATENATE("'",$A$350,"'!v",B429),1)</f>
        <v>0</v>
      </c>
    </row>
    <row r="430" spans="2:25" ht="22.5" x14ac:dyDescent="0.25">
      <c r="B430" s="24">
        <f t="shared" si="32"/>
        <v>82</v>
      </c>
      <c r="C430" s="1" t="str" cm="1">
        <f t="array" aca="1" ref="C430" ca="1">INDIRECT(CONCATENATE("'",$A$350,"'!A",B430),1)</f>
        <v>Проектный практикум</v>
      </c>
      <c r="D430" s="1" t="str" cm="1">
        <f t="array" aca="1" ref="D430" ca="1">INDIRECT(CONCATENATE("'",$A$350,"'!B",B430),1)</f>
        <v>09.03.01(09)</v>
      </c>
      <c r="E430" s="1" t="str" cm="1">
        <f t="array" aca="1" ref="E430" ca="1">INDIRECT(CONCATENATE("'",$A$350,"'!c",B430),1)</f>
        <v>1091з</v>
      </c>
      <c r="F430" s="1" cm="1">
        <f t="array" aca="1" ref="F430" ca="1">INDIRECT(CONCATENATE("'",$A$350,"'!d",B430),1)</f>
        <v>9</v>
      </c>
      <c r="G430" s="1" cm="1">
        <f t="array" aca="1" ref="G430" ca="1">INDIRECT(CONCATENATE("'",$A$350,"'!e",B430),1)</f>
        <v>1</v>
      </c>
      <c r="H430" s="1" cm="1">
        <f t="array" aca="1" ref="H430" ca="1">INDIRECT(CONCATENATE("'",$A$350,"'!f",B430),1)</f>
        <v>17</v>
      </c>
      <c r="I430" s="1" t="str" cm="1">
        <f t="array" aca="1" ref="I430" ca="1">INDIRECT(CONCATENATE("'",$A$350,"'!g",B430),1)</f>
        <v>ЗАЧ</v>
      </c>
      <c r="J430" s="1" cm="1">
        <f t="array" aca="1" ref="J430" ca="1">INDIRECT(CONCATENATE("'",$A$350,"'!h",B430),1)</f>
        <v>1</v>
      </c>
      <c r="K430" s="1" cm="1">
        <f t="array" aca="1" ref="K430" ca="1">INDIRECT(CONCATENATE("'",$A$350,"'!i",B430),1)</f>
        <v>0</v>
      </c>
      <c r="L430" s="1" cm="1">
        <f t="array" aca="1" ref="L430" ca="1">INDIRECT(CONCATENATE("'",$A$350,"'!j",B430),1)</f>
        <v>4</v>
      </c>
      <c r="M430" s="1" cm="1">
        <f t="array" aca="1" ref="M430" ca="1">INDIRECT(CONCATENATE("'",$A$350,"'!k",B430),1)</f>
        <v>0</v>
      </c>
      <c r="N430" s="1" t="str" cm="1">
        <f t="array" aca="1" ref="N430" ca="1">INDIRECT(CONCATENATE("'",$A$350,"'!l",B430),1)</f>
        <v>Савинова М.А.</v>
      </c>
      <c r="O430" s="1" cm="1">
        <f t="array" aca="1" ref="O430" ca="1">INDIRECT(CONCATENATE("'",$A$350,"'!m",B430),1)</f>
        <v>0</v>
      </c>
      <c r="P430" s="1" t="str" cm="1">
        <f t="array" aca="1" ref="P430" ca="1">INDIRECT(CONCATENATE("'",$A$350,"'!n",B430),1)</f>
        <v>1п</v>
      </c>
      <c r="Q430" s="1" cm="1">
        <f t="array" aca="1" ref="Q430" ca="1">INDIRECT(CONCATENATE("'",$A$350,"'!o",B430),1)</f>
        <v>25.5</v>
      </c>
      <c r="R430" s="1" cm="1">
        <f t="array" aca="1" ref="R430" ca="1">INDIRECT(CONCATENATE("'",$A$350,"'!p",B430),1)</f>
        <v>0</v>
      </c>
      <c r="S430" s="1">
        <f t="shared" ca="1" si="33"/>
        <v>27.5</v>
      </c>
      <c r="T430" s="1" t="str" cm="1">
        <f t="array" aca="1" ref="T430" ca="1">INDIRECT(CONCATENATE("'",$A$350,"'!q",B430),1)</f>
        <v>Савинова М.А.</v>
      </c>
      <c r="U430" s="1" cm="1">
        <f t="array" aca="1" ref="U430" ca="1">INDIRECT(CONCATENATE("'",$A$350,"'!r",B430),1)</f>
        <v>27.5</v>
      </c>
      <c r="V430" s="1" cm="1">
        <f t="array" aca="1" ref="V430" ca="1">INDIRECT(CONCATENATE("'",$A$350,"'!s",B430),1)</f>
        <v>0</v>
      </c>
      <c r="W430" s="1" cm="1">
        <f t="array" aca="1" ref="W430" ca="1">INDIRECT(CONCATENATE("'",$A$350,"'!t",B430),1)</f>
        <v>0</v>
      </c>
      <c r="X430" s="1" cm="1">
        <f t="array" aca="1" ref="X430" ca="1">INDIRECT(CONCATENATE("'",$A$350,"'!u",B430),1)</f>
        <v>0</v>
      </c>
      <c r="Y430" s="1" cm="1">
        <f t="array" aca="1" ref="Y430" ca="1">INDIRECT(CONCATENATE("'",$A$350,"'!v",B430),1)</f>
        <v>0</v>
      </c>
    </row>
    <row r="431" spans="2:25" ht="45" hidden="1" x14ac:dyDescent="0.25">
      <c r="B431" s="24">
        <f t="shared" si="32"/>
        <v>83</v>
      </c>
      <c r="C431" s="1" t="str" cm="1">
        <f t="array" aca="1" ref="C431" ca="1">INDIRECT(CONCATENATE("'",$A$350,"'!A",B431),1)</f>
        <v>Практика производственная: Практика эксплуатационная</v>
      </c>
      <c r="D431" s="1" t="str" cm="1">
        <f t="array" aca="1" ref="D431" ca="1">INDIRECT(CONCATENATE("'",$A$350,"'!B",B431),1)</f>
        <v>09.03.01(09)</v>
      </c>
      <c r="E431" s="1" t="str" cm="1">
        <f t="array" aca="1" ref="E431" ca="1">INDIRECT(CONCATENATE("'",$A$350,"'!c",B431),1)</f>
        <v>1091з</v>
      </c>
      <c r="F431" s="1" cm="1">
        <f t="array" aca="1" ref="F431" ca="1">INDIRECT(CONCATENATE("'",$A$350,"'!d",B431),1)</f>
        <v>9</v>
      </c>
      <c r="G431" s="1" cm="1">
        <f t="array" aca="1" ref="G431" ca="1">INDIRECT(CONCATENATE("'",$A$350,"'!e",B431),1)</f>
        <v>1</v>
      </c>
      <c r="H431" s="1" cm="1">
        <f t="array" aca="1" ref="H431" ca="1">INDIRECT(CONCATENATE("'",$A$350,"'!f",B431),1)</f>
        <v>17</v>
      </c>
      <c r="I431" s="1" t="str" cm="1">
        <f t="array" aca="1" ref="I431" ca="1">INDIRECT(CONCATENATE("'",$A$350,"'!g",B431),1)</f>
        <v>ДЗ</v>
      </c>
      <c r="J431" s="1" cm="1">
        <f t="array" aca="1" ref="J431" ca="1">INDIRECT(CONCATENATE("'",$A$350,"'!h",B431),1)</f>
        <v>3</v>
      </c>
      <c r="K431" s="1" cm="1">
        <f t="array" aca="1" ref="K431" ca="1">INDIRECT(CONCATENATE("'",$A$350,"'!i",B431),1)</f>
        <v>0</v>
      </c>
      <c r="L431" s="1" cm="1">
        <f t="array" aca="1" ref="L431" ca="1">INDIRECT(CONCATENATE("'",$A$350,"'!j",B431),1)</f>
        <v>2</v>
      </c>
      <c r="M431" s="1" cm="1">
        <f t="array" aca="1" ref="M431" ca="1">INDIRECT(CONCATENATE("'",$A$350,"'!k",B431),1)</f>
        <v>0</v>
      </c>
      <c r="N431" s="1" t="str" cm="1">
        <f t="array" aca="1" ref="N431" ca="1">INDIRECT(CONCATENATE("'",$A$350,"'!l",B431),1)</f>
        <v>Соколова Г.Ю.</v>
      </c>
      <c r="O431" s="1" cm="1">
        <f t="array" aca="1" ref="O431" ca="1">INDIRECT(CONCATENATE("'",$A$350,"'!m",B431),1)</f>
        <v>0</v>
      </c>
      <c r="P431" s="1" t="str" cm="1">
        <f t="array" aca="1" ref="P431" ca="1">INDIRECT(CONCATENATE("'",$A$350,"'!n",B431),1)</f>
        <v>1п</v>
      </c>
      <c r="Q431" s="1" cm="1">
        <f t="array" aca="1" ref="Q431" ca="1">INDIRECT(CONCATENATE("'",$A$350,"'!o",B431),1)</f>
        <v>15.3</v>
      </c>
      <c r="R431" s="1" cm="1">
        <f t="array" aca="1" ref="R431" ca="1">INDIRECT(CONCATENATE("'",$A$350,"'!p",B431),1)</f>
        <v>0</v>
      </c>
      <c r="S431" s="1">
        <f t="shared" ca="1" si="33"/>
        <v>0</v>
      </c>
      <c r="T431" s="1" t="str" cm="1">
        <f t="array" aca="1" ref="T431" ca="1">INDIRECT(CONCATENATE("'",$A$350,"'!q",B431),1)</f>
        <v>Соколова Г.Ю.</v>
      </c>
      <c r="U431" s="1" cm="1">
        <f t="array" aca="1" ref="U431" ca="1">INDIRECT(CONCATENATE("'",$A$350,"'!r",B431),1)</f>
        <v>15.3</v>
      </c>
      <c r="V431" s="1" cm="1">
        <f t="array" aca="1" ref="V431" ca="1">INDIRECT(CONCATENATE("'",$A$350,"'!s",B431),1)</f>
        <v>0</v>
      </c>
      <c r="W431" s="1" cm="1">
        <f t="array" aca="1" ref="W431" ca="1">INDIRECT(CONCATENATE("'",$A$350,"'!t",B431),1)</f>
        <v>0</v>
      </c>
      <c r="X431" s="1" cm="1">
        <f t="array" aca="1" ref="X431" ca="1">INDIRECT(CONCATENATE("'",$A$350,"'!u",B431),1)</f>
        <v>0</v>
      </c>
      <c r="Y431" s="1" cm="1">
        <f t="array" aca="1" ref="Y431" ca="1">INDIRECT(CONCATENATE("'",$A$350,"'!v",B431),1)</f>
        <v>0</v>
      </c>
    </row>
    <row r="432" spans="2:25" ht="45" hidden="1" x14ac:dyDescent="0.25">
      <c r="B432" s="24">
        <f t="shared" si="32"/>
        <v>84</v>
      </c>
      <c r="C432" s="1" t="str" cm="1">
        <f t="array" aca="1" ref="C432" ca="1">INDIRECT(CONCATENATE("'",$A$350,"'!A",B432),1)</f>
        <v>Практика производственная: Практика проектно-технологическая</v>
      </c>
      <c r="D432" s="1" t="str" cm="1">
        <f t="array" aca="1" ref="D432" ca="1">INDIRECT(CONCATENATE("'",$A$350,"'!B",B432),1)</f>
        <v>09.03.01(09)</v>
      </c>
      <c r="E432" s="1" t="str" cm="1">
        <f t="array" aca="1" ref="E432" ca="1">INDIRECT(CONCATENATE("'",$A$350,"'!c",B432),1)</f>
        <v>1091з</v>
      </c>
      <c r="F432" s="1" cm="1">
        <f t="array" aca="1" ref="F432" ca="1">INDIRECT(CONCATENATE("'",$A$350,"'!d",B432),1)</f>
        <v>9</v>
      </c>
      <c r="G432" s="1" cm="1">
        <f t="array" aca="1" ref="G432" ca="1">INDIRECT(CONCATENATE("'",$A$350,"'!e",B432),1)</f>
        <v>1</v>
      </c>
      <c r="H432" s="1" cm="1">
        <f t="array" aca="1" ref="H432" ca="1">INDIRECT(CONCATENATE("'",$A$350,"'!f",B432),1)</f>
        <v>17</v>
      </c>
      <c r="I432" s="1" t="str" cm="1">
        <f t="array" aca="1" ref="I432" ca="1">INDIRECT(CONCATENATE("'",$A$350,"'!g",B432),1)</f>
        <v>ДЗ</v>
      </c>
      <c r="J432" s="1" cm="1">
        <f t="array" aca="1" ref="J432" ca="1">INDIRECT(CONCATENATE("'",$A$350,"'!h",B432),1)</f>
        <v>3</v>
      </c>
      <c r="K432" s="1" cm="1">
        <f t="array" aca="1" ref="K432" ca="1">INDIRECT(CONCATENATE("'",$A$350,"'!i",B432),1)</f>
        <v>0</v>
      </c>
      <c r="L432" s="1" cm="1">
        <f t="array" aca="1" ref="L432" ca="1">INDIRECT(CONCATENATE("'",$A$350,"'!j",B432),1)</f>
        <v>2</v>
      </c>
      <c r="M432" s="1" cm="1">
        <f t="array" aca="1" ref="M432" ca="1">INDIRECT(CONCATENATE("'",$A$350,"'!k",B432),1)</f>
        <v>0</v>
      </c>
      <c r="N432" s="1" t="str" cm="1">
        <f t="array" aca="1" ref="N432" ca="1">INDIRECT(CONCATENATE("'",$A$350,"'!l",B432),1)</f>
        <v>Соколова Г.Ю.</v>
      </c>
      <c r="O432" s="1" cm="1">
        <f t="array" aca="1" ref="O432" ca="1">INDIRECT(CONCATENATE("'",$A$350,"'!m",B432),1)</f>
        <v>0</v>
      </c>
      <c r="P432" s="1" t="str" cm="1">
        <f t="array" aca="1" ref="P432" ca="1">INDIRECT(CONCATENATE("'",$A$350,"'!n",B432),1)</f>
        <v>1п</v>
      </c>
      <c r="Q432" s="1" cm="1">
        <f t="array" aca="1" ref="Q432" ca="1">INDIRECT(CONCATENATE("'",$A$350,"'!o",B432),1)</f>
        <v>15.3</v>
      </c>
      <c r="R432" s="1" cm="1">
        <f t="array" aca="1" ref="R432" ca="1">INDIRECT(CONCATENATE("'",$A$350,"'!p",B432),1)</f>
        <v>0</v>
      </c>
      <c r="S432" s="1">
        <f t="shared" ca="1" si="33"/>
        <v>0</v>
      </c>
      <c r="T432" s="1" t="str" cm="1">
        <f t="array" aca="1" ref="T432" ca="1">INDIRECT(CONCATENATE("'",$A$350,"'!q",B432),1)</f>
        <v>Соколова Г.Ю.</v>
      </c>
      <c r="U432" s="1" cm="1">
        <f t="array" aca="1" ref="U432" ca="1">INDIRECT(CONCATENATE("'",$A$350,"'!r",B432),1)</f>
        <v>15.3</v>
      </c>
      <c r="V432" s="1" cm="1">
        <f t="array" aca="1" ref="V432" ca="1">INDIRECT(CONCATENATE("'",$A$350,"'!s",B432),1)</f>
        <v>0</v>
      </c>
      <c r="W432" s="1" cm="1">
        <f t="array" aca="1" ref="W432" ca="1">INDIRECT(CONCATENATE("'",$A$350,"'!t",B432),1)</f>
        <v>0</v>
      </c>
      <c r="X432" s="1" cm="1">
        <f t="array" aca="1" ref="X432" ca="1">INDIRECT(CONCATENATE("'",$A$350,"'!u",B432),1)</f>
        <v>0</v>
      </c>
      <c r="Y432" s="1" cm="1">
        <f t="array" aca="1" ref="Y432" ca="1">INDIRECT(CONCATENATE("'",$A$350,"'!v",B432),1)</f>
        <v>0</v>
      </c>
    </row>
    <row r="433" spans="2:25" ht="56.25" hidden="1" x14ac:dyDescent="0.25">
      <c r="B433" s="24">
        <f t="shared" si="32"/>
        <v>85</v>
      </c>
      <c r="C433" s="1" t="str" cm="1">
        <f t="array" aca="1" ref="C433" ca="1">INDIRECT(CONCATENATE("'",$A$350,"'!A",B433),1)</f>
        <v>Практика производственная: Практика преддипломная(установ.)</v>
      </c>
      <c r="D433" s="1" t="str" cm="1">
        <f t="array" aca="1" ref="D433" ca="1">INDIRECT(CONCATENATE("'",$A$350,"'!B",B433),1)</f>
        <v>09.03.01(09)</v>
      </c>
      <c r="E433" s="1" t="str" cm="1">
        <f t="array" aca="1" ref="E433" ca="1">INDIRECT(CONCATENATE("'",$A$350,"'!c",B433),1)</f>
        <v>1091з</v>
      </c>
      <c r="F433" s="1" cm="1">
        <f t="array" aca="1" ref="F433" ca="1">INDIRECT(CONCATENATE("'",$A$350,"'!d",B433),1)</f>
        <v>9</v>
      </c>
      <c r="G433" s="1" cm="1">
        <f t="array" aca="1" ref="G433" ca="1">INDIRECT(CONCATENATE("'",$A$350,"'!e",B433),1)</f>
        <v>1</v>
      </c>
      <c r="H433" s="1" cm="1">
        <f t="array" aca="1" ref="H433" ca="1">INDIRECT(CONCATENATE("'",$A$350,"'!f",B433),1)</f>
        <v>17</v>
      </c>
      <c r="I433" s="1" cm="1">
        <f t="array" aca="1" ref="I433" ca="1">INDIRECT(CONCATENATE("'",$A$350,"'!g",B433),1)</f>
        <v>0</v>
      </c>
      <c r="J433" s="1" cm="1">
        <f t="array" aca="1" ref="J433" ca="1">INDIRECT(CONCATENATE("'",$A$350,"'!h",B433),1)</f>
        <v>0</v>
      </c>
      <c r="K433" s="1" cm="1">
        <f t="array" aca="1" ref="K433" ca="1">INDIRECT(CONCATENATE("'",$A$350,"'!i",B433),1)</f>
        <v>0</v>
      </c>
      <c r="L433" s="1" cm="1">
        <f t="array" aca="1" ref="L433" ca="1">INDIRECT(CONCATENATE("'",$A$350,"'!j",B433),1)</f>
        <v>1</v>
      </c>
      <c r="M433" s="1" cm="1">
        <f t="array" aca="1" ref="M433" ca="1">INDIRECT(CONCATENATE("'",$A$350,"'!k",B433),1)</f>
        <v>0</v>
      </c>
      <c r="N433" s="1" t="str" cm="1">
        <f t="array" aca="1" ref="N433" ca="1">INDIRECT(CONCATENATE("'",$A$350,"'!l",B433),1)</f>
        <v>Соколова Г.Ю.</v>
      </c>
      <c r="O433" s="1" cm="1">
        <f t="array" aca="1" ref="O433" ca="1">INDIRECT(CONCATENATE("'",$A$350,"'!m",B433),1)</f>
        <v>0</v>
      </c>
      <c r="P433" s="1" t="str" cm="1">
        <f t="array" aca="1" ref="P433" ca="1">INDIRECT(CONCATENATE("'",$A$350,"'!n",B433),1)</f>
        <v>1п</v>
      </c>
      <c r="Q433" s="1" cm="1">
        <f t="array" aca="1" ref="Q433" ca="1">INDIRECT(CONCATENATE("'",$A$350,"'!o",B433),1)</f>
        <v>0</v>
      </c>
      <c r="R433" s="1" cm="1">
        <f t="array" aca="1" ref="R433" ca="1">INDIRECT(CONCATENATE("'",$A$350,"'!p",B433),1)</f>
        <v>0</v>
      </c>
      <c r="S433" s="1">
        <f t="shared" ca="1" si="33"/>
        <v>0</v>
      </c>
      <c r="T433" s="1" t="str" cm="1">
        <f t="array" aca="1" ref="T433" ca="1">INDIRECT(CONCATENATE("'",$A$350,"'!q",B433),1)</f>
        <v>Соколова Г.Ю.</v>
      </c>
      <c r="U433" s="1" cm="1">
        <f t="array" aca="1" ref="U433" ca="1">INDIRECT(CONCATENATE("'",$A$350,"'!r",B433),1)</f>
        <v>0</v>
      </c>
      <c r="V433" s="1" cm="1">
        <f t="array" aca="1" ref="V433" ca="1">INDIRECT(CONCATENATE("'",$A$350,"'!s",B433),1)</f>
        <v>0</v>
      </c>
      <c r="W433" s="1" cm="1">
        <f t="array" aca="1" ref="W433" ca="1">INDIRECT(CONCATENATE("'",$A$350,"'!t",B433),1)</f>
        <v>0</v>
      </c>
      <c r="X433" s="1" cm="1">
        <f t="array" aca="1" ref="X433" ca="1">INDIRECT(CONCATENATE("'",$A$350,"'!u",B433),1)</f>
        <v>0</v>
      </c>
      <c r="Y433" s="1" cm="1">
        <f t="array" aca="1" ref="Y433" ca="1">INDIRECT(CONCATENATE("'",$A$350,"'!v",B433),1)</f>
        <v>0</v>
      </c>
    </row>
    <row r="434" spans="2:25" hidden="1" x14ac:dyDescent="0.25">
      <c r="B434" s="24">
        <f t="shared" si="32"/>
        <v>86</v>
      </c>
      <c r="C434" s="1" cm="1">
        <f t="array" aca="1" ref="C434" ca="1">INDIRECT(CONCATENATE("'",$A$350,"'!A",B434),1)</f>
        <v>0</v>
      </c>
      <c r="D434" s="1" cm="1">
        <f t="array" aca="1" ref="D434" ca="1">INDIRECT(CONCATENATE("'",$A$350,"'!B",B434),1)</f>
        <v>0</v>
      </c>
      <c r="E434" s="1" cm="1">
        <f t="array" aca="1" ref="E434" ca="1">INDIRECT(CONCATENATE("'",$A$350,"'!c",B434),1)</f>
        <v>0</v>
      </c>
      <c r="F434" s="1" cm="1">
        <f t="array" aca="1" ref="F434" ca="1">INDIRECT(CONCATENATE("'",$A$350,"'!d",B434),1)</f>
        <v>0</v>
      </c>
      <c r="G434" s="1" cm="1">
        <f t="array" aca="1" ref="G434" ca="1">INDIRECT(CONCATENATE("'",$A$350,"'!e",B434),1)</f>
        <v>0</v>
      </c>
      <c r="H434" s="1" cm="1">
        <f t="array" aca="1" ref="H434" ca="1">INDIRECT(CONCATENATE("'",$A$350,"'!f",B434),1)</f>
        <v>0</v>
      </c>
      <c r="I434" s="1" cm="1">
        <f t="array" aca="1" ref="I434" ca="1">INDIRECT(CONCATENATE("'",$A$350,"'!g",B434),1)</f>
        <v>0</v>
      </c>
      <c r="J434" s="1" cm="1">
        <f t="array" aca="1" ref="J434" ca="1">INDIRECT(CONCATENATE("'",$A$350,"'!h",B434),1)</f>
        <v>0</v>
      </c>
      <c r="K434" s="1" cm="1">
        <f t="array" aca="1" ref="K434" ca="1">INDIRECT(CONCATENATE("'",$A$350,"'!i",B434),1)</f>
        <v>0</v>
      </c>
      <c r="L434" s="1" cm="1">
        <f t="array" aca="1" ref="L434" ca="1">INDIRECT(CONCATENATE("'",$A$350,"'!j",B434),1)</f>
        <v>0</v>
      </c>
      <c r="M434" s="1" cm="1">
        <f t="array" aca="1" ref="M434" ca="1">INDIRECT(CONCATENATE("'",$A$350,"'!k",B434),1)</f>
        <v>0</v>
      </c>
      <c r="N434" s="1" t="str" cm="1">
        <f t="array" aca="1" ref="N434" ca="1">INDIRECT(CONCATENATE("'",$A$350,"'!l",B434),1)</f>
        <v/>
      </c>
      <c r="O434" s="1" cm="1">
        <f t="array" aca="1" ref="O434" ca="1">INDIRECT(CONCATENATE("'",$A$350,"'!m",B434),1)</f>
        <v>0</v>
      </c>
      <c r="P434" s="1" cm="1">
        <f t="array" aca="1" ref="P434" ca="1">INDIRECT(CONCATENATE("'",$A$350,"'!n",B434),1)</f>
        <v>0</v>
      </c>
      <c r="Q434" s="1" cm="1">
        <f t="array" aca="1" ref="Q434" ca="1">INDIRECT(CONCATENATE("'",$A$350,"'!o",B434),1)</f>
        <v>0</v>
      </c>
      <c r="R434" s="1" cm="1">
        <f t="array" aca="1" ref="R434" ca="1">INDIRECT(CONCATENATE("'",$A$350,"'!p",B434),1)</f>
        <v>0</v>
      </c>
      <c r="S434" s="1">
        <f t="shared" ca="1" si="33"/>
        <v>0</v>
      </c>
      <c r="T434" s="1" cm="1">
        <f t="array" aca="1" ref="T434" ca="1">INDIRECT(CONCATENATE("'",$A$350,"'!q",B434),1)</f>
        <v>0</v>
      </c>
      <c r="U434" s="1" cm="1">
        <f t="array" aca="1" ref="U434" ca="1">INDIRECT(CONCATENATE("'",$A$350,"'!r",B434),1)</f>
        <v>0</v>
      </c>
      <c r="V434" s="1" cm="1">
        <f t="array" aca="1" ref="V434" ca="1">INDIRECT(CONCATENATE("'",$A$350,"'!s",B434),1)</f>
        <v>0</v>
      </c>
      <c r="W434" s="1" cm="1">
        <f t="array" aca="1" ref="W434" ca="1">INDIRECT(CONCATENATE("'",$A$350,"'!t",B434),1)</f>
        <v>0</v>
      </c>
      <c r="X434" s="1" cm="1">
        <f t="array" aca="1" ref="X434" ca="1">INDIRECT(CONCATENATE("'",$A$350,"'!u",B434),1)</f>
        <v>0</v>
      </c>
      <c r="Y434" s="1" cm="1">
        <f t="array" aca="1" ref="Y434" ca="1">INDIRECT(CONCATENATE("'",$A$350,"'!v",B434),1)</f>
        <v>0</v>
      </c>
    </row>
    <row r="435" spans="2:25" ht="56.25" hidden="1" x14ac:dyDescent="0.25">
      <c r="B435" s="24">
        <f t="shared" si="32"/>
        <v>87</v>
      </c>
      <c r="C435" s="1" t="str" cm="1">
        <f t="array" aca="1" ref="C435" ca="1">INDIRECT(CONCATENATE("'",$A$350,"'!A",B435),1)</f>
        <v>Практика производственная: Практика преддипломная</v>
      </c>
      <c r="D435" s="1" t="str" cm="1">
        <f t="array" aca="1" ref="D435" ca="1">INDIRECT(CONCATENATE("'",$A$350,"'!B",B435),1)</f>
        <v>09.03.01(09)</v>
      </c>
      <c r="E435" s="1" t="str" cm="1">
        <f t="array" aca="1" ref="E435" ca="1">INDIRECT(CONCATENATE("'",$A$350,"'!c",B435),1)</f>
        <v>1091з</v>
      </c>
      <c r="F435" s="1" cm="1">
        <f t="array" aca="1" ref="F435" ca="1">INDIRECT(CONCATENATE("'",$A$350,"'!d",B435),1)</f>
        <v>10</v>
      </c>
      <c r="G435" s="1" cm="1">
        <f t="array" aca="1" ref="G435" ca="1">INDIRECT(CONCATENATE("'",$A$350,"'!e",B435),1)</f>
        <v>1</v>
      </c>
      <c r="H435" s="1" cm="1">
        <f t="array" aca="1" ref="H435" ca="1">INDIRECT(CONCATENATE("'",$A$350,"'!f",B435),1)</f>
        <v>17</v>
      </c>
      <c r="I435" s="1" t="str" cm="1">
        <f t="array" aca="1" ref="I435" ca="1">INDIRECT(CONCATENATE("'",$A$350,"'!g",B435),1)</f>
        <v>ДЗ</v>
      </c>
      <c r="J435" s="1" cm="1">
        <f t="array" aca="1" ref="J435" ca="1">INDIRECT(CONCATENATE("'",$A$350,"'!h",B435),1)</f>
        <v>18</v>
      </c>
      <c r="K435" s="1" cm="1">
        <f t="array" aca="1" ref="K435" ca="1">INDIRECT(CONCATENATE("'",$A$350,"'!i",B435),1)</f>
        <v>0</v>
      </c>
      <c r="L435" s="1" cm="1">
        <f t="array" aca="1" ref="L435" ca="1">INDIRECT(CONCATENATE("'",$A$350,"'!j",B435),1)</f>
        <v>2</v>
      </c>
      <c r="M435" s="1" cm="1">
        <f t="array" aca="1" ref="M435" ca="1">INDIRECT(CONCATENATE("'",$A$350,"'!k",B435),1)</f>
        <v>0</v>
      </c>
      <c r="N435" s="1" t="str" cm="1">
        <f t="array" aca="1" ref="N435" ca="1">INDIRECT(CONCATENATE("'",$A$350,"'!l",B435),1)</f>
        <v>Соколова Г.Ю.Архипова Г.А.Винник Л.И.</v>
      </c>
      <c r="O435" s="1" cm="1">
        <f t="array" aca="1" ref="O435" ca="1">INDIRECT(CONCATENATE("'",$A$350,"'!m",B435),1)</f>
        <v>0</v>
      </c>
      <c r="P435" s="1" t="str" cm="1">
        <f t="array" aca="1" ref="P435" ca="1">INDIRECT(CONCATENATE("'",$A$350,"'!n",B435),1)</f>
        <v>сопровождение, защита отчётов, нормокортроль</v>
      </c>
      <c r="Q435" s="1" cm="1">
        <f t="array" aca="1" ref="Q435" ca="1">INDIRECT(CONCATENATE("'",$A$350,"'!o",B435),1)</f>
        <v>61.2</v>
      </c>
      <c r="R435" s="1" cm="1">
        <f t="array" aca="1" ref="R435" ca="1">INDIRECT(CONCATENATE("'",$A$350,"'!p",B435),1)</f>
        <v>0</v>
      </c>
      <c r="S435" s="1">
        <f t="shared" ca="1" si="33"/>
        <v>0</v>
      </c>
      <c r="T435" s="1" t="str" cm="1">
        <f t="array" aca="1" ref="T435" ca="1">INDIRECT(CONCATENATE("'",$A$350,"'!q",B435),1)</f>
        <v>Соколова Г.Ю.</v>
      </c>
      <c r="U435" s="1" cm="1">
        <f t="array" aca="1" ref="U435" ca="1">INDIRECT(CONCATENATE("'",$A$350,"'!r",B435),1)</f>
        <v>23.200000000000003</v>
      </c>
      <c r="V435" s="1" t="str" cm="1">
        <f t="array" aca="1" ref="V435" ca="1">INDIRECT(CONCATENATE("'",$A$350,"'!s",B435),1)</f>
        <v>Архипова Г.А.</v>
      </c>
      <c r="W435" s="1" cm="1">
        <f t="array" aca="1" ref="W435" ca="1">INDIRECT(CONCATENATE("'",$A$350,"'!t",B435),1)</f>
        <v>16</v>
      </c>
      <c r="X435" s="1" t="str" cm="1">
        <f t="array" aca="1" ref="X435" ca="1">INDIRECT(CONCATENATE("'",$A$350,"'!u",B435),1)</f>
        <v>Винник Л.И.</v>
      </c>
      <c r="Y435" s="1" cm="1">
        <f t="array" aca="1" ref="Y435" ca="1">INDIRECT(CONCATENATE("'",$A$350,"'!v",B435),1)</f>
        <v>22</v>
      </c>
    </row>
    <row r="436" spans="2:25" ht="45" hidden="1" x14ac:dyDescent="0.25">
      <c r="B436" s="24">
        <f t="shared" si="32"/>
        <v>88</v>
      </c>
      <c r="C436" s="1" t="str" cm="1">
        <f t="array" aca="1" ref="C436" ca="1">INDIRECT(CONCATENATE("'",$A$350,"'!A",B436),1)</f>
        <v>Выполнение и защита выпускной квалификационной работы</v>
      </c>
      <c r="D436" s="1" t="str" cm="1">
        <f t="array" aca="1" ref="D436" ca="1">INDIRECT(CONCATENATE("'",$A$350,"'!B",B436),1)</f>
        <v>09.03.01(09)</v>
      </c>
      <c r="E436" s="1" t="str" cm="1">
        <f t="array" aca="1" ref="E436" ca="1">INDIRECT(CONCATENATE("'",$A$350,"'!c",B436),1)</f>
        <v>1091з</v>
      </c>
      <c r="F436" s="1" cm="1">
        <f t="array" aca="1" ref="F436" ca="1">INDIRECT(CONCATENATE("'",$A$350,"'!d",B436),1)</f>
        <v>10</v>
      </c>
      <c r="G436" s="1" cm="1">
        <f t="array" aca="1" ref="G436" ca="1">INDIRECT(CONCATENATE("'",$A$350,"'!e",B436),1)</f>
        <v>1</v>
      </c>
      <c r="H436" s="1" cm="1">
        <f t="array" aca="1" ref="H436" ca="1">INDIRECT(CONCATENATE("'",$A$350,"'!f",B436),1)</f>
        <v>17</v>
      </c>
      <c r="I436" s="1" t="str" cm="1">
        <f t="array" aca="1" ref="I436" ca="1">INDIRECT(CONCATENATE("'",$A$350,"'!g",B436),1)</f>
        <v>ДЗ</v>
      </c>
      <c r="J436" s="1" cm="1">
        <f t="array" aca="1" ref="J436" ca="1">INDIRECT(CONCATENATE("'",$A$350,"'!h",B436),1)</f>
        <v>9</v>
      </c>
      <c r="K436" s="1" cm="1">
        <f t="array" aca="1" ref="K436" ca="1">INDIRECT(CONCATENATE("'",$A$350,"'!i",B436),1)</f>
        <v>0</v>
      </c>
      <c r="L436" s="1" cm="1">
        <f t="array" aca="1" ref="L436" ca="1">INDIRECT(CONCATENATE("'",$A$350,"'!j",B436),1)</f>
        <v>2</v>
      </c>
      <c r="M436" s="1" cm="1">
        <f t="array" aca="1" ref="M436" ca="1">INDIRECT(CONCATENATE("'",$A$350,"'!k",B436),1)</f>
        <v>0</v>
      </c>
      <c r="N436" s="1" t="str" cm="1">
        <f t="array" aca="1" ref="N436" ca="1">INDIRECT(CONCATENATE("'",$A$350,"'!l",B436),1)</f>
        <v>Залилов Р.Ю.Соколова Г.Ю.Архипова Г.А.</v>
      </c>
      <c r="O436" s="1" cm="1">
        <f t="array" aca="1" ref="O436" ca="1">INDIRECT(CONCATENATE("'",$A$350,"'!m",B436),1)</f>
        <v>0</v>
      </c>
      <c r="P436" s="1" t="str" cm="1">
        <f t="array" aca="1" ref="P436" ca="1">INDIRECT(CONCATENATE("'",$A$350,"'!n",B436),1)</f>
        <v>Предзащита</v>
      </c>
      <c r="Q436" s="1" cm="1">
        <f t="array" aca="1" ref="Q436" ca="1">INDIRECT(CONCATENATE("'",$A$350,"'!o",B436),1)</f>
        <v>173.4</v>
      </c>
      <c r="R436" s="1" cm="1">
        <f t="array" aca="1" ref="R436" ca="1">INDIRECT(CONCATENATE("'",$A$350,"'!p",B436),1)</f>
        <v>0</v>
      </c>
      <c r="S436" s="1">
        <f t="shared" ca="1" si="33"/>
        <v>0</v>
      </c>
      <c r="T436" s="1" t="str" cm="1">
        <f t="array" aca="1" ref="T436" ca="1">INDIRECT(CONCATENATE("'",$A$350,"'!q",B436),1)</f>
        <v>Залилов Р.Ю.</v>
      </c>
      <c r="U436" s="1" cm="1">
        <f t="array" aca="1" ref="U436" ca="1">INDIRECT(CONCATENATE("'",$A$350,"'!r",B436),1)</f>
        <v>4</v>
      </c>
      <c r="V436" s="1" t="str" cm="1">
        <f t="array" aca="1" ref="V436" ca="1">INDIRECT(CONCATENATE("'",$A$350,"'!s",B436),1)</f>
        <v>Соколова Г.Ю.</v>
      </c>
      <c r="W436" s="1" cm="1">
        <f t="array" aca="1" ref="W436" ca="1">INDIRECT(CONCATENATE("'",$A$350,"'!t",B436),1)</f>
        <v>4.4000000000000004</v>
      </c>
      <c r="X436" s="1" t="str" cm="1">
        <f t="array" aca="1" ref="X436" ca="1">INDIRECT(CONCATENATE("'",$A$350,"'!u",B436),1)</f>
        <v>Архипова Г.А.</v>
      </c>
      <c r="Y436" s="1" cm="1">
        <f t="array" aca="1" ref="Y436" ca="1">INDIRECT(CONCATENATE("'",$A$350,"'!v",B436),1)</f>
        <v>4</v>
      </c>
    </row>
    <row r="437" spans="2:25" ht="45" hidden="1" x14ac:dyDescent="0.25">
      <c r="B437" s="24">
        <f t="shared" si="32"/>
        <v>89</v>
      </c>
      <c r="C437" s="1" t="str" cm="1">
        <f t="array" aca="1" ref="C437" ca="1">INDIRECT(CONCATENATE("'",$A$350,"'!A",B437),1)</f>
        <v>Выполнение и защита выпускной квалификационной работы</v>
      </c>
      <c r="D437" s="1" t="str" cm="1">
        <f t="array" aca="1" ref="D437" ca="1">INDIRECT(CONCATENATE("'",$A$350,"'!B",B437),1)</f>
        <v>09.03.01(09)</v>
      </c>
      <c r="E437" s="1" t="str" cm="1">
        <f t="array" aca="1" ref="E437" ca="1">INDIRECT(CONCATENATE("'",$A$350,"'!c",B437),1)</f>
        <v>1091з</v>
      </c>
      <c r="F437" s="1" cm="1">
        <f t="array" aca="1" ref="F437" ca="1">INDIRECT(CONCATENATE("'",$A$350,"'!d",B437),1)</f>
        <v>10</v>
      </c>
      <c r="G437" s="1" cm="1">
        <f t="array" aca="1" ref="G437" ca="1">INDIRECT(CONCATENATE("'",$A$350,"'!e",B437),1)</f>
        <v>1</v>
      </c>
      <c r="H437" s="1" cm="1">
        <f t="array" aca="1" ref="H437" ca="1">INDIRECT(CONCATENATE("'",$A$350,"'!f",B437),1)</f>
        <v>17</v>
      </c>
      <c r="I437" s="1" t="str" cm="1">
        <f t="array" aca="1" ref="I437" ca="1">INDIRECT(CONCATENATE("'",$A$350,"'!g",B437),1)</f>
        <v>ДЗ</v>
      </c>
      <c r="J437" s="1" cm="1">
        <f t="array" aca="1" ref="J437" ca="1">INDIRECT(CONCATENATE("'",$A$350,"'!h",B437),1)</f>
        <v>9</v>
      </c>
      <c r="K437" s="1" cm="1">
        <f t="array" aca="1" ref="K437" ca="1">INDIRECT(CONCATENATE("'",$A$350,"'!i",B437),1)</f>
        <v>0</v>
      </c>
      <c r="L437" s="1" cm="1">
        <f t="array" aca="1" ref="L437" ca="1">INDIRECT(CONCATENATE("'",$A$350,"'!j",B437),1)</f>
        <v>2</v>
      </c>
      <c r="M437" s="1" cm="1">
        <f t="array" aca="1" ref="M437" ca="1">INDIRECT(CONCATENATE("'",$A$350,"'!k",B437),1)</f>
        <v>0</v>
      </c>
      <c r="N437" s="1" t="str" cm="1">
        <f t="array" aca="1" ref="N437" ca="1">INDIRECT(CONCATENATE("'",$A$350,"'!l",B437),1)</f>
        <v>ЧленКомиссииЧленКомиссииЧленКомиссии</v>
      </c>
      <c r="O437" s="1" cm="1">
        <f t="array" aca="1" ref="O437" ca="1">INDIRECT(CONCATENATE("'",$A$350,"'!m",B437),1)</f>
        <v>0</v>
      </c>
      <c r="P437" s="1" t="str" cm="1">
        <f t="array" aca="1" ref="P437" ca="1">INDIRECT(CONCATENATE("'",$A$350,"'!n",B437),1)</f>
        <v>Защита</v>
      </c>
      <c r="Q437" s="1" cm="1">
        <f t="array" aca="1" ref="Q437" ca="1">INDIRECT(CONCATENATE("'",$A$350,"'!o",B437),1)</f>
        <v>173.4</v>
      </c>
      <c r="R437" s="1" cm="1">
        <f t="array" aca="1" ref="R437" ca="1">INDIRECT(CONCATENATE("'",$A$350,"'!p",B437),1)</f>
        <v>0</v>
      </c>
      <c r="S437" s="1">
        <f t="shared" ca="1" si="33"/>
        <v>0</v>
      </c>
      <c r="T437" s="1" t="str" cm="1">
        <f t="array" aca="1" ref="T437" ca="1">INDIRECT(CONCATENATE("'",$A$350,"'!q",B437),1)</f>
        <v>ЧленКомиссии</v>
      </c>
      <c r="U437" s="1" cm="1">
        <f t="array" aca="1" ref="U437" ca="1">INDIRECT(CONCATENATE("'",$A$350,"'!r",B437),1)</f>
        <v>6</v>
      </c>
      <c r="V437" s="1" t="str" cm="1">
        <f t="array" aca="1" ref="V437" ca="1">INDIRECT(CONCATENATE("'",$A$350,"'!s",B437),1)</f>
        <v>ЧленКомиссии</v>
      </c>
      <c r="W437" s="1" cm="1">
        <f t="array" aca="1" ref="W437" ca="1">INDIRECT(CONCATENATE("'",$A$350,"'!t",B437),1)</f>
        <v>6</v>
      </c>
      <c r="X437" s="1" t="str" cm="1">
        <f t="array" aca="1" ref="X437" ca="1">INDIRECT(CONCATENATE("'",$A$350,"'!u",B437),1)</f>
        <v>ЧленКомиссии</v>
      </c>
      <c r="Y437" s="1" cm="1">
        <f t="array" aca="1" ref="Y437" ca="1">INDIRECT(CONCATENATE("'",$A$350,"'!v",B437),1)</f>
        <v>6</v>
      </c>
    </row>
    <row r="438" spans="2:25" ht="45" hidden="1" x14ac:dyDescent="0.25">
      <c r="B438" s="24">
        <f t="shared" si="32"/>
        <v>90</v>
      </c>
      <c r="C438" s="1" t="str" cm="1">
        <f t="array" aca="1" ref="C438" ca="1">INDIRECT(CONCATENATE("'",$A$350,"'!A",B438),1)</f>
        <v>Выполнение и защита выпускной квалификационной работы</v>
      </c>
      <c r="D438" s="1" t="str" cm="1">
        <f t="array" aca="1" ref="D438" ca="1">INDIRECT(CONCATENATE("'",$A$350,"'!B",B438),1)</f>
        <v>09.03.01(09)</v>
      </c>
      <c r="E438" s="1" t="str" cm="1">
        <f t="array" aca="1" ref="E438" ca="1">INDIRECT(CONCATENATE("'",$A$350,"'!c",B438),1)</f>
        <v>1091з</v>
      </c>
      <c r="F438" s="1" cm="1">
        <f t="array" aca="1" ref="F438" ca="1">INDIRECT(CONCATENATE("'",$A$350,"'!d",B438),1)</f>
        <v>10</v>
      </c>
      <c r="G438" s="1" cm="1">
        <f t="array" aca="1" ref="G438" ca="1">INDIRECT(CONCATENATE("'",$A$350,"'!e",B438),1)</f>
        <v>1</v>
      </c>
      <c r="H438" s="1" cm="1">
        <f t="array" aca="1" ref="H438" ca="1">INDIRECT(CONCATENATE("'",$A$350,"'!f",B438),1)</f>
        <v>17</v>
      </c>
      <c r="I438" s="1" t="str" cm="1">
        <f t="array" aca="1" ref="I438" ca="1">INDIRECT(CONCATENATE("'",$A$350,"'!g",B438),1)</f>
        <v>ДЗ</v>
      </c>
      <c r="J438" s="1" cm="1">
        <f t="array" aca="1" ref="J438" ca="1">INDIRECT(CONCATENATE("'",$A$350,"'!h",B438),1)</f>
        <v>9</v>
      </c>
      <c r="K438" s="1" cm="1">
        <f t="array" aca="1" ref="K438" ca="1">INDIRECT(CONCATENATE("'",$A$350,"'!i",B438),1)</f>
        <v>0</v>
      </c>
      <c r="L438" s="1" cm="1">
        <f t="array" aca="1" ref="L438" ca="1">INDIRECT(CONCATENATE("'",$A$350,"'!j",B438),1)</f>
        <v>2</v>
      </c>
      <c r="M438" s="1" cm="1">
        <f t="array" aca="1" ref="M438" ca="1">INDIRECT(CONCATENATE("'",$A$350,"'!k",B438),1)</f>
        <v>0</v>
      </c>
      <c r="N438" s="1" t="str" cm="1">
        <f t="array" aca="1" ref="N438" ca="1">INDIRECT(CONCATENATE("'",$A$350,"'!l",B438),1)</f>
        <v>Соколова Г.Ю.</v>
      </c>
      <c r="O438" s="1" cm="1">
        <f t="array" aca="1" ref="O438" ca="1">INDIRECT(CONCATENATE("'",$A$350,"'!m",B438),1)</f>
        <v>0</v>
      </c>
      <c r="P438" s="1" t="str" cm="1">
        <f t="array" aca="1" ref="P438" ca="1">INDIRECT(CONCATENATE("'",$A$350,"'!n",B438),1)</f>
        <v>Проверка на антиплагиат
защита</v>
      </c>
      <c r="Q438" s="1" cm="1">
        <f t="array" aca="1" ref="Q438" ca="1">INDIRECT(CONCATENATE("'",$A$350,"'!o",B438),1)</f>
        <v>11</v>
      </c>
      <c r="R438" s="1" cm="1">
        <f t="array" aca="1" ref="R438" ca="1">INDIRECT(CONCATENATE("'",$A$350,"'!p",B438),1)</f>
        <v>0</v>
      </c>
      <c r="S438" s="1">
        <f t="shared" ca="1" si="33"/>
        <v>0</v>
      </c>
      <c r="T438" s="1" t="str" cm="1">
        <f t="array" aca="1" ref="T438" ca="1">INDIRECT(CONCATENATE("'",$A$350,"'!q",B438),1)</f>
        <v>Соколова Г.Ю.</v>
      </c>
      <c r="U438" s="1" cm="1">
        <f t="array" aca="1" ref="U438" ca="1">INDIRECT(CONCATENATE("'",$A$350,"'!r",B438),1)</f>
        <v>11</v>
      </c>
      <c r="V438" s="1" cm="1">
        <f t="array" aca="1" ref="V438" ca="1">INDIRECT(CONCATENATE("'",$A$350,"'!s",B438),1)</f>
        <v>0</v>
      </c>
      <c r="W438" s="1" cm="1">
        <f t="array" aca="1" ref="W438" ca="1">INDIRECT(CONCATENATE("'",$A$350,"'!t",B438),1)</f>
        <v>0</v>
      </c>
      <c r="X438" s="1" cm="1">
        <f t="array" aca="1" ref="X438" ca="1">INDIRECT(CONCATENATE("'",$A$350,"'!u",B438),1)</f>
        <v>0</v>
      </c>
      <c r="Y438" s="1" cm="1">
        <f t="array" aca="1" ref="Y438" ca="1">INDIRECT(CONCATENATE("'",$A$350,"'!v",B438),1)</f>
        <v>0</v>
      </c>
    </row>
    <row r="439" spans="2:25" ht="45" hidden="1" x14ac:dyDescent="0.25">
      <c r="B439" s="24">
        <f t="shared" si="32"/>
        <v>91</v>
      </c>
      <c r="C439" s="1" t="str" cm="1">
        <f t="array" aca="1" ref="C439" ca="1">INDIRECT(CONCATENATE("'",$A$350,"'!A",B439),1)</f>
        <v>Выполнение и защита выпускной квалификационной работы</v>
      </c>
      <c r="D439" s="1" t="str" cm="1">
        <f t="array" aca="1" ref="D439" ca="1">INDIRECT(CONCATENATE("'",$A$350,"'!B",B439),1)</f>
        <v>09.03.01(09)</v>
      </c>
      <c r="E439" s="1" t="str" cm="1">
        <f t="array" aca="1" ref="E439" ca="1">INDIRECT(CONCATENATE("'",$A$350,"'!c",B439),1)</f>
        <v>1091з</v>
      </c>
      <c r="F439" s="1" cm="1">
        <f t="array" aca="1" ref="F439" ca="1">INDIRECT(CONCATENATE("'",$A$350,"'!d",B439),1)</f>
        <v>10</v>
      </c>
      <c r="G439" s="1" cm="1">
        <f t="array" aca="1" ref="G439" ca="1">INDIRECT(CONCATENATE("'",$A$350,"'!e",B439),1)</f>
        <v>1</v>
      </c>
      <c r="H439" s="1" cm="1">
        <f t="array" aca="1" ref="H439" ca="1">INDIRECT(CONCATENATE("'",$A$350,"'!f",B439),1)</f>
        <v>17</v>
      </c>
      <c r="I439" s="1" t="str" cm="1">
        <f t="array" aca="1" ref="I439" ca="1">INDIRECT(CONCATENATE("'",$A$350,"'!g",B439),1)</f>
        <v>ДЗ</v>
      </c>
      <c r="J439" s="1" cm="1">
        <f t="array" aca="1" ref="J439" ca="1">INDIRECT(CONCATENATE("'",$A$350,"'!h",B439),1)</f>
        <v>9</v>
      </c>
      <c r="K439" s="1" cm="1">
        <f t="array" aca="1" ref="K439" ca="1">INDIRECT(CONCATENATE("'",$A$350,"'!i",B439),1)</f>
        <v>0</v>
      </c>
      <c r="L439" s="1" cm="1">
        <f t="array" aca="1" ref="L439" ca="1">INDIRECT(CONCATENATE("'",$A$350,"'!j",B439),1)</f>
        <v>0</v>
      </c>
      <c r="M439" s="1" cm="1">
        <f t="array" aca="1" ref="M439" ca="1">INDIRECT(CONCATENATE("'",$A$350,"'!k",B439),1)</f>
        <v>0</v>
      </c>
      <c r="N439" s="1" t="str" cm="1">
        <f t="array" aca="1" ref="N439" ca="1">INDIRECT(CONCATENATE("'",$A$350,"'!l",B439),1)</f>
        <v>Кулаков И.Ю.Моркин С.А.Телина И.С.</v>
      </c>
      <c r="O439" s="1" cm="1">
        <f t="array" aca="1" ref="O439" ca="1">INDIRECT(CONCATENATE("'",$A$350,"'!m",B439),1)</f>
        <v>0</v>
      </c>
      <c r="P439" s="1" t="str" cm="1">
        <f t="array" aca="1" ref="P439" ca="1">INDIRECT(CONCATENATE("'",$A$350,"'!n",B439),1)</f>
        <v>руководство ДП 4 человека</v>
      </c>
      <c r="Q439" s="1" cm="1">
        <f t="array" aca="1" ref="Q439" ca="1">INDIRECT(CONCATENATE("'",$A$350,"'!o",B439),1)</f>
        <v>48</v>
      </c>
      <c r="R439" s="1" cm="1">
        <f t="array" aca="1" ref="R439" ca="1">INDIRECT(CONCATENATE("'",$A$350,"'!p",B439),1)</f>
        <v>0</v>
      </c>
      <c r="S439" s="1">
        <f t="shared" ca="1" si="33"/>
        <v>0</v>
      </c>
      <c r="T439" s="1" t="str" cm="1">
        <f t="array" aca="1" ref="T439" ca="1">INDIRECT(CONCATENATE("'",$A$350,"'!q",B439),1)</f>
        <v>Кулаков И.Ю.</v>
      </c>
      <c r="U439" s="1" cm="1">
        <f t="array" aca="1" ref="U439" ca="1">INDIRECT(CONCATENATE("'",$A$350,"'!r",B439),1)</f>
        <v>16</v>
      </c>
      <c r="V439" s="1" t="str" cm="1">
        <f t="array" aca="1" ref="V439" ca="1">INDIRECT(CONCATENATE("'",$A$350,"'!s",B439),1)</f>
        <v>Моркин С.А.</v>
      </c>
      <c r="W439" s="1" cm="1">
        <f t="array" aca="1" ref="W439" ca="1">INDIRECT(CONCATENATE("'",$A$350,"'!t",B439),1)</f>
        <v>16</v>
      </c>
      <c r="X439" s="1" t="str" cm="1">
        <f t="array" aca="1" ref="X439" ca="1">INDIRECT(CONCATENATE("'",$A$350,"'!u",B439),1)</f>
        <v>Телина И.С.</v>
      </c>
      <c r="Y439" s="1" cm="1">
        <f t="array" aca="1" ref="Y439" ca="1">INDIRECT(CONCATENATE("'",$A$350,"'!v",B439),1)</f>
        <v>16</v>
      </c>
    </row>
    <row r="440" spans="2:25" ht="45" hidden="1" x14ac:dyDescent="0.25">
      <c r="B440" s="24">
        <f t="shared" si="32"/>
        <v>92</v>
      </c>
      <c r="C440" s="1" t="str" cm="1">
        <f t="array" aca="1" ref="C440" ca="1">INDIRECT(CONCATENATE("'",$A$350,"'!A",B440),1)</f>
        <v>Выполнение и защита выпускной квалификационной работы</v>
      </c>
      <c r="D440" s="1" t="str" cm="1">
        <f t="array" aca="1" ref="D440" ca="1">INDIRECT(CONCATENATE("'",$A$350,"'!B",B440),1)</f>
        <v>09.03.01(09)</v>
      </c>
      <c r="E440" s="1" t="str" cm="1">
        <f t="array" aca="1" ref="E440" ca="1">INDIRECT(CONCATENATE("'",$A$350,"'!c",B440),1)</f>
        <v>1091з</v>
      </c>
      <c r="F440" s="1" cm="1">
        <f t="array" aca="1" ref="F440" ca="1">INDIRECT(CONCATENATE("'",$A$350,"'!d",B440),1)</f>
        <v>10</v>
      </c>
      <c r="G440" s="1" cm="1">
        <f t="array" aca="1" ref="G440" ca="1">INDIRECT(CONCATENATE("'",$A$350,"'!e",B440),1)</f>
        <v>1</v>
      </c>
      <c r="H440" s="1" cm="1">
        <f t="array" aca="1" ref="H440" ca="1">INDIRECT(CONCATENATE("'",$A$350,"'!f",B440),1)</f>
        <v>17</v>
      </c>
      <c r="I440" s="1" t="str" cm="1">
        <f t="array" aca="1" ref="I440" ca="1">INDIRECT(CONCATENATE("'",$A$350,"'!g",B440),1)</f>
        <v>ДЗ</v>
      </c>
      <c r="J440" s="1" cm="1">
        <f t="array" aca="1" ref="J440" ca="1">INDIRECT(CONCATENATE("'",$A$350,"'!h",B440),1)</f>
        <v>9</v>
      </c>
      <c r="K440" s="1" cm="1">
        <f t="array" aca="1" ref="K440" ca="1">INDIRECT(CONCATENATE("'",$A$350,"'!i",B440),1)</f>
        <v>0</v>
      </c>
      <c r="L440" s="1" cm="1">
        <f t="array" aca="1" ref="L440" ca="1">INDIRECT(CONCATENATE("'",$A$350,"'!j",B440),1)</f>
        <v>0</v>
      </c>
      <c r="M440" s="1" cm="1">
        <f t="array" aca="1" ref="M440" ca="1">INDIRECT(CONCATENATE("'",$A$350,"'!k",B440),1)</f>
        <v>0</v>
      </c>
      <c r="N440" s="1" t="str" cm="1">
        <f t="array" aca="1" ref="N440" ca="1">INDIRECT(CONCATENATE("'",$A$350,"'!l",B440),1)</f>
        <v>Сазонова Н.В.Журавлева М.П.Соколова Г.Ю.</v>
      </c>
      <c r="O440" s="1" cm="1">
        <f t="array" aca="1" ref="O440" ca="1">INDIRECT(CONCATENATE("'",$A$350,"'!m",B440),1)</f>
        <v>0</v>
      </c>
      <c r="P440" s="1" t="str" cm="1">
        <f t="array" aca="1" ref="P440" ca="1">INDIRECT(CONCATENATE("'",$A$350,"'!n",B440),1)</f>
        <v>руководство ДП 4 человека</v>
      </c>
      <c r="Q440" s="1" cm="1">
        <f t="array" aca="1" ref="Q440" ca="1">INDIRECT(CONCATENATE("'",$A$350,"'!o",B440),1)</f>
        <v>48</v>
      </c>
      <c r="R440" s="1" cm="1">
        <f t="array" aca="1" ref="R440" ca="1">INDIRECT(CONCATENATE("'",$A$350,"'!p",B440),1)</f>
        <v>0</v>
      </c>
      <c r="S440" s="1">
        <f t="shared" ca="1" si="33"/>
        <v>0</v>
      </c>
      <c r="T440" s="1" t="str" cm="1">
        <f t="array" aca="1" ref="T440" ca="1">INDIRECT(CONCATENATE("'",$A$350,"'!q",B440),1)</f>
        <v>Сазонова Н.В.</v>
      </c>
      <c r="U440" s="1" cm="1">
        <f t="array" aca="1" ref="U440" ca="1">INDIRECT(CONCATENATE("'",$A$350,"'!r",B440),1)</f>
        <v>16</v>
      </c>
      <c r="V440" s="1" t="str" cm="1">
        <f t="array" aca="1" ref="V440" ca="1">INDIRECT(CONCATENATE("'",$A$350,"'!s",B440),1)</f>
        <v>Журавлева М.П.</v>
      </c>
      <c r="W440" s="1" cm="1">
        <f t="array" aca="1" ref="W440" ca="1">INDIRECT(CONCATENATE("'",$A$350,"'!t",B440),1)</f>
        <v>16</v>
      </c>
      <c r="X440" s="1" t="str" cm="1">
        <f t="array" aca="1" ref="X440" ca="1">INDIRECT(CONCATENATE("'",$A$350,"'!u",B440),1)</f>
        <v>Соколова Г.Ю.</v>
      </c>
      <c r="Y440" s="1" cm="1">
        <f t="array" aca="1" ref="Y440" ca="1">INDIRECT(CONCATENATE("'",$A$350,"'!v",B440),1)</f>
        <v>16</v>
      </c>
    </row>
    <row r="441" spans="2:25" ht="45" hidden="1" x14ac:dyDescent="0.25">
      <c r="B441" s="24">
        <f t="shared" si="32"/>
        <v>93</v>
      </c>
      <c r="C441" s="1" t="str" cm="1">
        <f t="array" aca="1" ref="C441" ca="1">INDIRECT(CONCATENATE("'",$A$350,"'!A",B441),1)</f>
        <v>Выполнение и защита выпускной квалификационной работы</v>
      </c>
      <c r="D441" s="1" t="str" cm="1">
        <f t="array" aca="1" ref="D441" ca="1">INDIRECT(CONCATENATE("'",$A$350,"'!B",B441),1)</f>
        <v>09.03.01(09)</v>
      </c>
      <c r="E441" s="1" t="str" cm="1">
        <f t="array" aca="1" ref="E441" ca="1">INDIRECT(CONCATENATE("'",$A$350,"'!c",B441),1)</f>
        <v>1091з</v>
      </c>
      <c r="F441" s="1" cm="1">
        <f t="array" aca="1" ref="F441" ca="1">INDIRECT(CONCATENATE("'",$A$350,"'!d",B441),1)</f>
        <v>10</v>
      </c>
      <c r="G441" s="1" cm="1">
        <f t="array" aca="1" ref="G441" ca="1">INDIRECT(CONCATENATE("'",$A$350,"'!e",B441),1)</f>
        <v>1</v>
      </c>
      <c r="H441" s="1" cm="1">
        <f t="array" aca="1" ref="H441" ca="1">INDIRECT(CONCATENATE("'",$A$350,"'!f",B441),1)</f>
        <v>17</v>
      </c>
      <c r="I441" s="1" t="str" cm="1">
        <f t="array" aca="1" ref="I441" ca="1">INDIRECT(CONCATENATE("'",$A$350,"'!g",B441),1)</f>
        <v>ДЗ</v>
      </c>
      <c r="J441" s="1" cm="1">
        <f t="array" aca="1" ref="J441" ca="1">INDIRECT(CONCATENATE("'",$A$350,"'!h",B441),1)</f>
        <v>9</v>
      </c>
      <c r="K441" s="1" cm="1">
        <f t="array" aca="1" ref="K441" ca="1">INDIRECT(CONCATENATE("'",$A$350,"'!i",B441),1)</f>
        <v>0</v>
      </c>
      <c r="L441" s="1" cm="1">
        <f t="array" aca="1" ref="L441" ca="1">INDIRECT(CONCATENATE("'",$A$350,"'!j",B441),1)</f>
        <v>0</v>
      </c>
      <c r="M441" s="1" cm="1">
        <f t="array" aca="1" ref="M441" ca="1">INDIRECT(CONCATENATE("'",$A$350,"'!k",B441),1)</f>
        <v>0</v>
      </c>
      <c r="N441" s="1" t="str" cm="1">
        <f t="array" aca="1" ref="N441" ca="1">INDIRECT(CONCATENATE("'",$A$350,"'!l",B441),1)</f>
        <v>Залилов Р.Ю.Цымбалюк Л.Н.Эминов С.И.</v>
      </c>
      <c r="O441" s="1" cm="1">
        <f t="array" aca="1" ref="O441" ca="1">INDIRECT(CONCATENATE("'",$A$350,"'!m",B441),1)</f>
        <v>0</v>
      </c>
      <c r="P441" s="1" t="str" cm="1">
        <f t="array" aca="1" ref="P441" ca="1">INDIRECT(CONCATENATE("'",$A$350,"'!n",B441),1)</f>
        <v>руководство ДП 3 человека</v>
      </c>
      <c r="Q441" s="1" cm="1">
        <f t="array" aca="1" ref="Q441" ca="1">INDIRECT(CONCATENATE("'",$A$350,"'!o",B441),1)</f>
        <v>36</v>
      </c>
      <c r="R441" s="1" cm="1">
        <f t="array" aca="1" ref="R441" ca="1">INDIRECT(CONCATENATE("'",$A$350,"'!p",B441),1)</f>
        <v>0</v>
      </c>
      <c r="S441" s="1">
        <f t="shared" ca="1" si="33"/>
        <v>0</v>
      </c>
      <c r="T441" s="1" t="str" cm="1">
        <f t="array" aca="1" ref="T441" ca="1">INDIRECT(CONCATENATE("'",$A$350,"'!q",B441),1)</f>
        <v>Залилов Р.Ю.</v>
      </c>
      <c r="U441" s="1" cm="1">
        <f t="array" aca="1" ref="U441" ca="1">INDIRECT(CONCATENATE("'",$A$350,"'!r",B441),1)</f>
        <v>12</v>
      </c>
      <c r="V441" s="1" t="str" cm="1">
        <f t="array" aca="1" ref="V441" ca="1">INDIRECT(CONCATENATE("'",$A$350,"'!s",B441),1)</f>
        <v>Цымбалюк Л.Н.</v>
      </c>
      <c r="W441" s="1" cm="1">
        <f t="array" aca="1" ref="W441" ca="1">INDIRECT(CONCATENATE("'",$A$350,"'!t",B441),1)</f>
        <v>12</v>
      </c>
      <c r="X441" s="1" t="str" cm="1">
        <f t="array" aca="1" ref="X441" ca="1">INDIRECT(CONCATENATE("'",$A$350,"'!u",B441),1)</f>
        <v>Эминов С.И.</v>
      </c>
      <c r="Y441" s="1" cm="1">
        <f t="array" aca="1" ref="Y441" ca="1">INDIRECT(CONCATENATE("'",$A$350,"'!v",B441),1)</f>
        <v>12</v>
      </c>
    </row>
    <row r="442" spans="2:25" hidden="1" x14ac:dyDescent="0.25">
      <c r="B442" s="24">
        <f t="shared" si="32"/>
        <v>94</v>
      </c>
      <c r="C442" s="1" cm="1">
        <f t="array" aca="1" ref="C442" ca="1">INDIRECT(CONCATENATE("'",$A$350,"'!A",B442),1)</f>
        <v>0</v>
      </c>
      <c r="D442" s="1" cm="1">
        <f t="array" aca="1" ref="D442" ca="1">INDIRECT(CONCATENATE("'",$A$350,"'!B",B442),1)</f>
        <v>0</v>
      </c>
      <c r="E442" s="1" cm="1">
        <f t="array" aca="1" ref="E442" ca="1">INDIRECT(CONCATENATE("'",$A$350,"'!c",B442),1)</f>
        <v>0</v>
      </c>
      <c r="F442" s="1" cm="1">
        <f t="array" aca="1" ref="F442" ca="1">INDIRECT(CONCATENATE("'",$A$350,"'!d",B442),1)</f>
        <v>0</v>
      </c>
      <c r="G442" s="1" cm="1">
        <f t="array" aca="1" ref="G442" ca="1">INDIRECT(CONCATENATE("'",$A$350,"'!e",B442),1)</f>
        <v>0</v>
      </c>
      <c r="H442" s="1" cm="1">
        <f t="array" aca="1" ref="H442" ca="1">INDIRECT(CONCATENATE("'",$A$350,"'!f",B442),1)</f>
        <v>0</v>
      </c>
      <c r="I442" s="1" cm="1">
        <f t="array" aca="1" ref="I442" ca="1">INDIRECT(CONCATENATE("'",$A$350,"'!g",B442),1)</f>
        <v>0</v>
      </c>
      <c r="J442" s="1" cm="1">
        <f t="array" aca="1" ref="J442" ca="1">INDIRECT(CONCATENATE("'",$A$350,"'!h",B442),1)</f>
        <v>0</v>
      </c>
      <c r="K442" s="1" cm="1">
        <f t="array" aca="1" ref="K442" ca="1">INDIRECT(CONCATENATE("'",$A$350,"'!i",B442),1)</f>
        <v>0</v>
      </c>
      <c r="L442" s="1" cm="1">
        <f t="array" aca="1" ref="L442" ca="1">INDIRECT(CONCATENATE("'",$A$350,"'!j",B442),1)</f>
        <v>0</v>
      </c>
      <c r="M442" s="1" cm="1">
        <f t="array" aca="1" ref="M442" ca="1">INDIRECT(CONCATENATE("'",$A$350,"'!k",B442),1)</f>
        <v>0</v>
      </c>
      <c r="N442" s="1" cm="1">
        <f t="array" aca="1" ref="N442" ca="1">INDIRECT(CONCATENATE("'",$A$350,"'!l",B442),1)</f>
        <v>0</v>
      </c>
      <c r="O442" s="1" cm="1">
        <f t="array" aca="1" ref="O442" ca="1">INDIRECT(CONCATENATE("'",$A$350,"'!m",B442),1)</f>
        <v>0</v>
      </c>
      <c r="P442" s="1" cm="1">
        <f t="array" aca="1" ref="P442" ca="1">INDIRECT(CONCATENATE("'",$A$350,"'!n",B442),1)</f>
        <v>0</v>
      </c>
      <c r="Q442" s="1" cm="1">
        <f t="array" aca="1" ref="Q442" ca="1">INDIRECT(CONCATENATE("'",$A$350,"'!o",B442),1)</f>
        <v>0</v>
      </c>
      <c r="R442" s="1" cm="1">
        <f t="array" aca="1" ref="R442" ca="1">INDIRECT(CONCATENATE("'",$A$350,"'!p",B442),1)</f>
        <v>0</v>
      </c>
      <c r="S442" s="1">
        <f t="shared" ca="1" si="33"/>
        <v>0</v>
      </c>
      <c r="T442" s="1" cm="1">
        <f t="array" aca="1" ref="T442" ca="1">INDIRECT(CONCATENATE("'",$A$350,"'!q",B442),1)</f>
        <v>0</v>
      </c>
      <c r="U442" s="1" cm="1">
        <f t="array" aca="1" ref="U442" ca="1">INDIRECT(CONCATENATE("'",$A$350,"'!r",B442),1)</f>
        <v>0</v>
      </c>
      <c r="V442" s="1" cm="1">
        <f t="array" aca="1" ref="V442" ca="1">INDIRECT(CONCATENATE("'",$A$350,"'!s",B442),1)</f>
        <v>0</v>
      </c>
      <c r="W442" s="1" cm="1">
        <f t="array" aca="1" ref="W442" ca="1">INDIRECT(CONCATENATE("'",$A$350,"'!t",B442),1)</f>
        <v>0</v>
      </c>
      <c r="X442" s="1" cm="1">
        <f t="array" aca="1" ref="X442" ca="1">INDIRECT(CONCATENATE("'",$A$350,"'!u",B442),1)</f>
        <v>0</v>
      </c>
      <c r="Y442" s="1" cm="1">
        <f t="array" aca="1" ref="Y442" ca="1">INDIRECT(CONCATENATE("'",$A$350,"'!v",B442),1)</f>
        <v>0</v>
      </c>
    </row>
    <row r="443" spans="2:25" hidden="1" x14ac:dyDescent="0.25">
      <c r="B443" s="24">
        <f t="shared" si="32"/>
        <v>95</v>
      </c>
      <c r="C443" s="1" cm="1">
        <f t="array" aca="1" ref="C443" ca="1">INDIRECT(CONCATENATE("'",$A$350,"'!A",B443),1)</f>
        <v>0</v>
      </c>
      <c r="D443" s="1" cm="1">
        <f t="array" aca="1" ref="D443" ca="1">INDIRECT(CONCATENATE("'",$A$350,"'!B",B443),1)</f>
        <v>0</v>
      </c>
      <c r="E443" s="1" cm="1">
        <f t="array" aca="1" ref="E443" ca="1">INDIRECT(CONCATENATE("'",$A$350,"'!c",B443),1)</f>
        <v>0</v>
      </c>
      <c r="F443" s="1" cm="1">
        <f t="array" aca="1" ref="F443" ca="1">INDIRECT(CONCATENATE("'",$A$350,"'!d",B443),1)</f>
        <v>0</v>
      </c>
      <c r="G443" s="1" cm="1">
        <f t="array" aca="1" ref="G443" ca="1">INDIRECT(CONCATENATE("'",$A$350,"'!e",B443),1)</f>
        <v>0</v>
      </c>
      <c r="H443" s="1" cm="1">
        <f t="array" aca="1" ref="H443" ca="1">INDIRECT(CONCATENATE("'",$A$350,"'!f",B443),1)</f>
        <v>0</v>
      </c>
      <c r="I443" s="1" cm="1">
        <f t="array" aca="1" ref="I443" ca="1">INDIRECT(CONCATENATE("'",$A$350,"'!g",B443),1)</f>
        <v>0</v>
      </c>
      <c r="J443" s="1" cm="1">
        <f t="array" aca="1" ref="J443" ca="1">INDIRECT(CONCATENATE("'",$A$350,"'!h",B443),1)</f>
        <v>0</v>
      </c>
      <c r="K443" s="1" cm="1">
        <f t="array" aca="1" ref="K443" ca="1">INDIRECT(CONCATENATE("'",$A$350,"'!i",B443),1)</f>
        <v>0</v>
      </c>
      <c r="L443" s="1" cm="1">
        <f t="array" aca="1" ref="L443" ca="1">INDIRECT(CONCATENATE("'",$A$350,"'!j",B443),1)</f>
        <v>0</v>
      </c>
      <c r="M443" s="1" cm="1">
        <f t="array" aca="1" ref="M443" ca="1">INDIRECT(CONCATENATE("'",$A$350,"'!k",B443),1)</f>
        <v>0</v>
      </c>
      <c r="N443" s="1" cm="1">
        <f t="array" aca="1" ref="N443" ca="1">INDIRECT(CONCATENATE("'",$A$350,"'!l",B443),1)</f>
        <v>0</v>
      </c>
      <c r="O443" s="1" cm="1">
        <f t="array" aca="1" ref="O443" ca="1">INDIRECT(CONCATENATE("'",$A$350,"'!m",B443),1)</f>
        <v>0</v>
      </c>
      <c r="P443" s="1" cm="1">
        <f t="array" aca="1" ref="P443" ca="1">INDIRECT(CONCATENATE("'",$A$350,"'!n",B443),1)</f>
        <v>0</v>
      </c>
      <c r="Q443" s="1" cm="1">
        <f t="array" aca="1" ref="Q443" ca="1">INDIRECT(CONCATENATE("'",$A$350,"'!o",B443),1)</f>
        <v>0</v>
      </c>
      <c r="R443" s="1" cm="1">
        <f t="array" aca="1" ref="R443" ca="1">INDIRECT(CONCATENATE("'",$A$350,"'!p",B443),1)</f>
        <v>0</v>
      </c>
      <c r="S443" s="1">
        <f t="shared" ca="1" si="33"/>
        <v>0</v>
      </c>
      <c r="T443" s="1" cm="1">
        <f t="array" aca="1" ref="T443" ca="1">INDIRECT(CONCATENATE("'",$A$350,"'!q",B443),1)</f>
        <v>0</v>
      </c>
      <c r="U443" s="1" cm="1">
        <f t="array" aca="1" ref="U443" ca="1">INDIRECT(CONCATENATE("'",$A$350,"'!r",B443),1)</f>
        <v>0</v>
      </c>
      <c r="V443" s="1" cm="1">
        <f t="array" aca="1" ref="V443" ca="1">INDIRECT(CONCATENATE("'",$A$350,"'!s",B443),1)</f>
        <v>0</v>
      </c>
      <c r="W443" s="1" cm="1">
        <f t="array" aca="1" ref="W443" ca="1">INDIRECT(CONCATENATE("'",$A$350,"'!t",B443),1)</f>
        <v>0</v>
      </c>
      <c r="X443" s="1" cm="1">
        <f t="array" aca="1" ref="X443" ca="1">INDIRECT(CONCATENATE("'",$A$350,"'!u",B443),1)</f>
        <v>0</v>
      </c>
      <c r="Y443" s="1" cm="1">
        <f t="array" aca="1" ref="Y443" ca="1">INDIRECT(CONCATENATE("'",$A$350,"'!v",B443),1)</f>
        <v>0</v>
      </c>
    </row>
    <row r="444" spans="2:25" hidden="1" x14ac:dyDescent="0.25">
      <c r="B444" s="24">
        <f t="shared" si="32"/>
        <v>96</v>
      </c>
      <c r="C444" s="1" cm="1">
        <f t="array" aca="1" ref="C444" ca="1">INDIRECT(CONCATENATE("'",$A$350,"'!A",B444),1)</f>
        <v>0</v>
      </c>
      <c r="D444" s="1" cm="1">
        <f t="array" aca="1" ref="D444" ca="1">INDIRECT(CONCATENATE("'",$A$350,"'!B",B444),1)</f>
        <v>0</v>
      </c>
      <c r="E444" s="1" cm="1">
        <f t="array" aca="1" ref="E444" ca="1">INDIRECT(CONCATENATE("'",$A$350,"'!c",B444),1)</f>
        <v>0</v>
      </c>
      <c r="F444" s="1" cm="1">
        <f t="array" aca="1" ref="F444" ca="1">INDIRECT(CONCATENATE("'",$A$350,"'!d",B444),1)</f>
        <v>0</v>
      </c>
      <c r="G444" s="1" cm="1">
        <f t="array" aca="1" ref="G444" ca="1">INDIRECT(CONCATENATE("'",$A$350,"'!e",B444),1)</f>
        <v>0</v>
      </c>
      <c r="H444" s="1" cm="1">
        <f t="array" aca="1" ref="H444" ca="1">INDIRECT(CONCATENATE("'",$A$350,"'!f",B444),1)</f>
        <v>0</v>
      </c>
      <c r="I444" s="1" cm="1">
        <f t="array" aca="1" ref="I444" ca="1">INDIRECT(CONCATENATE("'",$A$350,"'!g",B444),1)</f>
        <v>0</v>
      </c>
      <c r="J444" s="1" cm="1">
        <f t="array" aca="1" ref="J444" ca="1">INDIRECT(CONCATENATE("'",$A$350,"'!h",B444),1)</f>
        <v>0</v>
      </c>
      <c r="K444" s="1" cm="1">
        <f t="array" aca="1" ref="K444" ca="1">INDIRECT(CONCATENATE("'",$A$350,"'!i",B444),1)</f>
        <v>0</v>
      </c>
      <c r="L444" s="1" cm="1">
        <f t="array" aca="1" ref="L444" ca="1">INDIRECT(CONCATENATE("'",$A$350,"'!j",B444),1)</f>
        <v>0</v>
      </c>
      <c r="M444" s="1" cm="1">
        <f t="array" aca="1" ref="M444" ca="1">INDIRECT(CONCATENATE("'",$A$350,"'!k",B444),1)</f>
        <v>0</v>
      </c>
      <c r="N444" s="1" cm="1">
        <f t="array" aca="1" ref="N444" ca="1">INDIRECT(CONCATENATE("'",$A$350,"'!l",B444),1)</f>
        <v>0</v>
      </c>
      <c r="O444" s="1" cm="1">
        <f t="array" aca="1" ref="O444" ca="1">INDIRECT(CONCATENATE("'",$A$350,"'!m",B444),1)</f>
        <v>0</v>
      </c>
      <c r="P444" s="1" cm="1">
        <f t="array" aca="1" ref="P444" ca="1">INDIRECT(CONCATENATE("'",$A$350,"'!n",B444),1)</f>
        <v>0</v>
      </c>
      <c r="Q444" s="1" cm="1">
        <f t="array" aca="1" ref="Q444" ca="1">INDIRECT(CONCATENATE("'",$A$350,"'!o",B444),1)</f>
        <v>0</v>
      </c>
      <c r="R444" s="1" cm="1">
        <f t="array" aca="1" ref="R444" ca="1">INDIRECT(CONCATENATE("'",$A$350,"'!p",B444),1)</f>
        <v>0</v>
      </c>
      <c r="S444" s="1">
        <f t="shared" ca="1" si="33"/>
        <v>0</v>
      </c>
      <c r="T444" s="1" cm="1">
        <f t="array" aca="1" ref="T444" ca="1">INDIRECT(CONCATENATE("'",$A$350,"'!q",B444),1)</f>
        <v>0</v>
      </c>
      <c r="U444" s="1" cm="1">
        <f t="array" aca="1" ref="U444" ca="1">INDIRECT(CONCATENATE("'",$A$350,"'!r",B444),1)</f>
        <v>0</v>
      </c>
      <c r="V444" s="1" cm="1">
        <f t="array" aca="1" ref="V444" ca="1">INDIRECT(CONCATENATE("'",$A$350,"'!s",B444),1)</f>
        <v>0</v>
      </c>
      <c r="W444" s="1" cm="1">
        <f t="array" aca="1" ref="W444" ca="1">INDIRECT(CONCATENATE("'",$A$350,"'!t",B444),1)</f>
        <v>0</v>
      </c>
      <c r="X444" s="1" cm="1">
        <f t="array" aca="1" ref="X444" ca="1">INDIRECT(CONCATENATE("'",$A$350,"'!u",B444),1)</f>
        <v>0</v>
      </c>
      <c r="Y444" s="1" cm="1">
        <f t="array" aca="1" ref="Y444" ca="1">INDIRECT(CONCATENATE("'",$A$350,"'!v",B444),1)</f>
        <v>0</v>
      </c>
    </row>
    <row r="445" spans="2:25" hidden="1" x14ac:dyDescent="0.25">
      <c r="B445" s="24">
        <f t="shared" si="32"/>
        <v>97</v>
      </c>
      <c r="C445" s="1" cm="1">
        <f t="array" aca="1" ref="C445" ca="1">INDIRECT(CONCATENATE("'",$A$350,"'!A",B445),1)</f>
        <v>0</v>
      </c>
      <c r="D445" s="1" cm="1">
        <f t="array" aca="1" ref="D445" ca="1">INDIRECT(CONCATENATE("'",$A$350,"'!B",B445),1)</f>
        <v>0</v>
      </c>
      <c r="E445" s="1" cm="1">
        <f t="array" aca="1" ref="E445" ca="1">INDIRECT(CONCATENATE("'",$A$350,"'!c",B445),1)</f>
        <v>0</v>
      </c>
      <c r="F445" s="1" cm="1">
        <f t="array" aca="1" ref="F445" ca="1">INDIRECT(CONCATENATE("'",$A$350,"'!d",B445),1)</f>
        <v>0</v>
      </c>
      <c r="G445" s="1" cm="1">
        <f t="array" aca="1" ref="G445" ca="1">INDIRECT(CONCATENATE("'",$A$350,"'!e",B445),1)</f>
        <v>0</v>
      </c>
      <c r="H445" s="1" cm="1">
        <f t="array" aca="1" ref="H445" ca="1">INDIRECT(CONCATENATE("'",$A$350,"'!f",B445),1)</f>
        <v>0</v>
      </c>
      <c r="I445" s="1" cm="1">
        <f t="array" aca="1" ref="I445" ca="1">INDIRECT(CONCATENATE("'",$A$350,"'!g",B445),1)</f>
        <v>0</v>
      </c>
      <c r="J445" s="1" cm="1">
        <f t="array" aca="1" ref="J445" ca="1">INDIRECT(CONCATENATE("'",$A$350,"'!h",B445),1)</f>
        <v>0</v>
      </c>
      <c r="K445" s="1" cm="1">
        <f t="array" aca="1" ref="K445" ca="1">INDIRECT(CONCATENATE("'",$A$350,"'!i",B445),1)</f>
        <v>0</v>
      </c>
      <c r="L445" s="1" cm="1">
        <f t="array" aca="1" ref="L445" ca="1">INDIRECT(CONCATENATE("'",$A$350,"'!j",B445),1)</f>
        <v>0</v>
      </c>
      <c r="M445" s="1" cm="1">
        <f t="array" aca="1" ref="M445" ca="1">INDIRECT(CONCATENATE("'",$A$350,"'!k",B445),1)</f>
        <v>0</v>
      </c>
      <c r="N445" s="1" cm="1">
        <f t="array" aca="1" ref="N445" ca="1">INDIRECT(CONCATENATE("'",$A$350,"'!l",B445),1)</f>
        <v>0</v>
      </c>
      <c r="O445" s="1" cm="1">
        <f t="array" aca="1" ref="O445" ca="1">INDIRECT(CONCATENATE("'",$A$350,"'!m",B445),1)</f>
        <v>0</v>
      </c>
      <c r="P445" s="1" cm="1">
        <f t="array" aca="1" ref="P445" ca="1">INDIRECT(CONCATENATE("'",$A$350,"'!n",B445),1)</f>
        <v>0</v>
      </c>
      <c r="Q445" s="1" cm="1">
        <f t="array" aca="1" ref="Q445" ca="1">INDIRECT(CONCATENATE("'",$A$350,"'!o",B445),1)</f>
        <v>0</v>
      </c>
      <c r="R445" s="1" cm="1">
        <f t="array" aca="1" ref="R445" ca="1">INDIRECT(CONCATENATE("'",$A$350,"'!p",B445),1)</f>
        <v>0</v>
      </c>
      <c r="S445" s="1">
        <f t="shared" ref="S445" ca="1" si="34">SUMIFS(U445,T445,$N$1)+SUMIFS(W445,V445,$N$1)+SUMIFS(Y445,X445,$N$1)</f>
        <v>0</v>
      </c>
      <c r="T445" s="1" cm="1">
        <f t="array" aca="1" ref="T445" ca="1">INDIRECT(CONCATENATE("'",$A$350,"'!q",B445),1)</f>
        <v>0</v>
      </c>
      <c r="U445" s="1" cm="1">
        <f t="array" aca="1" ref="U445" ca="1">INDIRECT(CONCATENATE("'",$A$350,"'!r",B445),1)</f>
        <v>0</v>
      </c>
      <c r="V445" s="1" cm="1">
        <f t="array" aca="1" ref="V445" ca="1">INDIRECT(CONCATENATE("'",$A$350,"'!s",B445),1)</f>
        <v>0</v>
      </c>
      <c r="W445" s="1" cm="1">
        <f t="array" aca="1" ref="W445" ca="1">INDIRECT(CONCATENATE("'",$A$350,"'!t",B445),1)</f>
        <v>0</v>
      </c>
      <c r="X445" s="1" cm="1">
        <f t="array" aca="1" ref="X445" ca="1">INDIRECT(CONCATENATE("'",$A$350,"'!u",B445),1)</f>
        <v>0</v>
      </c>
      <c r="Y445" s="1" cm="1">
        <f t="array" aca="1" ref="Y445" ca="1">INDIRECT(CONCATENATE("'",$A$350,"'!v",B445),1)</f>
        <v>0</v>
      </c>
    </row>
    <row r="446" spans="2:25" hidden="1" x14ac:dyDescent="0.25">
      <c r="B446" s="24">
        <f t="shared" si="32"/>
        <v>98</v>
      </c>
      <c r="C446" s="1" cm="1">
        <f t="array" aca="1" ref="C446" ca="1">INDIRECT(CONCATENATE("'",$A$350,"'!A",B446),1)</f>
        <v>0</v>
      </c>
      <c r="D446" s="1" cm="1">
        <f t="array" aca="1" ref="D446" ca="1">INDIRECT(CONCATENATE("'",$A$350,"'!B",B446),1)</f>
        <v>0</v>
      </c>
      <c r="E446" s="1" cm="1">
        <f t="array" aca="1" ref="E446" ca="1">INDIRECT(CONCATENATE("'",$A$350,"'!c",B446),1)</f>
        <v>0</v>
      </c>
      <c r="F446" s="1" cm="1">
        <f t="array" aca="1" ref="F446" ca="1">INDIRECT(CONCATENATE("'",$A$350,"'!d",B446),1)</f>
        <v>0</v>
      </c>
      <c r="G446" s="1" cm="1">
        <f t="array" aca="1" ref="G446" ca="1">INDIRECT(CONCATENATE("'",$A$350,"'!e",B446),1)</f>
        <v>0</v>
      </c>
      <c r="H446" s="1" cm="1">
        <f t="array" aca="1" ref="H446" ca="1">INDIRECT(CONCATENATE("'",$A$350,"'!f",B446),1)</f>
        <v>0</v>
      </c>
      <c r="I446" s="1" cm="1">
        <f t="array" aca="1" ref="I446" ca="1">INDIRECT(CONCATENATE("'",$A$350,"'!g",B446),1)</f>
        <v>0</v>
      </c>
      <c r="J446" s="1" cm="1">
        <f t="array" aca="1" ref="J446" ca="1">INDIRECT(CONCATENATE("'",$A$350,"'!h",B446),1)</f>
        <v>0</v>
      </c>
      <c r="K446" s="1" cm="1">
        <f t="array" aca="1" ref="K446" ca="1">INDIRECT(CONCATENATE("'",$A$350,"'!i",B446),1)</f>
        <v>0</v>
      </c>
      <c r="L446" s="1" cm="1">
        <f t="array" aca="1" ref="L446" ca="1">INDIRECT(CONCATENATE("'",$A$350,"'!j",B446),1)</f>
        <v>0</v>
      </c>
      <c r="M446" s="1" cm="1">
        <f t="array" aca="1" ref="M446" ca="1">INDIRECT(CONCATENATE("'",$A$350,"'!k",B446),1)</f>
        <v>0</v>
      </c>
      <c r="N446" s="1" cm="1">
        <f t="array" aca="1" ref="N446" ca="1">INDIRECT(CONCATENATE("'",$A$350,"'!l",B446),1)</f>
        <v>0</v>
      </c>
      <c r="O446" s="1" cm="1">
        <f t="array" aca="1" ref="O446" ca="1">INDIRECT(CONCATENATE("'",$A$350,"'!m",B446),1)</f>
        <v>0</v>
      </c>
      <c r="P446" s="1" cm="1">
        <f t="array" aca="1" ref="P446" ca="1">INDIRECT(CONCATENATE("'",$A$350,"'!n",B446),1)</f>
        <v>0</v>
      </c>
      <c r="Q446" s="1" cm="1">
        <f t="array" aca="1" ref="Q446" ca="1">INDIRECT(CONCATENATE("'",$A$350,"'!o",B446),1)</f>
        <v>0</v>
      </c>
      <c r="R446" s="1" cm="1">
        <f t="array" aca="1" ref="R446" ca="1">INDIRECT(CONCATENATE("'",$A$350,"'!p",B446),1)</f>
        <v>0</v>
      </c>
      <c r="S446" s="1">
        <f t="shared" ref="S446:S450" ca="1" si="35">SUMIFS(U446,T446,$N$1)+SUMIFS(W446,V446,$N$1)+SUMIFS(Y446,X446,$N$1)</f>
        <v>0</v>
      </c>
      <c r="T446" s="1" cm="1">
        <f t="array" aca="1" ref="T446" ca="1">INDIRECT(CONCATENATE("'",$A$350,"'!q",B446),1)</f>
        <v>0</v>
      </c>
      <c r="U446" s="1" cm="1">
        <f t="array" aca="1" ref="U446" ca="1">INDIRECT(CONCATENATE("'",$A$350,"'!r",B446),1)</f>
        <v>0</v>
      </c>
      <c r="V446" s="1" cm="1">
        <f t="array" aca="1" ref="V446" ca="1">INDIRECT(CONCATENATE("'",$A$350,"'!s",B446),1)</f>
        <v>0</v>
      </c>
      <c r="W446" s="1" cm="1">
        <f t="array" aca="1" ref="W446" ca="1">INDIRECT(CONCATENATE("'",$A$350,"'!t",B446),1)</f>
        <v>0</v>
      </c>
      <c r="X446" s="1" cm="1">
        <f t="array" aca="1" ref="X446" ca="1">INDIRECT(CONCATENATE("'",$A$350,"'!u",B446),1)</f>
        <v>0</v>
      </c>
      <c r="Y446" s="1" cm="1">
        <f t="array" aca="1" ref="Y446" ca="1">INDIRECT(CONCATENATE("'",$A$350,"'!v",B446),1)</f>
        <v>0</v>
      </c>
    </row>
    <row r="447" spans="2:25" hidden="1" x14ac:dyDescent="0.25">
      <c r="B447" s="24">
        <f t="shared" si="32"/>
        <v>99</v>
      </c>
      <c r="C447" s="1" cm="1">
        <f t="array" aca="1" ref="C447" ca="1">INDIRECT(CONCATENATE("'",$A$350,"'!A",B447),1)</f>
        <v>0</v>
      </c>
      <c r="D447" s="1" cm="1">
        <f t="array" aca="1" ref="D447" ca="1">INDIRECT(CONCATENATE("'",$A$350,"'!B",B447),1)</f>
        <v>0</v>
      </c>
      <c r="E447" s="1" cm="1">
        <f t="array" aca="1" ref="E447" ca="1">INDIRECT(CONCATENATE("'",$A$350,"'!c",B447),1)</f>
        <v>0</v>
      </c>
      <c r="F447" s="1" cm="1">
        <f t="array" aca="1" ref="F447" ca="1">INDIRECT(CONCATENATE("'",$A$350,"'!d",B447),1)</f>
        <v>0</v>
      </c>
      <c r="G447" s="1" cm="1">
        <f t="array" aca="1" ref="G447" ca="1">INDIRECT(CONCATENATE("'",$A$350,"'!e",B447),1)</f>
        <v>0</v>
      </c>
      <c r="H447" s="1" cm="1">
        <f t="array" aca="1" ref="H447" ca="1">INDIRECT(CONCATENATE("'",$A$350,"'!f",B447),1)</f>
        <v>0</v>
      </c>
      <c r="I447" s="1" cm="1">
        <f t="array" aca="1" ref="I447" ca="1">INDIRECT(CONCATENATE("'",$A$350,"'!g",B447),1)</f>
        <v>0</v>
      </c>
      <c r="J447" s="1" cm="1">
        <f t="array" aca="1" ref="J447" ca="1">INDIRECT(CONCATENATE("'",$A$350,"'!h",B447),1)</f>
        <v>0</v>
      </c>
      <c r="K447" s="1" cm="1">
        <f t="array" aca="1" ref="K447" ca="1">INDIRECT(CONCATENATE("'",$A$350,"'!i",B447),1)</f>
        <v>0</v>
      </c>
      <c r="L447" s="1" cm="1">
        <f t="array" aca="1" ref="L447" ca="1">INDIRECT(CONCATENATE("'",$A$350,"'!j",B447),1)</f>
        <v>0</v>
      </c>
      <c r="M447" s="1" cm="1">
        <f t="array" aca="1" ref="M447" ca="1">INDIRECT(CONCATENATE("'",$A$350,"'!k",B447),1)</f>
        <v>0</v>
      </c>
      <c r="N447" s="1" cm="1">
        <f t="array" aca="1" ref="N447" ca="1">INDIRECT(CONCATENATE("'",$A$350,"'!l",B447),1)</f>
        <v>0</v>
      </c>
      <c r="O447" s="1" cm="1">
        <f t="array" aca="1" ref="O447" ca="1">INDIRECT(CONCATENATE("'",$A$350,"'!m",B447),1)</f>
        <v>0</v>
      </c>
      <c r="P447" s="1" cm="1">
        <f t="array" aca="1" ref="P447" ca="1">INDIRECT(CONCATENATE("'",$A$350,"'!n",B447),1)</f>
        <v>0</v>
      </c>
      <c r="Q447" s="1" cm="1">
        <f t="array" aca="1" ref="Q447" ca="1">INDIRECT(CONCATENATE("'",$A$350,"'!o",B447),1)</f>
        <v>0</v>
      </c>
      <c r="R447" s="1" cm="1">
        <f t="array" aca="1" ref="R447" ca="1">INDIRECT(CONCATENATE("'",$A$350,"'!p",B447),1)</f>
        <v>0</v>
      </c>
      <c r="S447" s="1">
        <f t="shared" ca="1" si="35"/>
        <v>0</v>
      </c>
      <c r="T447" s="1" cm="1">
        <f t="array" aca="1" ref="T447" ca="1">INDIRECT(CONCATENATE("'",$A$350,"'!q",B447),1)</f>
        <v>0</v>
      </c>
      <c r="U447" s="1" cm="1">
        <f t="array" aca="1" ref="U447" ca="1">INDIRECT(CONCATENATE("'",$A$350,"'!r",B447),1)</f>
        <v>0</v>
      </c>
      <c r="V447" s="1" cm="1">
        <f t="array" aca="1" ref="V447" ca="1">INDIRECT(CONCATENATE("'",$A$350,"'!s",B447),1)</f>
        <v>0</v>
      </c>
      <c r="W447" s="1" cm="1">
        <f t="array" aca="1" ref="W447" ca="1">INDIRECT(CONCATENATE("'",$A$350,"'!t",B447),1)</f>
        <v>0</v>
      </c>
      <c r="X447" s="1" cm="1">
        <f t="array" aca="1" ref="X447" ca="1">INDIRECT(CONCATENATE("'",$A$350,"'!u",B447),1)</f>
        <v>0</v>
      </c>
      <c r="Y447" s="1" cm="1">
        <f t="array" aca="1" ref="Y447" ca="1">INDIRECT(CONCATENATE("'",$A$350,"'!v",B447),1)</f>
        <v>0</v>
      </c>
    </row>
    <row r="448" spans="2:25" hidden="1" x14ac:dyDescent="0.25">
      <c r="B448" s="24">
        <f t="shared" si="32"/>
        <v>100</v>
      </c>
      <c r="C448" s="1" cm="1">
        <f t="array" aca="1" ref="C448" ca="1">INDIRECT(CONCATENATE("'",$A$350,"'!A",B448),1)</f>
        <v>0</v>
      </c>
      <c r="D448" s="1" cm="1">
        <f t="array" aca="1" ref="D448" ca="1">INDIRECT(CONCATENATE("'",$A$350,"'!B",B448),1)</f>
        <v>0</v>
      </c>
      <c r="E448" s="1" cm="1">
        <f t="array" aca="1" ref="E448" ca="1">INDIRECT(CONCATENATE("'",$A$350,"'!c",B448),1)</f>
        <v>0</v>
      </c>
      <c r="F448" s="1" cm="1">
        <f t="array" aca="1" ref="F448" ca="1">INDIRECT(CONCATENATE("'",$A$350,"'!d",B448),1)</f>
        <v>0</v>
      </c>
      <c r="G448" s="1" cm="1">
        <f t="array" aca="1" ref="G448" ca="1">INDIRECT(CONCATENATE("'",$A$350,"'!e",B448),1)</f>
        <v>0</v>
      </c>
      <c r="H448" s="1" cm="1">
        <f t="array" aca="1" ref="H448" ca="1">INDIRECT(CONCATENATE("'",$A$350,"'!f",B448),1)</f>
        <v>0</v>
      </c>
      <c r="I448" s="1" cm="1">
        <f t="array" aca="1" ref="I448" ca="1">INDIRECT(CONCATENATE("'",$A$350,"'!g",B448),1)</f>
        <v>0</v>
      </c>
      <c r="J448" s="1" cm="1">
        <f t="array" aca="1" ref="J448" ca="1">INDIRECT(CONCATENATE("'",$A$350,"'!h",B448),1)</f>
        <v>0</v>
      </c>
      <c r="K448" s="1" cm="1">
        <f t="array" aca="1" ref="K448" ca="1">INDIRECT(CONCATENATE("'",$A$350,"'!i",B448),1)</f>
        <v>0</v>
      </c>
      <c r="L448" s="1" cm="1">
        <f t="array" aca="1" ref="L448" ca="1">INDIRECT(CONCATENATE("'",$A$350,"'!j",B448),1)</f>
        <v>0</v>
      </c>
      <c r="M448" s="1" cm="1">
        <f t="array" aca="1" ref="M448" ca="1">INDIRECT(CONCATENATE("'",$A$350,"'!k",B448),1)</f>
        <v>0</v>
      </c>
      <c r="N448" s="1" cm="1">
        <f t="array" aca="1" ref="N448" ca="1">INDIRECT(CONCATENATE("'",$A$350,"'!l",B448),1)</f>
        <v>0</v>
      </c>
      <c r="O448" s="1" cm="1">
        <f t="array" aca="1" ref="O448" ca="1">INDIRECT(CONCATENATE("'",$A$350,"'!m",B448),1)</f>
        <v>0</v>
      </c>
      <c r="P448" s="1" cm="1">
        <f t="array" aca="1" ref="P448" ca="1">INDIRECT(CONCATENATE("'",$A$350,"'!n",B448),1)</f>
        <v>0</v>
      </c>
      <c r="Q448" s="1" cm="1">
        <f t="array" aca="1" ref="Q448" ca="1">INDIRECT(CONCATENATE("'",$A$350,"'!o",B448),1)</f>
        <v>0</v>
      </c>
      <c r="R448" s="1" cm="1">
        <f t="array" aca="1" ref="R448" ca="1">INDIRECT(CONCATENATE("'",$A$350,"'!p",B448),1)</f>
        <v>0</v>
      </c>
      <c r="S448" s="1">
        <f t="shared" ca="1" si="35"/>
        <v>0</v>
      </c>
      <c r="T448" s="1" cm="1">
        <f t="array" aca="1" ref="T448" ca="1">INDIRECT(CONCATENATE("'",$A$350,"'!q",B448),1)</f>
        <v>0</v>
      </c>
      <c r="U448" s="1" cm="1">
        <f t="array" aca="1" ref="U448" ca="1">INDIRECT(CONCATENATE("'",$A$350,"'!r",B448),1)</f>
        <v>0</v>
      </c>
      <c r="V448" s="1" cm="1">
        <f t="array" aca="1" ref="V448" ca="1">INDIRECT(CONCATENATE("'",$A$350,"'!s",B448),1)</f>
        <v>0</v>
      </c>
      <c r="W448" s="1" cm="1">
        <f t="array" aca="1" ref="W448" ca="1">INDIRECT(CONCATENATE("'",$A$350,"'!t",B448),1)</f>
        <v>0</v>
      </c>
      <c r="X448" s="1" cm="1">
        <f t="array" aca="1" ref="X448" ca="1">INDIRECT(CONCATENATE("'",$A$350,"'!u",B448),1)</f>
        <v>0</v>
      </c>
      <c r="Y448" s="1" cm="1">
        <f t="array" aca="1" ref="Y448" ca="1">INDIRECT(CONCATENATE("'",$A$350,"'!v",B448),1)</f>
        <v>0</v>
      </c>
    </row>
    <row r="449" spans="1:25" hidden="1" x14ac:dyDescent="0.25">
      <c r="B449" s="24">
        <f t="shared" si="32"/>
        <v>101</v>
      </c>
      <c r="C449" s="1" cm="1">
        <f t="array" aca="1" ref="C449" ca="1">INDIRECT(CONCATENATE("'",$A$350,"'!A",B449),1)</f>
        <v>0</v>
      </c>
      <c r="D449" s="1" cm="1">
        <f t="array" aca="1" ref="D449" ca="1">INDIRECT(CONCATENATE("'",$A$350,"'!B",B449),1)</f>
        <v>0</v>
      </c>
      <c r="E449" s="1" cm="1">
        <f t="array" aca="1" ref="E449" ca="1">INDIRECT(CONCATENATE("'",$A$350,"'!c",B449),1)</f>
        <v>0</v>
      </c>
      <c r="F449" s="1" cm="1">
        <f t="array" aca="1" ref="F449" ca="1">INDIRECT(CONCATENATE("'",$A$350,"'!d",B449),1)</f>
        <v>0</v>
      </c>
      <c r="G449" s="1" cm="1">
        <f t="array" aca="1" ref="G449" ca="1">INDIRECT(CONCATENATE("'",$A$350,"'!e",B449),1)</f>
        <v>0</v>
      </c>
      <c r="H449" s="1" cm="1">
        <f t="array" aca="1" ref="H449" ca="1">INDIRECT(CONCATENATE("'",$A$350,"'!f",B449),1)</f>
        <v>0</v>
      </c>
      <c r="I449" s="1" cm="1">
        <f t="array" aca="1" ref="I449" ca="1">INDIRECT(CONCATENATE("'",$A$350,"'!g",B449),1)</f>
        <v>0</v>
      </c>
      <c r="J449" s="1" cm="1">
        <f t="array" aca="1" ref="J449" ca="1">INDIRECT(CONCATENATE("'",$A$350,"'!h",B449),1)</f>
        <v>0</v>
      </c>
      <c r="K449" s="1" cm="1">
        <f t="array" aca="1" ref="K449" ca="1">INDIRECT(CONCATENATE("'",$A$350,"'!i",B449),1)</f>
        <v>0</v>
      </c>
      <c r="L449" s="1" cm="1">
        <f t="array" aca="1" ref="L449" ca="1">INDIRECT(CONCATENATE("'",$A$350,"'!j",B449),1)</f>
        <v>0</v>
      </c>
      <c r="M449" s="1" cm="1">
        <f t="array" aca="1" ref="M449" ca="1">INDIRECT(CONCATENATE("'",$A$350,"'!k",B449),1)</f>
        <v>0</v>
      </c>
      <c r="N449" s="1" cm="1">
        <f t="array" aca="1" ref="N449" ca="1">INDIRECT(CONCATENATE("'",$A$350,"'!l",B449),1)</f>
        <v>0</v>
      </c>
      <c r="O449" s="1" cm="1">
        <f t="array" aca="1" ref="O449" ca="1">INDIRECT(CONCATENATE("'",$A$350,"'!m",B449),1)</f>
        <v>0</v>
      </c>
      <c r="P449" s="1" cm="1">
        <f t="array" aca="1" ref="P449" ca="1">INDIRECT(CONCATENATE("'",$A$350,"'!n",B449),1)</f>
        <v>0</v>
      </c>
      <c r="Q449" s="1" cm="1">
        <f t="array" aca="1" ref="Q449" ca="1">INDIRECT(CONCATENATE("'",$A$350,"'!o",B449),1)</f>
        <v>0</v>
      </c>
      <c r="R449" s="1" cm="1">
        <f t="array" aca="1" ref="R449" ca="1">INDIRECT(CONCATENATE("'",$A$350,"'!p",B449),1)</f>
        <v>0</v>
      </c>
      <c r="S449" s="1">
        <f t="shared" ca="1" si="35"/>
        <v>0</v>
      </c>
      <c r="T449" s="1" cm="1">
        <f t="array" aca="1" ref="T449" ca="1">INDIRECT(CONCATENATE("'",$A$350,"'!q",B449),1)</f>
        <v>0</v>
      </c>
      <c r="U449" s="1" cm="1">
        <f t="array" aca="1" ref="U449" ca="1">INDIRECT(CONCATENATE("'",$A$350,"'!r",B449),1)</f>
        <v>0</v>
      </c>
      <c r="V449" s="1" cm="1">
        <f t="array" aca="1" ref="V449" ca="1">INDIRECT(CONCATENATE("'",$A$350,"'!s",B449),1)</f>
        <v>0</v>
      </c>
      <c r="W449" s="1" cm="1">
        <f t="array" aca="1" ref="W449" ca="1">INDIRECT(CONCATENATE("'",$A$350,"'!t",B449),1)</f>
        <v>0</v>
      </c>
      <c r="X449" s="1" cm="1">
        <f t="array" aca="1" ref="X449" ca="1">INDIRECT(CONCATENATE("'",$A$350,"'!u",B449),1)</f>
        <v>0</v>
      </c>
      <c r="Y449" s="1" cm="1">
        <f t="array" aca="1" ref="Y449" ca="1">INDIRECT(CONCATENATE("'",$A$350,"'!v",B449),1)</f>
        <v>0</v>
      </c>
    </row>
    <row r="450" spans="1:25" hidden="1" x14ac:dyDescent="0.25">
      <c r="A450" s="24" t="s">
        <v>267</v>
      </c>
      <c r="B450" s="24">
        <v>2</v>
      </c>
      <c r="C450" s="1" cm="1">
        <f t="array" aca="1" ref="C450" ca="1">INDIRECT(CONCATENATE("'",$A$450,"'!A",B450),1)</f>
        <v>0</v>
      </c>
      <c r="D450" s="1" cm="1">
        <f t="array" aca="1" ref="D450" ca="1">INDIRECT(CONCATENATE("'",$A$450,"'!B",B450),1)</f>
        <v>0</v>
      </c>
      <c r="E450" s="1" cm="1">
        <f t="array" aca="1" ref="E450" ca="1">INDIRECT(CONCATENATE("'",$A$450,"'!c",B450),1)</f>
        <v>0</v>
      </c>
      <c r="F450" s="1" cm="1">
        <f t="array" aca="1" ref="F450" ca="1">INDIRECT(CONCATENATE("'",$A$450,"'!d",B450),1)</f>
        <v>0</v>
      </c>
      <c r="G450" s="1" cm="1">
        <f t="array" aca="1" ref="G450" ca="1">INDIRECT(CONCATENATE("'",$A$450,"'!e",B450),1)</f>
        <v>0</v>
      </c>
      <c r="H450" s="1" cm="1">
        <f t="array" aca="1" ref="H450" ca="1">INDIRECT(CONCATENATE("'",$A$450,"'!f",B450),1)</f>
        <v>0</v>
      </c>
      <c r="I450" s="1" cm="1">
        <f t="array" aca="1" ref="I450" ca="1">INDIRECT(CONCATENATE("'",$A$450,"'!g",B450),1)</f>
        <v>0</v>
      </c>
      <c r="J450" s="1" cm="1">
        <f t="array" aca="1" ref="J450" ca="1">INDIRECT(CONCATENATE("'",$A$450,"'!h",B450),1)</f>
        <v>0</v>
      </c>
      <c r="K450" s="1" cm="1">
        <f t="array" aca="1" ref="K450" ca="1">INDIRECT(CONCATENATE("'",$A$450,"'!i",B450),1)</f>
        <v>0</v>
      </c>
      <c r="L450" s="1" cm="1">
        <f t="array" aca="1" ref="L450" ca="1">INDIRECT(CONCATENATE("'",$A$450,"'!j",B450),1)</f>
        <v>0</v>
      </c>
      <c r="M450" s="1" cm="1">
        <f t="array" aca="1" ref="M450" ca="1">INDIRECT(CONCATENATE("'",$A$450,"'!k",B450),1)</f>
        <v>0</v>
      </c>
      <c r="N450" s="1" cm="1">
        <f t="array" aca="1" ref="N450" ca="1">INDIRECT(CONCATENATE("'",$A$450,"'!l",B450),1)</f>
        <v>0</v>
      </c>
      <c r="O450" s="1" cm="1">
        <f t="array" aca="1" ref="O450" ca="1">INDIRECT(CONCATENATE("'",$A$450,"'!m",B450),1)</f>
        <v>0</v>
      </c>
      <c r="P450" s="1" cm="1">
        <f t="array" aca="1" ref="P450" ca="1">INDIRECT(CONCATENATE("'",$A$450,"'!n",B450),1)</f>
        <v>0</v>
      </c>
      <c r="Q450" s="1" cm="1">
        <f t="array" aca="1" ref="Q450" ca="1">INDIRECT(CONCATENATE("'",$A$450,"'!o",B450),1)</f>
        <v>0</v>
      </c>
      <c r="R450" s="1" cm="1">
        <f t="array" aca="1" ref="R450" ca="1">INDIRECT(CONCATENATE("'",$A$450,"'!p",B450),1)</f>
        <v>0</v>
      </c>
      <c r="S450" s="1">
        <f t="shared" ca="1" si="35"/>
        <v>0</v>
      </c>
      <c r="T450" s="1" cm="1">
        <f t="array" aca="1" ref="T450" ca="1">INDIRECT(CONCATENATE("'",$A$450,"'!q",B450),1)</f>
        <v>0</v>
      </c>
      <c r="U450" s="1" cm="1">
        <f t="array" aca="1" ref="U450" ca="1">INDIRECT(CONCATENATE("'",$A$450,"'!r",B450),1)</f>
        <v>0</v>
      </c>
      <c r="V450" s="1" cm="1">
        <f t="array" aca="1" ref="V450" ca="1">INDIRECT(CONCATENATE("'",$A$450,"'!s",B450),1)</f>
        <v>0</v>
      </c>
      <c r="W450" s="1" cm="1">
        <f t="array" aca="1" ref="W450" ca="1">INDIRECT(CONCATENATE("'",$A$450,"'!t",B450),1)</f>
        <v>0</v>
      </c>
      <c r="X450" s="1" cm="1">
        <f t="array" aca="1" ref="X450" ca="1">INDIRECT(CONCATENATE("'",$A$450,"'!u",B450),1)</f>
        <v>0</v>
      </c>
      <c r="Y450" s="1" cm="1">
        <f t="array" aca="1" ref="Y450" ca="1">INDIRECT(CONCATENATE("'",$A$450,"'!v",B450),1)</f>
        <v>0</v>
      </c>
    </row>
    <row r="451" spans="1:25" customFormat="1" ht="22.5" hidden="1" x14ac:dyDescent="0.25">
      <c r="A451" s="15"/>
      <c r="B451" s="24">
        <f>B450+1</f>
        <v>3</v>
      </c>
      <c r="C451" s="1" t="str" cm="1">
        <f t="array" aca="1" ref="C451" ca="1">INDIRECT(CONCATENATE("'",$A$450,"'!A",B451),1)</f>
        <v>Методы защиты информации</v>
      </c>
      <c r="D451" s="1" t="str" cm="1">
        <f t="array" aca="1" ref="D451" ca="1">INDIRECT(CONCATENATE("'",$A$450,"'!B",B451),1)</f>
        <v xml:space="preserve">09.03.01(09у) </v>
      </c>
      <c r="E451" s="1" t="str" cm="1">
        <f t="array" aca="1" ref="E451" ca="1">INDIRECT(CONCATENATE("'",$A$450,"'!c",B451),1)</f>
        <v>4094з</v>
      </c>
      <c r="F451" s="1" cm="1">
        <f t="array" aca="1" ref="F451" ca="1">INDIRECT(CONCATENATE("'",$A$450,"'!d",B451),1)</f>
        <v>3</v>
      </c>
      <c r="G451" s="1" cm="1">
        <f t="array" aca="1" ref="G451" ca="1">INDIRECT(CONCATENATE("'",$A$450,"'!e",B451),1)</f>
        <v>1</v>
      </c>
      <c r="H451" s="1" cm="1">
        <f t="array" aca="1" ref="H451" ca="1">INDIRECT(CONCATENATE("'",$A$450,"'!f",B451),1)</f>
        <v>11</v>
      </c>
      <c r="I451" s="1" t="str" cm="1">
        <f t="array" aca="1" ref="I451" ca="1">INDIRECT(CONCATENATE("'",$A$450,"'!g",B451),1)</f>
        <v>ДЗ</v>
      </c>
      <c r="J451" s="1" cm="1">
        <f t="array" aca="1" ref="J451" ca="1">INDIRECT(CONCATENATE("'",$A$450,"'!h",B451),1)</f>
        <v>4</v>
      </c>
      <c r="K451" s="1" cm="1">
        <f t="array" aca="1" ref="K451" ca="1">INDIRECT(CONCATENATE("'",$A$450,"'!i",B451),1)</f>
        <v>4</v>
      </c>
      <c r="L451" s="1" cm="1">
        <f t="array" aca="1" ref="L451" ca="1">INDIRECT(CONCATENATE("'",$A$450,"'!j",B451),1)</f>
        <v>0</v>
      </c>
      <c r="M451" s="1" cm="1">
        <f t="array" aca="1" ref="M451" ca="1">INDIRECT(CONCATENATE("'",$A$450,"'!k",B451),1)</f>
        <v>12</v>
      </c>
      <c r="N451" s="1" t="str" cm="1">
        <f t="array" aca="1" ref="N451" ca="1">INDIRECT(CONCATENATE("'",$A$450,"'!l",B451),1)</f>
        <v xml:space="preserve">Жгун Т.В.  </v>
      </c>
      <c r="O451" s="1" cm="1">
        <f t="array" aca="1" ref="O451" ca="1">INDIRECT(CONCATENATE("'",$A$450,"'!m",B451),1)</f>
        <v>3305</v>
      </c>
      <c r="P451" s="1" t="str" cm="1">
        <f t="array" aca="1" ref="P451" ca="1">INDIRECT(CONCATENATE("'",$A$450,"'!n",B451),1)</f>
        <v>1п</v>
      </c>
      <c r="Q451" s="1" cm="1">
        <f t="array" aca="1" ref="Q451" ca="1">INDIRECT(CONCATENATE("'",$A$450,"'!o",B451),1)</f>
        <v>6.6</v>
      </c>
      <c r="R451" s="1" cm="1">
        <f t="array" aca="1" ref="R451" ca="1">INDIRECT(CONCATENATE("'",$A$450,"'!p",B451),1)</f>
        <v>0</v>
      </c>
      <c r="S451" s="1">
        <f t="shared" ref="S451" ca="1" si="36">SUMIFS(U451,T451,$N$1)+SUMIFS(W451,V451,$N$1)+SUMIFS(Y451,X451,$N$1)</f>
        <v>0</v>
      </c>
      <c r="T451" s="1" t="str" cm="1">
        <f t="array" aca="1" ref="T451" ca="1">INDIRECT(CONCATENATE("'",$A$450,"'!q",B451),1)</f>
        <v>Жгун Т.В.</v>
      </c>
      <c r="U451" s="1" cm="1">
        <f t="array" aca="1" ref="U451" ca="1">INDIRECT(CONCATENATE("'",$A$450,"'!r",B451),1)</f>
        <v>22.6</v>
      </c>
      <c r="V451" s="1" cm="1">
        <f t="array" aca="1" ref="V451" ca="1">INDIRECT(CONCATENATE("'",$A$450,"'!s",B451),1)</f>
        <v>0</v>
      </c>
      <c r="W451" s="1" cm="1">
        <f t="array" aca="1" ref="W451" ca="1">INDIRECT(CONCATENATE("'",$A$450,"'!t",B451),1)</f>
        <v>0</v>
      </c>
      <c r="X451" s="1" cm="1">
        <f t="array" aca="1" ref="X451" ca="1">INDIRECT(CONCATENATE("'",$A$450,"'!u",B451),1)</f>
        <v>0</v>
      </c>
      <c r="Y451" s="1" cm="1">
        <f t="array" aca="1" ref="Y451" ca="1">INDIRECT(CONCATENATE("'",$A$450,"'!v",B451),1)</f>
        <v>0</v>
      </c>
    </row>
    <row r="452" spans="1:25" ht="33.75" hidden="1" x14ac:dyDescent="0.25">
      <c r="B452" s="24">
        <f t="shared" ref="B452:B469" si="37">B451+1</f>
        <v>4</v>
      </c>
      <c r="C452" s="1" t="str" cm="1">
        <f t="array" aca="1" ref="C452" ca="1">INDIRECT(CONCATENATE("'",$A$450,"'!A",B452),1)</f>
        <v>Технология разработки программного обеспечения</v>
      </c>
      <c r="D452" s="1" t="str" cm="1">
        <f t="array" aca="1" ref="D452" ca="1">INDIRECT(CONCATENATE("'",$A$450,"'!B",B452),1)</f>
        <v xml:space="preserve">09.03.01(09у) </v>
      </c>
      <c r="E452" s="1" t="str" cm="1">
        <f t="array" aca="1" ref="E452" ca="1">INDIRECT(CONCATENATE("'",$A$450,"'!c",B452),1)</f>
        <v>4094з</v>
      </c>
      <c r="F452" s="1" cm="1">
        <f t="array" aca="1" ref="F452" ca="1">INDIRECT(CONCATENATE("'",$A$450,"'!d",B452),1)</f>
        <v>3</v>
      </c>
      <c r="G452" s="1" cm="1">
        <f t="array" aca="1" ref="G452" ca="1">INDIRECT(CONCATENATE("'",$A$450,"'!e",B452),1)</f>
        <v>1</v>
      </c>
      <c r="H452" s="1" cm="1">
        <f t="array" aca="1" ref="H452" ca="1">INDIRECT(CONCATENATE("'",$A$450,"'!f",B452),1)</f>
        <v>11</v>
      </c>
      <c r="I452" s="1" t="str" cm="1">
        <f t="array" aca="1" ref="I452" ca="1">INDIRECT(CONCATENATE("'",$A$450,"'!g",B452),1)</f>
        <v>ЭКЗ</v>
      </c>
      <c r="J452" s="1" cm="1">
        <f t="array" aca="1" ref="J452" ca="1">INDIRECT(CONCATENATE("'",$A$450,"'!h",B452),1)</f>
        <v>4</v>
      </c>
      <c r="K452" s="1" cm="1">
        <f t="array" aca="1" ref="K452" ca="1">INDIRECT(CONCATENATE("'",$A$450,"'!i",B452),1)</f>
        <v>4</v>
      </c>
      <c r="L452" s="1" cm="1">
        <f t="array" aca="1" ref="L452" ca="1">INDIRECT(CONCATENATE("'",$A$450,"'!j",B452),1)</f>
        <v>4</v>
      </c>
      <c r="M452" s="1" cm="1">
        <f t="array" aca="1" ref="M452" ca="1">INDIRECT(CONCATENATE("'",$A$450,"'!k",B452),1)</f>
        <v>4</v>
      </c>
      <c r="N452" s="1" t="str" cm="1">
        <f t="array" aca="1" ref="N452" ca="1">INDIRECT(CONCATENATE("'",$A$450,"'!l",B452),1)</f>
        <v>Алексеев П.С.</v>
      </c>
      <c r="O452" s="1" t="str" cm="1">
        <f t="array" aca="1" ref="O452" ca="1">INDIRECT(CONCATENATE("'",$A$450,"'!m",B452),1)</f>
        <v>2407, 3305</v>
      </c>
      <c r="P452" s="1" t="str" cm="1">
        <f t="array" aca="1" ref="P452" ca="1">INDIRECT(CONCATENATE("'",$A$450,"'!n",B452),1)</f>
        <v>1п</v>
      </c>
      <c r="Q452" s="1" cm="1">
        <f t="array" aca="1" ref="Q452" ca="1">INDIRECT(CONCATENATE("'",$A$450,"'!o",B452),1)</f>
        <v>6.6</v>
      </c>
      <c r="R452" s="1" cm="1">
        <f t="array" aca="1" ref="R452" ca="1">INDIRECT(CONCATENATE("'",$A$450,"'!p",B452),1)</f>
        <v>4.4000000000000004</v>
      </c>
      <c r="S452" s="1">
        <f t="shared" ref="S452:S486" ca="1" si="38">SUMIFS(U452,T452,$N$1)+SUMIFS(W452,V452,$N$1)+SUMIFS(Y452,X452,$N$1)</f>
        <v>0</v>
      </c>
      <c r="T452" s="1" t="str" cm="1">
        <f t="array" aca="1" ref="T452" ca="1">INDIRECT(CONCATENATE("'",$A$450,"'!q",B452),1)</f>
        <v>Алексеев П.С.</v>
      </c>
      <c r="U452" s="1" cm="1">
        <f t="array" aca="1" ref="U452" ca="1">INDIRECT(CONCATENATE("'",$A$450,"'!r",B452),1)</f>
        <v>23</v>
      </c>
      <c r="V452" s="1" cm="1">
        <f t="array" aca="1" ref="V452" ca="1">INDIRECT(CONCATENATE("'",$A$450,"'!s",B452),1)</f>
        <v>0</v>
      </c>
      <c r="W452" s="1" cm="1">
        <f t="array" aca="1" ref="W452" ca="1">INDIRECT(CONCATENATE("'",$A$450,"'!t",B452),1)</f>
        <v>0</v>
      </c>
      <c r="X452" s="1" cm="1">
        <f t="array" aca="1" ref="X452" ca="1">INDIRECT(CONCATENATE("'",$A$450,"'!u",B452),1)</f>
        <v>0</v>
      </c>
      <c r="Y452" s="1" cm="1">
        <f t="array" aca="1" ref="Y452" ca="1">INDIRECT(CONCATENATE("'",$A$450,"'!v",B452),1)</f>
        <v>0</v>
      </c>
    </row>
    <row r="453" spans="1:25" ht="33.75" hidden="1" x14ac:dyDescent="0.25">
      <c r="B453" s="24">
        <f t="shared" si="37"/>
        <v>5</v>
      </c>
      <c r="C453" s="1" t="str" cm="1">
        <f t="array" aca="1" ref="C453" ca="1">INDIRECT(CONCATENATE("'",$A$450,"'!A",B453),1)</f>
        <v>Проектирование информационных систем(установ.)</v>
      </c>
      <c r="D453" s="1" t="str" cm="1">
        <f t="array" aca="1" ref="D453" ca="1">INDIRECT(CONCATENATE("'",$A$450,"'!B",B453),1)</f>
        <v xml:space="preserve">09.03.01(09у) </v>
      </c>
      <c r="E453" s="1" t="str" cm="1">
        <f t="array" aca="1" ref="E453" ca="1">INDIRECT(CONCATENATE("'",$A$450,"'!c",B453),1)</f>
        <v>4094з</v>
      </c>
      <c r="F453" s="1" cm="1">
        <f t="array" aca="1" ref="F453" ca="1">INDIRECT(CONCATENATE("'",$A$450,"'!d",B453),1)</f>
        <v>3</v>
      </c>
      <c r="G453" s="1" cm="1">
        <f t="array" aca="1" ref="G453" ca="1">INDIRECT(CONCATENATE("'",$A$450,"'!e",B453),1)</f>
        <v>1</v>
      </c>
      <c r="H453" s="1" cm="1">
        <f t="array" aca="1" ref="H453" ca="1">INDIRECT(CONCATENATE("'",$A$450,"'!f",B453),1)</f>
        <v>11</v>
      </c>
      <c r="I453" s="1" cm="1">
        <f t="array" aca="1" ref="I453" ca="1">INDIRECT(CONCATENATE("'",$A$450,"'!g",B453),1)</f>
        <v>0</v>
      </c>
      <c r="J453" s="1" cm="1">
        <f t="array" aca="1" ref="J453" ca="1">INDIRECT(CONCATENATE("'",$A$450,"'!h",B453),1)</f>
        <v>0</v>
      </c>
      <c r="K453" s="1" cm="1">
        <f t="array" aca="1" ref="K453" ca="1">INDIRECT(CONCATENATE("'",$A$450,"'!i",B453),1)</f>
        <v>2</v>
      </c>
      <c r="L453" s="1" cm="1">
        <f t="array" aca="1" ref="L453" ca="1">INDIRECT(CONCATENATE("'",$A$450,"'!j",B453),1)</f>
        <v>0</v>
      </c>
      <c r="M453" s="1" cm="1">
        <f t="array" aca="1" ref="M453" ca="1">INDIRECT(CONCATENATE("'",$A$450,"'!k",B453),1)</f>
        <v>0</v>
      </c>
      <c r="N453" s="1" t="str" cm="1">
        <f t="array" aca="1" ref="N453" ca="1">INDIRECT(CONCATENATE("'",$A$450,"'!l",B453),1)</f>
        <v>Цымбалюк Л.Н.</v>
      </c>
      <c r="O453" s="1" cm="1">
        <f t="array" aca="1" ref="O453" ca="1">INDIRECT(CONCATENATE("'",$A$450,"'!m",B453),1)</f>
        <v>3312</v>
      </c>
      <c r="P453" s="1" t="str" cm="1">
        <f t="array" aca="1" ref="P453" ca="1">INDIRECT(CONCATENATE("'",$A$450,"'!n",B453),1)</f>
        <v>уст.</v>
      </c>
      <c r="Q453" s="1" cm="1">
        <f t="array" aca="1" ref="Q453" ca="1">INDIRECT(CONCATENATE("'",$A$450,"'!o",B453),1)</f>
        <v>0</v>
      </c>
      <c r="R453" s="1" cm="1">
        <f t="array" aca="1" ref="R453" ca="1">INDIRECT(CONCATENATE("'",$A$450,"'!p",B453),1)</f>
        <v>0</v>
      </c>
      <c r="S453" s="1">
        <f t="shared" ca="1" si="38"/>
        <v>0</v>
      </c>
      <c r="T453" s="1" t="str" cm="1">
        <f t="array" aca="1" ref="T453" ca="1">INDIRECT(CONCATENATE("'",$A$450,"'!q",B453),1)</f>
        <v>Цымбалюк Л.Н.</v>
      </c>
      <c r="U453" s="1" cm="1">
        <f t="array" aca="1" ref="U453" ca="1">INDIRECT(CONCATENATE("'",$A$450,"'!r",B453),1)</f>
        <v>0</v>
      </c>
      <c r="V453" s="1" cm="1">
        <f t="array" aca="1" ref="V453" ca="1">INDIRECT(CONCATENATE("'",$A$450,"'!s",B453),1)</f>
        <v>0</v>
      </c>
      <c r="W453" s="1" cm="1">
        <f t="array" aca="1" ref="W453" ca="1">INDIRECT(CONCATENATE("'",$A$450,"'!t",B453),1)</f>
        <v>0</v>
      </c>
      <c r="X453" s="1" cm="1">
        <f t="array" aca="1" ref="X453" ca="1">INDIRECT(CONCATENATE("'",$A$450,"'!u",B453),1)</f>
        <v>0</v>
      </c>
      <c r="Y453" s="1" cm="1">
        <f t="array" aca="1" ref="Y453" ca="1">INDIRECT(CONCATENATE("'",$A$450,"'!v",B453),1)</f>
        <v>0</v>
      </c>
    </row>
    <row r="454" spans="1:25" ht="22.5" hidden="1" x14ac:dyDescent="0.25">
      <c r="B454" s="24">
        <f t="shared" si="37"/>
        <v>6</v>
      </c>
      <c r="C454" s="1" t="str" cm="1">
        <f t="array" aca="1" ref="C454" ca="1">INDIRECT(CONCATENATE("'",$A$450,"'!A",B454),1)</f>
        <v>Интеллектуальный анализ данных(установ.)</v>
      </c>
      <c r="D454" s="1" t="str" cm="1">
        <f t="array" aca="1" ref="D454" ca="1">INDIRECT(CONCATENATE("'",$A$450,"'!B",B454),1)</f>
        <v xml:space="preserve">09.03.01(09у) </v>
      </c>
      <c r="E454" s="1" t="str" cm="1">
        <f t="array" aca="1" ref="E454" ca="1">INDIRECT(CONCATENATE("'",$A$450,"'!c",B454),1)</f>
        <v>4094з</v>
      </c>
      <c r="F454" s="1" cm="1">
        <f t="array" aca="1" ref="F454" ca="1">INDIRECT(CONCATENATE("'",$A$450,"'!d",B454),1)</f>
        <v>3</v>
      </c>
      <c r="G454" s="1" cm="1">
        <f t="array" aca="1" ref="G454" ca="1">INDIRECT(CONCATENATE("'",$A$450,"'!e",B454),1)</f>
        <v>1</v>
      </c>
      <c r="H454" s="1" cm="1">
        <f t="array" aca="1" ref="H454" ca="1">INDIRECT(CONCATENATE("'",$A$450,"'!f",B454),1)</f>
        <v>11</v>
      </c>
      <c r="I454" s="1" cm="1">
        <f t="array" aca="1" ref="I454" ca="1">INDIRECT(CONCATENATE("'",$A$450,"'!g",B454),1)</f>
        <v>0</v>
      </c>
      <c r="J454" s="1" cm="1">
        <f t="array" aca="1" ref="J454" ca="1">INDIRECT(CONCATENATE("'",$A$450,"'!h",B454),1)</f>
        <v>0</v>
      </c>
      <c r="K454" s="1" cm="1">
        <f t="array" aca="1" ref="K454" ca="1">INDIRECT(CONCATENATE("'",$A$450,"'!i",B454),1)</f>
        <v>2</v>
      </c>
      <c r="L454" s="1" cm="1">
        <f t="array" aca="1" ref="L454" ca="1">INDIRECT(CONCATENATE("'",$A$450,"'!j",B454),1)</f>
        <v>0</v>
      </c>
      <c r="M454" s="1" cm="1">
        <f t="array" aca="1" ref="M454" ca="1">INDIRECT(CONCATENATE("'",$A$450,"'!k",B454),1)</f>
        <v>0</v>
      </c>
      <c r="N454" s="1" t="str" cm="1">
        <f t="array" aca="1" ref="N454" ca="1">INDIRECT(CONCATENATE("'",$A$450,"'!l",B454),1)</f>
        <v>Телина И.С.</v>
      </c>
      <c r="O454" s="1" cm="1">
        <f t="array" aca="1" ref="O454" ca="1">INDIRECT(CONCATENATE("'",$A$450,"'!m",B454),1)</f>
        <v>3313</v>
      </c>
      <c r="P454" s="1" t="str" cm="1">
        <f t="array" aca="1" ref="P454" ca="1">INDIRECT(CONCATENATE("'",$A$450,"'!n",B454),1)</f>
        <v>уст.</v>
      </c>
      <c r="Q454" s="1" cm="1">
        <f t="array" aca="1" ref="Q454" ca="1">INDIRECT(CONCATENATE("'",$A$450,"'!o",B454),1)</f>
        <v>0</v>
      </c>
      <c r="R454" s="1" cm="1">
        <f t="array" aca="1" ref="R454" ca="1">INDIRECT(CONCATENATE("'",$A$450,"'!p",B454),1)</f>
        <v>0</v>
      </c>
      <c r="S454" s="1">
        <f t="shared" ca="1" si="38"/>
        <v>0</v>
      </c>
      <c r="T454" s="1" t="str" cm="1">
        <f t="array" aca="1" ref="T454" ca="1">INDIRECT(CONCATENATE("'",$A$450,"'!q",B454),1)</f>
        <v>Телина И.С.</v>
      </c>
      <c r="U454" s="1" cm="1">
        <f t="array" aca="1" ref="U454" ca="1">INDIRECT(CONCATENATE("'",$A$450,"'!r",B454),1)</f>
        <v>0</v>
      </c>
      <c r="V454" s="1" cm="1">
        <f t="array" aca="1" ref="V454" ca="1">INDIRECT(CONCATENATE("'",$A$450,"'!s",B454),1)</f>
        <v>0</v>
      </c>
      <c r="W454" s="1" cm="1">
        <f t="array" aca="1" ref="W454" ca="1">INDIRECT(CONCATENATE("'",$A$450,"'!t",B454),1)</f>
        <v>0</v>
      </c>
      <c r="X454" s="1" cm="1">
        <f t="array" aca="1" ref="X454" ca="1">INDIRECT(CONCATENATE("'",$A$450,"'!u",B454),1)</f>
        <v>0</v>
      </c>
      <c r="Y454" s="1" cm="1">
        <f t="array" aca="1" ref="Y454" ca="1">INDIRECT(CONCATENATE("'",$A$450,"'!v",B454),1)</f>
        <v>0</v>
      </c>
    </row>
    <row r="455" spans="1:25" ht="22.5" hidden="1" x14ac:dyDescent="0.25">
      <c r="B455" s="24">
        <f t="shared" si="37"/>
        <v>7</v>
      </c>
      <c r="C455" s="1" t="str" cm="1">
        <f t="array" aca="1" ref="C455" ca="1">INDIRECT(CONCATENATE("'",$A$450,"'!A",B455),1)</f>
        <v>Основы теории управления</v>
      </c>
      <c r="D455" s="1" t="str" cm="1">
        <f t="array" aca="1" ref="D455" ca="1">INDIRECT(CONCATENATE("'",$A$450,"'!B",B455),1)</f>
        <v xml:space="preserve">09.03.01(09у) </v>
      </c>
      <c r="E455" s="1" t="str" cm="1">
        <f t="array" aca="1" ref="E455" ca="1">INDIRECT(CONCATENATE("'",$A$450,"'!c",B455),1)</f>
        <v>4094з</v>
      </c>
      <c r="F455" s="1" cm="1">
        <f t="array" aca="1" ref="F455" ca="1">INDIRECT(CONCATENATE("'",$A$450,"'!d",B455),1)</f>
        <v>3</v>
      </c>
      <c r="G455" s="1" cm="1">
        <f t="array" aca="1" ref="G455" ca="1">INDIRECT(CONCATENATE("'",$A$450,"'!e",B455),1)</f>
        <v>1</v>
      </c>
      <c r="H455" s="1" cm="1">
        <f t="array" aca="1" ref="H455" ca="1">INDIRECT(CONCATENATE("'",$A$450,"'!f",B455),1)</f>
        <v>11</v>
      </c>
      <c r="I455" s="1" t="str" cm="1">
        <f t="array" aca="1" ref="I455" ca="1">INDIRECT(CONCATENATE("'",$A$450,"'!g",B455),1)</f>
        <v>ДЗ</v>
      </c>
      <c r="J455" s="1" cm="1">
        <f t="array" aca="1" ref="J455" ca="1">INDIRECT(CONCATENATE("'",$A$450,"'!h",B455),1)</f>
        <v>4</v>
      </c>
      <c r="K455" s="1" cm="1">
        <f t="array" aca="1" ref="K455" ca="1">INDIRECT(CONCATENATE("'",$A$450,"'!i",B455),1)</f>
        <v>4</v>
      </c>
      <c r="L455" s="1" cm="1">
        <f t="array" aca="1" ref="L455" ca="1">INDIRECT(CONCATENATE("'",$A$450,"'!j",B455),1)</f>
        <v>4</v>
      </c>
      <c r="M455" s="1" cm="1">
        <f t="array" aca="1" ref="M455" ca="1">INDIRECT(CONCATENATE("'",$A$450,"'!k",B455),1)</f>
        <v>8</v>
      </c>
      <c r="N455" s="1" t="str" cm="1">
        <f t="array" aca="1" ref="N455" ca="1">INDIRECT(CONCATENATE("'",$A$450,"'!l",B455),1)</f>
        <v>Эминов С.И.</v>
      </c>
      <c r="O455" s="1" t="str" cm="1">
        <f t="array" aca="1" ref="O455" ca="1">INDIRECT(CONCATENATE("'",$A$450,"'!m",B455),1)</f>
        <v>2407, 3305</v>
      </c>
      <c r="P455" s="1" t="str" cm="1">
        <f t="array" aca="1" ref="P455" ca="1">INDIRECT(CONCATENATE("'",$A$450,"'!n",B455),1)</f>
        <v>1п</v>
      </c>
      <c r="Q455" s="1" cm="1">
        <f t="array" aca="1" ref="Q455" ca="1">INDIRECT(CONCATENATE("'",$A$450,"'!o",B455),1)</f>
        <v>6.6</v>
      </c>
      <c r="R455" s="1" cm="1">
        <f t="array" aca="1" ref="R455" ca="1">INDIRECT(CONCATENATE("'",$A$450,"'!p",B455),1)</f>
        <v>0</v>
      </c>
      <c r="S455" s="1">
        <f t="shared" ca="1" si="38"/>
        <v>0</v>
      </c>
      <c r="T455" s="1" t="str" cm="1">
        <f t="array" aca="1" ref="T455" ca="1">INDIRECT(CONCATENATE("'",$A$450,"'!q",B455),1)</f>
        <v>Эминов С.И.</v>
      </c>
      <c r="U455" s="1" cm="1">
        <f t="array" aca="1" ref="U455" ca="1">INDIRECT(CONCATENATE("'",$A$450,"'!r",B455),1)</f>
        <v>22.6</v>
      </c>
      <c r="V455" s="1" cm="1">
        <f t="array" aca="1" ref="V455" ca="1">INDIRECT(CONCATENATE("'",$A$450,"'!s",B455),1)</f>
        <v>0</v>
      </c>
      <c r="W455" s="1" cm="1">
        <f t="array" aca="1" ref="W455" ca="1">INDIRECT(CONCATENATE("'",$A$450,"'!t",B455),1)</f>
        <v>0</v>
      </c>
      <c r="X455" s="1" cm="1">
        <f t="array" aca="1" ref="X455" ca="1">INDIRECT(CONCATENATE("'",$A$450,"'!u",B455),1)</f>
        <v>0</v>
      </c>
      <c r="Y455" s="1" cm="1">
        <f t="array" aca="1" ref="Y455" ca="1">INDIRECT(CONCATENATE("'",$A$450,"'!v",B455),1)</f>
        <v>0</v>
      </c>
    </row>
    <row r="456" spans="1:25" ht="45" hidden="1" x14ac:dyDescent="0.25">
      <c r="B456" s="24">
        <f t="shared" si="37"/>
        <v>8</v>
      </c>
      <c r="C456" s="1" t="str" cm="1">
        <f t="array" aca="1" ref="C456" ca="1">INDIRECT(CONCATENATE("'",$A$450,"'!A",B456),1)</f>
        <v>Введение в информационные технологии больших данных(установ.)</v>
      </c>
      <c r="D456" s="1" t="str" cm="1">
        <f t="array" aca="1" ref="D456" ca="1">INDIRECT(CONCATENATE("'",$A$450,"'!B",B456),1)</f>
        <v xml:space="preserve">09.03.01(09у) </v>
      </c>
      <c r="E456" s="1" t="str" cm="1">
        <f t="array" aca="1" ref="E456" ca="1">INDIRECT(CONCATENATE("'",$A$450,"'!c",B456),1)</f>
        <v>4094з</v>
      </c>
      <c r="F456" s="1" cm="1">
        <f t="array" aca="1" ref="F456" ca="1">INDIRECT(CONCATENATE("'",$A$450,"'!d",B456),1)</f>
        <v>3</v>
      </c>
      <c r="G456" s="1" cm="1">
        <f t="array" aca="1" ref="G456" ca="1">INDIRECT(CONCATENATE("'",$A$450,"'!e",B456),1)</f>
        <v>1</v>
      </c>
      <c r="H456" s="1" cm="1">
        <f t="array" aca="1" ref="H456" ca="1">INDIRECT(CONCATENATE("'",$A$450,"'!f",B456),1)</f>
        <v>11</v>
      </c>
      <c r="I456" s="1" cm="1">
        <f t="array" aca="1" ref="I456" ca="1">INDIRECT(CONCATENATE("'",$A$450,"'!g",B456),1)</f>
        <v>0</v>
      </c>
      <c r="J456" s="1" cm="1">
        <f t="array" aca="1" ref="J456" ca="1">INDIRECT(CONCATENATE("'",$A$450,"'!h",B456),1)</f>
        <v>0</v>
      </c>
      <c r="K456" s="1" cm="1">
        <f t="array" aca="1" ref="K456" ca="1">INDIRECT(CONCATENATE("'",$A$450,"'!i",B456),1)</f>
        <v>2</v>
      </c>
      <c r="L456" s="1" cm="1">
        <f t="array" aca="1" ref="L456" ca="1">INDIRECT(CONCATENATE("'",$A$450,"'!j",B456),1)</f>
        <v>0</v>
      </c>
      <c r="M456" s="1" cm="1">
        <f t="array" aca="1" ref="M456" ca="1">INDIRECT(CONCATENATE("'",$A$450,"'!k",B456),1)</f>
        <v>0</v>
      </c>
      <c r="N456" s="1" t="str" cm="1">
        <f t="array" aca="1" ref="N456" ca="1">INDIRECT(CONCATENATE("'",$A$450,"'!l",B456),1)</f>
        <v>Цымаблюк Л.Н.</v>
      </c>
      <c r="O456" s="1" cm="1">
        <f t="array" aca="1" ref="O456" ca="1">INDIRECT(CONCATENATE("'",$A$450,"'!m",B456),1)</f>
        <v>3313</v>
      </c>
      <c r="P456" s="1" t="str" cm="1">
        <f t="array" aca="1" ref="P456" ca="1">INDIRECT(CONCATENATE("'",$A$450,"'!n",B456),1)</f>
        <v>уст.</v>
      </c>
      <c r="Q456" s="1" cm="1">
        <f t="array" aca="1" ref="Q456" ca="1">INDIRECT(CONCATENATE("'",$A$450,"'!o",B456),1)</f>
        <v>0</v>
      </c>
      <c r="R456" s="1" cm="1">
        <f t="array" aca="1" ref="R456" ca="1">INDIRECT(CONCATENATE("'",$A$450,"'!p",B456),1)</f>
        <v>0</v>
      </c>
      <c r="S456" s="1">
        <f t="shared" ca="1" si="38"/>
        <v>0</v>
      </c>
      <c r="T456" s="1" t="str" cm="1">
        <f t="array" aca="1" ref="T456" ca="1">INDIRECT(CONCATENATE("'",$A$450,"'!q",B456),1)</f>
        <v>Цымаблюк Л.Н.</v>
      </c>
      <c r="U456" s="1" cm="1">
        <f t="array" aca="1" ref="U456" ca="1">INDIRECT(CONCATENATE("'",$A$450,"'!r",B456),1)</f>
        <v>0</v>
      </c>
      <c r="V456" s="1" cm="1">
        <f t="array" aca="1" ref="V456" ca="1">INDIRECT(CONCATENATE("'",$A$450,"'!s",B456),1)</f>
        <v>0</v>
      </c>
      <c r="W456" s="1" cm="1">
        <f t="array" aca="1" ref="W456" ca="1">INDIRECT(CONCATENATE("'",$A$450,"'!t",B456),1)</f>
        <v>0</v>
      </c>
      <c r="X456" s="1" cm="1">
        <f t="array" aca="1" ref="X456" ca="1">INDIRECT(CONCATENATE("'",$A$450,"'!u",B456),1)</f>
        <v>0</v>
      </c>
      <c r="Y456" s="1" cm="1">
        <f t="array" aca="1" ref="Y456" ca="1">INDIRECT(CONCATENATE("'",$A$450,"'!v",B456),1)</f>
        <v>0</v>
      </c>
    </row>
    <row r="457" spans="1:25" ht="22.5" hidden="1" x14ac:dyDescent="0.25">
      <c r="B457" s="24">
        <f t="shared" si="37"/>
        <v>9</v>
      </c>
      <c r="C457" s="1" t="str" cm="1">
        <f t="array" aca="1" ref="C457" ca="1">INDIRECT(CONCATENATE("'",$A$450,"'!A",B457),1)</f>
        <v>Коммерциализация IT проектов(установ.)</v>
      </c>
      <c r="D457" s="1" t="str" cm="1">
        <f t="array" aca="1" ref="D457" ca="1">INDIRECT(CONCATENATE("'",$A$450,"'!B",B457),1)</f>
        <v xml:space="preserve">09.03.01(09у) </v>
      </c>
      <c r="E457" s="1" t="str" cm="1">
        <f t="array" aca="1" ref="E457" ca="1">INDIRECT(CONCATENATE("'",$A$450,"'!c",B457),1)</f>
        <v>4094з</v>
      </c>
      <c r="F457" s="1" cm="1">
        <f t="array" aca="1" ref="F457" ca="1">INDIRECT(CONCATENATE("'",$A$450,"'!d",B457),1)</f>
        <v>3</v>
      </c>
      <c r="G457" s="1" cm="1">
        <f t="array" aca="1" ref="G457" ca="1">INDIRECT(CONCATENATE("'",$A$450,"'!e",B457),1)</f>
        <v>1</v>
      </c>
      <c r="H457" s="1" cm="1">
        <f t="array" aca="1" ref="H457" ca="1">INDIRECT(CONCATENATE("'",$A$450,"'!f",B457),1)</f>
        <v>11</v>
      </c>
      <c r="I457" s="1" cm="1">
        <f t="array" aca="1" ref="I457" ca="1">INDIRECT(CONCATENATE("'",$A$450,"'!g",B457),1)</f>
        <v>0</v>
      </c>
      <c r="J457" s="1" cm="1">
        <f t="array" aca="1" ref="J457" ca="1">INDIRECT(CONCATENATE("'",$A$450,"'!h",B457),1)</f>
        <v>0</v>
      </c>
      <c r="K457" s="1" cm="1">
        <f t="array" aca="1" ref="K457" ca="1">INDIRECT(CONCATENATE("'",$A$450,"'!i",B457),1)</f>
        <v>2</v>
      </c>
      <c r="L457" s="1" cm="1">
        <f t="array" aca="1" ref="L457" ca="1">INDIRECT(CONCATENATE("'",$A$450,"'!j",B457),1)</f>
        <v>0</v>
      </c>
      <c r="M457" s="1" cm="1">
        <f t="array" aca="1" ref="M457" ca="1">INDIRECT(CONCATENATE("'",$A$450,"'!k",B457),1)</f>
        <v>0</v>
      </c>
      <c r="N457" s="1" t="str" cm="1">
        <f t="array" aca="1" ref="N457" ca="1">INDIRECT(CONCATENATE("'",$A$450,"'!l",B457),1)</f>
        <v>Макевич П.В.</v>
      </c>
      <c r="O457" s="1" cm="1">
        <f t="array" aca="1" ref="O457" ca="1">INDIRECT(CONCATENATE("'",$A$450,"'!m",B457),1)</f>
        <v>3313</v>
      </c>
      <c r="P457" s="1" t="str" cm="1">
        <f t="array" aca="1" ref="P457" ca="1">INDIRECT(CONCATENATE("'",$A$450,"'!n",B457),1)</f>
        <v>уст.</v>
      </c>
      <c r="Q457" s="1" cm="1">
        <f t="array" aca="1" ref="Q457" ca="1">INDIRECT(CONCATENATE("'",$A$450,"'!o",B457),1)</f>
        <v>0</v>
      </c>
      <c r="R457" s="1" cm="1">
        <f t="array" aca="1" ref="R457" ca="1">INDIRECT(CONCATENATE("'",$A$450,"'!p",B457),1)</f>
        <v>0</v>
      </c>
      <c r="S457" s="1">
        <f t="shared" ca="1" si="38"/>
        <v>0</v>
      </c>
      <c r="T457" s="1" t="str" cm="1">
        <f t="array" aca="1" ref="T457" ca="1">INDIRECT(CONCATENATE("'",$A$450,"'!q",B457),1)</f>
        <v>Макевич П.В.</v>
      </c>
      <c r="U457" s="1" cm="1">
        <f t="array" aca="1" ref="U457" ca="1">INDIRECT(CONCATENATE("'",$A$450,"'!r",B457),1)</f>
        <v>0</v>
      </c>
      <c r="V457" s="1" cm="1">
        <f t="array" aca="1" ref="V457" ca="1">INDIRECT(CONCATENATE("'",$A$450,"'!s",B457),1)</f>
        <v>0</v>
      </c>
      <c r="W457" s="1" cm="1">
        <f t="array" aca="1" ref="W457" ca="1">INDIRECT(CONCATENATE("'",$A$450,"'!t",B457),1)</f>
        <v>0</v>
      </c>
      <c r="X457" s="1" cm="1">
        <f t="array" aca="1" ref="X457" ca="1">INDIRECT(CONCATENATE("'",$A$450,"'!u",B457),1)</f>
        <v>0</v>
      </c>
      <c r="Y457" s="1" cm="1">
        <f t="array" aca="1" ref="Y457" ca="1">INDIRECT(CONCATENATE("'",$A$450,"'!v",B457),1)</f>
        <v>0</v>
      </c>
    </row>
    <row r="458" spans="1:25" ht="33.75" hidden="1" x14ac:dyDescent="0.25">
      <c r="B458" s="24">
        <f t="shared" si="37"/>
        <v>10</v>
      </c>
      <c r="C458" s="1" t="str" cm="1">
        <f t="array" aca="1" ref="C458" ca="1">INDIRECT(CONCATENATE("'",$A$450,"'!A",B458),1)</f>
        <v>Микросервисные технологии и архитектура(установ.)</v>
      </c>
      <c r="D458" s="1" t="str" cm="1">
        <f t="array" aca="1" ref="D458" ca="1">INDIRECT(CONCATENATE("'",$A$450,"'!B",B458),1)</f>
        <v xml:space="preserve">09.03.01(09у) </v>
      </c>
      <c r="E458" s="1" t="str" cm="1">
        <f t="array" aca="1" ref="E458" ca="1">INDIRECT(CONCATENATE("'",$A$450,"'!c",B458),1)</f>
        <v>4094з</v>
      </c>
      <c r="F458" s="1" cm="1">
        <f t="array" aca="1" ref="F458" ca="1">INDIRECT(CONCATENATE("'",$A$450,"'!d",B458),1)</f>
        <v>3</v>
      </c>
      <c r="G458" s="1" cm="1">
        <f t="array" aca="1" ref="G458" ca="1">INDIRECT(CONCATENATE("'",$A$450,"'!e",B458),1)</f>
        <v>1</v>
      </c>
      <c r="H458" s="1" cm="1">
        <f t="array" aca="1" ref="H458" ca="1">INDIRECT(CONCATENATE("'",$A$450,"'!f",B458),1)</f>
        <v>11</v>
      </c>
      <c r="I458" s="1" t="str" cm="1">
        <f t="array" aca="1" ref="I458" ca="1">INDIRECT(CONCATENATE("'",$A$450,"'!g",B458),1)</f>
        <v>ЭКЗ</v>
      </c>
      <c r="J458" s="1" cm="1">
        <f t="array" aca="1" ref="J458" ca="1">INDIRECT(CONCATENATE("'",$A$450,"'!h",B458),1)</f>
        <v>5</v>
      </c>
      <c r="K458" s="1" cm="1">
        <f t="array" aca="1" ref="K458" ca="1">INDIRECT(CONCATENATE("'",$A$450,"'!i",B458),1)</f>
        <v>8</v>
      </c>
      <c r="L458" s="1" cm="1">
        <f t="array" aca="1" ref="L458" ca="1">INDIRECT(CONCATENATE("'",$A$450,"'!j",B458),1)</f>
        <v>0</v>
      </c>
      <c r="M458" s="1" cm="1">
        <f t="array" aca="1" ref="M458" ca="1">INDIRECT(CONCATENATE("'",$A$450,"'!k",B458),1)</f>
        <v>8</v>
      </c>
      <c r="N458" s="1" t="str" cm="1">
        <f t="array" aca="1" ref="N458" ca="1">INDIRECT(CONCATENATE("'",$A$450,"'!l",B458),1)</f>
        <v>Сидорин С.Н.</v>
      </c>
      <c r="O458" s="1" cm="1">
        <f t="array" aca="1" ref="O458" ca="1">INDIRECT(CONCATENATE("'",$A$450,"'!m",B458),1)</f>
        <v>3313</v>
      </c>
      <c r="P458" s="1" t="str" cm="1">
        <f t="array" aca="1" ref="P458" ca="1">INDIRECT(CONCATENATE("'",$A$450,"'!n",B458),1)</f>
        <v>уст.</v>
      </c>
      <c r="Q458" s="1" cm="1">
        <f t="array" aca="1" ref="Q458" ca="1">INDIRECT(CONCATENATE("'",$A$450,"'!o",B458),1)</f>
        <v>8.3000000000000007</v>
      </c>
      <c r="R458" s="1" cm="1">
        <f t="array" aca="1" ref="R458" ca="1">INDIRECT(CONCATENATE("'",$A$450,"'!p",B458),1)</f>
        <v>5.5</v>
      </c>
      <c r="S458" s="1">
        <f t="shared" ca="1" si="38"/>
        <v>0</v>
      </c>
      <c r="T458" s="1" t="str" cm="1">
        <f t="array" aca="1" ref="T458" ca="1">INDIRECT(CONCATENATE("'",$A$450,"'!q",B458),1)</f>
        <v>Сидорин С.Н.</v>
      </c>
      <c r="U458" s="1" cm="1">
        <f t="array" aca="1" ref="U458" ca="1">INDIRECT(CONCATENATE("'",$A$450,"'!r",B458),1)</f>
        <v>29.8</v>
      </c>
      <c r="V458" s="1" cm="1">
        <f t="array" aca="1" ref="V458" ca="1">INDIRECT(CONCATENATE("'",$A$450,"'!s",B458),1)</f>
        <v>0</v>
      </c>
      <c r="W458" s="1" cm="1">
        <f t="array" aca="1" ref="W458" ca="1">INDIRECT(CONCATENATE("'",$A$450,"'!t",B458),1)</f>
        <v>0</v>
      </c>
      <c r="X458" s="1" cm="1">
        <f t="array" aca="1" ref="X458" ca="1">INDIRECT(CONCATENATE("'",$A$450,"'!u",B458),1)</f>
        <v>0</v>
      </c>
      <c r="Y458" s="1" cm="1">
        <f t="array" aca="1" ref="Y458" ca="1">INDIRECT(CONCATENATE("'",$A$450,"'!v",B458),1)</f>
        <v>0</v>
      </c>
    </row>
    <row r="459" spans="1:25" ht="45" hidden="1" x14ac:dyDescent="0.25">
      <c r="B459" s="24">
        <f t="shared" si="37"/>
        <v>11</v>
      </c>
      <c r="C459" s="1" t="str" cm="1">
        <f t="array" aca="1" ref="C459" ca="1">INDIRECT(CONCATENATE("'",$A$450,"'!A",B459),1)</f>
        <v>Основы программирования и анализа данных на языке Python</v>
      </c>
      <c r="D459" s="1" t="str" cm="1">
        <f t="array" aca="1" ref="D459" ca="1">INDIRECT(CONCATENATE("'",$A$450,"'!B",B459),1)</f>
        <v xml:space="preserve">09.03.01(09у) </v>
      </c>
      <c r="E459" s="1" t="str" cm="1">
        <f t="array" aca="1" ref="E459" ca="1">INDIRECT(CONCATENATE("'",$A$450,"'!c",B459),1)</f>
        <v>4094з</v>
      </c>
      <c r="F459" s="1" cm="1">
        <f t="array" aca="1" ref="F459" ca="1">INDIRECT(CONCATENATE("'",$A$450,"'!d",B459),1)</f>
        <v>3</v>
      </c>
      <c r="G459" s="1" cm="1">
        <f t="array" aca="1" ref="G459" ca="1">INDIRECT(CONCATENATE("'",$A$450,"'!e",B459),1)</f>
        <v>1</v>
      </c>
      <c r="H459" s="1" cm="1">
        <f t="array" aca="1" ref="H459" ca="1">INDIRECT(CONCATENATE("'",$A$450,"'!f",B459),1)</f>
        <v>11</v>
      </c>
      <c r="I459" s="1" t="str" cm="1">
        <f t="array" aca="1" ref="I459" ca="1">INDIRECT(CONCATENATE("'",$A$450,"'!g",B459),1)</f>
        <v>ДЗ</v>
      </c>
      <c r="J459" s="1" cm="1">
        <f t="array" aca="1" ref="J459" ca="1">INDIRECT(CONCATENATE("'",$A$450,"'!h",B459),1)</f>
        <v>3</v>
      </c>
      <c r="K459" s="1" cm="1">
        <f t="array" aca="1" ref="K459" ca="1">INDIRECT(CONCATENATE("'",$A$450,"'!i",B459),1)</f>
        <v>4</v>
      </c>
      <c r="L459" s="1" cm="1">
        <f t="array" aca="1" ref="L459" ca="1">INDIRECT(CONCATENATE("'",$A$450,"'!j",B459),1)</f>
        <v>0</v>
      </c>
      <c r="M459" s="1" cm="1">
        <f t="array" aca="1" ref="M459" ca="1">INDIRECT(CONCATENATE("'",$A$450,"'!k",B459),1)</f>
        <v>8</v>
      </c>
      <c r="N459" s="1" t="str" cm="1">
        <f t="array" aca="1" ref="N459" ca="1">INDIRECT(CONCATENATE("'",$A$450,"'!l",B459),1)</f>
        <v>Телина И.С.</v>
      </c>
      <c r="O459" s="1" cm="1">
        <f t="array" aca="1" ref="O459" ca="1">INDIRECT(CONCATENATE("'",$A$450,"'!m",B459),1)</f>
        <v>0</v>
      </c>
      <c r="P459" s="1" t="str" cm="1">
        <f t="array" aca="1" ref="P459" ca="1">INDIRECT(CONCATENATE("'",$A$450,"'!n",B459),1)</f>
        <v>1п</v>
      </c>
      <c r="Q459" s="1" cm="1">
        <f t="array" aca="1" ref="Q459" ca="1">INDIRECT(CONCATENATE("'",$A$450,"'!o",B459),1)</f>
        <v>5</v>
      </c>
      <c r="R459" s="1" cm="1">
        <f t="array" aca="1" ref="R459" ca="1">INDIRECT(CONCATENATE("'",$A$450,"'!p",B459),1)</f>
        <v>0</v>
      </c>
      <c r="S459" s="1">
        <f t="shared" ca="1" si="38"/>
        <v>0</v>
      </c>
      <c r="T459" s="1" t="str" cm="1">
        <f t="array" aca="1" ref="T459" ca="1">INDIRECT(CONCATENATE("'",$A$450,"'!q",B459),1)</f>
        <v>Телина И.С.</v>
      </c>
      <c r="U459" s="1" cm="1">
        <f t="array" aca="1" ref="U459" ca="1">INDIRECT(CONCATENATE("'",$A$450,"'!r",B459),1)</f>
        <v>17</v>
      </c>
      <c r="V459" s="1" cm="1">
        <f t="array" aca="1" ref="V459" ca="1">INDIRECT(CONCATENATE("'",$A$450,"'!s",B459),1)</f>
        <v>0</v>
      </c>
      <c r="W459" s="1" cm="1">
        <f t="array" aca="1" ref="W459" ca="1">INDIRECT(CONCATENATE("'",$A$450,"'!t",B459),1)</f>
        <v>0</v>
      </c>
      <c r="X459" s="1" cm="1">
        <f t="array" aca="1" ref="X459" ca="1">INDIRECT(CONCATENATE("'",$A$450,"'!u",B459),1)</f>
        <v>0</v>
      </c>
      <c r="Y459" s="1" cm="1">
        <f t="array" aca="1" ref="Y459" ca="1">INDIRECT(CONCATENATE("'",$A$450,"'!v",B459),1)</f>
        <v>0</v>
      </c>
    </row>
    <row r="460" spans="1:25" ht="22.5" hidden="1" x14ac:dyDescent="0.25">
      <c r="B460" s="24">
        <f t="shared" si="37"/>
        <v>12</v>
      </c>
      <c r="C460" s="1" t="str" cm="1">
        <f t="array" aca="1" ref="C460" ca="1">INDIRECT(CONCATENATE("'",$A$450,"'!A",B460),1)</f>
        <v>Кибербезопасность(установ.)</v>
      </c>
      <c r="D460" s="1" t="str" cm="1">
        <f t="array" aca="1" ref="D460" ca="1">INDIRECT(CONCATENATE("'",$A$450,"'!B",B460),1)</f>
        <v xml:space="preserve">09.03.01(09у) </v>
      </c>
      <c r="E460" s="1" t="str" cm="1">
        <f t="array" aca="1" ref="E460" ca="1">INDIRECT(CONCATENATE("'",$A$450,"'!c",B460),1)</f>
        <v>4094з</v>
      </c>
      <c r="F460" s="1" cm="1">
        <f t="array" aca="1" ref="F460" ca="1">INDIRECT(CONCATENATE("'",$A$450,"'!d",B460),1)</f>
        <v>3</v>
      </c>
      <c r="G460" s="1" cm="1">
        <f t="array" aca="1" ref="G460" ca="1">INDIRECT(CONCATENATE("'",$A$450,"'!e",B460),1)</f>
        <v>1</v>
      </c>
      <c r="H460" s="1" cm="1">
        <f t="array" aca="1" ref="H460" ca="1">INDIRECT(CONCATENATE("'",$A$450,"'!f",B460),1)</f>
        <v>11</v>
      </c>
      <c r="I460" s="1" cm="1">
        <f t="array" aca="1" ref="I460" ca="1">INDIRECT(CONCATENATE("'",$A$450,"'!g",B460),1)</f>
        <v>0</v>
      </c>
      <c r="J460" s="1" cm="1">
        <f t="array" aca="1" ref="J460" ca="1">INDIRECT(CONCATENATE("'",$A$450,"'!h",B460),1)</f>
        <v>0</v>
      </c>
      <c r="K460" s="1" cm="1">
        <f t="array" aca="1" ref="K460" ca="1">INDIRECT(CONCATENATE("'",$A$450,"'!i",B460),1)</f>
        <v>2</v>
      </c>
      <c r="L460" s="1" cm="1">
        <f t="array" aca="1" ref="L460" ca="1">INDIRECT(CONCATENATE("'",$A$450,"'!j",B460),1)</f>
        <v>0</v>
      </c>
      <c r="M460" s="1" cm="1">
        <f t="array" aca="1" ref="M460" ca="1">INDIRECT(CONCATENATE("'",$A$450,"'!k",B460),1)</f>
        <v>0</v>
      </c>
      <c r="N460" s="1" t="str" cm="1">
        <f t="array" aca="1" ref="N460" ca="1">INDIRECT(CONCATENATE("'",$A$450,"'!l",B460),1)</f>
        <v>Цымбалюк А.Е.</v>
      </c>
      <c r="O460" s="1" cm="1">
        <f t="array" aca="1" ref="O460" ca="1">INDIRECT(CONCATENATE("'",$A$450,"'!m",B460),1)</f>
        <v>3313</v>
      </c>
      <c r="P460" s="1" t="str" cm="1">
        <f t="array" aca="1" ref="P460" ca="1">INDIRECT(CONCATENATE("'",$A$450,"'!n",B460),1)</f>
        <v>уст.</v>
      </c>
      <c r="Q460" s="1" cm="1">
        <f t="array" aca="1" ref="Q460" ca="1">INDIRECT(CONCATENATE("'",$A$450,"'!o",B460),1)</f>
        <v>0</v>
      </c>
      <c r="R460" s="1" cm="1">
        <f t="array" aca="1" ref="R460" ca="1">INDIRECT(CONCATENATE("'",$A$450,"'!p",B460),1)</f>
        <v>0</v>
      </c>
      <c r="S460" s="1">
        <f t="shared" ca="1" si="38"/>
        <v>0</v>
      </c>
      <c r="T460" s="1" t="str" cm="1">
        <f t="array" aca="1" ref="T460" ca="1">INDIRECT(CONCATENATE("'",$A$450,"'!q",B460),1)</f>
        <v>Цымбалюк А.Е.</v>
      </c>
      <c r="U460" s="1" cm="1">
        <f t="array" aca="1" ref="U460" ca="1">INDIRECT(CONCATENATE("'",$A$450,"'!r",B460),1)</f>
        <v>0</v>
      </c>
      <c r="V460" s="1" cm="1">
        <f t="array" aca="1" ref="V460" ca="1">INDIRECT(CONCATENATE("'",$A$450,"'!s",B460),1)</f>
        <v>0</v>
      </c>
      <c r="W460" s="1" cm="1">
        <f t="array" aca="1" ref="W460" ca="1">INDIRECT(CONCATENATE("'",$A$450,"'!t",B460),1)</f>
        <v>0</v>
      </c>
      <c r="X460" s="1" cm="1">
        <f t="array" aca="1" ref="X460" ca="1">INDIRECT(CONCATENATE("'",$A$450,"'!u",B460),1)</f>
        <v>0</v>
      </c>
      <c r="Y460" s="1" cm="1">
        <f t="array" aca="1" ref="Y460" ca="1">INDIRECT(CONCATENATE("'",$A$450,"'!v",B460),1)</f>
        <v>0</v>
      </c>
    </row>
    <row r="461" spans="1:25" ht="33.75" hidden="1" x14ac:dyDescent="0.25">
      <c r="B461" s="24">
        <f t="shared" si="37"/>
        <v>13</v>
      </c>
      <c r="C461" s="1" t="str" cm="1">
        <f t="array" aca="1" ref="C461" ca="1">INDIRECT(CONCATENATE("'",$A$450,"'!A",B461),1)</f>
        <v>Техническое документирование(установ.)</v>
      </c>
      <c r="D461" s="1" t="str" cm="1">
        <f t="array" aca="1" ref="D461" ca="1">INDIRECT(CONCATENATE("'",$A$450,"'!B",B461),1)</f>
        <v xml:space="preserve">09.03.01(09у) </v>
      </c>
      <c r="E461" s="1" t="str" cm="1">
        <f t="array" aca="1" ref="E461" ca="1">INDIRECT(CONCATENATE("'",$A$450,"'!c",B461),1)</f>
        <v>4094з</v>
      </c>
      <c r="F461" s="1" cm="1">
        <f t="array" aca="1" ref="F461" ca="1">INDIRECT(CONCATENATE("'",$A$450,"'!d",B461),1)</f>
        <v>3</v>
      </c>
      <c r="G461" s="1" cm="1">
        <f t="array" aca="1" ref="G461" ca="1">INDIRECT(CONCATENATE("'",$A$450,"'!e",B461),1)</f>
        <v>1</v>
      </c>
      <c r="H461" s="1" cm="1">
        <f t="array" aca="1" ref="H461" ca="1">INDIRECT(CONCATENATE("'",$A$450,"'!f",B461),1)</f>
        <v>11</v>
      </c>
      <c r="I461" s="1" cm="1">
        <f t="array" aca="1" ref="I461" ca="1">INDIRECT(CONCATENATE("'",$A$450,"'!g",B461),1)</f>
        <v>0</v>
      </c>
      <c r="J461" s="1" cm="1">
        <f t="array" aca="1" ref="J461" ca="1">INDIRECT(CONCATENATE("'",$A$450,"'!h",B461),1)</f>
        <v>0</v>
      </c>
      <c r="K461" s="1" cm="1">
        <f t="array" aca="1" ref="K461" ca="1">INDIRECT(CONCATENATE("'",$A$450,"'!i",B461),1)</f>
        <v>2</v>
      </c>
      <c r="L461" s="1" cm="1">
        <f t="array" aca="1" ref="L461" ca="1">INDIRECT(CONCATENATE("'",$A$450,"'!j",B461),1)</f>
        <v>0</v>
      </c>
      <c r="M461" s="1" cm="1">
        <f t="array" aca="1" ref="M461" ca="1">INDIRECT(CONCATENATE("'",$A$450,"'!k",B461),1)</f>
        <v>0</v>
      </c>
      <c r="N461" s="1" t="str" cm="1">
        <f t="array" aca="1" ref="N461" ca="1">INDIRECT(CONCATENATE("'",$A$450,"'!l",B461),1)</f>
        <v>Винник Л.И.</v>
      </c>
      <c r="O461" s="1" cm="1">
        <f t="array" aca="1" ref="O461" ca="1">INDIRECT(CONCATENATE("'",$A$450,"'!m",B461),1)</f>
        <v>3313</v>
      </c>
      <c r="P461" s="1" t="str" cm="1">
        <f t="array" aca="1" ref="P461" ca="1">INDIRECT(CONCATENATE("'",$A$450,"'!n",B461),1)</f>
        <v>уст.</v>
      </c>
      <c r="Q461" s="1" cm="1">
        <f t="array" aca="1" ref="Q461" ca="1">INDIRECT(CONCATENATE("'",$A$450,"'!o",B461),1)</f>
        <v>0</v>
      </c>
      <c r="R461" s="1" cm="1">
        <f t="array" aca="1" ref="R461" ca="1">INDIRECT(CONCATENATE("'",$A$450,"'!p",B461),1)</f>
        <v>0</v>
      </c>
      <c r="S461" s="1">
        <f t="shared" ca="1" si="38"/>
        <v>0</v>
      </c>
      <c r="T461" s="1" t="str" cm="1">
        <f t="array" aca="1" ref="T461" ca="1">INDIRECT(CONCATENATE("'",$A$450,"'!q",B461),1)</f>
        <v>Винник Л.И.</v>
      </c>
      <c r="U461" s="1" cm="1">
        <f t="array" aca="1" ref="U461" ca="1">INDIRECT(CONCATENATE("'",$A$450,"'!r",B461),1)</f>
        <v>0</v>
      </c>
      <c r="V461" s="1" cm="1">
        <f t="array" aca="1" ref="V461" ca="1">INDIRECT(CONCATENATE("'",$A$450,"'!s",B461),1)</f>
        <v>0</v>
      </c>
      <c r="W461" s="1" cm="1">
        <f t="array" aca="1" ref="W461" ca="1">INDIRECT(CONCATENATE("'",$A$450,"'!t",B461),1)</f>
        <v>0</v>
      </c>
      <c r="X461" s="1" cm="1">
        <f t="array" aca="1" ref="X461" ca="1">INDIRECT(CONCATENATE("'",$A$450,"'!u",B461),1)</f>
        <v>0</v>
      </c>
      <c r="Y461" s="1" cm="1">
        <f t="array" aca="1" ref="Y461" ca="1">INDIRECT(CONCATENATE("'",$A$450,"'!v",B461),1)</f>
        <v>0</v>
      </c>
    </row>
    <row r="462" spans="1:25" ht="22.5" hidden="1" x14ac:dyDescent="0.25">
      <c r="B462" s="24">
        <f t="shared" si="37"/>
        <v>14</v>
      </c>
      <c r="C462" s="1" t="str" cm="1">
        <f t="array" aca="1" ref="C462" ca="1">INDIRECT(CONCATENATE("'",$A$450,"'!A",B462),1)</f>
        <v>Системы искусственного интеллекта</v>
      </c>
      <c r="D462" s="1" t="str" cm="1">
        <f t="array" aca="1" ref="D462" ca="1">INDIRECT(CONCATENATE("'",$A$450,"'!B",B462),1)</f>
        <v xml:space="preserve">09.03.01(09у) </v>
      </c>
      <c r="E462" s="1" t="str" cm="1">
        <f t="array" aca="1" ref="E462" ca="1">INDIRECT(CONCATENATE("'",$A$450,"'!c",B462),1)</f>
        <v>4094з</v>
      </c>
      <c r="F462" s="1" cm="1">
        <f t="array" aca="1" ref="F462" ca="1">INDIRECT(CONCATENATE("'",$A$450,"'!d",B462),1)</f>
        <v>3</v>
      </c>
      <c r="G462" s="1" cm="1">
        <f t="array" aca="1" ref="G462" ca="1">INDIRECT(CONCATENATE("'",$A$450,"'!e",B462),1)</f>
        <v>1</v>
      </c>
      <c r="H462" s="1" cm="1">
        <f t="array" aca="1" ref="H462" ca="1">INDIRECT(CONCATENATE("'",$A$450,"'!f",B462),1)</f>
        <v>11</v>
      </c>
      <c r="I462" s="1" t="str" cm="1">
        <f t="array" aca="1" ref="I462" ca="1">INDIRECT(CONCATENATE("'",$A$450,"'!g",B462),1)</f>
        <v>ЭКЗ</v>
      </c>
      <c r="J462" s="1" cm="1">
        <f t="array" aca="1" ref="J462" ca="1">INDIRECT(CONCATENATE("'",$A$450,"'!h",B462),1)</f>
        <v>4</v>
      </c>
      <c r="K462" s="1" cm="1">
        <f t="array" aca="1" ref="K462" ca="1">INDIRECT(CONCATENATE("'",$A$450,"'!i",B462),1)</f>
        <v>4</v>
      </c>
      <c r="L462" s="1" cm="1">
        <f t="array" aca="1" ref="L462" ca="1">INDIRECT(CONCATENATE("'",$A$450,"'!j",B462),1)</f>
        <v>4</v>
      </c>
      <c r="M462" s="1" cm="1">
        <f t="array" aca="1" ref="M462" ca="1">INDIRECT(CONCATENATE("'",$A$450,"'!k",B462),1)</f>
        <v>4</v>
      </c>
      <c r="N462" s="1" t="str" cm="1">
        <f t="array" aca="1" ref="N462" ca="1">INDIRECT(CONCATENATE("'",$A$450,"'!l",B462),1)</f>
        <v>Михайлов Д.В.</v>
      </c>
      <c r="O462" s="1" t="str" cm="1">
        <f t="array" aca="1" ref="O462" ca="1">INDIRECT(CONCATENATE("'",$A$450,"'!m",B462),1)</f>
        <v>2407, 3305</v>
      </c>
      <c r="P462" s="1" t="str" cm="1">
        <f t="array" aca="1" ref="P462" ca="1">INDIRECT(CONCATENATE("'",$A$450,"'!n",B462),1)</f>
        <v>1п</v>
      </c>
      <c r="Q462" s="1" cm="1">
        <f t="array" aca="1" ref="Q462" ca="1">INDIRECT(CONCATENATE("'",$A$450,"'!o",B462),1)</f>
        <v>6.6</v>
      </c>
      <c r="R462" s="1" cm="1">
        <f t="array" aca="1" ref="R462" ca="1">INDIRECT(CONCATENATE("'",$A$450,"'!p",B462),1)</f>
        <v>4.4000000000000004</v>
      </c>
      <c r="S462" s="1">
        <f t="shared" ca="1" si="38"/>
        <v>0</v>
      </c>
      <c r="T462" s="1" t="str" cm="1">
        <f t="array" aca="1" ref="T462" ca="1">INDIRECT(CONCATENATE("'",$A$450,"'!q",B462),1)</f>
        <v>Михайлов Д.В.</v>
      </c>
      <c r="U462" s="1" cm="1">
        <f t="array" aca="1" ref="U462" ca="1">INDIRECT(CONCATENATE("'",$A$450,"'!r",B462),1)</f>
        <v>23</v>
      </c>
      <c r="V462" s="1" cm="1">
        <f t="array" aca="1" ref="V462" ca="1">INDIRECT(CONCATENATE("'",$A$450,"'!s",B462),1)</f>
        <v>0</v>
      </c>
      <c r="W462" s="1" cm="1">
        <f t="array" aca="1" ref="W462" ca="1">INDIRECT(CONCATENATE("'",$A$450,"'!t",B462),1)</f>
        <v>0</v>
      </c>
      <c r="X462" s="1" cm="1">
        <f t="array" aca="1" ref="X462" ca="1">INDIRECT(CONCATENATE("'",$A$450,"'!u",B462),1)</f>
        <v>0</v>
      </c>
      <c r="Y462" s="1" cm="1">
        <f t="array" aca="1" ref="Y462" ca="1">INDIRECT(CONCATENATE("'",$A$450,"'!v",B462),1)</f>
        <v>0</v>
      </c>
    </row>
    <row r="463" spans="1:25" ht="33.75" hidden="1" x14ac:dyDescent="0.25">
      <c r="B463" s="24">
        <f t="shared" si="37"/>
        <v>15</v>
      </c>
      <c r="C463" s="1" t="str" cm="1">
        <f t="array" aca="1" ref="C463" ca="1">INDIRECT(CONCATENATE("'",$A$450,"'!A",B463),1)</f>
        <v>Функциональное и логическое программирование</v>
      </c>
      <c r="D463" s="1" t="str" cm="1">
        <f t="array" aca="1" ref="D463" ca="1">INDIRECT(CONCATENATE("'",$A$450,"'!B",B463),1)</f>
        <v xml:space="preserve">09.03.01(09у) </v>
      </c>
      <c r="E463" s="1" t="str" cm="1">
        <f t="array" aca="1" ref="E463" ca="1">INDIRECT(CONCATENATE("'",$A$450,"'!c",B463),1)</f>
        <v>4094з</v>
      </c>
      <c r="F463" s="1" cm="1">
        <f t="array" aca="1" ref="F463" ca="1">INDIRECT(CONCATENATE("'",$A$450,"'!d",B463),1)</f>
        <v>3</v>
      </c>
      <c r="G463" s="1" cm="1">
        <f t="array" aca="1" ref="G463" ca="1">INDIRECT(CONCATENATE("'",$A$450,"'!e",B463),1)</f>
        <v>1</v>
      </c>
      <c r="H463" s="1" cm="1">
        <f t="array" aca="1" ref="H463" ca="1">INDIRECT(CONCATENATE("'",$A$450,"'!f",B463),1)</f>
        <v>11</v>
      </c>
      <c r="I463" s="1" t="str" cm="1">
        <f t="array" aca="1" ref="I463" ca="1">INDIRECT(CONCATENATE("'",$A$450,"'!g",B463),1)</f>
        <v>ЗАЧ</v>
      </c>
      <c r="J463" s="1" cm="1">
        <f t="array" aca="1" ref="J463" ca="1">INDIRECT(CONCATENATE("'",$A$450,"'!h",B463),1)</f>
        <v>3</v>
      </c>
      <c r="K463" s="1" cm="1">
        <f t="array" aca="1" ref="K463" ca="1">INDIRECT(CONCATENATE("'",$A$450,"'!i",B463),1)</f>
        <v>4</v>
      </c>
      <c r="L463" s="1" cm="1">
        <f t="array" aca="1" ref="L463" ca="1">INDIRECT(CONCATENATE("'",$A$450,"'!j",B463),1)</f>
        <v>4</v>
      </c>
      <c r="M463" s="1" cm="1">
        <f t="array" aca="1" ref="M463" ca="1">INDIRECT(CONCATENATE("'",$A$450,"'!k",B463),1)</f>
        <v>4</v>
      </c>
      <c r="N463" s="1" t="str" cm="1">
        <f t="array" aca="1" ref="N463" ca="1">INDIRECT(CONCATENATE("'",$A$450,"'!l",B463),1)</f>
        <v>Михайлов Д.В.</v>
      </c>
      <c r="O463" s="1" t="str" cm="1">
        <f t="array" aca="1" ref="O463" ca="1">INDIRECT(CONCATENATE("'",$A$450,"'!m",B463),1)</f>
        <v>2407, 3305</v>
      </c>
      <c r="P463" s="1" t="str" cm="1">
        <f t="array" aca="1" ref="P463" ca="1">INDIRECT(CONCATENATE("'",$A$450,"'!n",B463),1)</f>
        <v>1п</v>
      </c>
      <c r="Q463" s="1" cm="1">
        <f t="array" aca="1" ref="Q463" ca="1">INDIRECT(CONCATENATE("'",$A$450,"'!o",B463),1)</f>
        <v>5</v>
      </c>
      <c r="R463" s="1" cm="1">
        <f t="array" aca="1" ref="R463" ca="1">INDIRECT(CONCATENATE("'",$A$450,"'!p",B463),1)</f>
        <v>0</v>
      </c>
      <c r="S463" s="1">
        <f t="shared" ca="1" si="38"/>
        <v>0</v>
      </c>
      <c r="T463" s="1" t="str" cm="1">
        <f t="array" aca="1" ref="T463" ca="1">INDIRECT(CONCATENATE("'",$A$450,"'!q",B463),1)</f>
        <v>Михайлов Д.В.</v>
      </c>
      <c r="U463" s="1" cm="1">
        <f t="array" aca="1" ref="U463" ca="1">INDIRECT(CONCATENATE("'",$A$450,"'!r",B463),1)</f>
        <v>17</v>
      </c>
      <c r="V463" s="1" cm="1">
        <f t="array" aca="1" ref="V463" ca="1">INDIRECT(CONCATENATE("'",$A$450,"'!s",B463),1)</f>
        <v>0</v>
      </c>
      <c r="W463" s="1" cm="1">
        <f t="array" aca="1" ref="W463" ca="1">INDIRECT(CONCATENATE("'",$A$450,"'!t",B463),1)</f>
        <v>0</v>
      </c>
      <c r="X463" s="1" cm="1">
        <f t="array" aca="1" ref="X463" ca="1">INDIRECT(CONCATENATE("'",$A$450,"'!u",B463),1)</f>
        <v>0</v>
      </c>
      <c r="Y463" s="1" cm="1">
        <f t="array" aca="1" ref="Y463" ca="1">INDIRECT(CONCATENATE("'",$A$450,"'!v",B463),1)</f>
        <v>0</v>
      </c>
    </row>
    <row r="464" spans="1:25" ht="33.75" hidden="1" x14ac:dyDescent="0.25">
      <c r="B464" s="24">
        <f t="shared" si="37"/>
        <v>16</v>
      </c>
      <c r="C464" s="1" t="str" cm="1">
        <f t="array" aca="1" ref="C464" ca="1">INDIRECT(CONCATENATE("'",$A$450,"'!A",B464),1)</f>
        <v>Внедрение и поддержка компьютерных систем(установ.)</v>
      </c>
      <c r="D464" s="1" t="str" cm="1">
        <f t="array" aca="1" ref="D464" ca="1">INDIRECT(CONCATENATE("'",$A$450,"'!B",B464),1)</f>
        <v xml:space="preserve">09.03.01(09у) </v>
      </c>
      <c r="E464" s="1" t="str" cm="1">
        <f t="array" aca="1" ref="E464" ca="1">INDIRECT(CONCATENATE("'",$A$450,"'!c",B464),1)</f>
        <v>4094з</v>
      </c>
      <c r="F464" s="1" cm="1">
        <f t="array" aca="1" ref="F464" ca="1">INDIRECT(CONCATENATE("'",$A$450,"'!d",B464),1)</f>
        <v>3</v>
      </c>
      <c r="G464" s="1" cm="1">
        <f t="array" aca="1" ref="G464" ca="1">INDIRECT(CONCATENATE("'",$A$450,"'!e",B464),1)</f>
        <v>1</v>
      </c>
      <c r="H464" s="1" cm="1">
        <f t="array" aca="1" ref="H464" ca="1">INDIRECT(CONCATENATE("'",$A$450,"'!f",B464),1)</f>
        <v>11</v>
      </c>
      <c r="I464" s="1" cm="1">
        <f t="array" aca="1" ref="I464" ca="1">INDIRECT(CONCATENATE("'",$A$450,"'!g",B464),1)</f>
        <v>0</v>
      </c>
      <c r="J464" s="1" cm="1">
        <f t="array" aca="1" ref="J464" ca="1">INDIRECT(CONCATENATE("'",$A$450,"'!h",B464),1)</f>
        <v>0</v>
      </c>
      <c r="K464" s="1" cm="1">
        <f t="array" aca="1" ref="K464" ca="1">INDIRECT(CONCATENATE("'",$A$450,"'!i",B464),1)</f>
        <v>2</v>
      </c>
      <c r="L464" s="1" cm="1">
        <f t="array" aca="1" ref="L464" ca="1">INDIRECT(CONCATENATE("'",$A$450,"'!j",B464),1)</f>
        <v>0</v>
      </c>
      <c r="M464" s="1" cm="1">
        <f t="array" aca="1" ref="M464" ca="1">INDIRECT(CONCATENATE("'",$A$450,"'!k",B464),1)</f>
        <v>0</v>
      </c>
      <c r="N464" s="1" t="str" cm="1">
        <f t="array" aca="1" ref="N464" ca="1">INDIRECT(CONCATENATE("'",$A$450,"'!l",B464),1)</f>
        <v>Цымбалюк А.Е.</v>
      </c>
      <c r="O464" s="1" cm="1">
        <f t="array" aca="1" ref="O464" ca="1">INDIRECT(CONCATENATE("'",$A$450,"'!m",B464),1)</f>
        <v>3313</v>
      </c>
      <c r="P464" s="1" t="str" cm="1">
        <f t="array" aca="1" ref="P464" ca="1">INDIRECT(CONCATENATE("'",$A$450,"'!n",B464),1)</f>
        <v>уст.</v>
      </c>
      <c r="Q464" s="1" cm="1">
        <f t="array" aca="1" ref="Q464" ca="1">INDIRECT(CONCATENATE("'",$A$450,"'!o",B464),1)</f>
        <v>0</v>
      </c>
      <c r="R464" s="1" cm="1">
        <f t="array" aca="1" ref="R464" ca="1">INDIRECT(CONCATENATE("'",$A$450,"'!p",B464),1)</f>
        <v>0</v>
      </c>
      <c r="S464" s="1">
        <f t="shared" ca="1" si="38"/>
        <v>0</v>
      </c>
      <c r="T464" s="1" t="str" cm="1">
        <f t="array" aca="1" ref="T464" ca="1">INDIRECT(CONCATENATE("'",$A$450,"'!q",B464),1)</f>
        <v>Цымбалюк А.Е.</v>
      </c>
      <c r="U464" s="1" cm="1">
        <f t="array" aca="1" ref="U464" ca="1">INDIRECT(CONCATENATE("'",$A$450,"'!r",B464),1)</f>
        <v>0</v>
      </c>
      <c r="V464" s="1" cm="1">
        <f t="array" aca="1" ref="V464" ca="1">INDIRECT(CONCATENATE("'",$A$450,"'!s",B464),1)</f>
        <v>0</v>
      </c>
      <c r="W464" s="1" cm="1">
        <f t="array" aca="1" ref="W464" ca="1">INDIRECT(CONCATENATE("'",$A$450,"'!t",B464),1)</f>
        <v>0</v>
      </c>
      <c r="X464" s="1" cm="1">
        <f t="array" aca="1" ref="X464" ca="1">INDIRECT(CONCATENATE("'",$A$450,"'!u",B464),1)</f>
        <v>0</v>
      </c>
      <c r="Y464" s="1" cm="1">
        <f t="array" aca="1" ref="Y464" ca="1">INDIRECT(CONCATENATE("'",$A$450,"'!v",B464),1)</f>
        <v>0</v>
      </c>
    </row>
    <row r="465" spans="2:25" ht="33.75" hidden="1" x14ac:dyDescent="0.25">
      <c r="B465" s="24">
        <f t="shared" si="37"/>
        <v>17</v>
      </c>
      <c r="C465" s="1" t="str" cm="1">
        <f t="array" aca="1" ref="C465" ca="1">INDIRECT(CONCATENATE("'",$A$450,"'!A",B465),1)</f>
        <v>Распознавание образов и обработка изображений(установ.)</v>
      </c>
      <c r="D465" s="1" t="str" cm="1">
        <f t="array" aca="1" ref="D465" ca="1">INDIRECT(CONCATENATE("'",$A$450,"'!B",B465),1)</f>
        <v xml:space="preserve">09.03.01(09у) </v>
      </c>
      <c r="E465" s="1" t="str" cm="1">
        <f t="array" aca="1" ref="E465" ca="1">INDIRECT(CONCATENATE("'",$A$450,"'!c",B465),1)</f>
        <v>4094з</v>
      </c>
      <c r="F465" s="1" cm="1">
        <f t="array" aca="1" ref="F465" ca="1">INDIRECT(CONCATENATE("'",$A$450,"'!d",B465),1)</f>
        <v>3</v>
      </c>
      <c r="G465" s="1" cm="1">
        <f t="array" aca="1" ref="G465" ca="1">INDIRECT(CONCATENATE("'",$A$450,"'!e",B465),1)</f>
        <v>1</v>
      </c>
      <c r="H465" s="1" cm="1">
        <f t="array" aca="1" ref="H465" ca="1">INDIRECT(CONCATENATE("'",$A$450,"'!f",B465),1)</f>
        <v>11</v>
      </c>
      <c r="I465" s="1" cm="1">
        <f t="array" aca="1" ref="I465" ca="1">INDIRECT(CONCATENATE("'",$A$450,"'!g",B465),1)</f>
        <v>0</v>
      </c>
      <c r="J465" s="1" cm="1">
        <f t="array" aca="1" ref="J465" ca="1">INDIRECT(CONCATENATE("'",$A$450,"'!h",B465),1)</f>
        <v>0</v>
      </c>
      <c r="K465" s="1" cm="1">
        <f t="array" aca="1" ref="K465" ca="1">INDIRECT(CONCATENATE("'",$A$450,"'!i",B465),1)</f>
        <v>2</v>
      </c>
      <c r="L465" s="1" cm="1">
        <f t="array" aca="1" ref="L465" ca="1">INDIRECT(CONCATENATE("'",$A$450,"'!j",B465),1)</f>
        <v>0</v>
      </c>
      <c r="M465" s="1" cm="1">
        <f t="array" aca="1" ref="M465" ca="1">INDIRECT(CONCATENATE("'",$A$450,"'!k",B465),1)</f>
        <v>0</v>
      </c>
      <c r="N465" s="1" t="str" cm="1">
        <f t="array" aca="1" ref="N465" ca="1">INDIRECT(CONCATENATE("'",$A$450,"'!l",B465),1)</f>
        <v>Корнышев Н.П.</v>
      </c>
      <c r="O465" s="1" cm="1">
        <f t="array" aca="1" ref="O465" ca="1">INDIRECT(CONCATENATE("'",$A$450,"'!m",B465),1)</f>
        <v>3313</v>
      </c>
      <c r="P465" s="1" t="str" cm="1">
        <f t="array" aca="1" ref="P465" ca="1">INDIRECT(CONCATENATE("'",$A$450,"'!n",B465),1)</f>
        <v>уст.</v>
      </c>
      <c r="Q465" s="1" cm="1">
        <f t="array" aca="1" ref="Q465" ca="1">INDIRECT(CONCATENATE("'",$A$450,"'!o",B465),1)</f>
        <v>0</v>
      </c>
      <c r="R465" s="1" cm="1">
        <f t="array" aca="1" ref="R465" ca="1">INDIRECT(CONCATENATE("'",$A$450,"'!p",B465),1)</f>
        <v>0</v>
      </c>
      <c r="S465" s="1">
        <f t="shared" ca="1" si="38"/>
        <v>0</v>
      </c>
      <c r="T465" s="1" t="str" cm="1">
        <f t="array" aca="1" ref="T465" ca="1">INDIRECT(CONCATENATE("'",$A$450,"'!q",B465),1)</f>
        <v>Корнышев Н.П.</v>
      </c>
      <c r="U465" s="1" cm="1">
        <f t="array" aca="1" ref="U465" ca="1">INDIRECT(CONCATENATE("'",$A$450,"'!r",B465),1)</f>
        <v>0</v>
      </c>
      <c r="V465" s="1" cm="1">
        <f t="array" aca="1" ref="V465" ca="1">INDIRECT(CONCATENATE("'",$A$450,"'!s",B465),1)</f>
        <v>0</v>
      </c>
      <c r="W465" s="1" cm="1">
        <f t="array" aca="1" ref="W465" ca="1">INDIRECT(CONCATENATE("'",$A$450,"'!t",B465),1)</f>
        <v>0</v>
      </c>
      <c r="X465" s="1" cm="1">
        <f t="array" aca="1" ref="X465" ca="1">INDIRECT(CONCATENATE("'",$A$450,"'!u",B465),1)</f>
        <v>0</v>
      </c>
      <c r="Y465" s="1" cm="1">
        <f t="array" aca="1" ref="Y465" ca="1">INDIRECT(CONCATENATE("'",$A$450,"'!v",B465),1)</f>
        <v>0</v>
      </c>
    </row>
    <row r="466" spans="2:25" hidden="1" x14ac:dyDescent="0.25">
      <c r="B466" s="24">
        <f t="shared" si="37"/>
        <v>18</v>
      </c>
      <c r="C466" s="1" cm="1">
        <f t="array" aca="1" ref="C466" ca="1">INDIRECT(CONCATENATE("'",$A$450,"'!A",B466),1)</f>
        <v>0</v>
      </c>
      <c r="D466" s="1" cm="1">
        <f t="array" aca="1" ref="D466" ca="1">INDIRECT(CONCATENATE("'",$A$450,"'!B",B466),1)</f>
        <v>0</v>
      </c>
      <c r="E466" s="1" cm="1">
        <f t="array" aca="1" ref="E466" ca="1">INDIRECT(CONCATENATE("'",$A$450,"'!c",B466),1)</f>
        <v>0</v>
      </c>
      <c r="F466" s="1" cm="1">
        <f t="array" aca="1" ref="F466" ca="1">INDIRECT(CONCATENATE("'",$A$450,"'!d",B466),1)</f>
        <v>0</v>
      </c>
      <c r="G466" s="1" cm="1">
        <f t="array" aca="1" ref="G466" ca="1">INDIRECT(CONCATENATE("'",$A$450,"'!e",B466),1)</f>
        <v>0</v>
      </c>
      <c r="H466" s="1" cm="1">
        <f t="array" aca="1" ref="H466" ca="1">INDIRECT(CONCATENATE("'",$A$450,"'!f",B466),1)</f>
        <v>0</v>
      </c>
      <c r="I466" s="1" cm="1">
        <f t="array" aca="1" ref="I466" ca="1">INDIRECT(CONCATENATE("'",$A$450,"'!g",B466),1)</f>
        <v>0</v>
      </c>
      <c r="J466" s="1" cm="1">
        <f t="array" aca="1" ref="J466" ca="1">INDIRECT(CONCATENATE("'",$A$450,"'!h",B466),1)</f>
        <v>0</v>
      </c>
      <c r="K466" s="1" cm="1">
        <f t="array" aca="1" ref="K466" ca="1">INDIRECT(CONCATENATE("'",$A$450,"'!i",B466),1)</f>
        <v>0</v>
      </c>
      <c r="L466" s="1" cm="1">
        <f t="array" aca="1" ref="L466" ca="1">INDIRECT(CONCATENATE("'",$A$450,"'!j",B466),1)</f>
        <v>0</v>
      </c>
      <c r="M466" s="1" cm="1">
        <f t="array" aca="1" ref="M466" ca="1">INDIRECT(CONCATENATE("'",$A$450,"'!k",B466),1)</f>
        <v>0</v>
      </c>
      <c r="N466" s="1" cm="1">
        <f t="array" aca="1" ref="N466" ca="1">INDIRECT(CONCATENATE("'",$A$450,"'!l",B466),1)</f>
        <v>0</v>
      </c>
      <c r="O466" s="1" cm="1">
        <f t="array" aca="1" ref="O466" ca="1">INDIRECT(CONCATENATE("'",$A$450,"'!m",B466),1)</f>
        <v>0</v>
      </c>
      <c r="P466" s="1" cm="1">
        <f t="array" aca="1" ref="P466" ca="1">INDIRECT(CONCATENATE("'",$A$450,"'!n",B466),1)</f>
        <v>0</v>
      </c>
      <c r="Q466" s="1" cm="1">
        <f t="array" aca="1" ref="Q466" ca="1">INDIRECT(CONCATENATE("'",$A$450,"'!o",B466),1)</f>
        <v>0</v>
      </c>
      <c r="R466" s="1" cm="1">
        <f t="array" aca="1" ref="R466" ca="1">INDIRECT(CONCATENATE("'",$A$450,"'!p",B466),1)</f>
        <v>0</v>
      </c>
      <c r="S466" s="1">
        <f t="shared" ca="1" si="38"/>
        <v>0</v>
      </c>
      <c r="T466" s="1" cm="1">
        <f t="array" aca="1" ref="T466" ca="1">INDIRECT(CONCATENATE("'",$A$450,"'!q",B466),1)</f>
        <v>0</v>
      </c>
      <c r="U466" s="1" cm="1">
        <f t="array" aca="1" ref="U466" ca="1">INDIRECT(CONCATENATE("'",$A$450,"'!r",B466),1)</f>
        <v>0</v>
      </c>
      <c r="V466" s="1" cm="1">
        <f t="array" aca="1" ref="V466" ca="1">INDIRECT(CONCATENATE("'",$A$450,"'!s",B466),1)</f>
        <v>0</v>
      </c>
      <c r="W466" s="1" cm="1">
        <f t="array" aca="1" ref="W466" ca="1">INDIRECT(CONCATENATE("'",$A$450,"'!t",B466),1)</f>
        <v>0</v>
      </c>
      <c r="X466" s="1" cm="1">
        <f t="array" aca="1" ref="X466" ca="1">INDIRECT(CONCATENATE("'",$A$450,"'!u",B466),1)</f>
        <v>0</v>
      </c>
      <c r="Y466" s="1" cm="1">
        <f t="array" aca="1" ref="Y466" ca="1">INDIRECT(CONCATENATE("'",$A$450,"'!v",B466),1)</f>
        <v>0</v>
      </c>
    </row>
    <row r="467" spans="2:25" ht="33.75" hidden="1" x14ac:dyDescent="0.25">
      <c r="B467" s="24">
        <f t="shared" si="37"/>
        <v>19</v>
      </c>
      <c r="C467" s="1" t="str" cm="1">
        <f t="array" aca="1" ref="C467" ca="1">INDIRECT(CONCATENATE("'",$A$450,"'!A",B467),1)</f>
        <v>Проектирование информационных систем</v>
      </c>
      <c r="D467" s="1" t="str" cm="1">
        <f t="array" aca="1" ref="D467" ca="1">INDIRECT(CONCATENATE("'",$A$450,"'!B",B467),1)</f>
        <v xml:space="preserve">09.03.01(09у) </v>
      </c>
      <c r="E467" s="1" t="str" cm="1">
        <f t="array" aca="1" ref="E467" ca="1">INDIRECT(CONCATENATE("'",$A$450,"'!c",B467),1)</f>
        <v>4094з</v>
      </c>
      <c r="F467" s="1" cm="1">
        <f t="array" aca="1" ref="F467" ca="1">INDIRECT(CONCATENATE("'",$A$450,"'!d",B467),1)</f>
        <v>4</v>
      </c>
      <c r="G467" s="1" cm="1">
        <f t="array" aca="1" ref="G467" ca="1">INDIRECT(CONCATENATE("'",$A$450,"'!e",B467),1)</f>
        <v>1</v>
      </c>
      <c r="H467" s="1" cm="1">
        <f t="array" aca="1" ref="H467" ca="1">INDIRECT(CONCATENATE("'",$A$450,"'!f",B467),1)</f>
        <v>11</v>
      </c>
      <c r="I467" s="1" t="str" cm="1">
        <f t="array" aca="1" ref="I467" ca="1">INDIRECT(CONCATENATE("'",$A$450,"'!g",B467),1)</f>
        <v>ЭКЗ</v>
      </c>
      <c r="J467" s="1" cm="1">
        <f t="array" aca="1" ref="J467" ca="1">INDIRECT(CONCATENATE("'",$A$450,"'!h",B467),1)</f>
        <v>5</v>
      </c>
      <c r="K467" s="1" cm="1">
        <f t="array" aca="1" ref="K467" ca="1">INDIRECT(CONCATENATE("'",$A$450,"'!i",B467),1)</f>
        <v>4</v>
      </c>
      <c r="L467" s="1" cm="1">
        <f t="array" aca="1" ref="L467" ca="1">INDIRECT(CONCATENATE("'",$A$450,"'!j",B467),1)</f>
        <v>0</v>
      </c>
      <c r="M467" s="1" cm="1">
        <f t="array" aca="1" ref="M467" ca="1">INDIRECT(CONCATENATE("'",$A$450,"'!k",B467),1)</f>
        <v>12</v>
      </c>
      <c r="N467" s="1" t="str" cm="1">
        <f t="array" aca="1" ref="N467" ca="1">INDIRECT(CONCATENATE("'",$A$450,"'!l",B467),1)</f>
        <v>Цымбалюк Л.Н.</v>
      </c>
      <c r="O467" s="1" t="str" cm="1">
        <f t="array" aca="1" ref="O467" ca="1">INDIRECT(CONCATENATE("'",$A$450,"'!m",B467),1)</f>
        <v>2407, 3305</v>
      </c>
      <c r="P467" s="1" t="str" cm="1">
        <f t="array" aca="1" ref="P467" ca="1">INDIRECT(CONCATENATE("'",$A$450,"'!n",B467),1)</f>
        <v>1п</v>
      </c>
      <c r="Q467" s="1" cm="1">
        <f t="array" aca="1" ref="Q467" ca="1">INDIRECT(CONCATENATE("'",$A$450,"'!o",B467),1)</f>
        <v>8.25</v>
      </c>
      <c r="R467" s="1" cm="1">
        <f t="array" aca="1" ref="R467" ca="1">INDIRECT(CONCATENATE("'",$A$450,"'!p",B467),1)</f>
        <v>5.5</v>
      </c>
      <c r="S467" s="1">
        <f t="shared" ca="1" si="38"/>
        <v>0</v>
      </c>
      <c r="T467" s="1" t="str" cm="1">
        <f t="array" aca="1" ref="T467" ca="1">INDIRECT(CONCATENATE("'",$A$450,"'!q",B467),1)</f>
        <v>Цымбалюк Л.Н.</v>
      </c>
      <c r="U467" s="1" cm="1">
        <f t="array" aca="1" ref="U467" ca="1">INDIRECT(CONCATENATE("'",$A$450,"'!r",B467),1)</f>
        <v>29.75</v>
      </c>
      <c r="V467" s="1" cm="1">
        <f t="array" aca="1" ref="V467" ca="1">INDIRECT(CONCATENATE("'",$A$450,"'!s",B467),1)</f>
        <v>0</v>
      </c>
      <c r="W467" s="1" cm="1">
        <f t="array" aca="1" ref="W467" ca="1">INDIRECT(CONCATENATE("'",$A$450,"'!t",B467),1)</f>
        <v>0</v>
      </c>
      <c r="X467" s="1" cm="1">
        <f t="array" aca="1" ref="X467" ca="1">INDIRECT(CONCATENATE("'",$A$450,"'!u",B467),1)</f>
        <v>0</v>
      </c>
      <c r="Y467" s="1" cm="1">
        <f t="array" aca="1" ref="Y467" ca="1">INDIRECT(CONCATENATE("'",$A$450,"'!v",B467),1)</f>
        <v>0</v>
      </c>
    </row>
    <row r="468" spans="2:25" ht="33.75" hidden="1" x14ac:dyDescent="0.25">
      <c r="B468" s="24">
        <f t="shared" si="37"/>
        <v>20</v>
      </c>
      <c r="C468" s="1" t="str" cm="1">
        <f t="array" aca="1" ref="C468" ca="1">INDIRECT(CONCATENATE("'",$A$450,"'!A",B468),1)</f>
        <v>Проектирование информационных систем</v>
      </c>
      <c r="D468" s="1" t="str" cm="1">
        <f t="array" aca="1" ref="D468" ca="1">INDIRECT(CONCATENATE("'",$A$450,"'!B",B468),1)</f>
        <v xml:space="preserve">09.03.01(09у) </v>
      </c>
      <c r="E468" s="1" t="str" cm="1">
        <f t="array" aca="1" ref="E468" ca="1">INDIRECT(CONCATENATE("'",$A$450,"'!c",B468),1)</f>
        <v>4094з</v>
      </c>
      <c r="F468" s="1" cm="1">
        <f t="array" aca="1" ref="F468" ca="1">INDIRECT(CONCATENATE("'",$A$450,"'!d",B468),1)</f>
        <v>4</v>
      </c>
      <c r="G468" s="1" cm="1">
        <f t="array" aca="1" ref="G468" ca="1">INDIRECT(CONCATENATE("'",$A$450,"'!e",B468),1)</f>
        <v>1</v>
      </c>
      <c r="H468" s="1" cm="1">
        <f t="array" aca="1" ref="H468" ca="1">INDIRECT(CONCATENATE("'",$A$450,"'!f",B468),1)</f>
        <v>11</v>
      </c>
      <c r="I468" s="1" t="str" cm="1">
        <f t="array" aca="1" ref="I468" ca="1">INDIRECT(CONCATENATE("'",$A$450,"'!g",B468),1)</f>
        <v>КП</v>
      </c>
      <c r="J468" s="1" cm="1">
        <f t="array" aca="1" ref="J468" ca="1">INDIRECT(CONCATENATE("'",$A$450,"'!h",B468),1)</f>
        <v>1</v>
      </c>
      <c r="K468" s="1" cm="1">
        <f t="array" aca="1" ref="K468" ca="1">INDIRECT(CONCATENATE("'",$A$450,"'!i",B468),1)</f>
        <v>0</v>
      </c>
      <c r="L468" s="1" cm="1">
        <f t="array" aca="1" ref="L468" ca="1">INDIRECT(CONCATENATE("'",$A$450,"'!j",B468),1)</f>
        <v>0</v>
      </c>
      <c r="M468" s="1" cm="1">
        <f t="array" aca="1" ref="M468" ca="1">INDIRECT(CONCATENATE("'",$A$450,"'!k",B468),1)</f>
        <v>0</v>
      </c>
      <c r="N468" s="1" t="str" cm="1">
        <f t="array" aca="1" ref="N468" ca="1">INDIRECT(CONCATENATE("'",$A$450,"'!l",B468),1)</f>
        <v>Цымбалюк Л.Н.</v>
      </c>
      <c r="O468" s="1" t="str" cm="1">
        <f t="array" aca="1" ref="O468" ca="1">INDIRECT(CONCATENATE("'",$A$450,"'!m",B468),1)</f>
        <v>2407, 3305</v>
      </c>
      <c r="P468" s="1" t="str" cm="1">
        <f t="array" aca="1" ref="P468" ca="1">INDIRECT(CONCATENATE("'",$A$450,"'!n",B468),1)</f>
        <v>1п</v>
      </c>
      <c r="Q468" s="1" cm="1">
        <f t="array" aca="1" ref="Q468" ca="1">INDIRECT(CONCATENATE("'",$A$450,"'!o",B468),1)</f>
        <v>16.5</v>
      </c>
      <c r="R468" s="1" cm="1">
        <f t="array" aca="1" ref="R468" ca="1">INDIRECT(CONCATENATE("'",$A$450,"'!p",B468),1)</f>
        <v>0</v>
      </c>
      <c r="S468" s="1">
        <f t="shared" ca="1" si="38"/>
        <v>0</v>
      </c>
      <c r="T468" s="1" t="str" cm="1">
        <f t="array" aca="1" ref="T468" ca="1">INDIRECT(CONCATENATE("'",$A$450,"'!q",B468),1)</f>
        <v>Цымбалюк Л.Н.</v>
      </c>
      <c r="U468" s="1" cm="1">
        <f t="array" aca="1" ref="U468" ca="1">INDIRECT(CONCATENATE("'",$A$450,"'!r",B468),1)</f>
        <v>16.5</v>
      </c>
      <c r="V468" s="1" cm="1">
        <f t="array" aca="1" ref="V468" ca="1">INDIRECT(CONCATENATE("'",$A$450,"'!s",B468),1)</f>
        <v>0</v>
      </c>
      <c r="W468" s="1" cm="1">
        <f t="array" aca="1" ref="W468" ca="1">INDIRECT(CONCATENATE("'",$A$450,"'!t",B468),1)</f>
        <v>0</v>
      </c>
      <c r="X468" s="1" cm="1">
        <f t="array" aca="1" ref="X468" ca="1">INDIRECT(CONCATENATE("'",$A$450,"'!u",B468),1)</f>
        <v>0</v>
      </c>
      <c r="Y468" s="1" cm="1">
        <f t="array" aca="1" ref="Y468" ca="1">INDIRECT(CONCATENATE("'",$A$450,"'!v",B468),1)</f>
        <v>0</v>
      </c>
    </row>
    <row r="469" spans="2:25" ht="33.75" hidden="1" x14ac:dyDescent="0.25">
      <c r="B469" s="24">
        <f t="shared" si="37"/>
        <v>21</v>
      </c>
      <c r="C469" s="1" t="str" cm="1">
        <f t="array" aca="1" ref="C469" ca="1">INDIRECT(CONCATENATE("'",$A$450,"'!A",B469),1)</f>
        <v>Интеллектуальный анализ данных</v>
      </c>
      <c r="D469" s="1" t="str" cm="1">
        <f t="array" aca="1" ref="D469" ca="1">INDIRECT(CONCATENATE("'",$A$450,"'!B",B469),1)</f>
        <v xml:space="preserve">09.03.01(09у) </v>
      </c>
      <c r="E469" s="1" t="str" cm="1">
        <f t="array" aca="1" ref="E469" ca="1">INDIRECT(CONCATENATE("'",$A$450,"'!c",B469),1)</f>
        <v>4094з</v>
      </c>
      <c r="F469" s="1" cm="1">
        <f t="array" aca="1" ref="F469" ca="1">INDIRECT(CONCATENATE("'",$A$450,"'!d",B469),1)</f>
        <v>4</v>
      </c>
      <c r="G469" s="1" cm="1">
        <f t="array" aca="1" ref="G469" ca="1">INDIRECT(CONCATENATE("'",$A$450,"'!e",B469),1)</f>
        <v>1</v>
      </c>
      <c r="H469" s="1" cm="1">
        <f t="array" aca="1" ref="H469" ca="1">INDIRECT(CONCATENATE("'",$A$450,"'!f",B469),1)</f>
        <v>11</v>
      </c>
      <c r="I469" s="1" t="str" cm="1">
        <f t="array" aca="1" ref="I469" ca="1">INDIRECT(CONCATENATE("'",$A$450,"'!g",B469),1)</f>
        <v>ЗАЧ</v>
      </c>
      <c r="J469" s="1" cm="1">
        <f t="array" aca="1" ref="J469" ca="1">INDIRECT(CONCATENATE("'",$A$450,"'!h",B469),1)</f>
        <v>3</v>
      </c>
      <c r="K469" s="1" cm="1">
        <f t="array" aca="1" ref="K469" ca="1">INDIRECT(CONCATENATE("'",$A$450,"'!i",B469),1)</f>
        <v>8</v>
      </c>
      <c r="L469" s="1" cm="1">
        <f t="array" aca="1" ref="L469" ca="1">INDIRECT(CONCATENATE("'",$A$450,"'!j",B469),1)</f>
        <v>4</v>
      </c>
      <c r="M469" s="1" cm="1">
        <f t="array" aca="1" ref="M469" ca="1">INDIRECT(CONCATENATE("'",$A$450,"'!k",B469),1)</f>
        <v>0</v>
      </c>
      <c r="N469" s="1" t="str" cm="1">
        <f t="array" aca="1" ref="N469" ca="1">INDIRECT(CONCATENATE("'",$A$450,"'!l",B469),1)</f>
        <v>Телина И.С.Филиппов И.И.</v>
      </c>
      <c r="O469" s="1" t="str" cm="1">
        <f t="array" aca="1" ref="O469" ca="1">INDIRECT(CONCATENATE("'",$A$450,"'!m",B469),1)</f>
        <v>2407, 3305</v>
      </c>
      <c r="P469" s="1" t="str" cm="1">
        <f t="array" aca="1" ref="P469" ca="1">INDIRECT(CONCATENATE("'",$A$450,"'!n",B469),1)</f>
        <v>1п</v>
      </c>
      <c r="Q469" s="1" cm="1">
        <f t="array" aca="1" ref="Q469" ca="1">INDIRECT(CONCATENATE("'",$A$450,"'!o",B469),1)</f>
        <v>5</v>
      </c>
      <c r="R469" s="1" cm="1">
        <f t="array" aca="1" ref="R469" ca="1">INDIRECT(CONCATENATE("'",$A$450,"'!p",B469),1)</f>
        <v>0</v>
      </c>
      <c r="S469" s="1">
        <f t="shared" ca="1" si="38"/>
        <v>0</v>
      </c>
      <c r="T469" s="1" t="str" cm="1">
        <f t="array" aca="1" ref="T469" ca="1">INDIRECT(CONCATENATE("'",$A$450,"'!q",B469),1)</f>
        <v>Телина И.С.</v>
      </c>
      <c r="U469" s="1" cm="1">
        <f t="array" aca="1" ref="U469" ca="1">INDIRECT(CONCATENATE("'",$A$450,"'!r",B469),1)</f>
        <v>17</v>
      </c>
      <c r="V469" s="1" t="str" cm="1">
        <f t="array" aca="1" ref="V469" ca="1">INDIRECT(CONCATENATE("'",$A$450,"'!s",B469),1)</f>
        <v>Филиппов И.И.</v>
      </c>
      <c r="W469" s="1" cm="1">
        <f t="array" aca="1" ref="W469" ca="1">INDIRECT(CONCATENATE("'",$A$450,"'!t",B469),1)</f>
        <v>4</v>
      </c>
      <c r="X469" s="1" cm="1">
        <f t="array" aca="1" ref="X469" ca="1">INDIRECT(CONCATENATE("'",$A$450,"'!u",B469),1)</f>
        <v>0</v>
      </c>
      <c r="Y469" s="1" cm="1">
        <f t="array" aca="1" ref="Y469" ca="1">INDIRECT(CONCATENATE("'",$A$450,"'!v",B469),1)</f>
        <v>0</v>
      </c>
    </row>
    <row r="470" spans="2:25" ht="45" hidden="1" x14ac:dyDescent="0.25">
      <c r="B470" s="24">
        <f t="shared" ref="B470:B499" si="39">B469+1</f>
        <v>22</v>
      </c>
      <c r="C470" s="1" t="str" cm="1">
        <f t="array" aca="1" ref="C470" ca="1">INDIRECT(CONCATENATE("'",$A$450,"'!A",B470),1)</f>
        <v>Введение в информационные технологии больших данных</v>
      </c>
      <c r="D470" s="1" t="str" cm="1">
        <f t="array" aca="1" ref="D470" ca="1">INDIRECT(CONCATENATE("'",$A$450,"'!B",B470),1)</f>
        <v xml:space="preserve">09.03.01(09у) </v>
      </c>
      <c r="E470" s="1" t="str" cm="1">
        <f t="array" aca="1" ref="E470" ca="1">INDIRECT(CONCATENATE("'",$A$450,"'!c",B470),1)</f>
        <v>4094з</v>
      </c>
      <c r="F470" s="1" cm="1">
        <f t="array" aca="1" ref="F470" ca="1">INDIRECT(CONCATENATE("'",$A$450,"'!d",B470),1)</f>
        <v>4</v>
      </c>
      <c r="G470" s="1" cm="1">
        <f t="array" aca="1" ref="G470" ca="1">INDIRECT(CONCATENATE("'",$A$450,"'!e",B470),1)</f>
        <v>1</v>
      </c>
      <c r="H470" s="1" cm="1">
        <f t="array" aca="1" ref="H470" ca="1">INDIRECT(CONCATENATE("'",$A$450,"'!f",B470),1)</f>
        <v>11</v>
      </c>
      <c r="I470" s="1" t="str" cm="1">
        <f t="array" aca="1" ref="I470" ca="1">INDIRECT(CONCATENATE("'",$A$450,"'!g",B470),1)</f>
        <v>ДЗ</v>
      </c>
      <c r="J470" s="1" cm="1">
        <f t="array" aca="1" ref="J470" ca="1">INDIRECT(CONCATENATE("'",$A$450,"'!h",B470),1)</f>
        <v>3</v>
      </c>
      <c r="K470" s="1" cm="1">
        <f t="array" aca="1" ref="K470" ca="1">INDIRECT(CONCATENATE("'",$A$450,"'!i",B470),1)</f>
        <v>4</v>
      </c>
      <c r="L470" s="1" cm="1">
        <f t="array" aca="1" ref="L470" ca="1">INDIRECT(CONCATENATE("'",$A$450,"'!j",B470),1)</f>
        <v>0</v>
      </c>
      <c r="M470" s="1" cm="1">
        <f t="array" aca="1" ref="M470" ca="1">INDIRECT(CONCATENATE("'",$A$450,"'!k",B470),1)</f>
        <v>8</v>
      </c>
      <c r="N470" s="1" t="str" cm="1">
        <f t="array" aca="1" ref="N470" ca="1">INDIRECT(CONCATENATE("'",$A$450,"'!l",B470),1)</f>
        <v>Цымбалюк Л.Н.</v>
      </c>
      <c r="O470" s="1" t="str" cm="1">
        <f t="array" aca="1" ref="O470" ca="1">INDIRECT(CONCATENATE("'",$A$450,"'!m",B470),1)</f>
        <v>2407, 3305</v>
      </c>
      <c r="P470" s="1" t="str" cm="1">
        <f t="array" aca="1" ref="P470" ca="1">INDIRECT(CONCATENATE("'",$A$450,"'!n",B470),1)</f>
        <v>1п</v>
      </c>
      <c r="Q470" s="1" cm="1">
        <f t="array" aca="1" ref="Q470" ca="1">INDIRECT(CONCATENATE("'",$A$450,"'!o",B470),1)</f>
        <v>5</v>
      </c>
      <c r="R470" s="1" cm="1">
        <f t="array" aca="1" ref="R470" ca="1">INDIRECT(CONCATENATE("'",$A$450,"'!p",B470),1)</f>
        <v>0</v>
      </c>
      <c r="S470" s="1">
        <f t="shared" ca="1" si="38"/>
        <v>0</v>
      </c>
      <c r="T470" s="1" t="str" cm="1">
        <f t="array" aca="1" ref="T470" ca="1">INDIRECT(CONCATENATE("'",$A$450,"'!q",B470),1)</f>
        <v>Цымбалюк Л.Н.</v>
      </c>
      <c r="U470" s="1" cm="1">
        <f t="array" aca="1" ref="U470" ca="1">INDIRECT(CONCATENATE("'",$A$450,"'!r",B470),1)</f>
        <v>17</v>
      </c>
      <c r="V470" s="1" cm="1">
        <f t="array" aca="1" ref="V470" ca="1">INDIRECT(CONCATENATE("'",$A$450,"'!s",B470),1)</f>
        <v>0</v>
      </c>
      <c r="W470" s="1" cm="1">
        <f t="array" aca="1" ref="W470" ca="1">INDIRECT(CONCATENATE("'",$A$450,"'!t",B470),1)</f>
        <v>0</v>
      </c>
      <c r="X470" s="1" cm="1">
        <f t="array" aca="1" ref="X470" ca="1">INDIRECT(CONCATENATE("'",$A$450,"'!u",B470),1)</f>
        <v>0</v>
      </c>
      <c r="Y470" s="1" cm="1">
        <f t="array" aca="1" ref="Y470" ca="1">INDIRECT(CONCATENATE("'",$A$450,"'!v",B470),1)</f>
        <v>0</v>
      </c>
    </row>
    <row r="471" spans="2:25" ht="22.5" hidden="1" x14ac:dyDescent="0.25">
      <c r="B471" s="24">
        <f t="shared" si="39"/>
        <v>23</v>
      </c>
      <c r="C471" s="1" t="str" cm="1">
        <f t="array" aca="1" ref="C471" ca="1">INDIRECT(CONCATENATE("'",$A$450,"'!A",B471),1)</f>
        <v>Кибербезопасность</v>
      </c>
      <c r="D471" s="1" t="str" cm="1">
        <f t="array" aca="1" ref="D471" ca="1">INDIRECT(CONCATENATE("'",$A$450,"'!B",B471),1)</f>
        <v xml:space="preserve">09.03.01(09у) </v>
      </c>
      <c r="E471" s="1" t="str" cm="1">
        <f t="array" aca="1" ref="E471" ca="1">INDIRECT(CONCATENATE("'",$A$450,"'!c",B471),1)</f>
        <v>4094з</v>
      </c>
      <c r="F471" s="1" cm="1">
        <f t="array" aca="1" ref="F471" ca="1">INDIRECT(CONCATENATE("'",$A$450,"'!d",B471),1)</f>
        <v>4</v>
      </c>
      <c r="G471" s="1" cm="1">
        <f t="array" aca="1" ref="G471" ca="1">INDIRECT(CONCATENATE("'",$A$450,"'!e",B471),1)</f>
        <v>1</v>
      </c>
      <c r="H471" s="1" cm="1">
        <f t="array" aca="1" ref="H471" ca="1">INDIRECT(CONCATENATE("'",$A$450,"'!f",B471),1)</f>
        <v>11</v>
      </c>
      <c r="I471" s="1" t="str" cm="1">
        <f t="array" aca="1" ref="I471" ca="1">INDIRECT(CONCATENATE("'",$A$450,"'!g",B471),1)</f>
        <v>ДЗ</v>
      </c>
      <c r="J471" s="1" cm="1">
        <f t="array" aca="1" ref="J471" ca="1">INDIRECT(CONCATENATE("'",$A$450,"'!h",B471),1)</f>
        <v>3</v>
      </c>
      <c r="K471" s="1" cm="1">
        <f t="array" aca="1" ref="K471" ca="1">INDIRECT(CONCATENATE("'",$A$450,"'!i",B471),1)</f>
        <v>4</v>
      </c>
      <c r="L471" s="1" cm="1">
        <f t="array" aca="1" ref="L471" ca="1">INDIRECT(CONCATENATE("'",$A$450,"'!j",B471),1)</f>
        <v>0</v>
      </c>
      <c r="M471" s="1" cm="1">
        <f t="array" aca="1" ref="M471" ca="1">INDIRECT(CONCATENATE("'",$A$450,"'!k",B471),1)</f>
        <v>8</v>
      </c>
      <c r="N471" s="1" t="str" cm="1">
        <f t="array" aca="1" ref="N471" ca="1">INDIRECT(CONCATENATE("'",$A$450,"'!l",B471),1)</f>
        <v>Цымбалюк А.Е.</v>
      </c>
      <c r="O471" s="1" t="str" cm="1">
        <f t="array" aca="1" ref="O471" ca="1">INDIRECT(CONCATENATE("'",$A$450,"'!m",B471),1)</f>
        <v>2407, 3305</v>
      </c>
      <c r="P471" s="1" t="str" cm="1">
        <f t="array" aca="1" ref="P471" ca="1">INDIRECT(CONCATENATE("'",$A$450,"'!n",B471),1)</f>
        <v>1п</v>
      </c>
      <c r="Q471" s="1" cm="1">
        <f t="array" aca="1" ref="Q471" ca="1">INDIRECT(CONCATENATE("'",$A$450,"'!o",B471),1)</f>
        <v>5</v>
      </c>
      <c r="R471" s="1" cm="1">
        <f t="array" aca="1" ref="R471" ca="1">INDIRECT(CONCATENATE("'",$A$450,"'!p",B471),1)</f>
        <v>0</v>
      </c>
      <c r="S471" s="1">
        <f t="shared" ca="1" si="38"/>
        <v>0</v>
      </c>
      <c r="T471" s="1" t="str" cm="1">
        <f t="array" aca="1" ref="T471" ca="1">INDIRECT(CONCATENATE("'",$A$450,"'!q",B471),1)</f>
        <v>Цымбалюк А.Е.</v>
      </c>
      <c r="U471" s="1" cm="1">
        <f t="array" aca="1" ref="U471" ca="1">INDIRECT(CONCATENATE("'",$A$450,"'!r",B471),1)</f>
        <v>17</v>
      </c>
      <c r="V471" s="1" cm="1">
        <f t="array" aca="1" ref="V471" ca="1">INDIRECT(CONCATENATE("'",$A$450,"'!s",B471),1)</f>
        <v>0</v>
      </c>
      <c r="W471" s="1" cm="1">
        <f t="array" aca="1" ref="W471" ca="1">INDIRECT(CONCATENATE("'",$A$450,"'!t",B471),1)</f>
        <v>0</v>
      </c>
      <c r="X471" s="1" cm="1">
        <f t="array" aca="1" ref="X471" ca="1">INDIRECT(CONCATENATE("'",$A$450,"'!u",B471),1)</f>
        <v>0</v>
      </c>
      <c r="Y471" s="1" cm="1">
        <f t="array" aca="1" ref="Y471" ca="1">INDIRECT(CONCATENATE("'",$A$450,"'!v",B471),1)</f>
        <v>0</v>
      </c>
    </row>
    <row r="472" spans="2:25" ht="22.5" hidden="1" x14ac:dyDescent="0.25">
      <c r="B472" s="24">
        <f t="shared" si="39"/>
        <v>24</v>
      </c>
      <c r="C472" s="1" t="str" cm="1">
        <f t="array" aca="1" ref="C472" ca="1">INDIRECT(CONCATENATE("'",$A$450,"'!A",B472),1)</f>
        <v>Введение и поддержка компьютерных систем</v>
      </c>
      <c r="D472" s="1" t="str" cm="1">
        <f t="array" aca="1" ref="D472" ca="1">INDIRECT(CONCATENATE("'",$A$450,"'!B",B472),1)</f>
        <v xml:space="preserve">09.03.01(09у) </v>
      </c>
      <c r="E472" s="1" t="str" cm="1">
        <f t="array" aca="1" ref="E472" ca="1">INDIRECT(CONCATENATE("'",$A$450,"'!c",B472),1)</f>
        <v>4094з</v>
      </c>
      <c r="F472" s="1" cm="1">
        <f t="array" aca="1" ref="F472" ca="1">INDIRECT(CONCATENATE("'",$A$450,"'!d",B472),1)</f>
        <v>4</v>
      </c>
      <c r="G472" s="1" cm="1">
        <f t="array" aca="1" ref="G472" ca="1">INDIRECT(CONCATENATE("'",$A$450,"'!e",B472),1)</f>
        <v>1</v>
      </c>
      <c r="H472" s="1" cm="1">
        <f t="array" aca="1" ref="H472" ca="1">INDIRECT(CONCATENATE("'",$A$450,"'!f",B472),1)</f>
        <v>11</v>
      </c>
      <c r="I472" s="1" t="str" cm="1">
        <f t="array" aca="1" ref="I472" ca="1">INDIRECT(CONCATENATE("'",$A$450,"'!g",B472),1)</f>
        <v>ЭКЗ</v>
      </c>
      <c r="J472" s="1" cm="1">
        <f t="array" aca="1" ref="J472" ca="1">INDIRECT(CONCATENATE("'",$A$450,"'!h",B472),1)</f>
        <v>3</v>
      </c>
      <c r="K472" s="1" cm="1">
        <f t="array" aca="1" ref="K472" ca="1">INDIRECT(CONCATENATE("'",$A$450,"'!i",B472),1)</f>
        <v>4</v>
      </c>
      <c r="L472" s="1" cm="1">
        <f t="array" aca="1" ref="L472" ca="1">INDIRECT(CONCATENATE("'",$A$450,"'!j",B472),1)</f>
        <v>0</v>
      </c>
      <c r="M472" s="1" cm="1">
        <f t="array" aca="1" ref="M472" ca="1">INDIRECT(CONCATENATE("'",$A$450,"'!k",B472),1)</f>
        <v>8</v>
      </c>
      <c r="N472" s="1" t="str" cm="1">
        <f t="array" aca="1" ref="N472" ca="1">INDIRECT(CONCATENATE("'",$A$450,"'!l",B472),1)</f>
        <v>Цымбалюк А.Е.</v>
      </c>
      <c r="O472" s="1" t="str" cm="1">
        <f t="array" aca="1" ref="O472" ca="1">INDIRECT(CONCATENATE("'",$A$450,"'!m",B472),1)</f>
        <v>2407, 3305</v>
      </c>
      <c r="P472" s="1" t="str" cm="1">
        <f t="array" aca="1" ref="P472" ca="1">INDIRECT(CONCATENATE("'",$A$450,"'!n",B472),1)</f>
        <v>1п</v>
      </c>
      <c r="Q472" s="1" cm="1">
        <f t="array" aca="1" ref="Q472" ca="1">INDIRECT(CONCATENATE("'",$A$450,"'!o",B472),1)</f>
        <v>6.6</v>
      </c>
      <c r="R472" s="1" cm="1">
        <f t="array" aca="1" ref="R472" ca="1">INDIRECT(CONCATENATE("'",$A$450,"'!p",B472),1)</f>
        <v>4.4000000000000004</v>
      </c>
      <c r="S472" s="1">
        <f t="shared" ca="1" si="38"/>
        <v>0</v>
      </c>
      <c r="T472" s="1" t="str" cm="1">
        <f t="array" aca="1" ref="T472" ca="1">INDIRECT(CONCATENATE("'",$A$450,"'!q",B472),1)</f>
        <v>Цымбалюк А.Е.</v>
      </c>
      <c r="U472" s="1" cm="1">
        <f t="array" aca="1" ref="U472" ca="1">INDIRECT(CONCATENATE("'",$A$450,"'!r",B472),1)</f>
        <v>23</v>
      </c>
      <c r="V472" s="1" cm="1">
        <f t="array" aca="1" ref="V472" ca="1">INDIRECT(CONCATENATE("'",$A$450,"'!s",B472),1)</f>
        <v>0</v>
      </c>
      <c r="W472" s="1" cm="1">
        <f t="array" aca="1" ref="W472" ca="1">INDIRECT(CONCATENATE("'",$A$450,"'!t",B472),1)</f>
        <v>0</v>
      </c>
      <c r="X472" s="1" cm="1">
        <f t="array" aca="1" ref="X472" ca="1">INDIRECT(CONCATENATE("'",$A$450,"'!u",B472),1)</f>
        <v>0</v>
      </c>
      <c r="Y472" s="1" cm="1">
        <f t="array" aca="1" ref="Y472" ca="1">INDIRECT(CONCATENATE("'",$A$450,"'!v",B472),1)</f>
        <v>0</v>
      </c>
    </row>
    <row r="473" spans="2:25" ht="22.5" hidden="1" x14ac:dyDescent="0.25">
      <c r="B473" s="24">
        <f t="shared" si="39"/>
        <v>25</v>
      </c>
      <c r="C473" s="1" t="str" cm="1">
        <f t="array" aca="1" ref="C473" ca="1">INDIRECT(CONCATENATE("'",$A$450,"'!A",B473),1)</f>
        <v>Коммерциализация IT проектов</v>
      </c>
      <c r="D473" s="1" t="str" cm="1">
        <f t="array" aca="1" ref="D473" ca="1">INDIRECT(CONCATENATE("'",$A$450,"'!B",B473),1)</f>
        <v xml:space="preserve">09.03.01(09у) </v>
      </c>
      <c r="E473" s="1" t="str" cm="1">
        <f t="array" aca="1" ref="E473" ca="1">INDIRECT(CONCATENATE("'",$A$450,"'!c",B473),1)</f>
        <v>4094з</v>
      </c>
      <c r="F473" s="1" cm="1">
        <f t="array" aca="1" ref="F473" ca="1">INDIRECT(CONCATENATE("'",$A$450,"'!d",B473),1)</f>
        <v>4</v>
      </c>
      <c r="G473" s="1" cm="1">
        <f t="array" aca="1" ref="G473" ca="1">INDIRECT(CONCATENATE("'",$A$450,"'!e",B473),1)</f>
        <v>1</v>
      </c>
      <c r="H473" s="1" cm="1">
        <f t="array" aca="1" ref="H473" ca="1">INDIRECT(CONCATENATE("'",$A$450,"'!f",B473),1)</f>
        <v>11</v>
      </c>
      <c r="I473" s="1" t="str" cm="1">
        <f t="array" aca="1" ref="I473" ca="1">INDIRECT(CONCATENATE("'",$A$450,"'!g",B473),1)</f>
        <v>ЭКЗ</v>
      </c>
      <c r="J473" s="1" cm="1">
        <f t="array" aca="1" ref="J473" ca="1">INDIRECT(CONCATENATE("'",$A$450,"'!h",B473),1)</f>
        <v>3</v>
      </c>
      <c r="K473" s="1" cm="1">
        <f t="array" aca="1" ref="K473" ca="1">INDIRECT(CONCATENATE("'",$A$450,"'!i",B473),1)</f>
        <v>4</v>
      </c>
      <c r="L473" s="1" cm="1">
        <f t="array" aca="1" ref="L473" ca="1">INDIRECT(CONCATENATE("'",$A$450,"'!j",B473),1)</f>
        <v>0</v>
      </c>
      <c r="M473" s="1" cm="1">
        <f t="array" aca="1" ref="M473" ca="1">INDIRECT(CONCATENATE("'",$A$450,"'!k",B473),1)</f>
        <v>8</v>
      </c>
      <c r="N473" s="1" t="str" cm="1">
        <f t="array" aca="1" ref="N473" ca="1">INDIRECT(CONCATENATE("'",$A$450,"'!l",B473),1)</f>
        <v>Макевич П.В.</v>
      </c>
      <c r="O473" s="1" t="str" cm="1">
        <f t="array" aca="1" ref="O473" ca="1">INDIRECT(CONCATENATE("'",$A$450,"'!m",B473),1)</f>
        <v>2407, 3305</v>
      </c>
      <c r="P473" s="1" t="str" cm="1">
        <f t="array" aca="1" ref="P473" ca="1">INDIRECT(CONCATENATE("'",$A$450,"'!n",B473),1)</f>
        <v>1п</v>
      </c>
      <c r="Q473" s="1" cm="1">
        <f t="array" aca="1" ref="Q473" ca="1">INDIRECT(CONCATENATE("'",$A$450,"'!o",B473),1)</f>
        <v>5</v>
      </c>
      <c r="R473" s="1" cm="1">
        <f t="array" aca="1" ref="R473" ca="1">INDIRECT(CONCATENATE("'",$A$450,"'!p",B473),1)</f>
        <v>0</v>
      </c>
      <c r="S473" s="1">
        <f t="shared" ca="1" si="38"/>
        <v>0</v>
      </c>
      <c r="T473" s="1" t="str" cm="1">
        <f t="array" aca="1" ref="T473" ca="1">INDIRECT(CONCATENATE("'",$A$450,"'!q",B473),1)</f>
        <v>Макевич П.В.</v>
      </c>
      <c r="U473" s="1" cm="1">
        <f t="array" aca="1" ref="U473" ca="1">INDIRECT(CONCATENATE("'",$A$450,"'!r",B473),1)</f>
        <v>17</v>
      </c>
      <c r="V473" s="1" cm="1">
        <f t="array" aca="1" ref="V473" ca="1">INDIRECT(CONCATENATE("'",$A$450,"'!s",B473),1)</f>
        <v>0</v>
      </c>
      <c r="W473" s="1" cm="1">
        <f t="array" aca="1" ref="W473" ca="1">INDIRECT(CONCATENATE("'",$A$450,"'!t",B473),1)</f>
        <v>0</v>
      </c>
      <c r="X473" s="1" cm="1">
        <f t="array" aca="1" ref="X473" ca="1">INDIRECT(CONCATENATE("'",$A$450,"'!u",B473),1)</f>
        <v>0</v>
      </c>
      <c r="Y473" s="1" cm="1">
        <f t="array" aca="1" ref="Y473" ca="1">INDIRECT(CONCATENATE("'",$A$450,"'!v",B473),1)</f>
        <v>0</v>
      </c>
    </row>
    <row r="474" spans="2:25" ht="22.5" hidden="1" x14ac:dyDescent="0.25">
      <c r="B474" s="24">
        <f t="shared" si="39"/>
        <v>26</v>
      </c>
      <c r="C474" s="1" t="str" cm="1">
        <f t="array" aca="1" ref="C474" ca="1">INDIRECT(CONCATENATE("'",$A$450,"'!A",B474),1)</f>
        <v>Техническое документирование</v>
      </c>
      <c r="D474" s="1" t="str" cm="1">
        <f t="array" aca="1" ref="D474" ca="1">INDIRECT(CONCATENATE("'",$A$450,"'!B",B474),1)</f>
        <v xml:space="preserve">09.03.01(09у) </v>
      </c>
      <c r="E474" s="1" t="str" cm="1">
        <f t="array" aca="1" ref="E474" ca="1">INDIRECT(CONCATENATE("'",$A$450,"'!c",B474),1)</f>
        <v>4094з</v>
      </c>
      <c r="F474" s="1" cm="1">
        <f t="array" aca="1" ref="F474" ca="1">INDIRECT(CONCATENATE("'",$A$450,"'!d",B474),1)</f>
        <v>4</v>
      </c>
      <c r="G474" s="1" cm="1">
        <f t="array" aca="1" ref="G474" ca="1">INDIRECT(CONCATENATE("'",$A$450,"'!e",B474),1)</f>
        <v>1</v>
      </c>
      <c r="H474" s="1" cm="1">
        <f t="array" aca="1" ref="H474" ca="1">INDIRECT(CONCATENATE("'",$A$450,"'!f",B474),1)</f>
        <v>11</v>
      </c>
      <c r="I474" s="1" t="str" cm="1">
        <f t="array" aca="1" ref="I474" ca="1">INDIRECT(CONCATENATE("'",$A$450,"'!g",B474),1)</f>
        <v>ЭКЗ</v>
      </c>
      <c r="J474" s="1" cm="1">
        <f t="array" aca="1" ref="J474" ca="1">INDIRECT(CONCATENATE("'",$A$450,"'!h",B474),1)</f>
        <v>2</v>
      </c>
      <c r="K474" s="1" cm="1">
        <f t="array" aca="1" ref="K474" ca="1">INDIRECT(CONCATENATE("'",$A$450,"'!i",B474),1)</f>
        <v>4</v>
      </c>
      <c r="L474" s="1" cm="1">
        <f t="array" aca="1" ref="L474" ca="1">INDIRECT(CONCATENATE("'",$A$450,"'!j",B474),1)</f>
        <v>4</v>
      </c>
      <c r="M474" s="1" cm="1">
        <f t="array" aca="1" ref="M474" ca="1">INDIRECT(CONCATENATE("'",$A$450,"'!k",B474),1)</f>
        <v>0</v>
      </c>
      <c r="N474" s="1" t="str" cm="1">
        <f t="array" aca="1" ref="N474" ca="1">INDIRECT(CONCATENATE("'",$A$450,"'!l",B474),1)</f>
        <v>Винник Л.И.</v>
      </c>
      <c r="O474" s="1" t="str" cm="1">
        <f t="array" aca="1" ref="O474" ca="1">INDIRECT(CONCATENATE("'",$A$450,"'!m",B474),1)</f>
        <v>2407, 3305</v>
      </c>
      <c r="P474" s="1" t="str" cm="1">
        <f t="array" aca="1" ref="P474" ca="1">INDIRECT(CONCATENATE("'",$A$450,"'!n",B474),1)</f>
        <v>1п</v>
      </c>
      <c r="Q474" s="1" cm="1">
        <f t="array" aca="1" ref="Q474" ca="1">INDIRECT(CONCATENATE("'",$A$450,"'!o",B474),1)</f>
        <v>3.3</v>
      </c>
      <c r="R474" s="1" cm="1">
        <f t="array" aca="1" ref="R474" ca="1">INDIRECT(CONCATENATE("'",$A$450,"'!p",B474),1)</f>
        <v>0</v>
      </c>
      <c r="S474" s="1">
        <f t="shared" ca="1" si="38"/>
        <v>0</v>
      </c>
      <c r="T474" s="1" t="str" cm="1">
        <f t="array" aca="1" ref="T474" ca="1">INDIRECT(CONCATENATE("'",$A$450,"'!q",B474),1)</f>
        <v>Винник Л.И.</v>
      </c>
      <c r="U474" s="1" cm="1">
        <f t="array" aca="1" ref="U474" ca="1">INDIRECT(CONCATENATE("'",$A$450,"'!r",B474),1)</f>
        <v>11.3</v>
      </c>
      <c r="V474" s="1" cm="1">
        <f t="array" aca="1" ref="V474" ca="1">INDIRECT(CONCATENATE("'",$A$450,"'!s",B474),1)</f>
        <v>0</v>
      </c>
      <c r="W474" s="1" cm="1">
        <f t="array" aca="1" ref="W474" ca="1">INDIRECT(CONCATENATE("'",$A$450,"'!t",B474),1)</f>
        <v>0</v>
      </c>
      <c r="X474" s="1" cm="1">
        <f t="array" aca="1" ref="X474" ca="1">INDIRECT(CONCATENATE("'",$A$450,"'!u",B474),1)</f>
        <v>0</v>
      </c>
      <c r="Y474" s="1" cm="1">
        <f t="array" aca="1" ref="Y474" ca="1">INDIRECT(CONCATENATE("'",$A$450,"'!v",B474),1)</f>
        <v>0</v>
      </c>
    </row>
    <row r="475" spans="2:25" ht="22.5" hidden="1" x14ac:dyDescent="0.25">
      <c r="B475" s="24">
        <f t="shared" si="39"/>
        <v>27</v>
      </c>
      <c r="C475" s="1" t="str" cm="1">
        <f t="array" aca="1" ref="C475" ca="1">INDIRECT(CONCATENATE("'",$A$450,"'!A",B475),1)</f>
        <v>Распознавание образов и обработка изображений</v>
      </c>
      <c r="D475" s="1" t="str" cm="1">
        <f t="array" aca="1" ref="D475" ca="1">INDIRECT(CONCATENATE("'",$A$450,"'!B",B475),1)</f>
        <v xml:space="preserve">09.03.01(09у) </v>
      </c>
      <c r="E475" s="1" t="str" cm="1">
        <f t="array" aca="1" ref="E475" ca="1">INDIRECT(CONCATENATE("'",$A$450,"'!c",B475),1)</f>
        <v>4094з</v>
      </c>
      <c r="F475" s="1" cm="1">
        <f t="array" aca="1" ref="F475" ca="1">INDIRECT(CONCATENATE("'",$A$450,"'!d",B475),1)</f>
        <v>4</v>
      </c>
      <c r="G475" s="1" cm="1">
        <f t="array" aca="1" ref="G475" ca="1">INDIRECT(CONCATENATE("'",$A$450,"'!e",B475),1)</f>
        <v>1</v>
      </c>
      <c r="H475" s="1" cm="1">
        <f t="array" aca="1" ref="H475" ca="1">INDIRECT(CONCATENATE("'",$A$450,"'!f",B475),1)</f>
        <v>11</v>
      </c>
      <c r="I475" s="1" t="str" cm="1">
        <f t="array" aca="1" ref="I475" ca="1">INDIRECT(CONCATENATE("'",$A$450,"'!g",B475),1)</f>
        <v>ЭКЗ</v>
      </c>
      <c r="J475" s="1" cm="1">
        <f t="array" aca="1" ref="J475" ca="1">INDIRECT(CONCATENATE("'",$A$450,"'!h",B475),1)</f>
        <v>5</v>
      </c>
      <c r="K475" s="1" cm="1">
        <f t="array" aca="1" ref="K475" ca="1">INDIRECT(CONCATENATE("'",$A$450,"'!i",B475),1)</f>
        <v>8</v>
      </c>
      <c r="L475" s="1" cm="1">
        <f t="array" aca="1" ref="L475" ca="1">INDIRECT(CONCATENATE("'",$A$450,"'!j",B475),1)</f>
        <v>8</v>
      </c>
      <c r="M475" s="1" cm="1">
        <f t="array" aca="1" ref="M475" ca="1">INDIRECT(CONCATENATE("'",$A$450,"'!k",B475),1)</f>
        <v>0</v>
      </c>
      <c r="N475" s="1" t="str" cm="1">
        <f t="array" aca="1" ref="N475" ca="1">INDIRECT(CONCATENATE("'",$A$450,"'!l",B475),1)</f>
        <v>Корнышев Н.П.</v>
      </c>
      <c r="O475" s="1" t="str" cm="1">
        <f t="array" aca="1" ref="O475" ca="1">INDIRECT(CONCATENATE("'",$A$450,"'!m",B475),1)</f>
        <v>2407, 3305</v>
      </c>
      <c r="P475" s="1" t="str" cm="1">
        <f t="array" aca="1" ref="P475" ca="1">INDIRECT(CONCATENATE("'",$A$450,"'!n",B475),1)</f>
        <v>1п</v>
      </c>
      <c r="Q475" s="1" cm="1">
        <f t="array" aca="1" ref="Q475" ca="1">INDIRECT(CONCATENATE("'",$A$450,"'!o",B475),1)</f>
        <v>8.3000000000000007</v>
      </c>
      <c r="R475" s="1" cm="1">
        <f t="array" aca="1" ref="R475" ca="1">INDIRECT(CONCATENATE("'",$A$450,"'!p",B475),1)</f>
        <v>5.5</v>
      </c>
      <c r="S475" s="1">
        <f t="shared" ca="1" si="38"/>
        <v>0</v>
      </c>
      <c r="T475" s="1" t="str" cm="1">
        <f t="array" aca="1" ref="T475" ca="1">INDIRECT(CONCATENATE("'",$A$450,"'!q",B475),1)</f>
        <v>Корнышев Н.П.</v>
      </c>
      <c r="U475" s="1" cm="1">
        <f t="array" aca="1" ref="U475" ca="1">INDIRECT(CONCATENATE("'",$A$450,"'!r",B475),1)</f>
        <v>29.8</v>
      </c>
      <c r="V475" s="1" cm="1">
        <f t="array" aca="1" ref="V475" ca="1">INDIRECT(CONCATENATE("'",$A$450,"'!s",B475),1)</f>
        <v>0</v>
      </c>
      <c r="W475" s="1" cm="1">
        <f t="array" aca="1" ref="W475" ca="1">INDIRECT(CONCATENATE("'",$A$450,"'!t",B475),1)</f>
        <v>0</v>
      </c>
      <c r="X475" s="1" cm="1">
        <f t="array" aca="1" ref="X475" ca="1">INDIRECT(CONCATENATE("'",$A$450,"'!u",B475),1)</f>
        <v>0</v>
      </c>
      <c r="Y475" s="1" cm="1">
        <f t="array" aca="1" ref="Y475" ca="1">INDIRECT(CONCATENATE("'",$A$450,"'!v",B475),1)</f>
        <v>0</v>
      </c>
    </row>
    <row r="476" spans="2:25" ht="56.25" hidden="1" x14ac:dyDescent="0.25">
      <c r="B476" s="24">
        <f t="shared" si="39"/>
        <v>28</v>
      </c>
      <c r="C476" s="1" t="str" cm="1">
        <f t="array" aca="1" ref="C476" ca="1">INDIRECT(CONCATENATE("'",$A$450,"'!A",B476),1)</f>
        <v>Практика производственная: Практика преддипломная(установ.)</v>
      </c>
      <c r="D476" s="1" t="str" cm="1">
        <f t="array" aca="1" ref="D476" ca="1">INDIRECT(CONCATENATE("'",$A$450,"'!B",B476),1)</f>
        <v xml:space="preserve">09.03.01(09у) </v>
      </c>
      <c r="E476" s="1" t="str" cm="1">
        <f t="array" aca="1" ref="E476" ca="1">INDIRECT(CONCATENATE("'",$A$450,"'!c",B476),1)</f>
        <v>4094з</v>
      </c>
      <c r="F476" s="1" cm="1">
        <f t="array" aca="1" ref="F476" ca="1">INDIRECT(CONCATENATE("'",$A$450,"'!d",B476),1)</f>
        <v>4</v>
      </c>
      <c r="G476" s="1" cm="1">
        <f t="array" aca="1" ref="G476" ca="1">INDIRECT(CONCATENATE("'",$A$450,"'!e",B476),1)</f>
        <v>1</v>
      </c>
      <c r="H476" s="1" cm="1">
        <f t="array" aca="1" ref="H476" ca="1">INDIRECT(CONCATENATE("'",$A$450,"'!f",B476),1)</f>
        <v>11</v>
      </c>
      <c r="I476" s="1" cm="1">
        <f t="array" aca="1" ref="I476" ca="1">INDIRECT(CONCATENATE("'",$A$450,"'!g",B476),1)</f>
        <v>0</v>
      </c>
      <c r="J476" s="1" cm="1">
        <f t="array" aca="1" ref="J476" ca="1">INDIRECT(CONCATENATE("'",$A$450,"'!h",B476),1)</f>
        <v>0</v>
      </c>
      <c r="K476" s="1" cm="1">
        <f t="array" aca="1" ref="K476" ca="1">INDIRECT(CONCATENATE("'",$A$450,"'!i",B476),1)</f>
        <v>2</v>
      </c>
      <c r="L476" s="1" cm="1">
        <f t="array" aca="1" ref="L476" ca="1">INDIRECT(CONCATENATE("'",$A$450,"'!j",B476),1)</f>
        <v>0</v>
      </c>
      <c r="M476" s="1" cm="1">
        <f t="array" aca="1" ref="M476" ca="1">INDIRECT(CONCATENATE("'",$A$450,"'!k",B476),1)</f>
        <v>0</v>
      </c>
      <c r="N476" s="1" t="str" cm="1">
        <f t="array" aca="1" ref="N476" ca="1">INDIRECT(CONCATENATE("'",$A$450,"'!l",B476),1)</f>
        <v>Соколова Г.Ю.</v>
      </c>
      <c r="O476" s="1" cm="1">
        <f t="array" aca="1" ref="O476" ca="1">INDIRECT(CONCATENATE("'",$A$450,"'!m",B476),1)</f>
        <v>3300</v>
      </c>
      <c r="P476" s="1" t="str" cm="1">
        <f t="array" aca="1" ref="P476" ca="1">INDIRECT(CONCATENATE("'",$A$450,"'!n",B476),1)</f>
        <v>уст.</v>
      </c>
      <c r="Q476" s="1" cm="1">
        <f t="array" aca="1" ref="Q476" ca="1">INDIRECT(CONCATENATE("'",$A$450,"'!o",B476),1)</f>
        <v>0</v>
      </c>
      <c r="R476" s="1" cm="1">
        <f t="array" aca="1" ref="R476" ca="1">INDIRECT(CONCATENATE("'",$A$450,"'!p",B476),1)</f>
        <v>0</v>
      </c>
      <c r="S476" s="1">
        <f t="shared" ca="1" si="38"/>
        <v>0</v>
      </c>
      <c r="T476" s="1" t="str" cm="1">
        <f t="array" aca="1" ref="T476" ca="1">INDIRECT(CONCATENATE("'",$A$450,"'!q",B476),1)</f>
        <v>Соколова Г.Ю.</v>
      </c>
      <c r="U476" s="1" cm="1">
        <f t="array" aca="1" ref="U476" ca="1">INDIRECT(CONCATENATE("'",$A$450,"'!r",B476),1)</f>
        <v>0</v>
      </c>
      <c r="V476" s="1" cm="1">
        <f t="array" aca="1" ref="V476" ca="1">INDIRECT(CONCATENATE("'",$A$450,"'!s",B476),1)</f>
        <v>0</v>
      </c>
      <c r="W476" s="1" cm="1">
        <f t="array" aca="1" ref="W476" ca="1">INDIRECT(CONCATENATE("'",$A$450,"'!t",B476),1)</f>
        <v>0</v>
      </c>
      <c r="X476" s="1" cm="1">
        <f t="array" aca="1" ref="X476" ca="1">INDIRECT(CONCATENATE("'",$A$450,"'!u",B476),1)</f>
        <v>0</v>
      </c>
      <c r="Y476" s="1" cm="1">
        <f t="array" aca="1" ref="Y476" ca="1">INDIRECT(CONCATENATE("'",$A$450,"'!v",B476),1)</f>
        <v>0</v>
      </c>
    </row>
    <row r="477" spans="2:25" ht="33.75" hidden="1" x14ac:dyDescent="0.25">
      <c r="B477" s="24">
        <f t="shared" si="39"/>
        <v>29</v>
      </c>
      <c r="C477" s="1" t="str" cm="1">
        <f t="array" aca="1" ref="C477" ca="1">INDIRECT(CONCATENATE("'",$A$450,"'!A",B477),1)</f>
        <v>Практика производственная: Практика преддипломная</v>
      </c>
      <c r="D477" s="1" t="str" cm="1">
        <f t="array" aca="1" ref="D477" ca="1">INDIRECT(CONCATENATE("'",$A$450,"'!B",B477),1)</f>
        <v xml:space="preserve">09.03.01(09у) </v>
      </c>
      <c r="E477" s="1" t="str" cm="1">
        <f t="array" aca="1" ref="E477" ca="1">INDIRECT(CONCATENATE("'",$A$450,"'!c",B477),1)</f>
        <v>3094зу</v>
      </c>
      <c r="F477" s="1" cm="1">
        <f t="array" aca="1" ref="F477" ca="1">INDIRECT(CONCATENATE("'",$A$450,"'!d",B477),1)</f>
        <v>5</v>
      </c>
      <c r="G477" s="1" cm="1">
        <f t="array" aca="1" ref="G477" ca="1">INDIRECT(CONCATENATE("'",$A$450,"'!e",B477),1)</f>
        <v>1</v>
      </c>
      <c r="H477" s="1" cm="1">
        <f t="array" aca="1" ref="H477" ca="1">INDIRECT(CONCATENATE("'",$A$450,"'!f",B477),1)</f>
        <v>15</v>
      </c>
      <c r="I477" s="1" t="str" cm="1">
        <f t="array" aca="1" ref="I477" ca="1">INDIRECT(CONCATENATE("'",$A$450,"'!g",B477),1)</f>
        <v>ДЗ</v>
      </c>
      <c r="J477" s="1" cm="1">
        <f t="array" aca="1" ref="J477" ca="1">INDIRECT(CONCATENATE("'",$A$450,"'!h",B477),1)</f>
        <v>12</v>
      </c>
      <c r="K477" s="1" cm="1">
        <f t="array" aca="1" ref="K477" ca="1">INDIRECT(CONCATENATE("'",$A$450,"'!i",B477),1)</f>
        <v>0</v>
      </c>
      <c r="L477" s="1" cm="1">
        <f t="array" aca="1" ref="L477" ca="1">INDIRECT(CONCATENATE("'",$A$450,"'!j",B477),1)</f>
        <v>2</v>
      </c>
      <c r="M477" s="1" cm="1">
        <f t="array" aca="1" ref="M477" ca="1">INDIRECT(CONCATENATE("'",$A$450,"'!k",B477),1)</f>
        <v>0</v>
      </c>
      <c r="N477" s="1" t="str" cm="1">
        <f t="array" aca="1" ref="N477" ca="1">INDIRECT(CONCATENATE("'",$A$450,"'!l",B477),1)</f>
        <v>Соколова Г.Ю.Винник Л.И.</v>
      </c>
      <c r="O477" s="1" cm="1">
        <f t="array" aca="1" ref="O477" ca="1">INDIRECT(CONCATENATE("'",$A$450,"'!m",B477),1)</f>
        <v>0</v>
      </c>
      <c r="P477" s="1" cm="1">
        <f t="array" aca="1" ref="P477" ca="1">INDIRECT(CONCATENATE("'",$A$450,"'!n",B477),1)</f>
        <v>0</v>
      </c>
      <c r="Q477" s="1" cm="1">
        <f t="array" aca="1" ref="Q477" ca="1">INDIRECT(CONCATENATE("'",$A$450,"'!o",B477),1)</f>
        <v>61.2</v>
      </c>
      <c r="R477" s="1" cm="1">
        <f t="array" aca="1" ref="R477" ca="1">INDIRECT(CONCATENATE("'",$A$450,"'!p",B477),1)</f>
        <v>0</v>
      </c>
      <c r="S477" s="1">
        <f t="shared" ca="1" si="38"/>
        <v>0</v>
      </c>
      <c r="T477" s="1" t="str" cm="1">
        <f t="array" aca="1" ref="T477" ca="1">INDIRECT(CONCATENATE("'",$A$450,"'!q",B477),1)</f>
        <v>Соколова Г.Ю.</v>
      </c>
      <c r="U477" s="1" cm="1">
        <f t="array" aca="1" ref="U477" ca="1">INDIRECT(CONCATENATE("'",$A$450,"'!r",B477),1)</f>
        <v>44.2</v>
      </c>
      <c r="V477" s="1" t="str" cm="1">
        <f t="array" aca="1" ref="V477" ca="1">INDIRECT(CONCATENATE("'",$A$450,"'!s",B477),1)</f>
        <v>Винник Л.И.</v>
      </c>
      <c r="W477" s="1" cm="1">
        <f t="array" aca="1" ref="W477" ca="1">INDIRECT(CONCATENATE("'",$A$450,"'!t",B477),1)</f>
        <v>17</v>
      </c>
      <c r="X477" s="1" cm="1">
        <f t="array" aca="1" ref="X477" ca="1">INDIRECT(CONCATENATE("'",$A$450,"'!u",B477),1)</f>
        <v>0</v>
      </c>
      <c r="Y477" s="1" cm="1">
        <f t="array" aca="1" ref="Y477" ca="1">INDIRECT(CONCATENATE("'",$A$450,"'!v",B477),1)</f>
        <v>0</v>
      </c>
    </row>
    <row r="478" spans="2:25" ht="45" hidden="1" x14ac:dyDescent="0.25">
      <c r="B478" s="24">
        <f t="shared" si="39"/>
        <v>30</v>
      </c>
      <c r="C478" s="1" t="str" cm="1">
        <f t="array" aca="1" ref="C478" ca="1">INDIRECT(CONCATENATE("'",$A$450,"'!A",B478),1)</f>
        <v>Выполнение и защита выпускной квалификационной работы</v>
      </c>
      <c r="D478" s="1" t="str" cm="1">
        <f t="array" aca="1" ref="D478" ca="1">INDIRECT(CONCATENATE("'",$A$450,"'!B",B478),1)</f>
        <v xml:space="preserve">09.03.01(09у) </v>
      </c>
      <c r="E478" s="1" t="str" cm="1">
        <f t="array" aca="1" ref="E478" ca="1">INDIRECT(CONCATENATE("'",$A$450,"'!c",B478),1)</f>
        <v>3094зу</v>
      </c>
      <c r="F478" s="1" cm="1">
        <f t="array" aca="1" ref="F478" ca="1">INDIRECT(CONCATENATE("'",$A$450,"'!d",B478),1)</f>
        <v>5</v>
      </c>
      <c r="G478" s="1" cm="1">
        <f t="array" aca="1" ref="G478" ca="1">INDIRECT(CONCATENATE("'",$A$450,"'!e",B478),1)</f>
        <v>1</v>
      </c>
      <c r="H478" s="1" cm="1">
        <f t="array" aca="1" ref="H478" ca="1">INDIRECT(CONCATENATE("'",$A$450,"'!f",B478),1)</f>
        <v>17</v>
      </c>
      <c r="I478" s="1" t="str" cm="1">
        <f t="array" aca="1" ref="I478" ca="1">INDIRECT(CONCATENATE("'",$A$450,"'!g",B478),1)</f>
        <v>ДЗ</v>
      </c>
      <c r="J478" s="1" cm="1">
        <f t="array" aca="1" ref="J478" ca="1">INDIRECT(CONCATENATE("'",$A$450,"'!h",B478),1)</f>
        <v>9</v>
      </c>
      <c r="K478" s="1" cm="1">
        <f t="array" aca="1" ref="K478" ca="1">INDIRECT(CONCATENATE("'",$A$450,"'!i",B478),1)</f>
        <v>0</v>
      </c>
      <c r="L478" s="1" cm="1">
        <f t="array" aca="1" ref="L478" ca="1">INDIRECT(CONCATENATE("'",$A$450,"'!j",B478),1)</f>
        <v>2</v>
      </c>
      <c r="M478" s="1" cm="1">
        <f t="array" aca="1" ref="M478" ca="1">INDIRECT(CONCATENATE("'",$A$450,"'!k",B478),1)</f>
        <v>0</v>
      </c>
      <c r="N478" s="1" t="str" cm="1">
        <f t="array" aca="1" ref="N478" ca="1">INDIRECT(CONCATENATE("'",$A$450,"'!l",B478),1)</f>
        <v>Залилов Р.Ю.Соколова Г.Ю.Архипова Г.А.</v>
      </c>
      <c r="O478" s="1" cm="1">
        <f t="array" aca="1" ref="O478" ca="1">INDIRECT(CONCATENATE("'",$A$450,"'!m",B478),1)</f>
        <v>3300</v>
      </c>
      <c r="P478" s="1" t="str" cm="1">
        <f t="array" aca="1" ref="P478" ca="1">INDIRECT(CONCATENATE("'",$A$450,"'!n",B478),1)</f>
        <v>Предзащита</v>
      </c>
      <c r="Q478" s="1" cm="1">
        <f t="array" aca="1" ref="Q478" ca="1">INDIRECT(CONCATENATE("'",$A$450,"'!o",B478),1)</f>
        <v>173.4</v>
      </c>
      <c r="R478" s="1" cm="1">
        <f t="array" aca="1" ref="R478" ca="1">INDIRECT(CONCATENATE("'",$A$450,"'!p",B478),1)</f>
        <v>0</v>
      </c>
      <c r="S478" s="1">
        <f t="shared" ca="1" si="38"/>
        <v>0</v>
      </c>
      <c r="T478" s="1" t="str" cm="1">
        <f t="array" aca="1" ref="T478" ca="1">INDIRECT(CONCATENATE("'",$A$450,"'!q",B478),1)</f>
        <v>Залилов Р.Ю.</v>
      </c>
      <c r="U478" s="1" cm="1">
        <f t="array" aca="1" ref="U478" ca="1">INDIRECT(CONCATENATE("'",$A$450,"'!r",B478),1)</f>
        <v>6</v>
      </c>
      <c r="V478" s="1" t="str" cm="1">
        <f t="array" aca="1" ref="V478" ca="1">INDIRECT(CONCATENATE("'",$A$450,"'!s",B478),1)</f>
        <v>Соколова Г.Ю.</v>
      </c>
      <c r="W478" s="1" cm="1">
        <f t="array" aca="1" ref="W478" ca="1">INDIRECT(CONCATENATE("'",$A$450,"'!t",B478),1)</f>
        <v>6.4</v>
      </c>
      <c r="X478" s="1" t="str" cm="1">
        <f t="array" aca="1" ref="X478" ca="1">INDIRECT(CONCATENATE("'",$A$450,"'!u",B478),1)</f>
        <v>Архипова Г.А.</v>
      </c>
      <c r="Y478" s="1" cm="1">
        <f t="array" aca="1" ref="Y478" ca="1">INDIRECT(CONCATENATE("'",$A$450,"'!v",B478),1)</f>
        <v>6</v>
      </c>
    </row>
    <row r="479" spans="2:25" ht="45" hidden="1" x14ac:dyDescent="0.25">
      <c r="B479" s="24">
        <f t="shared" si="39"/>
        <v>31</v>
      </c>
      <c r="C479" s="1" t="str" cm="1">
        <f t="array" aca="1" ref="C479" ca="1">INDIRECT(CONCATENATE("'",$A$450,"'!A",B479),1)</f>
        <v>Выполнение и защита выпускной квалификационной работы</v>
      </c>
      <c r="D479" s="1" t="str" cm="1">
        <f t="array" aca="1" ref="D479" ca="1">INDIRECT(CONCATENATE("'",$A$450,"'!B",B479),1)</f>
        <v xml:space="preserve">09.03.01(09у) </v>
      </c>
      <c r="E479" s="1" t="str" cm="1">
        <f t="array" aca="1" ref="E479" ca="1">INDIRECT(CONCATENATE("'",$A$450,"'!c",B479),1)</f>
        <v>3094зу</v>
      </c>
      <c r="F479" s="1" cm="1">
        <f t="array" aca="1" ref="F479" ca="1">INDIRECT(CONCATENATE("'",$A$450,"'!d",B479),1)</f>
        <v>5</v>
      </c>
      <c r="G479" s="1" cm="1">
        <f t="array" aca="1" ref="G479" ca="1">INDIRECT(CONCATENATE("'",$A$450,"'!e",B479),1)</f>
        <v>1</v>
      </c>
      <c r="H479" s="1" cm="1">
        <f t="array" aca="1" ref="H479" ca="1">INDIRECT(CONCATENATE("'",$A$450,"'!f",B479),1)</f>
        <v>17</v>
      </c>
      <c r="I479" s="1" t="str" cm="1">
        <f t="array" aca="1" ref="I479" ca="1">INDIRECT(CONCATENATE("'",$A$450,"'!g",B479),1)</f>
        <v>ДЗ</v>
      </c>
      <c r="J479" s="1" cm="1">
        <f t="array" aca="1" ref="J479" ca="1">INDIRECT(CONCATENATE("'",$A$450,"'!h",B479),1)</f>
        <v>9</v>
      </c>
      <c r="K479" s="1" cm="1">
        <f t="array" aca="1" ref="K479" ca="1">INDIRECT(CONCATENATE("'",$A$450,"'!i",B479),1)</f>
        <v>0</v>
      </c>
      <c r="L479" s="1" cm="1">
        <f t="array" aca="1" ref="L479" ca="1">INDIRECT(CONCATENATE("'",$A$450,"'!j",B479),1)</f>
        <v>2</v>
      </c>
      <c r="M479" s="1" cm="1">
        <f t="array" aca="1" ref="M479" ca="1">INDIRECT(CONCATENATE("'",$A$450,"'!k",B479),1)</f>
        <v>0</v>
      </c>
      <c r="N479" s="1" t="str" cm="1">
        <f t="array" aca="1" ref="N479" ca="1">INDIRECT(CONCATENATE("'",$A$450,"'!l",B479),1)</f>
        <v>ЧленКомиссииЧленКомиссииЧленКомиссии</v>
      </c>
      <c r="O479" s="1" cm="1">
        <f t="array" aca="1" ref="O479" ca="1">INDIRECT(CONCATENATE("'",$A$450,"'!m",B479),1)</f>
        <v>3300</v>
      </c>
      <c r="P479" s="1" t="str" cm="1">
        <f t="array" aca="1" ref="P479" ca="1">INDIRECT(CONCATENATE("'",$A$450,"'!n",B479),1)</f>
        <v>Защита</v>
      </c>
      <c r="Q479" s="1" cm="1">
        <f t="array" aca="1" ref="Q479" ca="1">INDIRECT(CONCATENATE("'",$A$450,"'!o",B479),1)</f>
        <v>173.4</v>
      </c>
      <c r="R479" s="1" cm="1">
        <f t="array" aca="1" ref="R479" ca="1">INDIRECT(CONCATENATE("'",$A$450,"'!p",B479),1)</f>
        <v>0</v>
      </c>
      <c r="S479" s="1">
        <f t="shared" ca="1" si="38"/>
        <v>0</v>
      </c>
      <c r="T479" s="1" t="str" cm="1">
        <f t="array" aca="1" ref="T479" ca="1">INDIRECT(CONCATENATE("'",$A$450,"'!q",B479),1)</f>
        <v>ЧленКомиссии</v>
      </c>
      <c r="U479" s="1" cm="1">
        <f t="array" aca="1" ref="U479" ca="1">INDIRECT(CONCATENATE("'",$A$450,"'!r",B479),1)</f>
        <v>6</v>
      </c>
      <c r="V479" s="1" t="str" cm="1">
        <f t="array" aca="1" ref="V479" ca="1">INDIRECT(CONCATENATE("'",$A$450,"'!s",B479),1)</f>
        <v>ЧленКомиссии</v>
      </c>
      <c r="W479" s="1" cm="1">
        <f t="array" aca="1" ref="W479" ca="1">INDIRECT(CONCATENATE("'",$A$450,"'!t",B479),1)</f>
        <v>6</v>
      </c>
      <c r="X479" s="1" t="str" cm="1">
        <f t="array" aca="1" ref="X479" ca="1">INDIRECT(CONCATENATE("'",$A$450,"'!u",B479),1)</f>
        <v>ЧленКомиссии</v>
      </c>
      <c r="Y479" s="1" cm="1">
        <f t="array" aca="1" ref="Y479" ca="1">INDIRECT(CONCATENATE("'",$A$450,"'!v",B479),1)</f>
        <v>6</v>
      </c>
    </row>
    <row r="480" spans="2:25" ht="45" hidden="1" x14ac:dyDescent="0.25">
      <c r="B480" s="24">
        <f t="shared" si="39"/>
        <v>32</v>
      </c>
      <c r="C480" s="1" t="str" cm="1">
        <f t="array" aca="1" ref="C480" ca="1">INDIRECT(CONCATENATE("'",$A$450,"'!A",B480),1)</f>
        <v>Выполнение и защита выпускной квалификационной работы</v>
      </c>
      <c r="D480" s="1" t="str" cm="1">
        <f t="array" aca="1" ref="D480" ca="1">INDIRECT(CONCATENATE("'",$A$450,"'!B",B480),1)</f>
        <v xml:space="preserve">09.03.01(09у) </v>
      </c>
      <c r="E480" s="1" t="str" cm="1">
        <f t="array" aca="1" ref="E480" ca="1">INDIRECT(CONCATENATE("'",$A$450,"'!c",B480),1)</f>
        <v>3094зу</v>
      </c>
      <c r="F480" s="1" cm="1">
        <f t="array" aca="1" ref="F480" ca="1">INDIRECT(CONCATENATE("'",$A$450,"'!d",B480),1)</f>
        <v>5</v>
      </c>
      <c r="G480" s="1" cm="1">
        <f t="array" aca="1" ref="G480" ca="1">INDIRECT(CONCATENATE("'",$A$450,"'!e",B480),1)</f>
        <v>1</v>
      </c>
      <c r="H480" s="1" cm="1">
        <f t="array" aca="1" ref="H480" ca="1">INDIRECT(CONCATENATE("'",$A$450,"'!f",B480),1)</f>
        <v>17</v>
      </c>
      <c r="I480" s="1" t="str" cm="1">
        <f t="array" aca="1" ref="I480" ca="1">INDIRECT(CONCATENATE("'",$A$450,"'!g",B480),1)</f>
        <v>ДЗ</v>
      </c>
      <c r="J480" s="1" cm="1">
        <f t="array" aca="1" ref="J480" ca="1">INDIRECT(CONCATENATE("'",$A$450,"'!h",B480),1)</f>
        <v>9</v>
      </c>
      <c r="K480" s="1" cm="1">
        <f t="array" aca="1" ref="K480" ca="1">INDIRECT(CONCATENATE("'",$A$450,"'!i",B480),1)</f>
        <v>0</v>
      </c>
      <c r="L480" s="1" cm="1">
        <f t="array" aca="1" ref="L480" ca="1">INDIRECT(CONCATENATE("'",$A$450,"'!j",B480),1)</f>
        <v>2</v>
      </c>
      <c r="M480" s="1" cm="1">
        <f t="array" aca="1" ref="M480" ca="1">INDIRECT(CONCATENATE("'",$A$450,"'!k",B480),1)</f>
        <v>0</v>
      </c>
      <c r="N480" s="1" t="str" cm="1">
        <f t="array" aca="1" ref="N480" ca="1">INDIRECT(CONCATENATE("'",$A$450,"'!l",B480),1)</f>
        <v>Соколова Г.Ю.</v>
      </c>
      <c r="O480" s="1" cm="1">
        <f t="array" aca="1" ref="O480" ca="1">INDIRECT(CONCATENATE("'",$A$450,"'!m",B480),1)</f>
        <v>3300</v>
      </c>
      <c r="P480" s="1" t="str" cm="1">
        <f t="array" aca="1" ref="P480" ca="1">INDIRECT(CONCATENATE("'",$A$450,"'!n",B480),1)</f>
        <v>Проверка на антиплагиат
защита</v>
      </c>
      <c r="Q480" s="1" cm="1">
        <f t="array" aca="1" ref="Q480" ca="1">INDIRECT(CONCATENATE("'",$A$450,"'!o",B480),1)</f>
        <v>17</v>
      </c>
      <c r="R480" s="1" cm="1">
        <f t="array" aca="1" ref="R480" ca="1">INDIRECT(CONCATENATE("'",$A$450,"'!p",B480),1)</f>
        <v>0</v>
      </c>
      <c r="S480" s="1">
        <f t="shared" ca="1" si="38"/>
        <v>0</v>
      </c>
      <c r="T480" s="1" t="str" cm="1">
        <f t="array" aca="1" ref="T480" ca="1">INDIRECT(CONCATENATE("'",$A$450,"'!q",B480),1)</f>
        <v>Соколова Г.Ю.</v>
      </c>
      <c r="U480" s="1" cm="1">
        <f t="array" aca="1" ref="U480" ca="1">INDIRECT(CONCATENATE("'",$A$450,"'!r",B480),1)</f>
        <v>17</v>
      </c>
      <c r="V480" s="1" cm="1">
        <f t="array" aca="1" ref="V480" ca="1">INDIRECT(CONCATENATE("'",$A$450,"'!s",B480),1)</f>
        <v>0</v>
      </c>
      <c r="W480" s="1" cm="1">
        <f t="array" aca="1" ref="W480" ca="1">INDIRECT(CONCATENATE("'",$A$450,"'!t",B480),1)</f>
        <v>0</v>
      </c>
      <c r="X480" s="1" cm="1">
        <f t="array" aca="1" ref="X480" ca="1">INDIRECT(CONCATENATE("'",$A$450,"'!u",B480),1)</f>
        <v>0</v>
      </c>
      <c r="Y480" s="1" cm="1">
        <f t="array" aca="1" ref="Y480" ca="1">INDIRECT(CONCATENATE("'",$A$450,"'!v",B480),1)</f>
        <v>0</v>
      </c>
    </row>
    <row r="481" spans="2:25" ht="45" hidden="1" x14ac:dyDescent="0.25">
      <c r="B481" s="24">
        <f t="shared" si="39"/>
        <v>33</v>
      </c>
      <c r="C481" s="1" t="str" cm="1">
        <f t="array" aca="1" ref="C481" ca="1">INDIRECT(CONCATENATE("'",$A$450,"'!A",B481),1)</f>
        <v>Выполнение и защита выпускной квалификационной работы</v>
      </c>
      <c r="D481" s="1" t="str" cm="1">
        <f t="array" aca="1" ref="D481" ca="1">INDIRECT(CONCATENATE("'",$A$450,"'!B",B481),1)</f>
        <v xml:space="preserve">09.03.01(09у) </v>
      </c>
      <c r="E481" s="1" t="str" cm="1">
        <f t="array" aca="1" ref="E481" ca="1">INDIRECT(CONCATENATE("'",$A$450,"'!c",B481),1)</f>
        <v>3094зу</v>
      </c>
      <c r="F481" s="1" cm="1">
        <f t="array" aca="1" ref="F481" ca="1">INDIRECT(CONCATENATE("'",$A$450,"'!d",B481),1)</f>
        <v>5</v>
      </c>
      <c r="G481" s="1" cm="1">
        <f t="array" aca="1" ref="G481" ca="1">INDIRECT(CONCATENATE("'",$A$450,"'!e",B481),1)</f>
        <v>1</v>
      </c>
      <c r="H481" s="1" cm="1">
        <f t="array" aca="1" ref="H481" ca="1">INDIRECT(CONCATENATE("'",$A$450,"'!f",B481),1)</f>
        <v>17</v>
      </c>
      <c r="I481" s="1" t="str" cm="1">
        <f t="array" aca="1" ref="I481" ca="1">INDIRECT(CONCATENATE("'",$A$450,"'!g",B481),1)</f>
        <v>ДЗ</v>
      </c>
      <c r="J481" s="1" cm="1">
        <f t="array" aca="1" ref="J481" ca="1">INDIRECT(CONCATENATE("'",$A$450,"'!h",B481),1)</f>
        <v>9</v>
      </c>
      <c r="K481" s="1" cm="1">
        <f t="array" aca="1" ref="K481" ca="1">INDIRECT(CONCATENATE("'",$A$450,"'!i",B481),1)</f>
        <v>0</v>
      </c>
      <c r="L481" s="1" cm="1">
        <f t="array" aca="1" ref="L481" ca="1">INDIRECT(CONCATENATE("'",$A$450,"'!j",B481),1)</f>
        <v>0</v>
      </c>
      <c r="M481" s="1" cm="1">
        <f t="array" aca="1" ref="M481" ca="1">INDIRECT(CONCATENATE("'",$A$450,"'!k",B481),1)</f>
        <v>0</v>
      </c>
      <c r="N481" s="1" t="str" cm="1">
        <f t="array" aca="1" ref="N481" ca="1">INDIRECT(CONCATENATE("'",$A$450,"'!l",B481),1)</f>
        <v>Залилов Р.Ю.Соколова Г.Ю.Телина И.С.</v>
      </c>
      <c r="O481" s="1" cm="1">
        <f t="array" aca="1" ref="O481" ca="1">INDIRECT(CONCATENATE("'",$A$450,"'!m",B481),1)</f>
        <v>3300</v>
      </c>
      <c r="P481" s="1" t="str" cm="1">
        <f t="array" aca="1" ref="P481" ca="1">INDIRECT(CONCATENATE("'",$A$450,"'!n",B481),1)</f>
        <v>руководство ДП 4 человека</v>
      </c>
      <c r="Q481" s="1" cm="1">
        <f t="array" aca="1" ref="Q481" ca="1">INDIRECT(CONCATENATE("'",$A$450,"'!o",B481),1)</f>
        <v>48</v>
      </c>
      <c r="R481" s="1" cm="1">
        <f t="array" aca="1" ref="R481" ca="1">INDIRECT(CONCATENATE("'",$A$450,"'!p",B481),1)</f>
        <v>0</v>
      </c>
      <c r="S481" s="1">
        <f t="shared" ca="1" si="38"/>
        <v>0</v>
      </c>
      <c r="T481" s="1" t="str" cm="1">
        <f t="array" aca="1" ref="T481" ca="1">INDIRECT(CONCATENATE("'",$A$450,"'!q",B481),1)</f>
        <v>Залилов Р.Ю.</v>
      </c>
      <c r="U481" s="1" cm="1">
        <f t="array" aca="1" ref="U481" ca="1">INDIRECT(CONCATENATE("'",$A$450,"'!r",B481),1)</f>
        <v>16</v>
      </c>
      <c r="V481" s="1" t="str" cm="1">
        <f t="array" aca="1" ref="V481" ca="1">INDIRECT(CONCATENATE("'",$A$450,"'!s",B481),1)</f>
        <v>Соколова Г.Ю.</v>
      </c>
      <c r="W481" s="1" cm="1">
        <f t="array" aca="1" ref="W481" ca="1">INDIRECT(CONCATENATE("'",$A$450,"'!t",B481),1)</f>
        <v>16</v>
      </c>
      <c r="X481" s="1" t="str" cm="1">
        <f t="array" aca="1" ref="X481" ca="1">INDIRECT(CONCATENATE("'",$A$450,"'!u",B481),1)</f>
        <v>Телина И.С.</v>
      </c>
      <c r="Y481" s="1" cm="1">
        <f t="array" aca="1" ref="Y481" ca="1">INDIRECT(CONCATENATE("'",$A$450,"'!v",B481),1)</f>
        <v>16</v>
      </c>
    </row>
    <row r="482" spans="2:25" ht="45" hidden="1" x14ac:dyDescent="0.25">
      <c r="B482" s="24">
        <f t="shared" si="39"/>
        <v>34</v>
      </c>
      <c r="C482" s="1" t="str" cm="1">
        <f t="array" aca="1" ref="C482" ca="1">INDIRECT(CONCATENATE("'",$A$450,"'!A",B482),1)</f>
        <v>Выполнение и защита выпускной квалификационной работы</v>
      </c>
      <c r="D482" s="1" t="str" cm="1">
        <f t="array" aca="1" ref="D482" ca="1">INDIRECT(CONCATENATE("'",$A$450,"'!B",B482),1)</f>
        <v xml:space="preserve">09.03.01(09у) </v>
      </c>
      <c r="E482" s="1" t="str" cm="1">
        <f t="array" aca="1" ref="E482" ca="1">INDIRECT(CONCATENATE("'",$A$450,"'!c",B482),1)</f>
        <v>3094зу</v>
      </c>
      <c r="F482" s="1" cm="1">
        <f t="array" aca="1" ref="F482" ca="1">INDIRECT(CONCATENATE("'",$A$450,"'!d",B482),1)</f>
        <v>5</v>
      </c>
      <c r="G482" s="1" cm="1">
        <f t="array" aca="1" ref="G482" ca="1">INDIRECT(CONCATENATE("'",$A$450,"'!e",B482),1)</f>
        <v>1</v>
      </c>
      <c r="H482" s="1" cm="1">
        <f t="array" aca="1" ref="H482" ca="1">INDIRECT(CONCATENATE("'",$A$450,"'!f",B482),1)</f>
        <v>17</v>
      </c>
      <c r="I482" s="1" t="str" cm="1">
        <f t="array" aca="1" ref="I482" ca="1">INDIRECT(CONCATENATE("'",$A$450,"'!g",B482),1)</f>
        <v>ДЗ</v>
      </c>
      <c r="J482" s="1" cm="1">
        <f t="array" aca="1" ref="J482" ca="1">INDIRECT(CONCATENATE("'",$A$450,"'!h",B482),1)</f>
        <v>9</v>
      </c>
      <c r="K482" s="1" cm="1">
        <f t="array" aca="1" ref="K482" ca="1">INDIRECT(CONCATENATE("'",$A$450,"'!i",B482),1)</f>
        <v>0</v>
      </c>
      <c r="L482" s="1" cm="1">
        <f t="array" aca="1" ref="L482" ca="1">INDIRECT(CONCATENATE("'",$A$450,"'!j",B482),1)</f>
        <v>0</v>
      </c>
      <c r="M482" s="1" cm="1">
        <f t="array" aca="1" ref="M482" ca="1">INDIRECT(CONCATENATE("'",$A$450,"'!k",B482),1)</f>
        <v>0</v>
      </c>
      <c r="N482" s="1" t="str" cm="1">
        <f t="array" aca="1" ref="N482" ca="1">INDIRECT(CONCATENATE("'",$A$450,"'!l",B482),1)</f>
        <v>Моркин С.А.Эминов С.И.Сазонова Н.В.</v>
      </c>
      <c r="O482" s="1" cm="1">
        <f t="array" aca="1" ref="O482" ca="1">INDIRECT(CONCATENATE("'",$A$450,"'!m",B482),1)</f>
        <v>3300</v>
      </c>
      <c r="P482" s="1" t="str" cm="1">
        <f t="array" aca="1" ref="P482" ca="1">INDIRECT(CONCATENATE("'",$A$450,"'!n",B482),1)</f>
        <v>руководство ДП 3 человека</v>
      </c>
      <c r="Q482" s="1" cm="1">
        <f t="array" aca="1" ref="Q482" ca="1">INDIRECT(CONCATENATE("'",$A$450,"'!o",B482),1)</f>
        <v>36</v>
      </c>
      <c r="R482" s="1" cm="1">
        <f t="array" aca="1" ref="R482" ca="1">INDIRECT(CONCATENATE("'",$A$450,"'!p",B482),1)</f>
        <v>0</v>
      </c>
      <c r="S482" s="1">
        <f t="shared" ca="1" si="38"/>
        <v>0</v>
      </c>
      <c r="T482" s="1" t="str" cm="1">
        <f t="array" aca="1" ref="T482" ca="1">INDIRECT(CONCATENATE("'",$A$450,"'!q",B482),1)</f>
        <v>Моркин С.А.</v>
      </c>
      <c r="U482" s="1" cm="1">
        <f t="array" aca="1" ref="U482" ca="1">INDIRECT(CONCATENATE("'",$A$450,"'!r",B482),1)</f>
        <v>12</v>
      </c>
      <c r="V482" s="1" t="str" cm="1">
        <f t="array" aca="1" ref="V482" ca="1">INDIRECT(CONCATENATE("'",$A$450,"'!s",B482),1)</f>
        <v>Эминов С.И.</v>
      </c>
      <c r="W482" s="1" cm="1">
        <f t="array" aca="1" ref="W482" ca="1">INDIRECT(CONCATENATE("'",$A$450,"'!t",B482),1)</f>
        <v>12</v>
      </c>
      <c r="X482" s="1" t="str" cm="1">
        <f t="array" aca="1" ref="X482" ca="1">INDIRECT(CONCATENATE("'",$A$450,"'!u",B482),1)</f>
        <v>Сазонова Н.В.</v>
      </c>
      <c r="Y482" s="1" cm="1">
        <f t="array" aca="1" ref="Y482" ca="1">INDIRECT(CONCATENATE("'",$A$450,"'!v",B482),1)</f>
        <v>12</v>
      </c>
    </row>
    <row r="483" spans="2:25" ht="45" hidden="1" x14ac:dyDescent="0.25">
      <c r="B483" s="24">
        <f t="shared" si="39"/>
        <v>35</v>
      </c>
      <c r="C483" s="1" t="str" cm="1">
        <f t="array" aca="1" ref="C483" ca="1">INDIRECT(CONCATENATE("'",$A$450,"'!A",B483),1)</f>
        <v>Выполнение и защита выпускной квалификационной работы</v>
      </c>
      <c r="D483" s="1" t="str" cm="1">
        <f t="array" aca="1" ref="D483" ca="1">INDIRECT(CONCATENATE("'",$A$450,"'!B",B483),1)</f>
        <v xml:space="preserve">09.03.01(09у) </v>
      </c>
      <c r="E483" s="1" t="str" cm="1">
        <f t="array" aca="1" ref="E483" ca="1">INDIRECT(CONCATENATE("'",$A$450,"'!c",B483),1)</f>
        <v>3094зу</v>
      </c>
      <c r="F483" s="1" cm="1">
        <f t="array" aca="1" ref="F483" ca="1">INDIRECT(CONCATENATE("'",$A$450,"'!d",B483),1)</f>
        <v>5</v>
      </c>
      <c r="G483" s="1" cm="1">
        <f t="array" aca="1" ref="G483" ca="1">INDIRECT(CONCATENATE("'",$A$450,"'!e",B483),1)</f>
        <v>1</v>
      </c>
      <c r="H483" s="1" cm="1">
        <f t="array" aca="1" ref="H483" ca="1">INDIRECT(CONCATENATE("'",$A$450,"'!f",B483),1)</f>
        <v>17</v>
      </c>
      <c r="I483" s="1" t="str" cm="1">
        <f t="array" aca="1" ref="I483" ca="1">INDIRECT(CONCATENATE("'",$A$450,"'!g",B483),1)</f>
        <v>ДЗ</v>
      </c>
      <c r="J483" s="1" cm="1">
        <f t="array" aca="1" ref="J483" ca="1">INDIRECT(CONCATENATE("'",$A$450,"'!h",B483),1)</f>
        <v>9</v>
      </c>
      <c r="K483" s="1" cm="1">
        <f t="array" aca="1" ref="K483" ca="1">INDIRECT(CONCATENATE("'",$A$450,"'!i",B483),1)</f>
        <v>0</v>
      </c>
      <c r="L483" s="1" cm="1">
        <f t="array" aca="1" ref="L483" ca="1">INDIRECT(CONCATENATE("'",$A$450,"'!j",B483),1)</f>
        <v>0</v>
      </c>
      <c r="M483" s="1" cm="1">
        <f t="array" aca="1" ref="M483" ca="1">INDIRECT(CONCATENATE("'",$A$450,"'!k",B483),1)</f>
        <v>0</v>
      </c>
      <c r="N483" s="1" t="str" cm="1">
        <f t="array" aca="1" ref="N483" ca="1">INDIRECT(CONCATENATE("'",$A$450,"'!l",B483),1)</f>
        <v>Цымбалюк Л.Н.Михайлов Д.В.</v>
      </c>
      <c r="O483" s="1" cm="1">
        <f t="array" aca="1" ref="O483" ca="1">INDIRECT(CONCATENATE("'",$A$450,"'!m",B483),1)</f>
        <v>3300</v>
      </c>
      <c r="P483" s="1" t="str" cm="1">
        <f t="array" aca="1" ref="P483" ca="1">INDIRECT(CONCATENATE("'",$A$450,"'!n",B483),1)</f>
        <v>руководство ДП 3 человека</v>
      </c>
      <c r="Q483" s="1" cm="1">
        <f t="array" aca="1" ref="Q483" ca="1">INDIRECT(CONCATENATE("'",$A$450,"'!o",B483),1)</f>
        <v>36</v>
      </c>
      <c r="R483" s="1" cm="1">
        <f t="array" aca="1" ref="R483" ca="1">INDIRECT(CONCATENATE("'",$A$450,"'!p",B483),1)</f>
        <v>0</v>
      </c>
      <c r="S483" s="1">
        <f t="shared" ca="1" si="38"/>
        <v>0</v>
      </c>
      <c r="T483" s="1" t="str" cm="1">
        <f t="array" aca="1" ref="T483" ca="1">INDIRECT(CONCATENATE("'",$A$450,"'!q",B483),1)</f>
        <v>Цымбалюк Л.Н.</v>
      </c>
      <c r="U483" s="1" cm="1">
        <f t="array" aca="1" ref="U483" ca="1">INDIRECT(CONCATENATE("'",$A$450,"'!r",B483),1)</f>
        <v>12</v>
      </c>
      <c r="V483" s="1" t="str" cm="1">
        <f t="array" aca="1" ref="V483" ca="1">INDIRECT(CONCATENATE("'",$A$450,"'!s",B483),1)</f>
        <v>Михайлов Д.В.</v>
      </c>
      <c r="W483" s="1" cm="1">
        <f t="array" aca="1" ref="W483" ca="1">INDIRECT(CONCATENATE("'",$A$450,"'!t",B483),1)</f>
        <v>12</v>
      </c>
      <c r="X483" s="1" cm="1">
        <f t="array" aca="1" ref="X483" ca="1">INDIRECT(CONCATENATE("'",$A$450,"'!u",B483),1)</f>
        <v>0</v>
      </c>
      <c r="Y483" s="1" cm="1">
        <f t="array" aca="1" ref="Y483" ca="1">INDIRECT(CONCATENATE("'",$A$450,"'!v",B483),1)</f>
        <v>12</v>
      </c>
    </row>
    <row r="484" spans="2:25" hidden="1" x14ac:dyDescent="0.25">
      <c r="B484" s="24">
        <f t="shared" si="39"/>
        <v>36</v>
      </c>
      <c r="C484" s="1" cm="1">
        <f t="array" aca="1" ref="C484" ca="1">INDIRECT(CONCATENATE("'",$A$450,"'!A",B484),1)</f>
        <v>0</v>
      </c>
      <c r="D484" s="1" cm="1">
        <f t="array" aca="1" ref="D484" ca="1">INDIRECT(CONCATENATE("'",$A$450,"'!B",B484),1)</f>
        <v>0</v>
      </c>
      <c r="E484" s="1" cm="1">
        <f t="array" aca="1" ref="E484" ca="1">INDIRECT(CONCATENATE("'",$A$450,"'!c",B484),1)</f>
        <v>0</v>
      </c>
      <c r="F484" s="1" cm="1">
        <f t="array" aca="1" ref="F484" ca="1">INDIRECT(CONCATENATE("'",$A$450,"'!d",B484),1)</f>
        <v>0</v>
      </c>
      <c r="G484" s="1" cm="1">
        <f t="array" aca="1" ref="G484" ca="1">INDIRECT(CONCATENATE("'",$A$450,"'!e",B484),1)</f>
        <v>0</v>
      </c>
      <c r="H484" s="1" cm="1">
        <f t="array" aca="1" ref="H484" ca="1">INDIRECT(CONCATENATE("'",$A$450,"'!f",B484),1)</f>
        <v>0</v>
      </c>
      <c r="I484" s="1" cm="1">
        <f t="array" aca="1" ref="I484" ca="1">INDIRECT(CONCATENATE("'",$A$450,"'!g",B484),1)</f>
        <v>0</v>
      </c>
      <c r="J484" s="1" cm="1">
        <f t="array" aca="1" ref="J484" ca="1">INDIRECT(CONCATENATE("'",$A$450,"'!h",B484),1)</f>
        <v>0</v>
      </c>
      <c r="K484" s="1" cm="1">
        <f t="array" aca="1" ref="K484" ca="1">INDIRECT(CONCATENATE("'",$A$450,"'!i",B484),1)</f>
        <v>0</v>
      </c>
      <c r="L484" s="1" cm="1">
        <f t="array" aca="1" ref="L484" ca="1">INDIRECT(CONCATENATE("'",$A$450,"'!j",B484),1)</f>
        <v>0</v>
      </c>
      <c r="M484" s="1" cm="1">
        <f t="array" aca="1" ref="M484" ca="1">INDIRECT(CONCATENATE("'",$A$450,"'!k",B484),1)</f>
        <v>0</v>
      </c>
      <c r="N484" s="1" cm="1">
        <f t="array" aca="1" ref="N484" ca="1">INDIRECT(CONCATENATE("'",$A$450,"'!l",B484),1)</f>
        <v>0</v>
      </c>
      <c r="O484" s="1" cm="1">
        <f t="array" aca="1" ref="O484" ca="1">INDIRECT(CONCATENATE("'",$A$450,"'!m",B484),1)</f>
        <v>0</v>
      </c>
      <c r="P484" s="1" cm="1">
        <f t="array" aca="1" ref="P484" ca="1">INDIRECT(CONCATENATE("'",$A$450,"'!n",B484),1)</f>
        <v>0</v>
      </c>
      <c r="Q484" s="1" cm="1">
        <f t="array" aca="1" ref="Q484" ca="1">INDIRECT(CONCATENATE("'",$A$450,"'!o",B484),1)</f>
        <v>0</v>
      </c>
      <c r="R484" s="1" cm="1">
        <f t="array" aca="1" ref="R484" ca="1">INDIRECT(CONCATENATE("'",$A$450,"'!p",B484),1)</f>
        <v>0</v>
      </c>
      <c r="S484" s="1">
        <f t="shared" ca="1" si="38"/>
        <v>0</v>
      </c>
      <c r="T484" s="1" cm="1">
        <f t="array" aca="1" ref="T484" ca="1">INDIRECT(CONCATENATE("'",$A$450,"'!q",B484),1)</f>
        <v>0</v>
      </c>
      <c r="U484" s="1" cm="1">
        <f t="array" aca="1" ref="U484" ca="1">INDIRECT(CONCATENATE("'",$A$450,"'!r",B484),1)</f>
        <v>0</v>
      </c>
      <c r="V484" s="1" cm="1">
        <f t="array" aca="1" ref="V484" ca="1">INDIRECT(CONCATENATE("'",$A$450,"'!s",B484),1)</f>
        <v>0</v>
      </c>
      <c r="W484" s="1" cm="1">
        <f t="array" aca="1" ref="W484" ca="1">INDIRECT(CONCATENATE("'",$A$450,"'!t",B484),1)</f>
        <v>0</v>
      </c>
      <c r="X484" s="1" cm="1">
        <f t="array" aca="1" ref="X484" ca="1">INDIRECT(CONCATENATE("'",$A$450,"'!u",B484),1)</f>
        <v>0</v>
      </c>
      <c r="Y484" s="1" cm="1">
        <f t="array" aca="1" ref="Y484" ca="1">INDIRECT(CONCATENATE("'",$A$450,"'!v",B484),1)</f>
        <v>0</v>
      </c>
    </row>
    <row r="485" spans="2:25" hidden="1" x14ac:dyDescent="0.25">
      <c r="B485" s="24">
        <f t="shared" si="39"/>
        <v>37</v>
      </c>
      <c r="C485" s="1" cm="1">
        <f t="array" aca="1" ref="C485" ca="1">INDIRECT(CONCATENATE("'",$A$450,"'!A",B485),1)</f>
        <v>0</v>
      </c>
      <c r="D485" s="1" cm="1">
        <f t="array" aca="1" ref="D485" ca="1">INDIRECT(CONCATENATE("'",$A$450,"'!B",B485),1)</f>
        <v>0</v>
      </c>
      <c r="E485" s="1" cm="1">
        <f t="array" aca="1" ref="E485" ca="1">INDIRECT(CONCATENATE("'",$A$450,"'!c",B485),1)</f>
        <v>0</v>
      </c>
      <c r="F485" s="1" cm="1">
        <f t="array" aca="1" ref="F485" ca="1">INDIRECT(CONCATENATE("'",$A$450,"'!d",B485),1)</f>
        <v>0</v>
      </c>
      <c r="G485" s="1" cm="1">
        <f t="array" aca="1" ref="G485" ca="1">INDIRECT(CONCATENATE("'",$A$450,"'!e",B485),1)</f>
        <v>0</v>
      </c>
      <c r="H485" s="1" cm="1">
        <f t="array" aca="1" ref="H485" ca="1">INDIRECT(CONCATENATE("'",$A$450,"'!f",B485),1)</f>
        <v>0</v>
      </c>
      <c r="I485" s="1" cm="1">
        <f t="array" aca="1" ref="I485" ca="1">INDIRECT(CONCATENATE("'",$A$450,"'!g",B485),1)</f>
        <v>0</v>
      </c>
      <c r="J485" s="1" cm="1">
        <f t="array" aca="1" ref="J485" ca="1">INDIRECT(CONCATENATE("'",$A$450,"'!h",B485),1)</f>
        <v>0</v>
      </c>
      <c r="K485" s="1" cm="1">
        <f t="array" aca="1" ref="K485" ca="1">INDIRECT(CONCATENATE("'",$A$450,"'!i",B485),1)</f>
        <v>0</v>
      </c>
      <c r="L485" s="1" cm="1">
        <f t="array" aca="1" ref="L485" ca="1">INDIRECT(CONCATENATE("'",$A$450,"'!j",B485),1)</f>
        <v>0</v>
      </c>
      <c r="M485" s="1" cm="1">
        <f t="array" aca="1" ref="M485" ca="1">INDIRECT(CONCATENATE("'",$A$450,"'!k",B485),1)</f>
        <v>0</v>
      </c>
      <c r="N485" s="1" cm="1">
        <f t="array" aca="1" ref="N485" ca="1">INDIRECT(CONCATENATE("'",$A$450,"'!l",B485),1)</f>
        <v>0</v>
      </c>
      <c r="O485" s="1" cm="1">
        <f t="array" aca="1" ref="O485" ca="1">INDIRECT(CONCATENATE("'",$A$450,"'!m",B485),1)</f>
        <v>0</v>
      </c>
      <c r="P485" s="1" cm="1">
        <f t="array" aca="1" ref="P485" ca="1">INDIRECT(CONCATENATE("'",$A$450,"'!n",B485),1)</f>
        <v>0</v>
      </c>
      <c r="Q485" s="1" cm="1">
        <f t="array" aca="1" ref="Q485" ca="1">INDIRECT(CONCATENATE("'",$A$450,"'!o",B485),1)</f>
        <v>0</v>
      </c>
      <c r="R485" s="1" cm="1">
        <f t="array" aca="1" ref="R485" ca="1">INDIRECT(CONCATENATE("'",$A$450,"'!p",B485),1)</f>
        <v>0</v>
      </c>
      <c r="S485" s="1">
        <f t="shared" ca="1" si="38"/>
        <v>0</v>
      </c>
      <c r="T485" s="1" cm="1">
        <f t="array" aca="1" ref="T485" ca="1">INDIRECT(CONCATENATE("'",$A$450,"'!q",B485),1)</f>
        <v>0</v>
      </c>
      <c r="U485" s="1" cm="1">
        <f t="array" aca="1" ref="U485" ca="1">INDIRECT(CONCATENATE("'",$A$450,"'!r",B485),1)</f>
        <v>0</v>
      </c>
      <c r="V485" s="1" cm="1">
        <f t="array" aca="1" ref="V485" ca="1">INDIRECT(CONCATENATE("'",$A$450,"'!s",B485),1)</f>
        <v>0</v>
      </c>
      <c r="W485" s="1" cm="1">
        <f t="array" aca="1" ref="W485" ca="1">INDIRECT(CONCATENATE("'",$A$450,"'!t",B485),1)</f>
        <v>0</v>
      </c>
      <c r="X485" s="1" cm="1">
        <f t="array" aca="1" ref="X485" ca="1">INDIRECT(CONCATENATE("'",$A$450,"'!u",B485),1)</f>
        <v>0</v>
      </c>
      <c r="Y485" s="1" cm="1">
        <f t="array" aca="1" ref="Y485" ca="1">INDIRECT(CONCATENATE("'",$A$450,"'!v",B485),1)</f>
        <v>0</v>
      </c>
    </row>
    <row r="486" spans="2:25" hidden="1" x14ac:dyDescent="0.25">
      <c r="B486" s="24">
        <f t="shared" si="39"/>
        <v>38</v>
      </c>
      <c r="C486" s="1" cm="1">
        <f t="array" aca="1" ref="C486" ca="1">INDIRECT(CONCATENATE("'",$A$450,"'!A",B486),1)</f>
        <v>0</v>
      </c>
      <c r="D486" s="1" cm="1">
        <f t="array" aca="1" ref="D486" ca="1">INDIRECT(CONCATENATE("'",$A$450,"'!B",B486),1)</f>
        <v>0</v>
      </c>
      <c r="E486" s="1" cm="1">
        <f t="array" aca="1" ref="E486" ca="1">INDIRECT(CONCATENATE("'",$A$450,"'!c",B486),1)</f>
        <v>0</v>
      </c>
      <c r="F486" s="1" cm="1">
        <f t="array" aca="1" ref="F486" ca="1">INDIRECT(CONCATENATE("'",$A$450,"'!d",B486),1)</f>
        <v>0</v>
      </c>
      <c r="G486" s="1" cm="1">
        <f t="array" aca="1" ref="G486" ca="1">INDIRECT(CONCATENATE("'",$A$450,"'!e",B486),1)</f>
        <v>0</v>
      </c>
      <c r="H486" s="1" cm="1">
        <f t="array" aca="1" ref="H486" ca="1">INDIRECT(CONCATENATE("'",$A$450,"'!f",B486),1)</f>
        <v>0</v>
      </c>
      <c r="I486" s="1" cm="1">
        <f t="array" aca="1" ref="I486" ca="1">INDIRECT(CONCATENATE("'",$A$450,"'!g",B486),1)</f>
        <v>0</v>
      </c>
      <c r="J486" s="1" cm="1">
        <f t="array" aca="1" ref="J486" ca="1">INDIRECT(CONCATENATE("'",$A$450,"'!h",B486),1)</f>
        <v>0</v>
      </c>
      <c r="K486" s="1" cm="1">
        <f t="array" aca="1" ref="K486" ca="1">INDIRECT(CONCATENATE("'",$A$450,"'!i",B486),1)</f>
        <v>0</v>
      </c>
      <c r="L486" s="1" cm="1">
        <f t="array" aca="1" ref="L486" ca="1">INDIRECT(CONCATENATE("'",$A$450,"'!j",B486),1)</f>
        <v>0</v>
      </c>
      <c r="M486" s="1" cm="1">
        <f t="array" aca="1" ref="M486" ca="1">INDIRECT(CONCATENATE("'",$A$450,"'!k",B486),1)</f>
        <v>0</v>
      </c>
      <c r="N486" s="1" cm="1">
        <f t="array" aca="1" ref="N486" ca="1">INDIRECT(CONCATENATE("'",$A$450,"'!l",B486),1)</f>
        <v>0</v>
      </c>
      <c r="O486" s="1" cm="1">
        <f t="array" aca="1" ref="O486" ca="1">INDIRECT(CONCATENATE("'",$A$450,"'!m",B486),1)</f>
        <v>0</v>
      </c>
      <c r="P486" s="1" cm="1">
        <f t="array" aca="1" ref="P486" ca="1">INDIRECT(CONCATENATE("'",$A$450,"'!n",B486),1)</f>
        <v>0</v>
      </c>
      <c r="Q486" s="1" cm="1">
        <f t="array" aca="1" ref="Q486" ca="1">INDIRECT(CONCATENATE("'",$A$450,"'!o",B486),1)</f>
        <v>0</v>
      </c>
      <c r="R486" s="1" cm="1">
        <f t="array" aca="1" ref="R486" ca="1">INDIRECT(CONCATENATE("'",$A$450,"'!p",B486),1)</f>
        <v>0</v>
      </c>
      <c r="S486" s="1">
        <f t="shared" ca="1" si="38"/>
        <v>0</v>
      </c>
      <c r="T486" s="1" cm="1">
        <f t="array" aca="1" ref="T486" ca="1">INDIRECT(CONCATENATE("'",$A$450,"'!q",B486),1)</f>
        <v>0</v>
      </c>
      <c r="U486" s="1" cm="1">
        <f t="array" aca="1" ref="U486" ca="1">INDIRECT(CONCATENATE("'",$A$450,"'!r",B486),1)</f>
        <v>0</v>
      </c>
      <c r="V486" s="1" cm="1">
        <f t="array" aca="1" ref="V486" ca="1">INDIRECT(CONCATENATE("'",$A$450,"'!s",B486),1)</f>
        <v>0</v>
      </c>
      <c r="W486" s="1" cm="1">
        <f t="array" aca="1" ref="W486" ca="1">INDIRECT(CONCATENATE("'",$A$450,"'!t",B486),1)</f>
        <v>0</v>
      </c>
      <c r="X486" s="1" cm="1">
        <f t="array" aca="1" ref="X486" ca="1">INDIRECT(CONCATENATE("'",$A$450,"'!u",B486),1)</f>
        <v>0</v>
      </c>
      <c r="Y486" s="1" cm="1">
        <f t="array" aca="1" ref="Y486" ca="1">INDIRECT(CONCATENATE("'",$A$450,"'!v",B486),1)</f>
        <v>0</v>
      </c>
    </row>
    <row r="487" spans="2:25" hidden="1" x14ac:dyDescent="0.25">
      <c r="B487" s="24">
        <f t="shared" si="39"/>
        <v>39</v>
      </c>
      <c r="C487" s="1" cm="1">
        <f t="array" aca="1" ref="C487" ca="1">INDIRECT(CONCATENATE("'",$A$450,"'!A",B487),1)</f>
        <v>0</v>
      </c>
      <c r="D487" s="1" cm="1">
        <f t="array" aca="1" ref="D487" ca="1">INDIRECT(CONCATENATE("'",$A$450,"'!B",B487),1)</f>
        <v>0</v>
      </c>
      <c r="E487" s="1" cm="1">
        <f t="array" aca="1" ref="E487" ca="1">INDIRECT(CONCATENATE("'",$A$450,"'!c",B487),1)</f>
        <v>0</v>
      </c>
      <c r="F487" s="1" cm="1">
        <f t="array" aca="1" ref="F487" ca="1">INDIRECT(CONCATENATE("'",$A$450,"'!d",B487),1)</f>
        <v>0</v>
      </c>
      <c r="G487" s="1" cm="1">
        <f t="array" aca="1" ref="G487" ca="1">INDIRECT(CONCATENATE("'",$A$450,"'!e",B487),1)</f>
        <v>0</v>
      </c>
      <c r="H487" s="1" cm="1">
        <f t="array" aca="1" ref="H487" ca="1">INDIRECT(CONCATENATE("'",$A$450,"'!f",B487),1)</f>
        <v>0</v>
      </c>
      <c r="I487" s="1" cm="1">
        <f t="array" aca="1" ref="I487" ca="1">INDIRECT(CONCATENATE("'",$A$450,"'!g",B487),1)</f>
        <v>0</v>
      </c>
      <c r="J487" s="1" cm="1">
        <f t="array" aca="1" ref="J487" ca="1">INDIRECT(CONCATENATE("'",$A$450,"'!h",B487),1)</f>
        <v>0</v>
      </c>
      <c r="K487" s="1" cm="1">
        <f t="array" aca="1" ref="K487" ca="1">INDIRECT(CONCATENATE("'",$A$450,"'!i",B487),1)</f>
        <v>0</v>
      </c>
      <c r="L487" s="1" cm="1">
        <f t="array" aca="1" ref="L487" ca="1">INDIRECT(CONCATENATE("'",$A$450,"'!j",B487),1)</f>
        <v>0</v>
      </c>
      <c r="M487" s="1" cm="1">
        <f t="array" aca="1" ref="M487" ca="1">INDIRECT(CONCATENATE("'",$A$450,"'!k",B487),1)</f>
        <v>0</v>
      </c>
      <c r="N487" s="1" cm="1">
        <f t="array" aca="1" ref="N487" ca="1">INDIRECT(CONCATENATE("'",$A$450,"'!l",B487),1)</f>
        <v>0</v>
      </c>
      <c r="O487" s="1" cm="1">
        <f t="array" aca="1" ref="O487" ca="1">INDIRECT(CONCATENATE("'",$A$450,"'!m",B487),1)</f>
        <v>0</v>
      </c>
      <c r="P487" s="1" cm="1">
        <f t="array" aca="1" ref="P487" ca="1">INDIRECT(CONCATENATE("'",$A$450,"'!n",B487),1)</f>
        <v>0</v>
      </c>
      <c r="Q487" s="1" cm="1">
        <f t="array" aca="1" ref="Q487" ca="1">INDIRECT(CONCATENATE("'",$A$450,"'!o",B487),1)</f>
        <v>0</v>
      </c>
      <c r="R487" s="1" cm="1">
        <f t="array" aca="1" ref="R487" ca="1">INDIRECT(CONCATENATE("'",$A$450,"'!p",B487),1)</f>
        <v>0</v>
      </c>
      <c r="S487" s="1">
        <f t="shared" ref="S487:S500" ca="1" si="40">SUMIFS(U487,T487,$N$1)+SUMIFS(W487,V487,$N$1)+SUMIFS(Y487,X487,$N$1)</f>
        <v>0</v>
      </c>
      <c r="T487" s="1" cm="1">
        <f t="array" aca="1" ref="T487" ca="1">INDIRECT(CONCATENATE("'",$A$450,"'!q",B487),1)</f>
        <v>0</v>
      </c>
      <c r="U487" s="1" cm="1">
        <f t="array" aca="1" ref="U487" ca="1">INDIRECT(CONCATENATE("'",$A$450,"'!r",B487),1)</f>
        <v>0</v>
      </c>
      <c r="V487" s="1" cm="1">
        <f t="array" aca="1" ref="V487" ca="1">INDIRECT(CONCATENATE("'",$A$450,"'!s",B487),1)</f>
        <v>0</v>
      </c>
      <c r="W487" s="1" cm="1">
        <f t="array" aca="1" ref="W487" ca="1">INDIRECT(CONCATENATE("'",$A$450,"'!t",B487),1)</f>
        <v>0</v>
      </c>
      <c r="X487" s="1" cm="1">
        <f t="array" aca="1" ref="X487" ca="1">INDIRECT(CONCATENATE("'",$A$450,"'!u",B487),1)</f>
        <v>0</v>
      </c>
      <c r="Y487" s="1" cm="1">
        <f t="array" aca="1" ref="Y487" ca="1">INDIRECT(CONCATENATE("'",$A$450,"'!v",B487),1)</f>
        <v>0</v>
      </c>
    </row>
    <row r="488" spans="2:25" hidden="1" x14ac:dyDescent="0.25">
      <c r="B488" s="24">
        <f t="shared" si="39"/>
        <v>40</v>
      </c>
      <c r="C488" s="1" cm="1">
        <f t="array" aca="1" ref="C488" ca="1">INDIRECT(CONCATENATE("'",$A$450,"'!A",B488),1)</f>
        <v>0</v>
      </c>
      <c r="D488" s="1" cm="1">
        <f t="array" aca="1" ref="D488" ca="1">INDIRECT(CONCATENATE("'",$A$450,"'!B",B488),1)</f>
        <v>0</v>
      </c>
      <c r="E488" s="1" cm="1">
        <f t="array" aca="1" ref="E488" ca="1">INDIRECT(CONCATENATE("'",$A$450,"'!c",B488),1)</f>
        <v>0</v>
      </c>
      <c r="F488" s="1" cm="1">
        <f t="array" aca="1" ref="F488" ca="1">INDIRECT(CONCATENATE("'",$A$450,"'!d",B488),1)</f>
        <v>0</v>
      </c>
      <c r="G488" s="1" cm="1">
        <f t="array" aca="1" ref="G488" ca="1">INDIRECT(CONCATENATE("'",$A$450,"'!e",B488),1)</f>
        <v>0</v>
      </c>
      <c r="H488" s="1" cm="1">
        <f t="array" aca="1" ref="H488" ca="1">INDIRECT(CONCATENATE("'",$A$450,"'!f",B488),1)</f>
        <v>0</v>
      </c>
      <c r="I488" s="1" cm="1">
        <f t="array" aca="1" ref="I488" ca="1">INDIRECT(CONCATENATE("'",$A$450,"'!g",B488),1)</f>
        <v>0</v>
      </c>
      <c r="J488" s="1" cm="1">
        <f t="array" aca="1" ref="J488" ca="1">INDIRECT(CONCATENATE("'",$A$450,"'!h",B488),1)</f>
        <v>0</v>
      </c>
      <c r="K488" s="1" cm="1">
        <f t="array" aca="1" ref="K488" ca="1">INDIRECT(CONCATENATE("'",$A$450,"'!i",B488),1)</f>
        <v>0</v>
      </c>
      <c r="L488" s="1" cm="1">
        <f t="array" aca="1" ref="L488" ca="1">INDIRECT(CONCATENATE("'",$A$450,"'!j",B488),1)</f>
        <v>0</v>
      </c>
      <c r="M488" s="1" cm="1">
        <f t="array" aca="1" ref="M488" ca="1">INDIRECT(CONCATENATE("'",$A$450,"'!k",B488),1)</f>
        <v>0</v>
      </c>
      <c r="N488" s="1" cm="1">
        <f t="array" aca="1" ref="N488" ca="1">INDIRECT(CONCATENATE("'",$A$450,"'!l",B488),1)</f>
        <v>0</v>
      </c>
      <c r="O488" s="1" cm="1">
        <f t="array" aca="1" ref="O488" ca="1">INDIRECT(CONCATENATE("'",$A$450,"'!m",B488),1)</f>
        <v>0</v>
      </c>
      <c r="P488" s="1" cm="1">
        <f t="array" aca="1" ref="P488" ca="1">INDIRECT(CONCATENATE("'",$A$450,"'!n",B488),1)</f>
        <v>0</v>
      </c>
      <c r="Q488" s="1" cm="1">
        <f t="array" aca="1" ref="Q488" ca="1">INDIRECT(CONCATENATE("'",$A$450,"'!o",B488),1)</f>
        <v>0</v>
      </c>
      <c r="R488" s="1" cm="1">
        <f t="array" aca="1" ref="R488" ca="1">INDIRECT(CONCATENATE("'",$A$450,"'!p",B488),1)</f>
        <v>0</v>
      </c>
      <c r="S488" s="1">
        <f t="shared" ca="1" si="40"/>
        <v>0</v>
      </c>
      <c r="T488" s="1" cm="1">
        <f t="array" aca="1" ref="T488" ca="1">INDIRECT(CONCATENATE("'",$A$450,"'!q",B488),1)</f>
        <v>0</v>
      </c>
      <c r="U488" s="1" cm="1">
        <f t="array" aca="1" ref="U488" ca="1">INDIRECT(CONCATENATE("'",$A$450,"'!r",B488),1)</f>
        <v>0</v>
      </c>
      <c r="V488" s="1" cm="1">
        <f t="array" aca="1" ref="V488" ca="1">INDIRECT(CONCATENATE("'",$A$450,"'!s",B488),1)</f>
        <v>0</v>
      </c>
      <c r="W488" s="1" cm="1">
        <f t="array" aca="1" ref="W488" ca="1">INDIRECT(CONCATENATE("'",$A$450,"'!t",B488),1)</f>
        <v>0</v>
      </c>
      <c r="X488" s="1" cm="1">
        <f t="array" aca="1" ref="X488" ca="1">INDIRECT(CONCATENATE("'",$A$450,"'!u",B488),1)</f>
        <v>0</v>
      </c>
      <c r="Y488" s="1" cm="1">
        <f t="array" aca="1" ref="Y488" ca="1">INDIRECT(CONCATENATE("'",$A$450,"'!v",B488),1)</f>
        <v>0</v>
      </c>
    </row>
    <row r="489" spans="2:25" hidden="1" x14ac:dyDescent="0.25">
      <c r="B489" s="24">
        <f t="shared" si="39"/>
        <v>41</v>
      </c>
      <c r="C489" s="1" cm="1">
        <f t="array" aca="1" ref="C489" ca="1">INDIRECT(CONCATENATE("'",$A$450,"'!A",B489),1)</f>
        <v>0</v>
      </c>
      <c r="D489" s="1" cm="1">
        <f t="array" aca="1" ref="D489" ca="1">INDIRECT(CONCATENATE("'",$A$450,"'!B",B489),1)</f>
        <v>0</v>
      </c>
      <c r="E489" s="1" cm="1">
        <f t="array" aca="1" ref="E489" ca="1">INDIRECT(CONCATENATE("'",$A$450,"'!c",B489),1)</f>
        <v>0</v>
      </c>
      <c r="F489" s="1" cm="1">
        <f t="array" aca="1" ref="F489" ca="1">INDIRECT(CONCATENATE("'",$A$450,"'!d",B489),1)</f>
        <v>0</v>
      </c>
      <c r="G489" s="1" cm="1">
        <f t="array" aca="1" ref="G489" ca="1">INDIRECT(CONCATENATE("'",$A$450,"'!e",B489),1)</f>
        <v>0</v>
      </c>
      <c r="H489" s="1" cm="1">
        <f t="array" aca="1" ref="H489" ca="1">INDIRECT(CONCATENATE("'",$A$450,"'!f",B489),1)</f>
        <v>0</v>
      </c>
      <c r="I489" s="1" cm="1">
        <f t="array" aca="1" ref="I489" ca="1">INDIRECT(CONCATENATE("'",$A$450,"'!g",B489),1)</f>
        <v>0</v>
      </c>
      <c r="J489" s="1" cm="1">
        <f t="array" aca="1" ref="J489" ca="1">INDIRECT(CONCATENATE("'",$A$450,"'!h",B489),1)</f>
        <v>0</v>
      </c>
      <c r="K489" s="1" cm="1">
        <f t="array" aca="1" ref="K489" ca="1">INDIRECT(CONCATENATE("'",$A$450,"'!i",B489),1)</f>
        <v>0</v>
      </c>
      <c r="L489" s="1" cm="1">
        <f t="array" aca="1" ref="L489" ca="1">INDIRECT(CONCATENATE("'",$A$450,"'!j",B489),1)</f>
        <v>0</v>
      </c>
      <c r="M489" s="1" cm="1">
        <f t="array" aca="1" ref="M489" ca="1">INDIRECT(CONCATENATE("'",$A$450,"'!k",B489),1)</f>
        <v>0</v>
      </c>
      <c r="N489" s="1" cm="1">
        <f t="array" aca="1" ref="N489" ca="1">INDIRECT(CONCATENATE("'",$A$450,"'!l",B489),1)</f>
        <v>0</v>
      </c>
      <c r="O489" s="1" cm="1">
        <f t="array" aca="1" ref="O489" ca="1">INDIRECT(CONCATENATE("'",$A$450,"'!m",B489),1)</f>
        <v>0</v>
      </c>
      <c r="P489" s="1" cm="1">
        <f t="array" aca="1" ref="P489" ca="1">INDIRECT(CONCATENATE("'",$A$450,"'!n",B489),1)</f>
        <v>0</v>
      </c>
      <c r="Q489" s="1" cm="1">
        <f t="array" aca="1" ref="Q489" ca="1">INDIRECT(CONCATENATE("'",$A$450,"'!o",B489),1)</f>
        <v>0</v>
      </c>
      <c r="R489" s="1" cm="1">
        <f t="array" aca="1" ref="R489" ca="1">INDIRECT(CONCATENATE("'",$A$450,"'!p",B489),1)</f>
        <v>0</v>
      </c>
      <c r="S489" s="1">
        <f t="shared" ca="1" si="40"/>
        <v>0</v>
      </c>
      <c r="T489" s="1" cm="1">
        <f t="array" aca="1" ref="T489" ca="1">INDIRECT(CONCATENATE("'",$A$450,"'!q",B489),1)</f>
        <v>0</v>
      </c>
      <c r="U489" s="1" cm="1">
        <f t="array" aca="1" ref="U489" ca="1">INDIRECT(CONCATENATE("'",$A$450,"'!r",B489),1)</f>
        <v>0</v>
      </c>
      <c r="V489" s="1" cm="1">
        <f t="array" aca="1" ref="V489" ca="1">INDIRECT(CONCATENATE("'",$A$450,"'!s",B489),1)</f>
        <v>0</v>
      </c>
      <c r="W489" s="1" cm="1">
        <f t="array" aca="1" ref="W489" ca="1">INDIRECT(CONCATENATE("'",$A$450,"'!t",B489),1)</f>
        <v>0</v>
      </c>
      <c r="X489" s="1" cm="1">
        <f t="array" aca="1" ref="X489" ca="1">INDIRECT(CONCATENATE("'",$A$450,"'!u",B489),1)</f>
        <v>0</v>
      </c>
      <c r="Y489" s="1" cm="1">
        <f t="array" aca="1" ref="Y489" ca="1">INDIRECT(CONCATENATE("'",$A$450,"'!v",B489),1)</f>
        <v>0</v>
      </c>
    </row>
    <row r="490" spans="2:25" hidden="1" x14ac:dyDescent="0.25">
      <c r="B490" s="24">
        <f t="shared" si="39"/>
        <v>42</v>
      </c>
      <c r="C490" s="1" cm="1">
        <f t="array" aca="1" ref="C490" ca="1">INDIRECT(CONCATENATE("'",$A$450,"'!A",B490),1)</f>
        <v>0</v>
      </c>
      <c r="D490" s="1" cm="1">
        <f t="array" aca="1" ref="D490" ca="1">INDIRECT(CONCATENATE("'",$A$450,"'!B",B490),1)</f>
        <v>0</v>
      </c>
      <c r="E490" s="1" cm="1">
        <f t="array" aca="1" ref="E490" ca="1">INDIRECT(CONCATENATE("'",$A$450,"'!c",B490),1)</f>
        <v>0</v>
      </c>
      <c r="F490" s="1" cm="1">
        <f t="array" aca="1" ref="F490" ca="1">INDIRECT(CONCATENATE("'",$A$450,"'!d",B490),1)</f>
        <v>0</v>
      </c>
      <c r="G490" s="1" cm="1">
        <f t="array" aca="1" ref="G490" ca="1">INDIRECT(CONCATENATE("'",$A$450,"'!e",B490),1)</f>
        <v>0</v>
      </c>
      <c r="H490" s="1" cm="1">
        <f t="array" aca="1" ref="H490" ca="1">INDIRECT(CONCATENATE("'",$A$450,"'!f",B490),1)</f>
        <v>0</v>
      </c>
      <c r="I490" s="1" cm="1">
        <f t="array" aca="1" ref="I490" ca="1">INDIRECT(CONCATENATE("'",$A$450,"'!g",B490),1)</f>
        <v>0</v>
      </c>
      <c r="J490" s="1" cm="1">
        <f t="array" aca="1" ref="J490" ca="1">INDIRECT(CONCATENATE("'",$A$450,"'!h",B490),1)</f>
        <v>0</v>
      </c>
      <c r="K490" s="1" cm="1">
        <f t="array" aca="1" ref="K490" ca="1">INDIRECT(CONCATENATE("'",$A$450,"'!i",B490),1)</f>
        <v>0</v>
      </c>
      <c r="L490" s="1" cm="1">
        <f t="array" aca="1" ref="L490" ca="1">INDIRECT(CONCATENATE("'",$A$450,"'!j",B490),1)</f>
        <v>0</v>
      </c>
      <c r="M490" s="1" cm="1">
        <f t="array" aca="1" ref="M490" ca="1">INDIRECT(CONCATENATE("'",$A$450,"'!k",B490),1)</f>
        <v>0</v>
      </c>
      <c r="N490" s="1" cm="1">
        <f t="array" aca="1" ref="N490" ca="1">INDIRECT(CONCATENATE("'",$A$450,"'!l",B490),1)</f>
        <v>0</v>
      </c>
      <c r="O490" s="1" cm="1">
        <f t="array" aca="1" ref="O490" ca="1">INDIRECT(CONCATENATE("'",$A$450,"'!m",B490),1)</f>
        <v>0</v>
      </c>
      <c r="P490" s="1" cm="1">
        <f t="array" aca="1" ref="P490" ca="1">INDIRECT(CONCATENATE("'",$A$450,"'!n",B490),1)</f>
        <v>0</v>
      </c>
      <c r="Q490" s="1" cm="1">
        <f t="array" aca="1" ref="Q490" ca="1">INDIRECT(CONCATENATE("'",$A$450,"'!o",B490),1)</f>
        <v>0</v>
      </c>
      <c r="R490" s="1" cm="1">
        <f t="array" aca="1" ref="R490" ca="1">INDIRECT(CONCATENATE("'",$A$450,"'!p",B490),1)</f>
        <v>0</v>
      </c>
      <c r="S490" s="1">
        <f t="shared" ca="1" si="40"/>
        <v>0</v>
      </c>
      <c r="T490" s="1" cm="1">
        <f t="array" aca="1" ref="T490" ca="1">INDIRECT(CONCATENATE("'",$A$450,"'!q",B490),1)</f>
        <v>0</v>
      </c>
      <c r="U490" s="1" cm="1">
        <f t="array" aca="1" ref="U490" ca="1">INDIRECT(CONCATENATE("'",$A$450,"'!r",B490),1)</f>
        <v>0</v>
      </c>
      <c r="V490" s="1" cm="1">
        <f t="array" aca="1" ref="V490" ca="1">INDIRECT(CONCATENATE("'",$A$450,"'!s",B490),1)</f>
        <v>0</v>
      </c>
      <c r="W490" s="1" cm="1">
        <f t="array" aca="1" ref="W490" ca="1">INDIRECT(CONCATENATE("'",$A$450,"'!t",B490),1)</f>
        <v>0</v>
      </c>
      <c r="X490" s="1" cm="1">
        <f t="array" aca="1" ref="X490" ca="1">INDIRECT(CONCATENATE("'",$A$450,"'!u",B490),1)</f>
        <v>0</v>
      </c>
      <c r="Y490" s="1" cm="1">
        <f t="array" aca="1" ref="Y490" ca="1">INDIRECT(CONCATENATE("'",$A$450,"'!v",B490),1)</f>
        <v>0</v>
      </c>
    </row>
    <row r="491" spans="2:25" hidden="1" x14ac:dyDescent="0.25">
      <c r="B491" s="24">
        <f t="shared" si="39"/>
        <v>43</v>
      </c>
      <c r="C491" s="1" cm="1">
        <f t="array" aca="1" ref="C491" ca="1">INDIRECT(CONCATENATE("'",$A$450,"'!A",B491),1)</f>
        <v>0</v>
      </c>
      <c r="D491" s="1" cm="1">
        <f t="array" aca="1" ref="D491" ca="1">INDIRECT(CONCATENATE("'",$A$450,"'!B",B491),1)</f>
        <v>0</v>
      </c>
      <c r="E491" s="1" cm="1">
        <f t="array" aca="1" ref="E491" ca="1">INDIRECT(CONCATENATE("'",$A$450,"'!c",B491),1)</f>
        <v>0</v>
      </c>
      <c r="F491" s="1" cm="1">
        <f t="array" aca="1" ref="F491" ca="1">INDIRECT(CONCATENATE("'",$A$450,"'!d",B491),1)</f>
        <v>0</v>
      </c>
      <c r="G491" s="1" cm="1">
        <f t="array" aca="1" ref="G491" ca="1">INDIRECT(CONCATENATE("'",$A$450,"'!e",B491),1)</f>
        <v>0</v>
      </c>
      <c r="H491" s="1" cm="1">
        <f t="array" aca="1" ref="H491" ca="1">INDIRECT(CONCATENATE("'",$A$450,"'!f",B491),1)</f>
        <v>0</v>
      </c>
      <c r="I491" s="1" cm="1">
        <f t="array" aca="1" ref="I491" ca="1">INDIRECT(CONCATENATE("'",$A$450,"'!g",B491),1)</f>
        <v>0</v>
      </c>
      <c r="J491" s="1" cm="1">
        <f t="array" aca="1" ref="J491" ca="1">INDIRECT(CONCATENATE("'",$A$450,"'!h",B491),1)</f>
        <v>0</v>
      </c>
      <c r="K491" s="1" cm="1">
        <f t="array" aca="1" ref="K491" ca="1">INDIRECT(CONCATENATE("'",$A$450,"'!i",B491),1)</f>
        <v>0</v>
      </c>
      <c r="L491" s="1" cm="1">
        <f t="array" aca="1" ref="L491" ca="1">INDIRECT(CONCATENATE("'",$A$450,"'!j",B491),1)</f>
        <v>0</v>
      </c>
      <c r="M491" s="1" cm="1">
        <f t="array" aca="1" ref="M491" ca="1">INDIRECT(CONCATENATE("'",$A$450,"'!k",B491),1)</f>
        <v>0</v>
      </c>
      <c r="N491" s="1" cm="1">
        <f t="array" aca="1" ref="N491" ca="1">INDIRECT(CONCATENATE("'",$A$450,"'!l",B491),1)</f>
        <v>0</v>
      </c>
      <c r="O491" s="1" cm="1">
        <f t="array" aca="1" ref="O491" ca="1">INDIRECT(CONCATENATE("'",$A$450,"'!m",B491),1)</f>
        <v>0</v>
      </c>
      <c r="P491" s="1" cm="1">
        <f t="array" aca="1" ref="P491" ca="1">INDIRECT(CONCATENATE("'",$A$450,"'!n",B491),1)</f>
        <v>0</v>
      </c>
      <c r="Q491" s="1" cm="1">
        <f t="array" aca="1" ref="Q491" ca="1">INDIRECT(CONCATENATE("'",$A$450,"'!o",B491),1)</f>
        <v>0</v>
      </c>
      <c r="R491" s="1" cm="1">
        <f t="array" aca="1" ref="R491" ca="1">INDIRECT(CONCATENATE("'",$A$450,"'!p",B491),1)</f>
        <v>0</v>
      </c>
      <c r="S491" s="1">
        <f t="shared" ca="1" si="40"/>
        <v>0</v>
      </c>
      <c r="T491" s="1" cm="1">
        <f t="array" aca="1" ref="T491" ca="1">INDIRECT(CONCATENATE("'",$A$450,"'!q",B491),1)</f>
        <v>0</v>
      </c>
      <c r="U491" s="1" cm="1">
        <f t="array" aca="1" ref="U491" ca="1">INDIRECT(CONCATENATE("'",$A$450,"'!r",B491),1)</f>
        <v>0</v>
      </c>
      <c r="V491" s="1" cm="1">
        <f t="array" aca="1" ref="V491" ca="1">INDIRECT(CONCATENATE("'",$A$450,"'!s",B491),1)</f>
        <v>0</v>
      </c>
      <c r="W491" s="1" cm="1">
        <f t="array" aca="1" ref="W491" ca="1">INDIRECT(CONCATENATE("'",$A$450,"'!t",B491),1)</f>
        <v>0</v>
      </c>
      <c r="X491" s="1" cm="1">
        <f t="array" aca="1" ref="X491" ca="1">INDIRECT(CONCATENATE("'",$A$450,"'!u",B491),1)</f>
        <v>0</v>
      </c>
      <c r="Y491" s="1" cm="1">
        <f t="array" aca="1" ref="Y491" ca="1">INDIRECT(CONCATENATE("'",$A$450,"'!v",B491),1)</f>
        <v>0</v>
      </c>
    </row>
    <row r="492" spans="2:25" hidden="1" x14ac:dyDescent="0.25">
      <c r="B492" s="24">
        <f t="shared" si="39"/>
        <v>44</v>
      </c>
      <c r="C492" s="1" cm="1">
        <f t="array" aca="1" ref="C492" ca="1">INDIRECT(CONCATENATE("'",$A$450,"'!A",B492),1)</f>
        <v>0</v>
      </c>
      <c r="D492" s="1" cm="1">
        <f t="array" aca="1" ref="D492" ca="1">INDIRECT(CONCATENATE("'",$A$450,"'!B",B492),1)</f>
        <v>0</v>
      </c>
      <c r="E492" s="1" cm="1">
        <f t="array" aca="1" ref="E492" ca="1">INDIRECT(CONCATENATE("'",$A$450,"'!c",B492),1)</f>
        <v>0</v>
      </c>
      <c r="F492" s="1" cm="1">
        <f t="array" aca="1" ref="F492" ca="1">INDIRECT(CONCATENATE("'",$A$450,"'!d",B492),1)</f>
        <v>0</v>
      </c>
      <c r="G492" s="1" cm="1">
        <f t="array" aca="1" ref="G492" ca="1">INDIRECT(CONCATENATE("'",$A$450,"'!e",B492),1)</f>
        <v>0</v>
      </c>
      <c r="H492" s="1" cm="1">
        <f t="array" aca="1" ref="H492" ca="1">INDIRECT(CONCATENATE("'",$A$450,"'!f",B492),1)</f>
        <v>0</v>
      </c>
      <c r="I492" s="1" cm="1">
        <f t="array" aca="1" ref="I492" ca="1">INDIRECT(CONCATENATE("'",$A$450,"'!g",B492),1)</f>
        <v>0</v>
      </c>
      <c r="J492" s="1" cm="1">
        <f t="array" aca="1" ref="J492" ca="1">INDIRECT(CONCATENATE("'",$A$450,"'!h",B492),1)</f>
        <v>0</v>
      </c>
      <c r="K492" s="1" cm="1">
        <f t="array" aca="1" ref="K492" ca="1">INDIRECT(CONCATENATE("'",$A$450,"'!i",B492),1)</f>
        <v>0</v>
      </c>
      <c r="L492" s="1" cm="1">
        <f t="array" aca="1" ref="L492" ca="1">INDIRECT(CONCATENATE("'",$A$450,"'!j",B492),1)</f>
        <v>0</v>
      </c>
      <c r="M492" s="1" cm="1">
        <f t="array" aca="1" ref="M492" ca="1">INDIRECT(CONCATENATE("'",$A$450,"'!k",B492),1)</f>
        <v>0</v>
      </c>
      <c r="N492" s="1" cm="1">
        <f t="array" aca="1" ref="N492" ca="1">INDIRECT(CONCATENATE("'",$A$450,"'!l",B492),1)</f>
        <v>0</v>
      </c>
      <c r="O492" s="1" cm="1">
        <f t="array" aca="1" ref="O492" ca="1">INDIRECT(CONCATENATE("'",$A$450,"'!m",B492),1)</f>
        <v>0</v>
      </c>
      <c r="P492" s="1" cm="1">
        <f t="array" aca="1" ref="P492" ca="1">INDIRECT(CONCATENATE("'",$A$450,"'!n",B492),1)</f>
        <v>0</v>
      </c>
      <c r="Q492" s="1" cm="1">
        <f t="array" aca="1" ref="Q492" ca="1">INDIRECT(CONCATENATE("'",$A$450,"'!o",B492),1)</f>
        <v>0</v>
      </c>
      <c r="R492" s="1" cm="1">
        <f t="array" aca="1" ref="R492" ca="1">INDIRECT(CONCATENATE("'",$A$450,"'!p",B492),1)</f>
        <v>0</v>
      </c>
      <c r="S492" s="1">
        <f t="shared" ca="1" si="40"/>
        <v>0</v>
      </c>
      <c r="T492" s="1" cm="1">
        <f t="array" aca="1" ref="T492" ca="1">INDIRECT(CONCATENATE("'",$A$450,"'!q",B492),1)</f>
        <v>0</v>
      </c>
      <c r="U492" s="1" cm="1">
        <f t="array" aca="1" ref="U492" ca="1">INDIRECT(CONCATENATE("'",$A$450,"'!r",B492),1)</f>
        <v>0</v>
      </c>
      <c r="V492" s="1" cm="1">
        <f t="array" aca="1" ref="V492" ca="1">INDIRECT(CONCATENATE("'",$A$450,"'!s",B492),1)</f>
        <v>0</v>
      </c>
      <c r="W492" s="1" cm="1">
        <f t="array" aca="1" ref="W492" ca="1">INDIRECT(CONCATENATE("'",$A$450,"'!t",B492),1)</f>
        <v>0</v>
      </c>
      <c r="X492" s="1" cm="1">
        <f t="array" aca="1" ref="X492" ca="1">INDIRECT(CONCATENATE("'",$A$450,"'!u",B492),1)</f>
        <v>0</v>
      </c>
      <c r="Y492" s="1" cm="1">
        <f t="array" aca="1" ref="Y492" ca="1">INDIRECT(CONCATENATE("'",$A$450,"'!v",B492),1)</f>
        <v>0</v>
      </c>
    </row>
    <row r="493" spans="2:25" hidden="1" x14ac:dyDescent="0.25">
      <c r="B493" s="24">
        <f t="shared" si="39"/>
        <v>45</v>
      </c>
      <c r="C493" s="1" cm="1">
        <f t="array" aca="1" ref="C493" ca="1">INDIRECT(CONCATENATE("'",$A$450,"'!A",B493),1)</f>
        <v>0</v>
      </c>
      <c r="D493" s="1" cm="1">
        <f t="array" aca="1" ref="D493" ca="1">INDIRECT(CONCATENATE("'",$A$450,"'!B",B493),1)</f>
        <v>0</v>
      </c>
      <c r="E493" s="1" cm="1">
        <f t="array" aca="1" ref="E493" ca="1">INDIRECT(CONCATENATE("'",$A$450,"'!c",B493),1)</f>
        <v>0</v>
      </c>
      <c r="F493" s="1" cm="1">
        <f t="array" aca="1" ref="F493" ca="1">INDIRECT(CONCATENATE("'",$A$450,"'!d",B493),1)</f>
        <v>0</v>
      </c>
      <c r="G493" s="1" cm="1">
        <f t="array" aca="1" ref="G493" ca="1">INDIRECT(CONCATENATE("'",$A$450,"'!e",B493),1)</f>
        <v>0</v>
      </c>
      <c r="H493" s="1" cm="1">
        <f t="array" aca="1" ref="H493" ca="1">INDIRECT(CONCATENATE("'",$A$450,"'!f",B493),1)</f>
        <v>0</v>
      </c>
      <c r="I493" s="1" cm="1">
        <f t="array" aca="1" ref="I493" ca="1">INDIRECT(CONCATENATE("'",$A$450,"'!g",B493),1)</f>
        <v>0</v>
      </c>
      <c r="J493" s="1" cm="1">
        <f t="array" aca="1" ref="J493" ca="1">INDIRECT(CONCATENATE("'",$A$450,"'!h",B493),1)</f>
        <v>0</v>
      </c>
      <c r="K493" s="1" cm="1">
        <f t="array" aca="1" ref="K493" ca="1">INDIRECT(CONCATENATE("'",$A$450,"'!i",B493),1)</f>
        <v>0</v>
      </c>
      <c r="L493" s="1" cm="1">
        <f t="array" aca="1" ref="L493" ca="1">INDIRECT(CONCATENATE("'",$A$450,"'!j",B493),1)</f>
        <v>0</v>
      </c>
      <c r="M493" s="1" cm="1">
        <f t="array" aca="1" ref="M493" ca="1">INDIRECT(CONCATENATE("'",$A$450,"'!k",B493),1)</f>
        <v>0</v>
      </c>
      <c r="N493" s="1" cm="1">
        <f t="array" aca="1" ref="N493" ca="1">INDIRECT(CONCATENATE("'",$A$450,"'!l",B493),1)</f>
        <v>0</v>
      </c>
      <c r="O493" s="1" cm="1">
        <f t="array" aca="1" ref="O493" ca="1">INDIRECT(CONCATENATE("'",$A$450,"'!m",B493),1)</f>
        <v>0</v>
      </c>
      <c r="P493" s="1" cm="1">
        <f t="array" aca="1" ref="P493" ca="1">INDIRECT(CONCATENATE("'",$A$450,"'!n",B493),1)</f>
        <v>0</v>
      </c>
      <c r="Q493" s="1" cm="1">
        <f t="array" aca="1" ref="Q493" ca="1">INDIRECT(CONCATENATE("'",$A$450,"'!o",B493),1)</f>
        <v>0</v>
      </c>
      <c r="R493" s="1" cm="1">
        <f t="array" aca="1" ref="R493" ca="1">INDIRECT(CONCATENATE("'",$A$450,"'!p",B493),1)</f>
        <v>0</v>
      </c>
      <c r="S493" s="1">
        <f t="shared" ca="1" si="40"/>
        <v>0</v>
      </c>
      <c r="T493" s="1" cm="1">
        <f t="array" aca="1" ref="T493" ca="1">INDIRECT(CONCATENATE("'",$A$450,"'!q",B493),1)</f>
        <v>0</v>
      </c>
      <c r="U493" s="1" cm="1">
        <f t="array" aca="1" ref="U493" ca="1">INDIRECT(CONCATENATE("'",$A$450,"'!r",B493),1)</f>
        <v>0</v>
      </c>
      <c r="V493" s="1" cm="1">
        <f t="array" aca="1" ref="V493" ca="1">INDIRECT(CONCATENATE("'",$A$450,"'!s",B493),1)</f>
        <v>0</v>
      </c>
      <c r="W493" s="1" cm="1">
        <f t="array" aca="1" ref="W493" ca="1">INDIRECT(CONCATENATE("'",$A$450,"'!t",B493),1)</f>
        <v>0</v>
      </c>
      <c r="X493" s="1" cm="1">
        <f t="array" aca="1" ref="X493" ca="1">INDIRECT(CONCATENATE("'",$A$450,"'!u",B493),1)</f>
        <v>0</v>
      </c>
      <c r="Y493" s="1" cm="1">
        <f t="array" aca="1" ref="Y493" ca="1">INDIRECT(CONCATENATE("'",$A$450,"'!v",B493),1)</f>
        <v>0</v>
      </c>
    </row>
    <row r="494" spans="2:25" hidden="1" x14ac:dyDescent="0.25">
      <c r="B494" s="24">
        <f t="shared" si="39"/>
        <v>46</v>
      </c>
      <c r="C494" s="1" cm="1">
        <f t="array" aca="1" ref="C494" ca="1">INDIRECT(CONCATENATE("'",$A$450,"'!A",B494),1)</f>
        <v>0</v>
      </c>
      <c r="D494" s="1" cm="1">
        <f t="array" aca="1" ref="D494" ca="1">INDIRECT(CONCATENATE("'",$A$450,"'!B",B494),1)</f>
        <v>0</v>
      </c>
      <c r="E494" s="1" cm="1">
        <f t="array" aca="1" ref="E494" ca="1">INDIRECT(CONCATENATE("'",$A$450,"'!c",B494),1)</f>
        <v>0</v>
      </c>
      <c r="F494" s="1" cm="1">
        <f t="array" aca="1" ref="F494" ca="1">INDIRECT(CONCATENATE("'",$A$450,"'!d",B494),1)</f>
        <v>0</v>
      </c>
      <c r="G494" s="1" cm="1">
        <f t="array" aca="1" ref="G494" ca="1">INDIRECT(CONCATENATE("'",$A$450,"'!e",B494),1)</f>
        <v>0</v>
      </c>
      <c r="H494" s="1" cm="1">
        <f t="array" aca="1" ref="H494" ca="1">INDIRECT(CONCATENATE("'",$A$450,"'!f",B494),1)</f>
        <v>0</v>
      </c>
      <c r="I494" s="1" cm="1">
        <f t="array" aca="1" ref="I494" ca="1">INDIRECT(CONCATENATE("'",$A$450,"'!g",B494),1)</f>
        <v>0</v>
      </c>
      <c r="J494" s="1" cm="1">
        <f t="array" aca="1" ref="J494" ca="1">INDIRECT(CONCATENATE("'",$A$450,"'!h",B494),1)</f>
        <v>0</v>
      </c>
      <c r="K494" s="1" cm="1">
        <f t="array" aca="1" ref="K494" ca="1">INDIRECT(CONCATENATE("'",$A$450,"'!i",B494),1)</f>
        <v>0</v>
      </c>
      <c r="L494" s="1" cm="1">
        <f t="array" aca="1" ref="L494" ca="1">INDIRECT(CONCATENATE("'",$A$450,"'!j",B494),1)</f>
        <v>0</v>
      </c>
      <c r="M494" s="1" cm="1">
        <f t="array" aca="1" ref="M494" ca="1">INDIRECT(CONCATENATE("'",$A$450,"'!k",B494),1)</f>
        <v>0</v>
      </c>
      <c r="N494" s="1" cm="1">
        <f t="array" aca="1" ref="N494" ca="1">INDIRECT(CONCATENATE("'",$A$450,"'!l",B494),1)</f>
        <v>0</v>
      </c>
      <c r="O494" s="1" cm="1">
        <f t="array" aca="1" ref="O494" ca="1">INDIRECT(CONCATENATE("'",$A$450,"'!m",B494),1)</f>
        <v>0</v>
      </c>
      <c r="P494" s="1" cm="1">
        <f t="array" aca="1" ref="P494" ca="1">INDIRECT(CONCATENATE("'",$A$450,"'!n",B494),1)</f>
        <v>0</v>
      </c>
      <c r="Q494" s="1" cm="1">
        <f t="array" aca="1" ref="Q494" ca="1">INDIRECT(CONCATENATE("'",$A$450,"'!o",B494),1)</f>
        <v>0</v>
      </c>
      <c r="R494" s="1" cm="1">
        <f t="array" aca="1" ref="R494" ca="1">INDIRECT(CONCATENATE("'",$A$450,"'!p",B494),1)</f>
        <v>0</v>
      </c>
      <c r="S494" s="1">
        <f t="shared" ca="1" si="40"/>
        <v>0</v>
      </c>
      <c r="T494" s="1" cm="1">
        <f t="array" aca="1" ref="T494" ca="1">INDIRECT(CONCATENATE("'",$A$450,"'!q",B494),1)</f>
        <v>0</v>
      </c>
      <c r="U494" s="1" cm="1">
        <f t="array" aca="1" ref="U494" ca="1">INDIRECT(CONCATENATE("'",$A$450,"'!r",B494),1)</f>
        <v>0</v>
      </c>
      <c r="V494" s="1" cm="1">
        <f t="array" aca="1" ref="V494" ca="1">INDIRECT(CONCATENATE("'",$A$450,"'!s",B494),1)</f>
        <v>0</v>
      </c>
      <c r="W494" s="1" cm="1">
        <f t="array" aca="1" ref="W494" ca="1">INDIRECT(CONCATENATE("'",$A$450,"'!t",B494),1)</f>
        <v>0</v>
      </c>
      <c r="X494" s="1" cm="1">
        <f t="array" aca="1" ref="X494" ca="1">INDIRECT(CONCATENATE("'",$A$450,"'!u",B494),1)</f>
        <v>0</v>
      </c>
      <c r="Y494" s="1" cm="1">
        <f t="array" aca="1" ref="Y494" ca="1">INDIRECT(CONCATENATE("'",$A$450,"'!v",B494),1)</f>
        <v>0</v>
      </c>
    </row>
    <row r="495" spans="2:25" hidden="1" x14ac:dyDescent="0.25">
      <c r="B495" s="24">
        <f t="shared" si="39"/>
        <v>47</v>
      </c>
      <c r="C495" s="1" cm="1">
        <f t="array" aca="1" ref="C495" ca="1">INDIRECT(CONCATENATE("'",$A$450,"'!A",B495),1)</f>
        <v>0</v>
      </c>
      <c r="D495" s="1" cm="1">
        <f t="array" aca="1" ref="D495" ca="1">INDIRECT(CONCATENATE("'",$A$450,"'!B",B495),1)</f>
        <v>0</v>
      </c>
      <c r="E495" s="1" cm="1">
        <f t="array" aca="1" ref="E495" ca="1">INDIRECT(CONCATENATE("'",$A$450,"'!c",B495),1)</f>
        <v>0</v>
      </c>
      <c r="F495" s="1" cm="1">
        <f t="array" aca="1" ref="F495" ca="1">INDIRECT(CONCATENATE("'",$A$450,"'!d",B495),1)</f>
        <v>0</v>
      </c>
      <c r="G495" s="1" cm="1">
        <f t="array" aca="1" ref="G495" ca="1">INDIRECT(CONCATENATE("'",$A$450,"'!e",B495),1)</f>
        <v>0</v>
      </c>
      <c r="H495" s="1" cm="1">
        <f t="array" aca="1" ref="H495" ca="1">INDIRECT(CONCATENATE("'",$A$450,"'!f",B495),1)</f>
        <v>0</v>
      </c>
      <c r="I495" s="1" cm="1">
        <f t="array" aca="1" ref="I495" ca="1">INDIRECT(CONCATENATE("'",$A$450,"'!g",B495),1)</f>
        <v>0</v>
      </c>
      <c r="J495" s="1" cm="1">
        <f t="array" aca="1" ref="J495" ca="1">INDIRECT(CONCATENATE("'",$A$450,"'!h",B495),1)</f>
        <v>0</v>
      </c>
      <c r="K495" s="1" cm="1">
        <f t="array" aca="1" ref="K495" ca="1">INDIRECT(CONCATENATE("'",$A$450,"'!i",B495),1)</f>
        <v>0</v>
      </c>
      <c r="L495" s="1" cm="1">
        <f t="array" aca="1" ref="L495" ca="1">INDIRECT(CONCATENATE("'",$A$450,"'!j",B495),1)</f>
        <v>0</v>
      </c>
      <c r="M495" s="1" cm="1">
        <f t="array" aca="1" ref="M495" ca="1">INDIRECT(CONCATENATE("'",$A$450,"'!k",B495),1)</f>
        <v>0</v>
      </c>
      <c r="N495" s="1" cm="1">
        <f t="array" aca="1" ref="N495" ca="1">INDIRECT(CONCATENATE("'",$A$450,"'!l",B495),1)</f>
        <v>0</v>
      </c>
      <c r="O495" s="1" cm="1">
        <f t="array" aca="1" ref="O495" ca="1">INDIRECT(CONCATENATE("'",$A$450,"'!m",B495),1)</f>
        <v>0</v>
      </c>
      <c r="P495" s="1" cm="1">
        <f t="array" aca="1" ref="P495" ca="1">INDIRECT(CONCATENATE("'",$A$450,"'!n",B495),1)</f>
        <v>0</v>
      </c>
      <c r="Q495" s="1" cm="1">
        <f t="array" aca="1" ref="Q495" ca="1">INDIRECT(CONCATENATE("'",$A$450,"'!o",B495),1)</f>
        <v>0</v>
      </c>
      <c r="R495" s="1" cm="1">
        <f t="array" aca="1" ref="R495" ca="1">INDIRECT(CONCATENATE("'",$A$450,"'!p",B495),1)</f>
        <v>0</v>
      </c>
      <c r="S495" s="1">
        <f t="shared" ca="1" si="40"/>
        <v>0</v>
      </c>
      <c r="T495" s="1" cm="1">
        <f t="array" aca="1" ref="T495" ca="1">INDIRECT(CONCATENATE("'",$A$450,"'!q",B495),1)</f>
        <v>0</v>
      </c>
      <c r="U495" s="1" cm="1">
        <f t="array" aca="1" ref="U495" ca="1">INDIRECT(CONCATENATE("'",$A$450,"'!r",B495),1)</f>
        <v>0</v>
      </c>
      <c r="V495" s="1" cm="1">
        <f t="array" aca="1" ref="V495" ca="1">INDIRECT(CONCATENATE("'",$A$450,"'!s",B495),1)</f>
        <v>0</v>
      </c>
      <c r="W495" s="1" cm="1">
        <f t="array" aca="1" ref="W495" ca="1">INDIRECT(CONCATENATE("'",$A$450,"'!t",B495),1)</f>
        <v>0</v>
      </c>
      <c r="X495" s="1" cm="1">
        <f t="array" aca="1" ref="X495" ca="1">INDIRECT(CONCATENATE("'",$A$450,"'!u",B495),1)</f>
        <v>0</v>
      </c>
      <c r="Y495" s="1" cm="1">
        <f t="array" aca="1" ref="Y495" ca="1">INDIRECT(CONCATENATE("'",$A$450,"'!v",B495),1)</f>
        <v>0</v>
      </c>
    </row>
    <row r="496" spans="2:25" hidden="1" x14ac:dyDescent="0.25">
      <c r="B496" s="24">
        <f t="shared" si="39"/>
        <v>48</v>
      </c>
      <c r="C496" s="1" cm="1">
        <f t="array" aca="1" ref="C496" ca="1">INDIRECT(CONCATENATE("'",$A$450,"'!A",B496),1)</f>
        <v>0</v>
      </c>
      <c r="D496" s="1" cm="1">
        <f t="array" aca="1" ref="D496" ca="1">INDIRECT(CONCATENATE("'",$A$450,"'!B",B496),1)</f>
        <v>0</v>
      </c>
      <c r="E496" s="1" cm="1">
        <f t="array" aca="1" ref="E496" ca="1">INDIRECT(CONCATENATE("'",$A$450,"'!c",B496),1)</f>
        <v>0</v>
      </c>
      <c r="F496" s="1" cm="1">
        <f t="array" aca="1" ref="F496" ca="1">INDIRECT(CONCATENATE("'",$A$450,"'!d",B496),1)</f>
        <v>0</v>
      </c>
      <c r="G496" s="1" cm="1">
        <f t="array" aca="1" ref="G496" ca="1">INDIRECT(CONCATENATE("'",$A$450,"'!e",B496),1)</f>
        <v>0</v>
      </c>
      <c r="H496" s="1" cm="1">
        <f t="array" aca="1" ref="H496" ca="1">INDIRECT(CONCATENATE("'",$A$450,"'!f",B496),1)</f>
        <v>0</v>
      </c>
      <c r="I496" s="1" cm="1">
        <f t="array" aca="1" ref="I496" ca="1">INDIRECT(CONCATENATE("'",$A$450,"'!g",B496),1)</f>
        <v>0</v>
      </c>
      <c r="J496" s="1" cm="1">
        <f t="array" aca="1" ref="J496" ca="1">INDIRECT(CONCATENATE("'",$A$450,"'!h",B496),1)</f>
        <v>0</v>
      </c>
      <c r="K496" s="1" cm="1">
        <f t="array" aca="1" ref="K496" ca="1">INDIRECT(CONCATENATE("'",$A$450,"'!i",B496),1)</f>
        <v>0</v>
      </c>
      <c r="L496" s="1" cm="1">
        <f t="array" aca="1" ref="L496" ca="1">INDIRECT(CONCATENATE("'",$A$450,"'!j",B496),1)</f>
        <v>0</v>
      </c>
      <c r="M496" s="1" cm="1">
        <f t="array" aca="1" ref="M496" ca="1">INDIRECT(CONCATENATE("'",$A$450,"'!k",B496),1)</f>
        <v>0</v>
      </c>
      <c r="N496" s="1" cm="1">
        <f t="array" aca="1" ref="N496" ca="1">INDIRECT(CONCATENATE("'",$A$450,"'!l",B496),1)</f>
        <v>0</v>
      </c>
      <c r="O496" s="1" cm="1">
        <f t="array" aca="1" ref="O496" ca="1">INDIRECT(CONCATENATE("'",$A$450,"'!m",B496),1)</f>
        <v>0</v>
      </c>
      <c r="P496" s="1" cm="1">
        <f t="array" aca="1" ref="P496" ca="1">INDIRECT(CONCATENATE("'",$A$450,"'!n",B496),1)</f>
        <v>0</v>
      </c>
      <c r="Q496" s="1" cm="1">
        <f t="array" aca="1" ref="Q496" ca="1">INDIRECT(CONCATENATE("'",$A$450,"'!o",B496),1)</f>
        <v>0</v>
      </c>
      <c r="R496" s="1" cm="1">
        <f t="array" aca="1" ref="R496" ca="1">INDIRECT(CONCATENATE("'",$A$450,"'!p",B496),1)</f>
        <v>0</v>
      </c>
      <c r="S496" s="1">
        <f t="shared" ca="1" si="40"/>
        <v>0</v>
      </c>
      <c r="T496" s="1" cm="1">
        <f t="array" aca="1" ref="T496" ca="1">INDIRECT(CONCATENATE("'",$A$450,"'!q",B496),1)</f>
        <v>0</v>
      </c>
      <c r="U496" s="1" cm="1">
        <f t="array" aca="1" ref="U496" ca="1">INDIRECT(CONCATENATE("'",$A$450,"'!r",B496),1)</f>
        <v>0</v>
      </c>
      <c r="V496" s="1" cm="1">
        <f t="array" aca="1" ref="V496" ca="1">INDIRECT(CONCATENATE("'",$A$450,"'!s",B496),1)</f>
        <v>0</v>
      </c>
      <c r="W496" s="1" cm="1">
        <f t="array" aca="1" ref="W496" ca="1">INDIRECT(CONCATENATE("'",$A$450,"'!t",B496),1)</f>
        <v>0</v>
      </c>
      <c r="X496" s="1" cm="1">
        <f t="array" aca="1" ref="X496" ca="1">INDIRECT(CONCATENATE("'",$A$450,"'!u",B496),1)</f>
        <v>0</v>
      </c>
      <c r="Y496" s="1" cm="1">
        <f t="array" aca="1" ref="Y496" ca="1">INDIRECT(CONCATENATE("'",$A$450,"'!v",B496),1)</f>
        <v>0</v>
      </c>
    </row>
    <row r="497" spans="2:25" hidden="1" x14ac:dyDescent="0.25">
      <c r="B497" s="24">
        <f t="shared" si="39"/>
        <v>49</v>
      </c>
      <c r="C497" s="1" cm="1">
        <f t="array" aca="1" ref="C497" ca="1">INDIRECT(CONCATENATE("'",$A$450,"'!A",B497),1)</f>
        <v>0</v>
      </c>
      <c r="D497" s="1" cm="1">
        <f t="array" aca="1" ref="D497" ca="1">INDIRECT(CONCATENATE("'",$A$450,"'!B",B497),1)</f>
        <v>0</v>
      </c>
      <c r="E497" s="1" cm="1">
        <f t="array" aca="1" ref="E497" ca="1">INDIRECT(CONCATENATE("'",$A$450,"'!c",B497),1)</f>
        <v>0</v>
      </c>
      <c r="F497" s="1" cm="1">
        <f t="array" aca="1" ref="F497" ca="1">INDIRECT(CONCATENATE("'",$A$450,"'!d",B497),1)</f>
        <v>0</v>
      </c>
      <c r="G497" s="1" cm="1">
        <f t="array" aca="1" ref="G497" ca="1">INDIRECT(CONCATENATE("'",$A$450,"'!e",B497),1)</f>
        <v>0</v>
      </c>
      <c r="H497" s="1" cm="1">
        <f t="array" aca="1" ref="H497" ca="1">INDIRECT(CONCATENATE("'",$A$450,"'!f",B497),1)</f>
        <v>0</v>
      </c>
      <c r="I497" s="1" cm="1">
        <f t="array" aca="1" ref="I497" ca="1">INDIRECT(CONCATENATE("'",$A$450,"'!g",B497),1)</f>
        <v>0</v>
      </c>
      <c r="J497" s="1" cm="1">
        <f t="array" aca="1" ref="J497" ca="1">INDIRECT(CONCATENATE("'",$A$450,"'!h",B497),1)</f>
        <v>0</v>
      </c>
      <c r="K497" s="1" cm="1">
        <f t="array" aca="1" ref="K497" ca="1">INDIRECT(CONCATENATE("'",$A$450,"'!i",B497),1)</f>
        <v>0</v>
      </c>
      <c r="L497" s="1" cm="1">
        <f t="array" aca="1" ref="L497" ca="1">INDIRECT(CONCATENATE("'",$A$450,"'!j",B497),1)</f>
        <v>0</v>
      </c>
      <c r="M497" s="1" cm="1">
        <f t="array" aca="1" ref="M497" ca="1">INDIRECT(CONCATENATE("'",$A$450,"'!k",B497),1)</f>
        <v>0</v>
      </c>
      <c r="N497" s="1" cm="1">
        <f t="array" aca="1" ref="N497" ca="1">INDIRECT(CONCATENATE("'",$A$450,"'!l",B497),1)</f>
        <v>0</v>
      </c>
      <c r="O497" s="1" cm="1">
        <f t="array" aca="1" ref="O497" ca="1">INDIRECT(CONCATENATE("'",$A$450,"'!m",B497),1)</f>
        <v>0</v>
      </c>
      <c r="P497" s="1" cm="1">
        <f t="array" aca="1" ref="P497" ca="1">INDIRECT(CONCATENATE("'",$A$450,"'!n",B497),1)</f>
        <v>0</v>
      </c>
      <c r="Q497" s="1" cm="1">
        <f t="array" aca="1" ref="Q497" ca="1">INDIRECT(CONCATENATE("'",$A$450,"'!o",B497),1)</f>
        <v>0</v>
      </c>
      <c r="R497" s="1" cm="1">
        <f t="array" aca="1" ref="R497" ca="1">INDIRECT(CONCATENATE("'",$A$450,"'!p",B497),1)</f>
        <v>0</v>
      </c>
      <c r="S497" s="1">
        <f t="shared" ca="1" si="40"/>
        <v>0</v>
      </c>
      <c r="T497" s="1" cm="1">
        <f t="array" aca="1" ref="T497" ca="1">INDIRECT(CONCATENATE("'",$A$450,"'!q",B497),1)</f>
        <v>0</v>
      </c>
      <c r="U497" s="1" cm="1">
        <f t="array" aca="1" ref="U497" ca="1">INDIRECT(CONCATENATE("'",$A$450,"'!r",B497),1)</f>
        <v>0</v>
      </c>
      <c r="V497" s="1" cm="1">
        <f t="array" aca="1" ref="V497" ca="1">INDIRECT(CONCATENATE("'",$A$450,"'!s",B497),1)</f>
        <v>0</v>
      </c>
      <c r="W497" s="1" cm="1">
        <f t="array" aca="1" ref="W497" ca="1">INDIRECT(CONCATENATE("'",$A$450,"'!t",B497),1)</f>
        <v>0</v>
      </c>
      <c r="X497" s="1" cm="1">
        <f t="array" aca="1" ref="X497" ca="1">INDIRECT(CONCATENATE("'",$A$450,"'!u",B497),1)</f>
        <v>0</v>
      </c>
      <c r="Y497" s="1" cm="1">
        <f t="array" aca="1" ref="Y497" ca="1">INDIRECT(CONCATENATE("'",$A$450,"'!v",B497),1)</f>
        <v>0</v>
      </c>
    </row>
    <row r="498" spans="2:25" hidden="1" x14ac:dyDescent="0.25">
      <c r="B498" s="24">
        <f t="shared" si="39"/>
        <v>50</v>
      </c>
      <c r="C498" s="1" cm="1">
        <f t="array" aca="1" ref="C498" ca="1">INDIRECT(CONCATENATE("'",$A$450,"'!A",B498),1)</f>
        <v>0</v>
      </c>
      <c r="D498" s="1" cm="1">
        <f t="array" aca="1" ref="D498" ca="1">INDIRECT(CONCATENATE("'",$A$450,"'!B",B498),1)</f>
        <v>0</v>
      </c>
      <c r="E498" s="1" cm="1">
        <f t="array" aca="1" ref="E498" ca="1">INDIRECT(CONCATENATE("'",$A$450,"'!c",B498),1)</f>
        <v>0</v>
      </c>
      <c r="F498" s="1" cm="1">
        <f t="array" aca="1" ref="F498" ca="1">INDIRECT(CONCATENATE("'",$A$450,"'!d",B498),1)</f>
        <v>0</v>
      </c>
      <c r="G498" s="1" cm="1">
        <f t="array" aca="1" ref="G498" ca="1">INDIRECT(CONCATENATE("'",$A$450,"'!e",B498),1)</f>
        <v>0</v>
      </c>
      <c r="H498" s="1" cm="1">
        <f t="array" aca="1" ref="H498" ca="1">INDIRECT(CONCATENATE("'",$A$450,"'!f",B498),1)</f>
        <v>0</v>
      </c>
      <c r="I498" s="1" cm="1">
        <f t="array" aca="1" ref="I498" ca="1">INDIRECT(CONCATENATE("'",$A$450,"'!g",B498),1)</f>
        <v>0</v>
      </c>
      <c r="J498" s="1" cm="1">
        <f t="array" aca="1" ref="J498" ca="1">INDIRECT(CONCATENATE("'",$A$450,"'!h",B498),1)</f>
        <v>0</v>
      </c>
      <c r="K498" s="1" cm="1">
        <f t="array" aca="1" ref="K498" ca="1">INDIRECT(CONCATENATE("'",$A$450,"'!i",B498),1)</f>
        <v>0</v>
      </c>
      <c r="L498" s="1" cm="1">
        <f t="array" aca="1" ref="L498" ca="1">INDIRECT(CONCATENATE("'",$A$450,"'!j",B498),1)</f>
        <v>0</v>
      </c>
      <c r="M498" s="1" cm="1">
        <f t="array" aca="1" ref="M498" ca="1">INDIRECT(CONCATENATE("'",$A$450,"'!k",B498),1)</f>
        <v>0</v>
      </c>
      <c r="N498" s="1" cm="1">
        <f t="array" aca="1" ref="N498" ca="1">INDIRECT(CONCATENATE("'",$A$450,"'!l",B498),1)</f>
        <v>0</v>
      </c>
      <c r="O498" s="1" cm="1">
        <f t="array" aca="1" ref="O498" ca="1">INDIRECT(CONCATENATE("'",$A$450,"'!m",B498),1)</f>
        <v>0</v>
      </c>
      <c r="P498" s="1" cm="1">
        <f t="array" aca="1" ref="P498" ca="1">INDIRECT(CONCATENATE("'",$A$450,"'!n",B498),1)</f>
        <v>0</v>
      </c>
      <c r="Q498" s="1" cm="1">
        <f t="array" aca="1" ref="Q498" ca="1">INDIRECT(CONCATENATE("'",$A$450,"'!o",B498),1)</f>
        <v>0</v>
      </c>
      <c r="R498" s="1" cm="1">
        <f t="array" aca="1" ref="R498" ca="1">INDIRECT(CONCATENATE("'",$A$450,"'!p",B498),1)</f>
        <v>0</v>
      </c>
      <c r="S498" s="1">
        <f t="shared" ca="1" si="40"/>
        <v>0</v>
      </c>
      <c r="T498" s="1" cm="1">
        <f t="array" aca="1" ref="T498" ca="1">INDIRECT(CONCATENATE("'",$A$450,"'!q",B498),1)</f>
        <v>0</v>
      </c>
      <c r="U498" s="1" cm="1">
        <f t="array" aca="1" ref="U498" ca="1">INDIRECT(CONCATENATE("'",$A$450,"'!r",B498),1)</f>
        <v>0</v>
      </c>
      <c r="V498" s="1" cm="1">
        <f t="array" aca="1" ref="V498" ca="1">INDIRECT(CONCATENATE("'",$A$450,"'!s",B498),1)</f>
        <v>0</v>
      </c>
      <c r="W498" s="1" cm="1">
        <f t="array" aca="1" ref="W498" ca="1">INDIRECT(CONCATENATE("'",$A$450,"'!t",B498),1)</f>
        <v>0</v>
      </c>
      <c r="X498" s="1" cm="1">
        <f t="array" aca="1" ref="X498" ca="1">INDIRECT(CONCATENATE("'",$A$450,"'!u",B498),1)</f>
        <v>0</v>
      </c>
      <c r="Y498" s="1" cm="1">
        <f t="array" aca="1" ref="Y498" ca="1">INDIRECT(CONCATENATE("'",$A$450,"'!v",B498),1)</f>
        <v>0</v>
      </c>
    </row>
    <row r="499" spans="2:25" hidden="1" x14ac:dyDescent="0.25">
      <c r="B499" s="24">
        <f t="shared" si="39"/>
        <v>51</v>
      </c>
      <c r="C499" s="1" cm="1">
        <f t="array" aca="1" ref="C499" ca="1">INDIRECT(CONCATENATE("'",$A$450,"'!A",B499),1)</f>
        <v>0</v>
      </c>
      <c r="D499" s="1" cm="1">
        <f t="array" aca="1" ref="D499" ca="1">INDIRECT(CONCATENATE("'",$A$450,"'!B",B499),1)</f>
        <v>0</v>
      </c>
      <c r="E499" s="1" cm="1">
        <f t="array" aca="1" ref="E499" ca="1">INDIRECT(CONCATENATE("'",$A$450,"'!c",B499),1)</f>
        <v>0</v>
      </c>
      <c r="F499" s="1" cm="1">
        <f t="array" aca="1" ref="F499" ca="1">INDIRECT(CONCATENATE("'",$A$450,"'!d",B499),1)</f>
        <v>0</v>
      </c>
      <c r="G499" s="1" cm="1">
        <f t="array" aca="1" ref="G499" ca="1">INDIRECT(CONCATENATE("'",$A$450,"'!e",B499),1)</f>
        <v>0</v>
      </c>
      <c r="H499" s="1" cm="1">
        <f t="array" aca="1" ref="H499" ca="1">INDIRECT(CONCATENATE("'",$A$450,"'!f",B499),1)</f>
        <v>0</v>
      </c>
      <c r="I499" s="1" cm="1">
        <f t="array" aca="1" ref="I499" ca="1">INDIRECT(CONCATENATE("'",$A$450,"'!g",B499),1)</f>
        <v>0</v>
      </c>
      <c r="J499" s="1" cm="1">
        <f t="array" aca="1" ref="J499" ca="1">INDIRECT(CONCATENATE("'",$A$450,"'!h",B499),1)</f>
        <v>0</v>
      </c>
      <c r="K499" s="1" cm="1">
        <f t="array" aca="1" ref="K499" ca="1">INDIRECT(CONCATENATE("'",$A$450,"'!i",B499),1)</f>
        <v>0</v>
      </c>
      <c r="L499" s="1" cm="1">
        <f t="array" aca="1" ref="L499" ca="1">INDIRECT(CONCATENATE("'",$A$450,"'!j",B499),1)</f>
        <v>0</v>
      </c>
      <c r="M499" s="1" cm="1">
        <f t="array" aca="1" ref="M499" ca="1">INDIRECT(CONCATENATE("'",$A$450,"'!k",B499),1)</f>
        <v>0</v>
      </c>
      <c r="N499" s="1" cm="1">
        <f t="array" aca="1" ref="N499" ca="1">INDIRECT(CONCATENATE("'",$A$450,"'!l",B499),1)</f>
        <v>0</v>
      </c>
      <c r="O499" s="1" cm="1">
        <f t="array" aca="1" ref="O499" ca="1">INDIRECT(CONCATENATE("'",$A$450,"'!m",B499),1)</f>
        <v>0</v>
      </c>
      <c r="P499" s="1" cm="1">
        <f t="array" aca="1" ref="P499" ca="1">INDIRECT(CONCATENATE("'",$A$450,"'!n",B499),1)</f>
        <v>0</v>
      </c>
      <c r="Q499" s="1" cm="1">
        <f t="array" aca="1" ref="Q499" ca="1">INDIRECT(CONCATENATE("'",$A$450,"'!o",B499),1)</f>
        <v>0</v>
      </c>
      <c r="R499" s="1" cm="1">
        <f t="array" aca="1" ref="R499" ca="1">INDIRECT(CONCATENATE("'",$A$450,"'!p",B499),1)</f>
        <v>0</v>
      </c>
      <c r="S499" s="1">
        <f t="shared" ca="1" si="40"/>
        <v>0</v>
      </c>
      <c r="T499" s="1" cm="1">
        <f t="array" aca="1" ref="T499" ca="1">INDIRECT(CONCATENATE("'",$A$450,"'!q",B499),1)</f>
        <v>0</v>
      </c>
      <c r="U499" s="1" cm="1">
        <f t="array" aca="1" ref="U499" ca="1">INDIRECT(CONCATENATE("'",$A$450,"'!r",B499),1)</f>
        <v>0</v>
      </c>
      <c r="V499" s="1" cm="1">
        <f t="array" aca="1" ref="V499" ca="1">INDIRECT(CONCATENATE("'",$A$450,"'!s",B499),1)</f>
        <v>0</v>
      </c>
      <c r="W499" s="1" cm="1">
        <f t="array" aca="1" ref="W499" ca="1">INDIRECT(CONCATENATE("'",$A$450,"'!t",B499),1)</f>
        <v>0</v>
      </c>
      <c r="X499" s="1" cm="1">
        <f t="array" aca="1" ref="X499" ca="1">INDIRECT(CONCATENATE("'",$A$450,"'!u",B499),1)</f>
        <v>0</v>
      </c>
      <c r="Y499" s="1" cm="1">
        <f t="array" aca="1" ref="Y499" ca="1">INDIRECT(CONCATENATE("'",$A$450,"'!v",B499),1)</f>
        <v>0</v>
      </c>
    </row>
    <row r="500" spans="2:25" hidden="1" x14ac:dyDescent="0.25">
      <c r="B500" s="24">
        <f t="shared" ref="B500:B549" si="41">B499+1</f>
        <v>52</v>
      </c>
      <c r="C500" s="1" cm="1">
        <f t="array" aca="1" ref="C500" ca="1">INDIRECT(CONCATENATE("'",$A$450,"'!A",B500),1)</f>
        <v>0</v>
      </c>
      <c r="D500" s="1" cm="1">
        <f t="array" aca="1" ref="D500" ca="1">INDIRECT(CONCATENATE("'",$A$450,"'!B",B500),1)</f>
        <v>0</v>
      </c>
      <c r="E500" s="1" cm="1">
        <f t="array" aca="1" ref="E500" ca="1">INDIRECT(CONCATENATE("'",$A$450,"'!c",B500),1)</f>
        <v>0</v>
      </c>
      <c r="F500" s="1" cm="1">
        <f t="array" aca="1" ref="F500" ca="1">INDIRECT(CONCATENATE("'",$A$450,"'!d",B500),1)</f>
        <v>0</v>
      </c>
      <c r="G500" s="1" cm="1">
        <f t="array" aca="1" ref="G500" ca="1">INDIRECT(CONCATENATE("'",$A$450,"'!e",B500),1)</f>
        <v>0</v>
      </c>
      <c r="H500" s="1" cm="1">
        <f t="array" aca="1" ref="H500" ca="1">INDIRECT(CONCATENATE("'",$A$450,"'!f",B500),1)</f>
        <v>0</v>
      </c>
      <c r="I500" s="1" cm="1">
        <f t="array" aca="1" ref="I500" ca="1">INDIRECT(CONCATENATE("'",$A$450,"'!g",B500),1)</f>
        <v>0</v>
      </c>
      <c r="J500" s="1" cm="1">
        <f t="array" aca="1" ref="J500" ca="1">INDIRECT(CONCATENATE("'",$A$450,"'!h",B500),1)</f>
        <v>0</v>
      </c>
      <c r="K500" s="1" cm="1">
        <f t="array" aca="1" ref="K500" ca="1">INDIRECT(CONCATENATE("'",$A$450,"'!i",B500),1)</f>
        <v>0</v>
      </c>
      <c r="L500" s="1" cm="1">
        <f t="array" aca="1" ref="L500" ca="1">INDIRECT(CONCATENATE("'",$A$450,"'!j",B500),1)</f>
        <v>0</v>
      </c>
      <c r="M500" s="1" cm="1">
        <f t="array" aca="1" ref="M500" ca="1">INDIRECT(CONCATENATE("'",$A$450,"'!k",B500),1)</f>
        <v>0</v>
      </c>
      <c r="N500" s="1" cm="1">
        <f t="array" aca="1" ref="N500" ca="1">INDIRECT(CONCATENATE("'",$A$450,"'!l",B500),1)</f>
        <v>0</v>
      </c>
      <c r="O500" s="1" cm="1">
        <f t="array" aca="1" ref="O500" ca="1">INDIRECT(CONCATENATE("'",$A$450,"'!m",B500),1)</f>
        <v>0</v>
      </c>
      <c r="P500" s="1" cm="1">
        <f t="array" aca="1" ref="P500" ca="1">INDIRECT(CONCATENATE("'",$A$450,"'!n",B500),1)</f>
        <v>0</v>
      </c>
      <c r="Q500" s="1" cm="1">
        <f t="array" aca="1" ref="Q500" ca="1">INDIRECT(CONCATENATE("'",$A$450,"'!o",B500),1)</f>
        <v>0</v>
      </c>
      <c r="R500" s="1" cm="1">
        <f t="array" aca="1" ref="R500" ca="1">INDIRECT(CONCATENATE("'",$A$450,"'!p",B500),1)</f>
        <v>0</v>
      </c>
      <c r="S500" s="1">
        <f t="shared" ca="1" si="40"/>
        <v>0</v>
      </c>
      <c r="T500" s="1" cm="1">
        <f t="array" aca="1" ref="T500" ca="1">INDIRECT(CONCATENATE("'",$A$450,"'!q",B500),1)</f>
        <v>0</v>
      </c>
      <c r="U500" s="1" cm="1">
        <f t="array" aca="1" ref="U500" ca="1">INDIRECT(CONCATENATE("'",$A$450,"'!r",B500),1)</f>
        <v>0</v>
      </c>
      <c r="V500" s="1" cm="1">
        <f t="array" aca="1" ref="V500" ca="1">INDIRECT(CONCATENATE("'",$A$450,"'!s",B500),1)</f>
        <v>0</v>
      </c>
      <c r="W500" s="1" cm="1">
        <f t="array" aca="1" ref="W500" ca="1">INDIRECT(CONCATENATE("'",$A$450,"'!t",B500),1)</f>
        <v>0</v>
      </c>
      <c r="X500" s="1" cm="1">
        <f t="array" aca="1" ref="X500" ca="1">INDIRECT(CONCATENATE("'",$A$450,"'!u",B500),1)</f>
        <v>0</v>
      </c>
      <c r="Y500" s="1" cm="1">
        <f t="array" aca="1" ref="Y500" ca="1">INDIRECT(CONCATENATE("'",$A$450,"'!v",B500),1)</f>
        <v>0</v>
      </c>
    </row>
    <row r="501" spans="2:25" hidden="1" x14ac:dyDescent="0.25">
      <c r="B501" s="24">
        <f t="shared" si="41"/>
        <v>53</v>
      </c>
      <c r="C501" s="1" cm="1">
        <f t="array" aca="1" ref="C501" ca="1">INDIRECT(CONCATENATE("'",$A$450,"'!A",B501),1)</f>
        <v>0</v>
      </c>
      <c r="D501" s="1" cm="1">
        <f t="array" aca="1" ref="D501" ca="1">INDIRECT(CONCATENATE("'",$A$450,"'!B",B501),1)</f>
        <v>0</v>
      </c>
      <c r="E501" s="1" cm="1">
        <f t="array" aca="1" ref="E501" ca="1">INDIRECT(CONCATENATE("'",$A$450,"'!c",B501),1)</f>
        <v>0</v>
      </c>
      <c r="F501" s="1" cm="1">
        <f t="array" aca="1" ref="F501" ca="1">INDIRECT(CONCATENATE("'",$A$450,"'!d",B501),1)</f>
        <v>0</v>
      </c>
      <c r="G501" s="1" cm="1">
        <f t="array" aca="1" ref="G501" ca="1">INDIRECT(CONCATENATE("'",$A$450,"'!e",B501),1)</f>
        <v>0</v>
      </c>
      <c r="H501" s="1" cm="1">
        <f t="array" aca="1" ref="H501" ca="1">INDIRECT(CONCATENATE("'",$A$450,"'!f",B501),1)</f>
        <v>0</v>
      </c>
      <c r="I501" s="1" cm="1">
        <f t="array" aca="1" ref="I501" ca="1">INDIRECT(CONCATENATE("'",$A$450,"'!g",B501),1)</f>
        <v>0</v>
      </c>
      <c r="J501" s="1" cm="1">
        <f t="array" aca="1" ref="J501" ca="1">INDIRECT(CONCATENATE("'",$A$450,"'!h",B501),1)</f>
        <v>0</v>
      </c>
      <c r="K501" s="1" cm="1">
        <f t="array" aca="1" ref="K501" ca="1">INDIRECT(CONCATENATE("'",$A$450,"'!i",B501),1)</f>
        <v>0</v>
      </c>
      <c r="L501" s="1" cm="1">
        <f t="array" aca="1" ref="L501" ca="1">INDIRECT(CONCATENATE("'",$A$450,"'!j",B501),1)</f>
        <v>0</v>
      </c>
      <c r="M501" s="1" cm="1">
        <f t="array" aca="1" ref="M501" ca="1">INDIRECT(CONCATENATE("'",$A$450,"'!k",B501),1)</f>
        <v>0</v>
      </c>
      <c r="N501" s="1" cm="1">
        <f t="array" aca="1" ref="N501" ca="1">INDIRECT(CONCATENATE("'",$A$450,"'!l",B501),1)</f>
        <v>0</v>
      </c>
      <c r="O501" s="1" cm="1">
        <f t="array" aca="1" ref="O501" ca="1">INDIRECT(CONCATENATE("'",$A$450,"'!m",B501),1)</f>
        <v>0</v>
      </c>
      <c r="P501" s="1" cm="1">
        <f t="array" aca="1" ref="P501" ca="1">INDIRECT(CONCATENATE("'",$A$450,"'!n",B501),1)</f>
        <v>0</v>
      </c>
      <c r="Q501" s="1" cm="1">
        <f t="array" aca="1" ref="Q501" ca="1">INDIRECT(CONCATENATE("'",$A$450,"'!o",B501),1)</f>
        <v>0</v>
      </c>
      <c r="R501" s="1" cm="1">
        <f t="array" aca="1" ref="R501" ca="1">INDIRECT(CONCATENATE("'",$A$450,"'!p",B501),1)</f>
        <v>0</v>
      </c>
      <c r="S501" s="1">
        <f t="shared" ref="S501:S526" ca="1" si="42">SUMIFS(U501,T501,$N$1)+SUMIFS(W501,V501,$N$1)+SUMIFS(Y501,X501,$N$1)</f>
        <v>0</v>
      </c>
      <c r="T501" s="1" cm="1">
        <f t="array" aca="1" ref="T501" ca="1">INDIRECT(CONCATENATE("'",$A$450,"'!q",B501),1)</f>
        <v>0</v>
      </c>
      <c r="U501" s="1" cm="1">
        <f t="array" aca="1" ref="U501" ca="1">INDIRECT(CONCATENATE("'",$A$450,"'!r",B501),1)</f>
        <v>0</v>
      </c>
      <c r="V501" s="1" cm="1">
        <f t="array" aca="1" ref="V501" ca="1">INDIRECT(CONCATENATE("'",$A$450,"'!s",B501),1)</f>
        <v>0</v>
      </c>
      <c r="W501" s="1" cm="1">
        <f t="array" aca="1" ref="W501" ca="1">INDIRECT(CONCATENATE("'",$A$450,"'!t",B501),1)</f>
        <v>0</v>
      </c>
      <c r="X501" s="1" cm="1">
        <f t="array" aca="1" ref="X501" ca="1">INDIRECT(CONCATENATE("'",$A$450,"'!u",B501),1)</f>
        <v>0</v>
      </c>
      <c r="Y501" s="1" cm="1">
        <f t="array" aca="1" ref="Y501" ca="1">INDIRECT(CONCATENATE("'",$A$450,"'!v",B501),1)</f>
        <v>0</v>
      </c>
    </row>
    <row r="502" spans="2:25" hidden="1" x14ac:dyDescent="0.25">
      <c r="B502" s="24">
        <f t="shared" si="41"/>
        <v>54</v>
      </c>
      <c r="C502" s="1" cm="1">
        <f t="array" aca="1" ref="C502" ca="1">INDIRECT(CONCATENATE("'",$A$450,"'!A",B502),1)</f>
        <v>0</v>
      </c>
      <c r="D502" s="1" cm="1">
        <f t="array" aca="1" ref="D502" ca="1">INDIRECT(CONCATENATE("'",$A$450,"'!B",B502),1)</f>
        <v>0</v>
      </c>
      <c r="E502" s="1" cm="1">
        <f t="array" aca="1" ref="E502" ca="1">INDIRECT(CONCATENATE("'",$A$450,"'!c",B502),1)</f>
        <v>0</v>
      </c>
      <c r="F502" s="1" cm="1">
        <f t="array" aca="1" ref="F502" ca="1">INDIRECT(CONCATENATE("'",$A$450,"'!d",B502),1)</f>
        <v>0</v>
      </c>
      <c r="G502" s="1" cm="1">
        <f t="array" aca="1" ref="G502" ca="1">INDIRECT(CONCATENATE("'",$A$450,"'!e",B502),1)</f>
        <v>0</v>
      </c>
      <c r="H502" s="1" cm="1">
        <f t="array" aca="1" ref="H502" ca="1">INDIRECT(CONCATENATE("'",$A$450,"'!f",B502),1)</f>
        <v>0</v>
      </c>
      <c r="I502" s="1" cm="1">
        <f t="array" aca="1" ref="I502" ca="1">INDIRECT(CONCATENATE("'",$A$450,"'!g",B502),1)</f>
        <v>0</v>
      </c>
      <c r="J502" s="1" cm="1">
        <f t="array" aca="1" ref="J502" ca="1">INDIRECT(CONCATENATE("'",$A$450,"'!h",B502),1)</f>
        <v>0</v>
      </c>
      <c r="K502" s="1" cm="1">
        <f t="array" aca="1" ref="K502" ca="1">INDIRECT(CONCATENATE("'",$A$450,"'!i",B502),1)</f>
        <v>0</v>
      </c>
      <c r="L502" s="1" cm="1">
        <f t="array" aca="1" ref="L502" ca="1">INDIRECT(CONCATENATE("'",$A$450,"'!j",B502),1)</f>
        <v>0</v>
      </c>
      <c r="M502" s="1" cm="1">
        <f t="array" aca="1" ref="M502" ca="1">INDIRECT(CONCATENATE("'",$A$450,"'!k",B502),1)</f>
        <v>0</v>
      </c>
      <c r="N502" s="1" cm="1">
        <f t="array" aca="1" ref="N502" ca="1">INDIRECT(CONCATENATE("'",$A$450,"'!l",B502),1)</f>
        <v>0</v>
      </c>
      <c r="O502" s="1" cm="1">
        <f t="array" aca="1" ref="O502" ca="1">INDIRECT(CONCATENATE("'",$A$450,"'!m",B502),1)</f>
        <v>0</v>
      </c>
      <c r="P502" s="1" cm="1">
        <f t="array" aca="1" ref="P502" ca="1">INDIRECT(CONCATENATE("'",$A$450,"'!n",B502),1)</f>
        <v>0</v>
      </c>
      <c r="Q502" s="1" cm="1">
        <f t="array" aca="1" ref="Q502" ca="1">INDIRECT(CONCATENATE("'",$A$450,"'!o",B502),1)</f>
        <v>0</v>
      </c>
      <c r="R502" s="1" cm="1">
        <f t="array" aca="1" ref="R502" ca="1">INDIRECT(CONCATENATE("'",$A$450,"'!p",B502),1)</f>
        <v>0</v>
      </c>
      <c r="S502" s="1">
        <f t="shared" ca="1" si="42"/>
        <v>0</v>
      </c>
      <c r="T502" s="1" cm="1">
        <f t="array" aca="1" ref="T502" ca="1">INDIRECT(CONCATENATE("'",$A$450,"'!q",B502),1)</f>
        <v>0</v>
      </c>
      <c r="U502" s="1" cm="1">
        <f t="array" aca="1" ref="U502" ca="1">INDIRECT(CONCATENATE("'",$A$450,"'!r",B502),1)</f>
        <v>0</v>
      </c>
      <c r="V502" s="1" cm="1">
        <f t="array" aca="1" ref="V502" ca="1">INDIRECT(CONCATENATE("'",$A$450,"'!s",B502),1)</f>
        <v>0</v>
      </c>
      <c r="W502" s="1" cm="1">
        <f t="array" aca="1" ref="W502" ca="1">INDIRECT(CONCATENATE("'",$A$450,"'!t",B502),1)</f>
        <v>0</v>
      </c>
      <c r="X502" s="1" cm="1">
        <f t="array" aca="1" ref="X502" ca="1">INDIRECT(CONCATENATE("'",$A$450,"'!u",B502),1)</f>
        <v>0</v>
      </c>
      <c r="Y502" s="1" cm="1">
        <f t="array" aca="1" ref="Y502" ca="1">INDIRECT(CONCATENATE("'",$A$450,"'!v",B502),1)</f>
        <v>0</v>
      </c>
    </row>
    <row r="503" spans="2:25" hidden="1" x14ac:dyDescent="0.25">
      <c r="B503" s="24">
        <f t="shared" si="41"/>
        <v>55</v>
      </c>
      <c r="C503" s="1" cm="1">
        <f t="array" aca="1" ref="C503" ca="1">INDIRECT(CONCATENATE("'",$A$450,"'!A",B503),1)</f>
        <v>0</v>
      </c>
      <c r="D503" s="1" cm="1">
        <f t="array" aca="1" ref="D503" ca="1">INDIRECT(CONCATENATE("'",$A$450,"'!B",B503),1)</f>
        <v>0</v>
      </c>
      <c r="E503" s="1" cm="1">
        <f t="array" aca="1" ref="E503" ca="1">INDIRECT(CONCATENATE("'",$A$450,"'!c",B503),1)</f>
        <v>0</v>
      </c>
      <c r="F503" s="1" cm="1">
        <f t="array" aca="1" ref="F503" ca="1">INDIRECT(CONCATENATE("'",$A$450,"'!d",B503),1)</f>
        <v>0</v>
      </c>
      <c r="G503" s="1" cm="1">
        <f t="array" aca="1" ref="G503" ca="1">INDIRECT(CONCATENATE("'",$A$450,"'!e",B503),1)</f>
        <v>0</v>
      </c>
      <c r="H503" s="1" cm="1">
        <f t="array" aca="1" ref="H503" ca="1">INDIRECT(CONCATENATE("'",$A$450,"'!f",B503),1)</f>
        <v>0</v>
      </c>
      <c r="I503" s="1" cm="1">
        <f t="array" aca="1" ref="I503" ca="1">INDIRECT(CONCATENATE("'",$A$450,"'!g",B503),1)</f>
        <v>0</v>
      </c>
      <c r="J503" s="1" cm="1">
        <f t="array" aca="1" ref="J503" ca="1">INDIRECT(CONCATENATE("'",$A$450,"'!h",B503),1)</f>
        <v>0</v>
      </c>
      <c r="K503" s="1" cm="1">
        <f t="array" aca="1" ref="K503" ca="1">INDIRECT(CONCATENATE("'",$A$450,"'!i",B503),1)</f>
        <v>0</v>
      </c>
      <c r="L503" s="1" cm="1">
        <f t="array" aca="1" ref="L503" ca="1">INDIRECT(CONCATENATE("'",$A$450,"'!j",B503),1)</f>
        <v>0</v>
      </c>
      <c r="M503" s="1" cm="1">
        <f t="array" aca="1" ref="M503" ca="1">INDIRECT(CONCATENATE("'",$A$450,"'!k",B503),1)</f>
        <v>0</v>
      </c>
      <c r="N503" s="1" cm="1">
        <f t="array" aca="1" ref="N503" ca="1">INDIRECT(CONCATENATE("'",$A$450,"'!l",B503),1)</f>
        <v>0</v>
      </c>
      <c r="O503" s="1" cm="1">
        <f t="array" aca="1" ref="O503" ca="1">INDIRECT(CONCATENATE("'",$A$450,"'!m",B503),1)</f>
        <v>0</v>
      </c>
      <c r="P503" s="1" cm="1">
        <f t="array" aca="1" ref="P503" ca="1">INDIRECT(CONCATENATE("'",$A$450,"'!n",B503),1)</f>
        <v>0</v>
      </c>
      <c r="Q503" s="1" cm="1">
        <f t="array" aca="1" ref="Q503" ca="1">INDIRECT(CONCATENATE("'",$A$450,"'!o",B503),1)</f>
        <v>0</v>
      </c>
      <c r="R503" s="1" cm="1">
        <f t="array" aca="1" ref="R503" ca="1">INDIRECT(CONCATENATE("'",$A$450,"'!p",B503),1)</f>
        <v>0</v>
      </c>
      <c r="S503" s="1">
        <f t="shared" ca="1" si="42"/>
        <v>0</v>
      </c>
      <c r="T503" s="1" cm="1">
        <f t="array" aca="1" ref="T503" ca="1">INDIRECT(CONCATENATE("'",$A$450,"'!q",B503),1)</f>
        <v>0</v>
      </c>
      <c r="U503" s="1" cm="1">
        <f t="array" aca="1" ref="U503" ca="1">INDIRECT(CONCATENATE("'",$A$450,"'!r",B503),1)</f>
        <v>0</v>
      </c>
      <c r="V503" s="1" cm="1">
        <f t="array" aca="1" ref="V503" ca="1">INDIRECT(CONCATENATE("'",$A$450,"'!s",B503),1)</f>
        <v>0</v>
      </c>
      <c r="W503" s="1" cm="1">
        <f t="array" aca="1" ref="W503" ca="1">INDIRECT(CONCATENATE("'",$A$450,"'!t",B503),1)</f>
        <v>0</v>
      </c>
      <c r="X503" s="1" cm="1">
        <f t="array" aca="1" ref="X503" ca="1">INDIRECT(CONCATENATE("'",$A$450,"'!u",B503),1)</f>
        <v>0</v>
      </c>
      <c r="Y503" s="1" cm="1">
        <f t="array" aca="1" ref="Y503" ca="1">INDIRECT(CONCATENATE("'",$A$450,"'!v",B503),1)</f>
        <v>0</v>
      </c>
    </row>
    <row r="504" spans="2:25" hidden="1" x14ac:dyDescent="0.25">
      <c r="B504" s="24">
        <f t="shared" si="41"/>
        <v>56</v>
      </c>
      <c r="C504" s="1" cm="1">
        <f t="array" aca="1" ref="C504" ca="1">INDIRECT(CONCATENATE("'",$A$450,"'!A",B504),1)</f>
        <v>0</v>
      </c>
      <c r="D504" s="1" cm="1">
        <f t="array" aca="1" ref="D504" ca="1">INDIRECT(CONCATENATE("'",$A$450,"'!B",B504),1)</f>
        <v>0</v>
      </c>
      <c r="E504" s="1" cm="1">
        <f t="array" aca="1" ref="E504" ca="1">INDIRECT(CONCATENATE("'",$A$450,"'!c",B504),1)</f>
        <v>0</v>
      </c>
      <c r="F504" s="1" cm="1">
        <f t="array" aca="1" ref="F504" ca="1">INDIRECT(CONCATENATE("'",$A$450,"'!d",B504),1)</f>
        <v>0</v>
      </c>
      <c r="G504" s="1" cm="1">
        <f t="array" aca="1" ref="G504" ca="1">INDIRECT(CONCATENATE("'",$A$450,"'!e",B504),1)</f>
        <v>0</v>
      </c>
      <c r="H504" s="1" cm="1">
        <f t="array" aca="1" ref="H504" ca="1">INDIRECT(CONCATENATE("'",$A$450,"'!f",B504),1)</f>
        <v>0</v>
      </c>
      <c r="I504" s="1" cm="1">
        <f t="array" aca="1" ref="I504" ca="1">INDIRECT(CONCATENATE("'",$A$450,"'!g",B504),1)</f>
        <v>0</v>
      </c>
      <c r="J504" s="1" cm="1">
        <f t="array" aca="1" ref="J504" ca="1">INDIRECT(CONCATENATE("'",$A$450,"'!h",B504),1)</f>
        <v>0</v>
      </c>
      <c r="K504" s="1" cm="1">
        <f t="array" aca="1" ref="K504" ca="1">INDIRECT(CONCATENATE("'",$A$450,"'!i",B504),1)</f>
        <v>0</v>
      </c>
      <c r="L504" s="1" cm="1">
        <f t="array" aca="1" ref="L504" ca="1">INDIRECT(CONCATENATE("'",$A$450,"'!j",B504),1)</f>
        <v>0</v>
      </c>
      <c r="M504" s="1" cm="1">
        <f t="array" aca="1" ref="M504" ca="1">INDIRECT(CONCATENATE("'",$A$450,"'!k",B504),1)</f>
        <v>0</v>
      </c>
      <c r="N504" s="1" cm="1">
        <f t="array" aca="1" ref="N504" ca="1">INDIRECT(CONCATENATE("'",$A$450,"'!l",B504),1)</f>
        <v>0</v>
      </c>
      <c r="O504" s="1" cm="1">
        <f t="array" aca="1" ref="O504" ca="1">INDIRECT(CONCATENATE("'",$A$450,"'!m",B504),1)</f>
        <v>0</v>
      </c>
      <c r="P504" s="1" cm="1">
        <f t="array" aca="1" ref="P504" ca="1">INDIRECT(CONCATENATE("'",$A$450,"'!n",B504),1)</f>
        <v>0</v>
      </c>
      <c r="Q504" s="1" cm="1">
        <f t="array" aca="1" ref="Q504" ca="1">INDIRECT(CONCATENATE("'",$A$450,"'!o",B504),1)</f>
        <v>0</v>
      </c>
      <c r="R504" s="1" cm="1">
        <f t="array" aca="1" ref="R504" ca="1">INDIRECT(CONCATENATE("'",$A$450,"'!p",B504),1)</f>
        <v>0</v>
      </c>
      <c r="S504" s="1">
        <f t="shared" ca="1" si="42"/>
        <v>0</v>
      </c>
      <c r="T504" s="1" cm="1">
        <f t="array" aca="1" ref="T504" ca="1">INDIRECT(CONCATENATE("'",$A$450,"'!q",B504),1)</f>
        <v>0</v>
      </c>
      <c r="U504" s="1" cm="1">
        <f t="array" aca="1" ref="U504" ca="1">INDIRECT(CONCATENATE("'",$A$450,"'!r",B504),1)</f>
        <v>0</v>
      </c>
      <c r="V504" s="1" cm="1">
        <f t="array" aca="1" ref="V504" ca="1">INDIRECT(CONCATENATE("'",$A$450,"'!s",B504),1)</f>
        <v>0</v>
      </c>
      <c r="W504" s="1" cm="1">
        <f t="array" aca="1" ref="W504" ca="1">INDIRECT(CONCATENATE("'",$A$450,"'!t",B504),1)</f>
        <v>0</v>
      </c>
      <c r="X504" s="1" cm="1">
        <f t="array" aca="1" ref="X504" ca="1">INDIRECT(CONCATENATE("'",$A$450,"'!u",B504),1)</f>
        <v>0</v>
      </c>
      <c r="Y504" s="1" cm="1">
        <f t="array" aca="1" ref="Y504" ca="1">INDIRECT(CONCATENATE("'",$A$450,"'!v",B504),1)</f>
        <v>0</v>
      </c>
    </row>
    <row r="505" spans="2:25" hidden="1" x14ac:dyDescent="0.25">
      <c r="B505" s="24">
        <f t="shared" si="41"/>
        <v>57</v>
      </c>
      <c r="C505" s="1" cm="1">
        <f t="array" aca="1" ref="C505" ca="1">INDIRECT(CONCATENATE("'",$A$450,"'!A",B505),1)</f>
        <v>0</v>
      </c>
      <c r="D505" s="1" cm="1">
        <f t="array" aca="1" ref="D505" ca="1">INDIRECT(CONCATENATE("'",$A$450,"'!B",B505),1)</f>
        <v>0</v>
      </c>
      <c r="E505" s="1" cm="1">
        <f t="array" aca="1" ref="E505" ca="1">INDIRECT(CONCATENATE("'",$A$450,"'!c",B505),1)</f>
        <v>0</v>
      </c>
      <c r="F505" s="1" cm="1">
        <f t="array" aca="1" ref="F505" ca="1">INDIRECT(CONCATENATE("'",$A$450,"'!d",B505),1)</f>
        <v>0</v>
      </c>
      <c r="G505" s="1" cm="1">
        <f t="array" aca="1" ref="G505" ca="1">INDIRECT(CONCATENATE("'",$A$450,"'!e",B505),1)</f>
        <v>0</v>
      </c>
      <c r="H505" s="1" cm="1">
        <f t="array" aca="1" ref="H505" ca="1">INDIRECT(CONCATENATE("'",$A$450,"'!f",B505),1)</f>
        <v>0</v>
      </c>
      <c r="I505" s="1" cm="1">
        <f t="array" aca="1" ref="I505" ca="1">INDIRECT(CONCATENATE("'",$A$450,"'!g",B505),1)</f>
        <v>0</v>
      </c>
      <c r="J505" s="1" cm="1">
        <f t="array" aca="1" ref="J505" ca="1">INDIRECT(CONCATENATE("'",$A$450,"'!h",B505),1)</f>
        <v>0</v>
      </c>
      <c r="K505" s="1" cm="1">
        <f t="array" aca="1" ref="K505" ca="1">INDIRECT(CONCATENATE("'",$A$450,"'!i",B505),1)</f>
        <v>0</v>
      </c>
      <c r="L505" s="1" cm="1">
        <f t="array" aca="1" ref="L505" ca="1">INDIRECT(CONCATENATE("'",$A$450,"'!j",B505),1)</f>
        <v>0</v>
      </c>
      <c r="M505" s="1" cm="1">
        <f t="array" aca="1" ref="M505" ca="1">INDIRECT(CONCATENATE("'",$A$450,"'!k",B505),1)</f>
        <v>0</v>
      </c>
      <c r="N505" s="1" cm="1">
        <f t="array" aca="1" ref="N505" ca="1">INDIRECT(CONCATENATE("'",$A$450,"'!l",B505),1)</f>
        <v>0</v>
      </c>
      <c r="O505" s="1" cm="1">
        <f t="array" aca="1" ref="O505" ca="1">INDIRECT(CONCATENATE("'",$A$450,"'!m",B505),1)</f>
        <v>0</v>
      </c>
      <c r="P505" s="1" cm="1">
        <f t="array" aca="1" ref="P505" ca="1">INDIRECT(CONCATENATE("'",$A$450,"'!n",B505),1)</f>
        <v>0</v>
      </c>
      <c r="Q505" s="1" cm="1">
        <f t="array" aca="1" ref="Q505" ca="1">INDIRECT(CONCATENATE("'",$A$450,"'!o",B505),1)</f>
        <v>0</v>
      </c>
      <c r="R505" s="1" cm="1">
        <f t="array" aca="1" ref="R505" ca="1">INDIRECT(CONCATENATE("'",$A$450,"'!p",B505),1)</f>
        <v>0</v>
      </c>
      <c r="S505" s="1">
        <f t="shared" ca="1" si="42"/>
        <v>0</v>
      </c>
      <c r="T505" s="1" cm="1">
        <f t="array" aca="1" ref="T505" ca="1">INDIRECT(CONCATENATE("'",$A$450,"'!q",B505),1)</f>
        <v>0</v>
      </c>
      <c r="U505" s="1" cm="1">
        <f t="array" aca="1" ref="U505" ca="1">INDIRECT(CONCATENATE("'",$A$450,"'!r",B505),1)</f>
        <v>0</v>
      </c>
      <c r="V505" s="1" cm="1">
        <f t="array" aca="1" ref="V505" ca="1">INDIRECT(CONCATENATE("'",$A$450,"'!s",B505),1)</f>
        <v>0</v>
      </c>
      <c r="W505" s="1" cm="1">
        <f t="array" aca="1" ref="W505" ca="1">INDIRECT(CONCATENATE("'",$A$450,"'!t",B505),1)</f>
        <v>0</v>
      </c>
      <c r="X505" s="1" cm="1">
        <f t="array" aca="1" ref="X505" ca="1">INDIRECT(CONCATENATE("'",$A$450,"'!u",B505),1)</f>
        <v>0</v>
      </c>
      <c r="Y505" s="1" cm="1">
        <f t="array" aca="1" ref="Y505" ca="1">INDIRECT(CONCATENATE("'",$A$450,"'!v",B505),1)</f>
        <v>0</v>
      </c>
    </row>
    <row r="506" spans="2:25" hidden="1" x14ac:dyDescent="0.25">
      <c r="B506" s="24">
        <f t="shared" si="41"/>
        <v>58</v>
      </c>
      <c r="C506" s="1" cm="1">
        <f t="array" aca="1" ref="C506" ca="1">INDIRECT(CONCATENATE("'",$A$450,"'!A",B506),1)</f>
        <v>0</v>
      </c>
      <c r="D506" s="1" cm="1">
        <f t="array" aca="1" ref="D506" ca="1">INDIRECT(CONCATENATE("'",$A$450,"'!B",B506),1)</f>
        <v>0</v>
      </c>
      <c r="E506" s="1" cm="1">
        <f t="array" aca="1" ref="E506" ca="1">INDIRECT(CONCATENATE("'",$A$450,"'!c",B506),1)</f>
        <v>0</v>
      </c>
      <c r="F506" s="1" cm="1">
        <f t="array" aca="1" ref="F506" ca="1">INDIRECT(CONCATENATE("'",$A$450,"'!d",B506),1)</f>
        <v>0</v>
      </c>
      <c r="G506" s="1" cm="1">
        <f t="array" aca="1" ref="G506" ca="1">INDIRECT(CONCATENATE("'",$A$450,"'!e",B506),1)</f>
        <v>0</v>
      </c>
      <c r="H506" s="1" cm="1">
        <f t="array" aca="1" ref="H506" ca="1">INDIRECT(CONCATENATE("'",$A$450,"'!f",B506),1)</f>
        <v>0</v>
      </c>
      <c r="I506" s="1" cm="1">
        <f t="array" aca="1" ref="I506" ca="1">INDIRECT(CONCATENATE("'",$A$450,"'!g",B506),1)</f>
        <v>0</v>
      </c>
      <c r="J506" s="1" cm="1">
        <f t="array" aca="1" ref="J506" ca="1">INDIRECT(CONCATENATE("'",$A$450,"'!h",B506),1)</f>
        <v>0</v>
      </c>
      <c r="K506" s="1" cm="1">
        <f t="array" aca="1" ref="K506" ca="1">INDIRECT(CONCATENATE("'",$A$450,"'!i",B506),1)</f>
        <v>0</v>
      </c>
      <c r="L506" s="1" cm="1">
        <f t="array" aca="1" ref="L506" ca="1">INDIRECT(CONCATENATE("'",$A$450,"'!j",B506),1)</f>
        <v>0</v>
      </c>
      <c r="M506" s="1" cm="1">
        <f t="array" aca="1" ref="M506" ca="1">INDIRECT(CONCATENATE("'",$A$450,"'!k",B506),1)</f>
        <v>0</v>
      </c>
      <c r="N506" s="1" cm="1">
        <f t="array" aca="1" ref="N506" ca="1">INDIRECT(CONCATENATE("'",$A$450,"'!l",B506),1)</f>
        <v>0</v>
      </c>
      <c r="O506" s="1" cm="1">
        <f t="array" aca="1" ref="O506" ca="1">INDIRECT(CONCATENATE("'",$A$450,"'!m",B506),1)</f>
        <v>0</v>
      </c>
      <c r="P506" s="1" cm="1">
        <f t="array" aca="1" ref="P506" ca="1">INDIRECT(CONCATENATE("'",$A$450,"'!n",B506),1)</f>
        <v>0</v>
      </c>
      <c r="Q506" s="1" cm="1">
        <f t="array" aca="1" ref="Q506" ca="1">INDIRECT(CONCATENATE("'",$A$450,"'!o",B506),1)</f>
        <v>0</v>
      </c>
      <c r="R506" s="1" cm="1">
        <f t="array" aca="1" ref="R506" ca="1">INDIRECT(CONCATENATE("'",$A$450,"'!p",B506),1)</f>
        <v>0</v>
      </c>
      <c r="S506" s="1">
        <f t="shared" ca="1" si="42"/>
        <v>0</v>
      </c>
      <c r="T506" s="1" cm="1">
        <f t="array" aca="1" ref="T506" ca="1">INDIRECT(CONCATENATE("'",$A$450,"'!q",B506),1)</f>
        <v>0</v>
      </c>
      <c r="U506" s="1" cm="1">
        <f t="array" aca="1" ref="U506" ca="1">INDIRECT(CONCATENATE("'",$A$450,"'!r",B506),1)</f>
        <v>0</v>
      </c>
      <c r="V506" s="1" cm="1">
        <f t="array" aca="1" ref="V506" ca="1">INDIRECT(CONCATENATE("'",$A$450,"'!s",B506),1)</f>
        <v>0</v>
      </c>
      <c r="W506" s="1" cm="1">
        <f t="array" aca="1" ref="W506" ca="1">INDIRECT(CONCATENATE("'",$A$450,"'!t",B506),1)</f>
        <v>0</v>
      </c>
      <c r="X506" s="1" cm="1">
        <f t="array" aca="1" ref="X506" ca="1">INDIRECT(CONCATENATE("'",$A$450,"'!u",B506),1)</f>
        <v>0</v>
      </c>
      <c r="Y506" s="1" cm="1">
        <f t="array" aca="1" ref="Y506" ca="1">INDIRECT(CONCATENATE("'",$A$450,"'!v",B506),1)</f>
        <v>0</v>
      </c>
    </row>
    <row r="507" spans="2:25" hidden="1" x14ac:dyDescent="0.25">
      <c r="B507" s="24">
        <f t="shared" si="41"/>
        <v>59</v>
      </c>
      <c r="C507" s="1" cm="1">
        <f t="array" aca="1" ref="C507" ca="1">INDIRECT(CONCATENATE("'",$A$450,"'!A",B507),1)</f>
        <v>0</v>
      </c>
      <c r="D507" s="1" cm="1">
        <f t="array" aca="1" ref="D507" ca="1">INDIRECT(CONCATENATE("'",$A$450,"'!B",B507),1)</f>
        <v>0</v>
      </c>
      <c r="E507" s="1" cm="1">
        <f t="array" aca="1" ref="E507" ca="1">INDIRECT(CONCATENATE("'",$A$450,"'!c",B507),1)</f>
        <v>0</v>
      </c>
      <c r="F507" s="1" cm="1">
        <f t="array" aca="1" ref="F507" ca="1">INDIRECT(CONCATENATE("'",$A$450,"'!d",B507),1)</f>
        <v>0</v>
      </c>
      <c r="G507" s="1" cm="1">
        <f t="array" aca="1" ref="G507" ca="1">INDIRECT(CONCATENATE("'",$A$450,"'!e",B507),1)</f>
        <v>0</v>
      </c>
      <c r="H507" s="1" cm="1">
        <f t="array" aca="1" ref="H507" ca="1">INDIRECT(CONCATENATE("'",$A$450,"'!f",B507),1)</f>
        <v>0</v>
      </c>
      <c r="I507" s="1" cm="1">
        <f t="array" aca="1" ref="I507" ca="1">INDIRECT(CONCATENATE("'",$A$450,"'!g",B507),1)</f>
        <v>0</v>
      </c>
      <c r="J507" s="1" cm="1">
        <f t="array" aca="1" ref="J507" ca="1">INDIRECT(CONCATENATE("'",$A$450,"'!h",B507),1)</f>
        <v>0</v>
      </c>
      <c r="K507" s="1" cm="1">
        <f t="array" aca="1" ref="K507" ca="1">INDIRECT(CONCATENATE("'",$A$450,"'!i",B507),1)</f>
        <v>0</v>
      </c>
      <c r="L507" s="1" cm="1">
        <f t="array" aca="1" ref="L507" ca="1">INDIRECT(CONCATENATE("'",$A$450,"'!j",B507),1)</f>
        <v>0</v>
      </c>
      <c r="M507" s="1" cm="1">
        <f t="array" aca="1" ref="M507" ca="1">INDIRECT(CONCATENATE("'",$A$450,"'!k",B507),1)</f>
        <v>0</v>
      </c>
      <c r="N507" s="1" cm="1">
        <f t="array" aca="1" ref="N507" ca="1">INDIRECT(CONCATENATE("'",$A$450,"'!l",B507),1)</f>
        <v>0</v>
      </c>
      <c r="O507" s="1" cm="1">
        <f t="array" aca="1" ref="O507" ca="1">INDIRECT(CONCATENATE("'",$A$450,"'!m",B507),1)</f>
        <v>0</v>
      </c>
      <c r="P507" s="1" cm="1">
        <f t="array" aca="1" ref="P507" ca="1">INDIRECT(CONCATENATE("'",$A$450,"'!n",B507),1)</f>
        <v>0</v>
      </c>
      <c r="Q507" s="1" cm="1">
        <f t="array" aca="1" ref="Q507" ca="1">INDIRECT(CONCATENATE("'",$A$450,"'!o",B507),1)</f>
        <v>0</v>
      </c>
      <c r="R507" s="1" cm="1">
        <f t="array" aca="1" ref="R507" ca="1">INDIRECT(CONCATENATE("'",$A$450,"'!p",B507),1)</f>
        <v>0</v>
      </c>
      <c r="S507" s="1">
        <f t="shared" ca="1" si="42"/>
        <v>0</v>
      </c>
      <c r="T507" s="1" cm="1">
        <f t="array" aca="1" ref="T507" ca="1">INDIRECT(CONCATENATE("'",$A$450,"'!q",B507),1)</f>
        <v>0</v>
      </c>
      <c r="U507" s="1" cm="1">
        <f t="array" aca="1" ref="U507" ca="1">INDIRECT(CONCATENATE("'",$A$450,"'!r",B507),1)</f>
        <v>0</v>
      </c>
      <c r="V507" s="1" cm="1">
        <f t="array" aca="1" ref="V507" ca="1">INDIRECT(CONCATENATE("'",$A$450,"'!s",B507),1)</f>
        <v>0</v>
      </c>
      <c r="W507" s="1" cm="1">
        <f t="array" aca="1" ref="W507" ca="1">INDIRECT(CONCATENATE("'",$A$450,"'!t",B507),1)</f>
        <v>0</v>
      </c>
      <c r="X507" s="1" cm="1">
        <f t="array" aca="1" ref="X507" ca="1">INDIRECT(CONCATENATE("'",$A$450,"'!u",B507),1)</f>
        <v>0</v>
      </c>
      <c r="Y507" s="1" cm="1">
        <f t="array" aca="1" ref="Y507" ca="1">INDIRECT(CONCATENATE("'",$A$450,"'!v",B507),1)</f>
        <v>0</v>
      </c>
    </row>
    <row r="508" spans="2:25" hidden="1" x14ac:dyDescent="0.25">
      <c r="B508" s="24">
        <f t="shared" si="41"/>
        <v>60</v>
      </c>
      <c r="C508" s="1" cm="1">
        <f t="array" aca="1" ref="C508" ca="1">INDIRECT(CONCATENATE("'",$A$450,"'!A",B508),1)</f>
        <v>0</v>
      </c>
      <c r="D508" s="1" cm="1">
        <f t="array" aca="1" ref="D508" ca="1">INDIRECT(CONCATENATE("'",$A$450,"'!B",B508),1)</f>
        <v>0</v>
      </c>
      <c r="E508" s="1" cm="1">
        <f t="array" aca="1" ref="E508" ca="1">INDIRECT(CONCATENATE("'",$A$450,"'!c",B508),1)</f>
        <v>0</v>
      </c>
      <c r="F508" s="1" cm="1">
        <f t="array" aca="1" ref="F508" ca="1">INDIRECT(CONCATENATE("'",$A$450,"'!d",B508),1)</f>
        <v>0</v>
      </c>
      <c r="G508" s="1" cm="1">
        <f t="array" aca="1" ref="G508" ca="1">INDIRECT(CONCATENATE("'",$A$450,"'!e",B508),1)</f>
        <v>0</v>
      </c>
      <c r="H508" s="1" cm="1">
        <f t="array" aca="1" ref="H508" ca="1">INDIRECT(CONCATENATE("'",$A$450,"'!f",B508),1)</f>
        <v>0</v>
      </c>
      <c r="I508" s="1" cm="1">
        <f t="array" aca="1" ref="I508" ca="1">INDIRECT(CONCATENATE("'",$A$450,"'!g",B508),1)</f>
        <v>0</v>
      </c>
      <c r="J508" s="1" cm="1">
        <f t="array" aca="1" ref="J508" ca="1">INDIRECT(CONCATENATE("'",$A$450,"'!h",B508),1)</f>
        <v>0</v>
      </c>
      <c r="K508" s="1" cm="1">
        <f t="array" aca="1" ref="K508" ca="1">INDIRECT(CONCATENATE("'",$A$450,"'!i",B508),1)</f>
        <v>0</v>
      </c>
      <c r="L508" s="1" cm="1">
        <f t="array" aca="1" ref="L508" ca="1">INDIRECT(CONCATENATE("'",$A$450,"'!j",B508),1)</f>
        <v>0</v>
      </c>
      <c r="M508" s="1" cm="1">
        <f t="array" aca="1" ref="M508" ca="1">INDIRECT(CONCATENATE("'",$A$450,"'!k",B508),1)</f>
        <v>0</v>
      </c>
      <c r="N508" s="1" cm="1">
        <f t="array" aca="1" ref="N508" ca="1">INDIRECT(CONCATENATE("'",$A$450,"'!l",B508),1)</f>
        <v>0</v>
      </c>
      <c r="O508" s="1" cm="1">
        <f t="array" aca="1" ref="O508" ca="1">INDIRECT(CONCATENATE("'",$A$450,"'!m",B508),1)</f>
        <v>0</v>
      </c>
      <c r="P508" s="1" cm="1">
        <f t="array" aca="1" ref="P508" ca="1">INDIRECT(CONCATENATE("'",$A$450,"'!n",B508),1)</f>
        <v>0</v>
      </c>
      <c r="Q508" s="1" cm="1">
        <f t="array" aca="1" ref="Q508" ca="1">INDIRECT(CONCATENATE("'",$A$450,"'!o",B508),1)</f>
        <v>0</v>
      </c>
      <c r="R508" s="1" cm="1">
        <f t="array" aca="1" ref="R508" ca="1">INDIRECT(CONCATENATE("'",$A$450,"'!p",B508),1)</f>
        <v>0</v>
      </c>
      <c r="S508" s="1">
        <f t="shared" ca="1" si="42"/>
        <v>0</v>
      </c>
      <c r="T508" s="1" cm="1">
        <f t="array" aca="1" ref="T508" ca="1">INDIRECT(CONCATENATE("'",$A$450,"'!q",B508),1)</f>
        <v>0</v>
      </c>
      <c r="U508" s="1" cm="1">
        <f t="array" aca="1" ref="U508" ca="1">INDIRECT(CONCATENATE("'",$A$450,"'!r",B508),1)</f>
        <v>0</v>
      </c>
      <c r="V508" s="1" cm="1">
        <f t="array" aca="1" ref="V508" ca="1">INDIRECT(CONCATENATE("'",$A$450,"'!s",B508),1)</f>
        <v>0</v>
      </c>
      <c r="W508" s="1" cm="1">
        <f t="array" aca="1" ref="W508" ca="1">INDIRECT(CONCATENATE("'",$A$450,"'!t",B508),1)</f>
        <v>0</v>
      </c>
      <c r="X508" s="1" cm="1">
        <f t="array" aca="1" ref="X508" ca="1">INDIRECT(CONCATENATE("'",$A$450,"'!u",B508),1)</f>
        <v>0</v>
      </c>
      <c r="Y508" s="1" cm="1">
        <f t="array" aca="1" ref="Y508" ca="1">INDIRECT(CONCATENATE("'",$A$450,"'!v",B508),1)</f>
        <v>0</v>
      </c>
    </row>
    <row r="509" spans="2:25" hidden="1" x14ac:dyDescent="0.25">
      <c r="B509" s="24">
        <f t="shared" si="41"/>
        <v>61</v>
      </c>
      <c r="C509" s="1" cm="1">
        <f t="array" aca="1" ref="C509" ca="1">INDIRECT(CONCATENATE("'",$A$450,"'!A",B509),1)</f>
        <v>0</v>
      </c>
      <c r="D509" s="1" cm="1">
        <f t="array" aca="1" ref="D509" ca="1">INDIRECT(CONCATENATE("'",$A$450,"'!B",B509),1)</f>
        <v>0</v>
      </c>
      <c r="E509" s="1" cm="1">
        <f t="array" aca="1" ref="E509" ca="1">INDIRECT(CONCATENATE("'",$A$450,"'!c",B509),1)</f>
        <v>0</v>
      </c>
      <c r="F509" s="1" cm="1">
        <f t="array" aca="1" ref="F509" ca="1">INDIRECT(CONCATENATE("'",$A$450,"'!d",B509),1)</f>
        <v>0</v>
      </c>
      <c r="G509" s="1" cm="1">
        <f t="array" aca="1" ref="G509" ca="1">INDIRECT(CONCATENATE("'",$A$450,"'!e",B509),1)</f>
        <v>0</v>
      </c>
      <c r="H509" s="1" cm="1">
        <f t="array" aca="1" ref="H509" ca="1">INDIRECT(CONCATENATE("'",$A$450,"'!f",B509),1)</f>
        <v>0</v>
      </c>
      <c r="I509" s="1" cm="1">
        <f t="array" aca="1" ref="I509" ca="1">INDIRECT(CONCATENATE("'",$A$450,"'!g",B509),1)</f>
        <v>0</v>
      </c>
      <c r="J509" s="1" cm="1">
        <f t="array" aca="1" ref="J509" ca="1">INDIRECT(CONCATENATE("'",$A$450,"'!h",B509),1)</f>
        <v>0</v>
      </c>
      <c r="K509" s="1" cm="1">
        <f t="array" aca="1" ref="K509" ca="1">INDIRECT(CONCATENATE("'",$A$450,"'!i",B509),1)</f>
        <v>0</v>
      </c>
      <c r="L509" s="1" cm="1">
        <f t="array" aca="1" ref="L509" ca="1">INDIRECT(CONCATENATE("'",$A$450,"'!j",B509),1)</f>
        <v>0</v>
      </c>
      <c r="M509" s="1" cm="1">
        <f t="array" aca="1" ref="M509" ca="1">INDIRECT(CONCATENATE("'",$A$450,"'!k",B509),1)</f>
        <v>0</v>
      </c>
      <c r="N509" s="1" cm="1">
        <f t="array" aca="1" ref="N509" ca="1">INDIRECT(CONCATENATE("'",$A$450,"'!l",B509),1)</f>
        <v>0</v>
      </c>
      <c r="O509" s="1" cm="1">
        <f t="array" aca="1" ref="O509" ca="1">INDIRECT(CONCATENATE("'",$A$450,"'!m",B509),1)</f>
        <v>0</v>
      </c>
      <c r="P509" s="1" cm="1">
        <f t="array" aca="1" ref="P509" ca="1">INDIRECT(CONCATENATE("'",$A$450,"'!n",B509),1)</f>
        <v>0</v>
      </c>
      <c r="Q509" s="1" cm="1">
        <f t="array" aca="1" ref="Q509" ca="1">INDIRECT(CONCATENATE("'",$A$450,"'!o",B509),1)</f>
        <v>0</v>
      </c>
      <c r="R509" s="1" cm="1">
        <f t="array" aca="1" ref="R509" ca="1">INDIRECT(CONCATENATE("'",$A$450,"'!p",B509),1)</f>
        <v>0</v>
      </c>
      <c r="S509" s="1">
        <f t="shared" ca="1" si="42"/>
        <v>0</v>
      </c>
      <c r="T509" s="1" cm="1">
        <f t="array" aca="1" ref="T509" ca="1">INDIRECT(CONCATENATE("'",$A$450,"'!q",B509),1)</f>
        <v>0</v>
      </c>
      <c r="U509" s="1" cm="1">
        <f t="array" aca="1" ref="U509" ca="1">INDIRECT(CONCATENATE("'",$A$450,"'!r",B509),1)</f>
        <v>0</v>
      </c>
      <c r="V509" s="1" cm="1">
        <f t="array" aca="1" ref="V509" ca="1">INDIRECT(CONCATENATE("'",$A$450,"'!s",B509),1)</f>
        <v>0</v>
      </c>
      <c r="W509" s="1" cm="1">
        <f t="array" aca="1" ref="W509" ca="1">INDIRECT(CONCATENATE("'",$A$450,"'!t",B509),1)</f>
        <v>0</v>
      </c>
      <c r="X509" s="1" cm="1">
        <f t="array" aca="1" ref="X509" ca="1">INDIRECT(CONCATENATE("'",$A$450,"'!u",B509),1)</f>
        <v>0</v>
      </c>
      <c r="Y509" s="1" cm="1">
        <f t="array" aca="1" ref="Y509" ca="1">INDIRECT(CONCATENATE("'",$A$450,"'!v",B509),1)</f>
        <v>0</v>
      </c>
    </row>
    <row r="510" spans="2:25" hidden="1" x14ac:dyDescent="0.25">
      <c r="B510" s="24">
        <f t="shared" si="41"/>
        <v>62</v>
      </c>
      <c r="C510" s="1" cm="1">
        <f t="array" aca="1" ref="C510" ca="1">INDIRECT(CONCATENATE("'",$A$450,"'!A",B510),1)</f>
        <v>0</v>
      </c>
      <c r="D510" s="1" cm="1">
        <f t="array" aca="1" ref="D510" ca="1">INDIRECT(CONCATENATE("'",$A$450,"'!B",B510),1)</f>
        <v>0</v>
      </c>
      <c r="E510" s="1" cm="1">
        <f t="array" aca="1" ref="E510" ca="1">INDIRECT(CONCATENATE("'",$A$450,"'!c",B510),1)</f>
        <v>0</v>
      </c>
      <c r="F510" s="1" cm="1">
        <f t="array" aca="1" ref="F510" ca="1">INDIRECT(CONCATENATE("'",$A$450,"'!d",B510),1)</f>
        <v>0</v>
      </c>
      <c r="G510" s="1" cm="1">
        <f t="array" aca="1" ref="G510" ca="1">INDIRECT(CONCATENATE("'",$A$450,"'!e",B510),1)</f>
        <v>0</v>
      </c>
      <c r="H510" s="1" cm="1">
        <f t="array" aca="1" ref="H510" ca="1">INDIRECT(CONCATENATE("'",$A$450,"'!f",B510),1)</f>
        <v>0</v>
      </c>
      <c r="I510" s="1" cm="1">
        <f t="array" aca="1" ref="I510" ca="1">INDIRECT(CONCATENATE("'",$A$450,"'!g",B510),1)</f>
        <v>0</v>
      </c>
      <c r="J510" s="1" cm="1">
        <f t="array" aca="1" ref="J510" ca="1">INDIRECT(CONCATENATE("'",$A$450,"'!h",B510),1)</f>
        <v>0</v>
      </c>
      <c r="K510" s="1" cm="1">
        <f t="array" aca="1" ref="K510" ca="1">INDIRECT(CONCATENATE("'",$A$450,"'!i",B510),1)</f>
        <v>0</v>
      </c>
      <c r="L510" s="1" cm="1">
        <f t="array" aca="1" ref="L510" ca="1">INDIRECT(CONCATENATE("'",$A$450,"'!j",B510),1)</f>
        <v>0</v>
      </c>
      <c r="M510" s="1" cm="1">
        <f t="array" aca="1" ref="M510" ca="1">INDIRECT(CONCATENATE("'",$A$450,"'!k",B510),1)</f>
        <v>0</v>
      </c>
      <c r="N510" s="1" cm="1">
        <f t="array" aca="1" ref="N510" ca="1">INDIRECT(CONCATENATE("'",$A$450,"'!l",B510),1)</f>
        <v>0</v>
      </c>
      <c r="O510" s="1" cm="1">
        <f t="array" aca="1" ref="O510" ca="1">INDIRECT(CONCATENATE("'",$A$450,"'!m",B510),1)</f>
        <v>0</v>
      </c>
      <c r="P510" s="1" cm="1">
        <f t="array" aca="1" ref="P510" ca="1">INDIRECT(CONCATENATE("'",$A$450,"'!n",B510),1)</f>
        <v>0</v>
      </c>
      <c r="Q510" s="1" cm="1">
        <f t="array" aca="1" ref="Q510" ca="1">INDIRECT(CONCATENATE("'",$A$450,"'!o",B510),1)</f>
        <v>0</v>
      </c>
      <c r="R510" s="1" cm="1">
        <f t="array" aca="1" ref="R510" ca="1">INDIRECT(CONCATENATE("'",$A$450,"'!p",B510),1)</f>
        <v>0</v>
      </c>
      <c r="S510" s="1">
        <f t="shared" ca="1" si="42"/>
        <v>0</v>
      </c>
      <c r="T510" s="1" cm="1">
        <f t="array" aca="1" ref="T510" ca="1">INDIRECT(CONCATENATE("'",$A$450,"'!q",B510),1)</f>
        <v>0</v>
      </c>
      <c r="U510" s="1" cm="1">
        <f t="array" aca="1" ref="U510" ca="1">INDIRECT(CONCATENATE("'",$A$450,"'!r",B510),1)</f>
        <v>0</v>
      </c>
      <c r="V510" s="1" cm="1">
        <f t="array" aca="1" ref="V510" ca="1">INDIRECT(CONCATENATE("'",$A$450,"'!s",B510),1)</f>
        <v>0</v>
      </c>
      <c r="W510" s="1" cm="1">
        <f t="array" aca="1" ref="W510" ca="1">INDIRECT(CONCATENATE("'",$A$450,"'!t",B510),1)</f>
        <v>0</v>
      </c>
      <c r="X510" s="1" cm="1">
        <f t="array" aca="1" ref="X510" ca="1">INDIRECT(CONCATENATE("'",$A$450,"'!u",B510),1)</f>
        <v>0</v>
      </c>
      <c r="Y510" s="1" cm="1">
        <f t="array" aca="1" ref="Y510" ca="1">INDIRECT(CONCATENATE("'",$A$450,"'!v",B510),1)</f>
        <v>0</v>
      </c>
    </row>
    <row r="511" spans="2:25" hidden="1" x14ac:dyDescent="0.25">
      <c r="B511" s="24">
        <f t="shared" si="41"/>
        <v>63</v>
      </c>
      <c r="C511" s="1" cm="1">
        <f t="array" aca="1" ref="C511" ca="1">INDIRECT(CONCATENATE("'",$A$450,"'!A",B511),1)</f>
        <v>0</v>
      </c>
      <c r="D511" s="1" cm="1">
        <f t="array" aca="1" ref="D511" ca="1">INDIRECT(CONCATENATE("'",$A$450,"'!B",B511),1)</f>
        <v>0</v>
      </c>
      <c r="E511" s="1" cm="1">
        <f t="array" aca="1" ref="E511" ca="1">INDIRECT(CONCATENATE("'",$A$450,"'!c",B511),1)</f>
        <v>0</v>
      </c>
      <c r="F511" s="1" cm="1">
        <f t="array" aca="1" ref="F511" ca="1">INDIRECT(CONCATENATE("'",$A$450,"'!d",B511),1)</f>
        <v>0</v>
      </c>
      <c r="G511" s="1" cm="1">
        <f t="array" aca="1" ref="G511" ca="1">INDIRECT(CONCATENATE("'",$A$450,"'!e",B511),1)</f>
        <v>0</v>
      </c>
      <c r="H511" s="1" cm="1">
        <f t="array" aca="1" ref="H511" ca="1">INDIRECT(CONCATENATE("'",$A$450,"'!f",B511),1)</f>
        <v>0</v>
      </c>
      <c r="I511" s="1" cm="1">
        <f t="array" aca="1" ref="I511" ca="1">INDIRECT(CONCATENATE("'",$A$450,"'!g",B511),1)</f>
        <v>0</v>
      </c>
      <c r="J511" s="1" cm="1">
        <f t="array" aca="1" ref="J511" ca="1">INDIRECT(CONCATENATE("'",$A$450,"'!h",B511),1)</f>
        <v>0</v>
      </c>
      <c r="K511" s="1" cm="1">
        <f t="array" aca="1" ref="K511" ca="1">INDIRECT(CONCATENATE("'",$A$450,"'!i",B511),1)</f>
        <v>0</v>
      </c>
      <c r="L511" s="1" cm="1">
        <f t="array" aca="1" ref="L511" ca="1">INDIRECT(CONCATENATE("'",$A$450,"'!j",B511),1)</f>
        <v>0</v>
      </c>
      <c r="M511" s="1" cm="1">
        <f t="array" aca="1" ref="M511" ca="1">INDIRECT(CONCATENATE("'",$A$450,"'!k",B511),1)</f>
        <v>0</v>
      </c>
      <c r="N511" s="1" cm="1">
        <f t="array" aca="1" ref="N511" ca="1">INDIRECT(CONCATENATE("'",$A$450,"'!l",B511),1)</f>
        <v>0</v>
      </c>
      <c r="O511" s="1" cm="1">
        <f t="array" aca="1" ref="O511" ca="1">INDIRECT(CONCATENATE("'",$A$450,"'!m",B511),1)</f>
        <v>0</v>
      </c>
      <c r="P511" s="1" cm="1">
        <f t="array" aca="1" ref="P511" ca="1">INDIRECT(CONCATENATE("'",$A$450,"'!n",B511),1)</f>
        <v>0</v>
      </c>
      <c r="Q511" s="1" cm="1">
        <f t="array" aca="1" ref="Q511" ca="1">INDIRECT(CONCATENATE("'",$A$450,"'!o",B511),1)</f>
        <v>0</v>
      </c>
      <c r="R511" s="1" cm="1">
        <f t="array" aca="1" ref="R511" ca="1">INDIRECT(CONCATENATE("'",$A$450,"'!p",B511),1)</f>
        <v>0</v>
      </c>
      <c r="S511" s="1">
        <f t="shared" ca="1" si="42"/>
        <v>0</v>
      </c>
      <c r="T511" s="1" cm="1">
        <f t="array" aca="1" ref="T511" ca="1">INDIRECT(CONCATENATE("'",$A$450,"'!q",B511),1)</f>
        <v>0</v>
      </c>
      <c r="U511" s="1" cm="1">
        <f t="array" aca="1" ref="U511" ca="1">INDIRECT(CONCATENATE("'",$A$450,"'!r",B511),1)</f>
        <v>0</v>
      </c>
      <c r="V511" s="1" cm="1">
        <f t="array" aca="1" ref="V511" ca="1">INDIRECT(CONCATENATE("'",$A$450,"'!s",B511),1)</f>
        <v>0</v>
      </c>
      <c r="W511" s="1" cm="1">
        <f t="array" aca="1" ref="W511" ca="1">INDIRECT(CONCATENATE("'",$A$450,"'!t",B511),1)</f>
        <v>0</v>
      </c>
      <c r="X511" s="1" cm="1">
        <f t="array" aca="1" ref="X511" ca="1">INDIRECT(CONCATENATE("'",$A$450,"'!u",B511),1)</f>
        <v>0</v>
      </c>
      <c r="Y511" s="1" cm="1">
        <f t="array" aca="1" ref="Y511" ca="1">INDIRECT(CONCATENATE("'",$A$450,"'!v",B511),1)</f>
        <v>0</v>
      </c>
    </row>
    <row r="512" spans="2:25" hidden="1" x14ac:dyDescent="0.25">
      <c r="B512" s="24">
        <f t="shared" si="41"/>
        <v>64</v>
      </c>
      <c r="C512" s="1" cm="1">
        <f t="array" aca="1" ref="C512" ca="1">INDIRECT(CONCATENATE("'",$A$450,"'!A",B512),1)</f>
        <v>0</v>
      </c>
      <c r="D512" s="1" cm="1">
        <f t="array" aca="1" ref="D512" ca="1">INDIRECT(CONCATENATE("'",$A$450,"'!B",B512),1)</f>
        <v>0</v>
      </c>
      <c r="E512" s="1" cm="1">
        <f t="array" aca="1" ref="E512" ca="1">INDIRECT(CONCATENATE("'",$A$450,"'!c",B512),1)</f>
        <v>0</v>
      </c>
      <c r="F512" s="1" cm="1">
        <f t="array" aca="1" ref="F512" ca="1">INDIRECT(CONCATENATE("'",$A$450,"'!d",B512),1)</f>
        <v>0</v>
      </c>
      <c r="G512" s="1" cm="1">
        <f t="array" aca="1" ref="G512" ca="1">INDIRECT(CONCATENATE("'",$A$450,"'!e",B512),1)</f>
        <v>0</v>
      </c>
      <c r="H512" s="1" cm="1">
        <f t="array" aca="1" ref="H512" ca="1">INDIRECT(CONCATENATE("'",$A$450,"'!f",B512),1)</f>
        <v>0</v>
      </c>
      <c r="I512" s="1" cm="1">
        <f t="array" aca="1" ref="I512" ca="1">INDIRECT(CONCATENATE("'",$A$450,"'!g",B512),1)</f>
        <v>0</v>
      </c>
      <c r="J512" s="1" cm="1">
        <f t="array" aca="1" ref="J512" ca="1">INDIRECT(CONCATENATE("'",$A$450,"'!h",B512),1)</f>
        <v>0</v>
      </c>
      <c r="K512" s="1" cm="1">
        <f t="array" aca="1" ref="K512" ca="1">INDIRECT(CONCATENATE("'",$A$450,"'!i",B512),1)</f>
        <v>0</v>
      </c>
      <c r="L512" s="1" cm="1">
        <f t="array" aca="1" ref="L512" ca="1">INDIRECT(CONCATENATE("'",$A$450,"'!j",B512),1)</f>
        <v>0</v>
      </c>
      <c r="M512" s="1" cm="1">
        <f t="array" aca="1" ref="M512" ca="1">INDIRECT(CONCATENATE("'",$A$450,"'!k",B512),1)</f>
        <v>0</v>
      </c>
      <c r="N512" s="1" cm="1">
        <f t="array" aca="1" ref="N512" ca="1">INDIRECT(CONCATENATE("'",$A$450,"'!l",B512),1)</f>
        <v>0</v>
      </c>
      <c r="O512" s="1" cm="1">
        <f t="array" aca="1" ref="O512" ca="1">INDIRECT(CONCATENATE("'",$A$450,"'!m",B512),1)</f>
        <v>0</v>
      </c>
      <c r="P512" s="1" cm="1">
        <f t="array" aca="1" ref="P512" ca="1">INDIRECT(CONCATENATE("'",$A$450,"'!n",B512),1)</f>
        <v>0</v>
      </c>
      <c r="Q512" s="1" cm="1">
        <f t="array" aca="1" ref="Q512" ca="1">INDIRECT(CONCATENATE("'",$A$450,"'!o",B512),1)</f>
        <v>0</v>
      </c>
      <c r="R512" s="1" cm="1">
        <f t="array" aca="1" ref="R512" ca="1">INDIRECT(CONCATENATE("'",$A$450,"'!p",B512),1)</f>
        <v>0</v>
      </c>
      <c r="S512" s="1">
        <f t="shared" ca="1" si="42"/>
        <v>0</v>
      </c>
      <c r="T512" s="1" cm="1">
        <f t="array" aca="1" ref="T512" ca="1">INDIRECT(CONCATENATE("'",$A$450,"'!q",B512),1)</f>
        <v>0</v>
      </c>
      <c r="U512" s="1" cm="1">
        <f t="array" aca="1" ref="U512" ca="1">INDIRECT(CONCATENATE("'",$A$450,"'!r",B512),1)</f>
        <v>0</v>
      </c>
      <c r="V512" s="1" cm="1">
        <f t="array" aca="1" ref="V512" ca="1">INDIRECT(CONCATENATE("'",$A$450,"'!s",B512),1)</f>
        <v>0</v>
      </c>
      <c r="W512" s="1" cm="1">
        <f t="array" aca="1" ref="W512" ca="1">INDIRECT(CONCATENATE("'",$A$450,"'!t",B512),1)</f>
        <v>0</v>
      </c>
      <c r="X512" s="1" cm="1">
        <f t="array" aca="1" ref="X512" ca="1">INDIRECT(CONCATENATE("'",$A$450,"'!u",B512),1)</f>
        <v>0</v>
      </c>
      <c r="Y512" s="1" cm="1">
        <f t="array" aca="1" ref="Y512" ca="1">INDIRECT(CONCATENATE("'",$A$450,"'!v",B512),1)</f>
        <v>0</v>
      </c>
    </row>
    <row r="513" spans="2:25" hidden="1" x14ac:dyDescent="0.25">
      <c r="B513" s="24">
        <f t="shared" si="41"/>
        <v>65</v>
      </c>
      <c r="C513" s="1" cm="1">
        <f t="array" aca="1" ref="C513" ca="1">INDIRECT(CONCATENATE("'",$A$450,"'!A",B513),1)</f>
        <v>0</v>
      </c>
      <c r="D513" s="1" cm="1">
        <f t="array" aca="1" ref="D513" ca="1">INDIRECT(CONCATENATE("'",$A$450,"'!B",B513),1)</f>
        <v>0</v>
      </c>
      <c r="E513" s="1" cm="1">
        <f t="array" aca="1" ref="E513" ca="1">INDIRECT(CONCATENATE("'",$A$450,"'!c",B513),1)</f>
        <v>0</v>
      </c>
      <c r="F513" s="1" cm="1">
        <f t="array" aca="1" ref="F513" ca="1">INDIRECT(CONCATENATE("'",$A$450,"'!d",B513),1)</f>
        <v>0</v>
      </c>
      <c r="G513" s="1" cm="1">
        <f t="array" aca="1" ref="G513" ca="1">INDIRECT(CONCATENATE("'",$A$450,"'!e",B513),1)</f>
        <v>0</v>
      </c>
      <c r="H513" s="1" cm="1">
        <f t="array" aca="1" ref="H513" ca="1">INDIRECT(CONCATENATE("'",$A$450,"'!f",B513),1)</f>
        <v>0</v>
      </c>
      <c r="I513" s="1" cm="1">
        <f t="array" aca="1" ref="I513" ca="1">INDIRECT(CONCATENATE("'",$A$450,"'!g",B513),1)</f>
        <v>0</v>
      </c>
      <c r="J513" s="1" cm="1">
        <f t="array" aca="1" ref="J513" ca="1">INDIRECT(CONCATENATE("'",$A$450,"'!h",B513),1)</f>
        <v>0</v>
      </c>
      <c r="K513" s="1" cm="1">
        <f t="array" aca="1" ref="K513" ca="1">INDIRECT(CONCATENATE("'",$A$450,"'!i",B513),1)</f>
        <v>0</v>
      </c>
      <c r="L513" s="1" cm="1">
        <f t="array" aca="1" ref="L513" ca="1">INDIRECT(CONCATENATE("'",$A$450,"'!j",B513),1)</f>
        <v>0</v>
      </c>
      <c r="M513" s="1" cm="1">
        <f t="array" aca="1" ref="M513" ca="1">INDIRECT(CONCATENATE("'",$A$450,"'!k",B513),1)</f>
        <v>0</v>
      </c>
      <c r="N513" s="1" cm="1">
        <f t="array" aca="1" ref="N513" ca="1">INDIRECT(CONCATENATE("'",$A$450,"'!l",B513),1)</f>
        <v>0</v>
      </c>
      <c r="O513" s="1" cm="1">
        <f t="array" aca="1" ref="O513" ca="1">INDIRECT(CONCATENATE("'",$A$450,"'!m",B513),1)</f>
        <v>0</v>
      </c>
      <c r="P513" s="1" cm="1">
        <f t="array" aca="1" ref="P513" ca="1">INDIRECT(CONCATENATE("'",$A$450,"'!n",B513),1)</f>
        <v>0</v>
      </c>
      <c r="Q513" s="1" cm="1">
        <f t="array" aca="1" ref="Q513" ca="1">INDIRECT(CONCATENATE("'",$A$450,"'!o",B513),1)</f>
        <v>0</v>
      </c>
      <c r="R513" s="1" cm="1">
        <f t="array" aca="1" ref="R513" ca="1">INDIRECT(CONCATENATE("'",$A$450,"'!p",B513),1)</f>
        <v>0</v>
      </c>
      <c r="S513" s="1">
        <f t="shared" ca="1" si="42"/>
        <v>0</v>
      </c>
      <c r="T513" s="1" cm="1">
        <f t="array" aca="1" ref="T513" ca="1">INDIRECT(CONCATENATE("'",$A$450,"'!q",B513),1)</f>
        <v>0</v>
      </c>
      <c r="U513" s="1" cm="1">
        <f t="array" aca="1" ref="U513" ca="1">INDIRECT(CONCATENATE("'",$A$450,"'!r",B513),1)</f>
        <v>0</v>
      </c>
      <c r="V513" s="1" cm="1">
        <f t="array" aca="1" ref="V513" ca="1">INDIRECT(CONCATENATE("'",$A$450,"'!s",B513),1)</f>
        <v>0</v>
      </c>
      <c r="W513" s="1" cm="1">
        <f t="array" aca="1" ref="W513" ca="1">INDIRECT(CONCATENATE("'",$A$450,"'!t",B513),1)</f>
        <v>0</v>
      </c>
      <c r="X513" s="1" cm="1">
        <f t="array" aca="1" ref="X513" ca="1">INDIRECT(CONCATENATE("'",$A$450,"'!u",B513),1)</f>
        <v>0</v>
      </c>
      <c r="Y513" s="1" cm="1">
        <f t="array" aca="1" ref="Y513" ca="1">INDIRECT(CONCATENATE("'",$A$450,"'!v",B513),1)</f>
        <v>0</v>
      </c>
    </row>
    <row r="514" spans="2:25" hidden="1" x14ac:dyDescent="0.25">
      <c r="B514" s="24">
        <f t="shared" si="41"/>
        <v>66</v>
      </c>
      <c r="C514" s="1" cm="1">
        <f t="array" aca="1" ref="C514" ca="1">INDIRECT(CONCATENATE("'",$A$450,"'!A",B514),1)</f>
        <v>0</v>
      </c>
      <c r="D514" s="1" cm="1">
        <f t="array" aca="1" ref="D514" ca="1">INDIRECT(CONCATENATE("'",$A$450,"'!B",B514),1)</f>
        <v>0</v>
      </c>
      <c r="E514" s="1" cm="1">
        <f t="array" aca="1" ref="E514" ca="1">INDIRECT(CONCATENATE("'",$A$450,"'!c",B514),1)</f>
        <v>0</v>
      </c>
      <c r="F514" s="1" cm="1">
        <f t="array" aca="1" ref="F514" ca="1">INDIRECT(CONCATENATE("'",$A$450,"'!d",B514),1)</f>
        <v>0</v>
      </c>
      <c r="G514" s="1" cm="1">
        <f t="array" aca="1" ref="G514" ca="1">INDIRECT(CONCATENATE("'",$A$450,"'!e",B514),1)</f>
        <v>0</v>
      </c>
      <c r="H514" s="1" cm="1">
        <f t="array" aca="1" ref="H514" ca="1">INDIRECT(CONCATENATE("'",$A$450,"'!f",B514),1)</f>
        <v>0</v>
      </c>
      <c r="I514" s="1" cm="1">
        <f t="array" aca="1" ref="I514" ca="1">INDIRECT(CONCATENATE("'",$A$450,"'!g",B514),1)</f>
        <v>0</v>
      </c>
      <c r="J514" s="1" cm="1">
        <f t="array" aca="1" ref="J514" ca="1">INDIRECT(CONCATENATE("'",$A$450,"'!h",B514),1)</f>
        <v>0</v>
      </c>
      <c r="K514" s="1" cm="1">
        <f t="array" aca="1" ref="K514" ca="1">INDIRECT(CONCATENATE("'",$A$450,"'!i",B514),1)</f>
        <v>0</v>
      </c>
      <c r="L514" s="1" cm="1">
        <f t="array" aca="1" ref="L514" ca="1">INDIRECT(CONCATENATE("'",$A$450,"'!j",B514),1)</f>
        <v>0</v>
      </c>
      <c r="M514" s="1" cm="1">
        <f t="array" aca="1" ref="M514" ca="1">INDIRECT(CONCATENATE("'",$A$450,"'!k",B514),1)</f>
        <v>0</v>
      </c>
      <c r="N514" s="1" cm="1">
        <f t="array" aca="1" ref="N514" ca="1">INDIRECT(CONCATENATE("'",$A$450,"'!l",B514),1)</f>
        <v>0</v>
      </c>
      <c r="O514" s="1" cm="1">
        <f t="array" aca="1" ref="O514" ca="1">INDIRECT(CONCATENATE("'",$A$450,"'!m",B514),1)</f>
        <v>0</v>
      </c>
      <c r="P514" s="1" cm="1">
        <f t="array" aca="1" ref="P514" ca="1">INDIRECT(CONCATENATE("'",$A$450,"'!n",B514),1)</f>
        <v>0</v>
      </c>
      <c r="Q514" s="1" cm="1">
        <f t="array" aca="1" ref="Q514" ca="1">INDIRECT(CONCATENATE("'",$A$450,"'!o",B514),1)</f>
        <v>0</v>
      </c>
      <c r="R514" s="1" cm="1">
        <f t="array" aca="1" ref="R514" ca="1">INDIRECT(CONCATENATE("'",$A$450,"'!p",B514),1)</f>
        <v>0</v>
      </c>
      <c r="S514" s="1">
        <f t="shared" ca="1" si="42"/>
        <v>0</v>
      </c>
      <c r="T514" s="1" cm="1">
        <f t="array" aca="1" ref="T514" ca="1">INDIRECT(CONCATENATE("'",$A$450,"'!q",B514),1)</f>
        <v>0</v>
      </c>
      <c r="U514" s="1" cm="1">
        <f t="array" aca="1" ref="U514" ca="1">INDIRECT(CONCATENATE("'",$A$450,"'!r",B514),1)</f>
        <v>0</v>
      </c>
      <c r="V514" s="1" cm="1">
        <f t="array" aca="1" ref="V514" ca="1">INDIRECT(CONCATENATE("'",$A$450,"'!s",B514),1)</f>
        <v>0</v>
      </c>
      <c r="W514" s="1" cm="1">
        <f t="array" aca="1" ref="W514" ca="1">INDIRECT(CONCATENATE("'",$A$450,"'!t",B514),1)</f>
        <v>0</v>
      </c>
      <c r="X514" s="1" cm="1">
        <f t="array" aca="1" ref="X514" ca="1">INDIRECT(CONCATENATE("'",$A$450,"'!u",B514),1)</f>
        <v>0</v>
      </c>
      <c r="Y514" s="1" cm="1">
        <f t="array" aca="1" ref="Y514" ca="1">INDIRECT(CONCATENATE("'",$A$450,"'!v",B514),1)</f>
        <v>0</v>
      </c>
    </row>
    <row r="515" spans="2:25" hidden="1" x14ac:dyDescent="0.25">
      <c r="B515" s="24">
        <f t="shared" si="41"/>
        <v>67</v>
      </c>
      <c r="C515" s="1" cm="1">
        <f t="array" aca="1" ref="C515" ca="1">INDIRECT(CONCATENATE("'",$A$450,"'!A",B515),1)</f>
        <v>0</v>
      </c>
      <c r="D515" s="1" cm="1">
        <f t="array" aca="1" ref="D515" ca="1">INDIRECT(CONCATENATE("'",$A$450,"'!B",B515),1)</f>
        <v>0</v>
      </c>
      <c r="E515" s="1" cm="1">
        <f t="array" aca="1" ref="E515" ca="1">INDIRECT(CONCATENATE("'",$A$450,"'!c",B515),1)</f>
        <v>0</v>
      </c>
      <c r="F515" s="1" cm="1">
        <f t="array" aca="1" ref="F515" ca="1">INDIRECT(CONCATENATE("'",$A$450,"'!d",B515),1)</f>
        <v>0</v>
      </c>
      <c r="G515" s="1" cm="1">
        <f t="array" aca="1" ref="G515" ca="1">INDIRECT(CONCATENATE("'",$A$450,"'!e",B515),1)</f>
        <v>0</v>
      </c>
      <c r="H515" s="1" cm="1">
        <f t="array" aca="1" ref="H515" ca="1">INDIRECT(CONCATENATE("'",$A$450,"'!f",B515),1)</f>
        <v>0</v>
      </c>
      <c r="I515" s="1" cm="1">
        <f t="array" aca="1" ref="I515" ca="1">INDIRECT(CONCATENATE("'",$A$450,"'!g",B515),1)</f>
        <v>0</v>
      </c>
      <c r="J515" s="1" cm="1">
        <f t="array" aca="1" ref="J515" ca="1">INDIRECT(CONCATENATE("'",$A$450,"'!h",B515),1)</f>
        <v>0</v>
      </c>
      <c r="K515" s="1" cm="1">
        <f t="array" aca="1" ref="K515" ca="1">INDIRECT(CONCATENATE("'",$A$450,"'!i",B515),1)</f>
        <v>0</v>
      </c>
      <c r="L515" s="1" cm="1">
        <f t="array" aca="1" ref="L515" ca="1">INDIRECT(CONCATENATE("'",$A$450,"'!j",B515),1)</f>
        <v>0</v>
      </c>
      <c r="M515" s="1" cm="1">
        <f t="array" aca="1" ref="M515" ca="1">INDIRECT(CONCATENATE("'",$A$450,"'!k",B515),1)</f>
        <v>0</v>
      </c>
      <c r="N515" s="1" cm="1">
        <f t="array" aca="1" ref="N515" ca="1">INDIRECT(CONCATENATE("'",$A$450,"'!l",B515),1)</f>
        <v>0</v>
      </c>
      <c r="O515" s="1" cm="1">
        <f t="array" aca="1" ref="O515" ca="1">INDIRECT(CONCATENATE("'",$A$450,"'!m",B515),1)</f>
        <v>0</v>
      </c>
      <c r="P515" s="1" cm="1">
        <f t="array" aca="1" ref="P515" ca="1">INDIRECT(CONCATENATE("'",$A$450,"'!n",B515),1)</f>
        <v>0</v>
      </c>
      <c r="Q515" s="1" cm="1">
        <f t="array" aca="1" ref="Q515" ca="1">INDIRECT(CONCATENATE("'",$A$450,"'!o",B515),1)</f>
        <v>0</v>
      </c>
      <c r="R515" s="1" cm="1">
        <f t="array" aca="1" ref="R515" ca="1">INDIRECT(CONCATENATE("'",$A$450,"'!p",B515),1)</f>
        <v>0</v>
      </c>
      <c r="S515" s="1">
        <f t="shared" ca="1" si="42"/>
        <v>0</v>
      </c>
      <c r="T515" s="1" cm="1">
        <f t="array" aca="1" ref="T515" ca="1">INDIRECT(CONCATENATE("'",$A$450,"'!q",B515),1)</f>
        <v>0</v>
      </c>
      <c r="U515" s="1" cm="1">
        <f t="array" aca="1" ref="U515" ca="1">INDIRECT(CONCATENATE("'",$A$450,"'!r",B515),1)</f>
        <v>0</v>
      </c>
      <c r="V515" s="1" cm="1">
        <f t="array" aca="1" ref="V515" ca="1">INDIRECT(CONCATENATE("'",$A$450,"'!s",B515),1)</f>
        <v>0</v>
      </c>
      <c r="W515" s="1" cm="1">
        <f t="array" aca="1" ref="W515" ca="1">INDIRECT(CONCATENATE("'",$A$450,"'!t",B515),1)</f>
        <v>0</v>
      </c>
      <c r="X515" s="1" cm="1">
        <f t="array" aca="1" ref="X515" ca="1">INDIRECT(CONCATENATE("'",$A$450,"'!u",B515),1)</f>
        <v>0</v>
      </c>
      <c r="Y515" s="1" cm="1">
        <f t="array" aca="1" ref="Y515" ca="1">INDIRECT(CONCATENATE("'",$A$450,"'!v",B515),1)</f>
        <v>0</v>
      </c>
    </row>
    <row r="516" spans="2:25" hidden="1" x14ac:dyDescent="0.25">
      <c r="B516" s="24">
        <f t="shared" si="41"/>
        <v>68</v>
      </c>
      <c r="C516" s="1" cm="1">
        <f t="array" aca="1" ref="C516" ca="1">INDIRECT(CONCATENATE("'",$A$450,"'!A",B516),1)</f>
        <v>0</v>
      </c>
      <c r="D516" s="1" cm="1">
        <f t="array" aca="1" ref="D516" ca="1">INDIRECT(CONCATENATE("'",$A$450,"'!B",B516),1)</f>
        <v>0</v>
      </c>
      <c r="E516" s="1" cm="1">
        <f t="array" aca="1" ref="E516" ca="1">INDIRECT(CONCATENATE("'",$A$450,"'!c",B516),1)</f>
        <v>0</v>
      </c>
      <c r="F516" s="1" cm="1">
        <f t="array" aca="1" ref="F516" ca="1">INDIRECT(CONCATENATE("'",$A$450,"'!d",B516),1)</f>
        <v>0</v>
      </c>
      <c r="G516" s="1" cm="1">
        <f t="array" aca="1" ref="G516" ca="1">INDIRECT(CONCATENATE("'",$A$450,"'!e",B516),1)</f>
        <v>0</v>
      </c>
      <c r="H516" s="1" cm="1">
        <f t="array" aca="1" ref="H516" ca="1">INDIRECT(CONCATENATE("'",$A$450,"'!f",B516),1)</f>
        <v>0</v>
      </c>
      <c r="I516" s="1" cm="1">
        <f t="array" aca="1" ref="I516" ca="1">INDIRECT(CONCATENATE("'",$A$450,"'!g",B516),1)</f>
        <v>0</v>
      </c>
      <c r="J516" s="1" cm="1">
        <f t="array" aca="1" ref="J516" ca="1">INDIRECT(CONCATENATE("'",$A$450,"'!h",B516),1)</f>
        <v>0</v>
      </c>
      <c r="K516" s="1" cm="1">
        <f t="array" aca="1" ref="K516" ca="1">INDIRECT(CONCATENATE("'",$A$450,"'!i",B516),1)</f>
        <v>0</v>
      </c>
      <c r="L516" s="1" cm="1">
        <f t="array" aca="1" ref="L516" ca="1">INDIRECT(CONCATENATE("'",$A$450,"'!j",B516),1)</f>
        <v>0</v>
      </c>
      <c r="M516" s="1" cm="1">
        <f t="array" aca="1" ref="M516" ca="1">INDIRECT(CONCATENATE("'",$A$450,"'!k",B516),1)</f>
        <v>0</v>
      </c>
      <c r="N516" s="1" cm="1">
        <f t="array" aca="1" ref="N516" ca="1">INDIRECT(CONCATENATE("'",$A$450,"'!l",B516),1)</f>
        <v>0</v>
      </c>
      <c r="O516" s="1" cm="1">
        <f t="array" aca="1" ref="O516" ca="1">INDIRECT(CONCATENATE("'",$A$450,"'!m",B516),1)</f>
        <v>0</v>
      </c>
      <c r="P516" s="1" cm="1">
        <f t="array" aca="1" ref="P516" ca="1">INDIRECT(CONCATENATE("'",$A$450,"'!n",B516),1)</f>
        <v>0</v>
      </c>
      <c r="Q516" s="1" cm="1">
        <f t="array" aca="1" ref="Q516" ca="1">INDIRECT(CONCATENATE("'",$A$450,"'!o",B516),1)</f>
        <v>0</v>
      </c>
      <c r="R516" s="1" cm="1">
        <f t="array" aca="1" ref="R516" ca="1">INDIRECT(CONCATENATE("'",$A$450,"'!p",B516),1)</f>
        <v>0</v>
      </c>
      <c r="S516" s="1">
        <f t="shared" ca="1" si="42"/>
        <v>0</v>
      </c>
      <c r="T516" s="1" cm="1">
        <f t="array" aca="1" ref="T516" ca="1">INDIRECT(CONCATENATE("'",$A$450,"'!q",B516),1)</f>
        <v>0</v>
      </c>
      <c r="U516" s="1" cm="1">
        <f t="array" aca="1" ref="U516" ca="1">INDIRECT(CONCATENATE("'",$A$450,"'!r",B516),1)</f>
        <v>0</v>
      </c>
      <c r="V516" s="1" cm="1">
        <f t="array" aca="1" ref="V516" ca="1">INDIRECT(CONCATENATE("'",$A$450,"'!s",B516),1)</f>
        <v>0</v>
      </c>
      <c r="W516" s="1" cm="1">
        <f t="array" aca="1" ref="W516" ca="1">INDIRECT(CONCATENATE("'",$A$450,"'!t",B516),1)</f>
        <v>0</v>
      </c>
      <c r="X516" s="1" cm="1">
        <f t="array" aca="1" ref="X516" ca="1">INDIRECT(CONCATENATE("'",$A$450,"'!u",B516),1)</f>
        <v>0</v>
      </c>
      <c r="Y516" s="1" cm="1">
        <f t="array" aca="1" ref="Y516" ca="1">INDIRECT(CONCATENATE("'",$A$450,"'!v",B516),1)</f>
        <v>0</v>
      </c>
    </row>
    <row r="517" spans="2:25" hidden="1" x14ac:dyDescent="0.25">
      <c r="B517" s="24">
        <f t="shared" si="41"/>
        <v>69</v>
      </c>
      <c r="C517" s="1" cm="1">
        <f t="array" aca="1" ref="C517" ca="1">INDIRECT(CONCATENATE("'",$A$450,"'!A",B517),1)</f>
        <v>0</v>
      </c>
      <c r="D517" s="1" cm="1">
        <f t="array" aca="1" ref="D517" ca="1">INDIRECT(CONCATENATE("'",$A$450,"'!B",B517),1)</f>
        <v>0</v>
      </c>
      <c r="E517" s="1" cm="1">
        <f t="array" aca="1" ref="E517" ca="1">INDIRECT(CONCATENATE("'",$A$450,"'!c",B517),1)</f>
        <v>0</v>
      </c>
      <c r="F517" s="1" cm="1">
        <f t="array" aca="1" ref="F517" ca="1">INDIRECT(CONCATENATE("'",$A$450,"'!d",B517),1)</f>
        <v>0</v>
      </c>
      <c r="G517" s="1" cm="1">
        <f t="array" aca="1" ref="G517" ca="1">INDIRECT(CONCATENATE("'",$A$450,"'!e",B517),1)</f>
        <v>0</v>
      </c>
      <c r="H517" s="1" cm="1">
        <f t="array" aca="1" ref="H517" ca="1">INDIRECT(CONCATENATE("'",$A$450,"'!f",B517),1)</f>
        <v>0</v>
      </c>
      <c r="I517" s="1" cm="1">
        <f t="array" aca="1" ref="I517" ca="1">INDIRECT(CONCATENATE("'",$A$450,"'!g",B517),1)</f>
        <v>0</v>
      </c>
      <c r="J517" s="1" cm="1">
        <f t="array" aca="1" ref="J517" ca="1">INDIRECT(CONCATENATE("'",$A$450,"'!h",B517),1)</f>
        <v>0</v>
      </c>
      <c r="K517" s="1" cm="1">
        <f t="array" aca="1" ref="K517" ca="1">INDIRECT(CONCATENATE("'",$A$450,"'!i",B517),1)</f>
        <v>0</v>
      </c>
      <c r="L517" s="1" cm="1">
        <f t="array" aca="1" ref="L517" ca="1">INDIRECT(CONCATENATE("'",$A$450,"'!j",B517),1)</f>
        <v>0</v>
      </c>
      <c r="M517" s="1" cm="1">
        <f t="array" aca="1" ref="M517" ca="1">INDIRECT(CONCATENATE("'",$A$450,"'!k",B517),1)</f>
        <v>0</v>
      </c>
      <c r="N517" s="1" cm="1">
        <f t="array" aca="1" ref="N517" ca="1">INDIRECT(CONCATENATE("'",$A$450,"'!l",B517),1)</f>
        <v>0</v>
      </c>
      <c r="O517" s="1" cm="1">
        <f t="array" aca="1" ref="O517" ca="1">INDIRECT(CONCATENATE("'",$A$450,"'!m",B517),1)</f>
        <v>0</v>
      </c>
      <c r="P517" s="1" cm="1">
        <f t="array" aca="1" ref="P517" ca="1">INDIRECT(CONCATENATE("'",$A$450,"'!n",B517),1)</f>
        <v>0</v>
      </c>
      <c r="Q517" s="1" cm="1">
        <f t="array" aca="1" ref="Q517" ca="1">INDIRECT(CONCATENATE("'",$A$450,"'!o",B517),1)</f>
        <v>0</v>
      </c>
      <c r="R517" s="1" cm="1">
        <f t="array" aca="1" ref="R517" ca="1">INDIRECT(CONCATENATE("'",$A$450,"'!p",B517),1)</f>
        <v>0</v>
      </c>
      <c r="S517" s="1">
        <f t="shared" ca="1" si="42"/>
        <v>0</v>
      </c>
      <c r="T517" s="1" cm="1">
        <f t="array" aca="1" ref="T517" ca="1">INDIRECT(CONCATENATE("'",$A$450,"'!q",B517),1)</f>
        <v>0</v>
      </c>
      <c r="U517" s="1" cm="1">
        <f t="array" aca="1" ref="U517" ca="1">INDIRECT(CONCATENATE("'",$A$450,"'!r",B517),1)</f>
        <v>0</v>
      </c>
      <c r="V517" s="1" cm="1">
        <f t="array" aca="1" ref="V517" ca="1">INDIRECT(CONCATENATE("'",$A$450,"'!s",B517),1)</f>
        <v>0</v>
      </c>
      <c r="W517" s="1" cm="1">
        <f t="array" aca="1" ref="W517" ca="1">INDIRECT(CONCATENATE("'",$A$450,"'!t",B517),1)</f>
        <v>0</v>
      </c>
      <c r="X517" s="1" cm="1">
        <f t="array" aca="1" ref="X517" ca="1">INDIRECT(CONCATENATE("'",$A$450,"'!u",B517),1)</f>
        <v>0</v>
      </c>
      <c r="Y517" s="1" cm="1">
        <f t="array" aca="1" ref="Y517" ca="1">INDIRECT(CONCATENATE("'",$A$450,"'!v",B517),1)</f>
        <v>0</v>
      </c>
    </row>
    <row r="518" spans="2:25" hidden="1" x14ac:dyDescent="0.25">
      <c r="B518" s="24">
        <f t="shared" si="41"/>
        <v>70</v>
      </c>
      <c r="C518" s="1" cm="1">
        <f t="array" aca="1" ref="C518" ca="1">INDIRECT(CONCATENATE("'",$A$450,"'!A",B518),1)</f>
        <v>0</v>
      </c>
      <c r="D518" s="1" cm="1">
        <f t="array" aca="1" ref="D518" ca="1">INDIRECT(CONCATENATE("'",$A$450,"'!B",B518),1)</f>
        <v>0</v>
      </c>
      <c r="E518" s="1" cm="1">
        <f t="array" aca="1" ref="E518" ca="1">INDIRECT(CONCATENATE("'",$A$450,"'!c",B518),1)</f>
        <v>0</v>
      </c>
      <c r="F518" s="1" cm="1">
        <f t="array" aca="1" ref="F518" ca="1">INDIRECT(CONCATENATE("'",$A$450,"'!d",B518),1)</f>
        <v>0</v>
      </c>
      <c r="G518" s="1" cm="1">
        <f t="array" aca="1" ref="G518" ca="1">INDIRECT(CONCATENATE("'",$A$450,"'!e",B518),1)</f>
        <v>0</v>
      </c>
      <c r="H518" s="1" cm="1">
        <f t="array" aca="1" ref="H518" ca="1">INDIRECT(CONCATENATE("'",$A$450,"'!f",B518),1)</f>
        <v>0</v>
      </c>
      <c r="I518" s="1" cm="1">
        <f t="array" aca="1" ref="I518" ca="1">INDIRECT(CONCATENATE("'",$A$450,"'!g",B518),1)</f>
        <v>0</v>
      </c>
      <c r="J518" s="1" cm="1">
        <f t="array" aca="1" ref="J518" ca="1">INDIRECT(CONCATENATE("'",$A$450,"'!h",B518),1)</f>
        <v>0</v>
      </c>
      <c r="K518" s="1" cm="1">
        <f t="array" aca="1" ref="K518" ca="1">INDIRECT(CONCATENATE("'",$A$450,"'!i",B518),1)</f>
        <v>0</v>
      </c>
      <c r="L518" s="1" cm="1">
        <f t="array" aca="1" ref="L518" ca="1">INDIRECT(CONCATENATE("'",$A$450,"'!j",B518),1)</f>
        <v>0</v>
      </c>
      <c r="M518" s="1" cm="1">
        <f t="array" aca="1" ref="M518" ca="1">INDIRECT(CONCATENATE("'",$A$450,"'!k",B518),1)</f>
        <v>0</v>
      </c>
      <c r="N518" s="1" cm="1">
        <f t="array" aca="1" ref="N518" ca="1">INDIRECT(CONCATENATE("'",$A$450,"'!l",B518),1)</f>
        <v>0</v>
      </c>
      <c r="O518" s="1" cm="1">
        <f t="array" aca="1" ref="O518" ca="1">INDIRECT(CONCATENATE("'",$A$450,"'!m",B518),1)</f>
        <v>0</v>
      </c>
      <c r="P518" s="1" cm="1">
        <f t="array" aca="1" ref="P518" ca="1">INDIRECT(CONCATENATE("'",$A$450,"'!n",B518),1)</f>
        <v>0</v>
      </c>
      <c r="Q518" s="1" cm="1">
        <f t="array" aca="1" ref="Q518" ca="1">INDIRECT(CONCATENATE("'",$A$450,"'!o",B518),1)</f>
        <v>0</v>
      </c>
      <c r="R518" s="1" cm="1">
        <f t="array" aca="1" ref="R518" ca="1">INDIRECT(CONCATENATE("'",$A$450,"'!p",B518),1)</f>
        <v>0</v>
      </c>
      <c r="S518" s="1">
        <f t="shared" ca="1" si="42"/>
        <v>0</v>
      </c>
      <c r="T518" s="1" cm="1">
        <f t="array" aca="1" ref="T518" ca="1">INDIRECT(CONCATENATE("'",$A$450,"'!q",B518),1)</f>
        <v>0</v>
      </c>
      <c r="U518" s="1" cm="1">
        <f t="array" aca="1" ref="U518" ca="1">INDIRECT(CONCATENATE("'",$A$450,"'!r",B518),1)</f>
        <v>0</v>
      </c>
      <c r="V518" s="1" cm="1">
        <f t="array" aca="1" ref="V518" ca="1">INDIRECT(CONCATENATE("'",$A$450,"'!s",B518),1)</f>
        <v>0</v>
      </c>
      <c r="W518" s="1" cm="1">
        <f t="array" aca="1" ref="W518" ca="1">INDIRECT(CONCATENATE("'",$A$450,"'!t",B518),1)</f>
        <v>0</v>
      </c>
      <c r="X518" s="1" cm="1">
        <f t="array" aca="1" ref="X518" ca="1">INDIRECT(CONCATENATE("'",$A$450,"'!u",B518),1)</f>
        <v>0</v>
      </c>
      <c r="Y518" s="1" cm="1">
        <f t="array" aca="1" ref="Y518" ca="1">INDIRECT(CONCATENATE("'",$A$450,"'!v",B518),1)</f>
        <v>0</v>
      </c>
    </row>
    <row r="519" spans="2:25" hidden="1" x14ac:dyDescent="0.25">
      <c r="B519" s="24">
        <f t="shared" si="41"/>
        <v>71</v>
      </c>
      <c r="C519" s="1" cm="1">
        <f t="array" aca="1" ref="C519" ca="1">INDIRECT(CONCATENATE("'",$A$450,"'!A",B519),1)</f>
        <v>0</v>
      </c>
      <c r="D519" s="1" cm="1">
        <f t="array" aca="1" ref="D519" ca="1">INDIRECT(CONCATENATE("'",$A$450,"'!B",B519),1)</f>
        <v>0</v>
      </c>
      <c r="E519" s="1" cm="1">
        <f t="array" aca="1" ref="E519" ca="1">INDIRECT(CONCATENATE("'",$A$450,"'!c",B519),1)</f>
        <v>0</v>
      </c>
      <c r="F519" s="1" cm="1">
        <f t="array" aca="1" ref="F519" ca="1">INDIRECT(CONCATENATE("'",$A$450,"'!d",B519),1)</f>
        <v>0</v>
      </c>
      <c r="G519" s="1" cm="1">
        <f t="array" aca="1" ref="G519" ca="1">INDIRECT(CONCATENATE("'",$A$450,"'!e",B519),1)</f>
        <v>0</v>
      </c>
      <c r="H519" s="1" cm="1">
        <f t="array" aca="1" ref="H519" ca="1">INDIRECT(CONCATENATE("'",$A$450,"'!f",B519),1)</f>
        <v>0</v>
      </c>
      <c r="I519" s="1" cm="1">
        <f t="array" aca="1" ref="I519" ca="1">INDIRECT(CONCATENATE("'",$A$450,"'!g",B519),1)</f>
        <v>0</v>
      </c>
      <c r="J519" s="1" cm="1">
        <f t="array" aca="1" ref="J519" ca="1">INDIRECT(CONCATENATE("'",$A$450,"'!h",B519),1)</f>
        <v>0</v>
      </c>
      <c r="K519" s="1" cm="1">
        <f t="array" aca="1" ref="K519" ca="1">INDIRECT(CONCATENATE("'",$A$450,"'!i",B519),1)</f>
        <v>0</v>
      </c>
      <c r="L519" s="1" cm="1">
        <f t="array" aca="1" ref="L519" ca="1">INDIRECT(CONCATENATE("'",$A$450,"'!j",B519),1)</f>
        <v>0</v>
      </c>
      <c r="M519" s="1" cm="1">
        <f t="array" aca="1" ref="M519" ca="1">INDIRECT(CONCATENATE("'",$A$450,"'!k",B519),1)</f>
        <v>0</v>
      </c>
      <c r="N519" s="1" cm="1">
        <f t="array" aca="1" ref="N519" ca="1">INDIRECT(CONCATENATE("'",$A$450,"'!l",B519),1)</f>
        <v>0</v>
      </c>
      <c r="O519" s="1" cm="1">
        <f t="array" aca="1" ref="O519" ca="1">INDIRECT(CONCATENATE("'",$A$450,"'!m",B519),1)</f>
        <v>0</v>
      </c>
      <c r="P519" s="1" cm="1">
        <f t="array" aca="1" ref="P519" ca="1">INDIRECT(CONCATENATE("'",$A$450,"'!n",B519),1)</f>
        <v>0</v>
      </c>
      <c r="Q519" s="1" cm="1">
        <f t="array" aca="1" ref="Q519" ca="1">INDIRECT(CONCATENATE("'",$A$450,"'!o",B519),1)</f>
        <v>0</v>
      </c>
      <c r="R519" s="1" cm="1">
        <f t="array" aca="1" ref="R519" ca="1">INDIRECT(CONCATENATE("'",$A$450,"'!p",B519),1)</f>
        <v>0</v>
      </c>
      <c r="S519" s="1">
        <f t="shared" ca="1" si="42"/>
        <v>0</v>
      </c>
      <c r="T519" s="1" cm="1">
        <f t="array" aca="1" ref="T519" ca="1">INDIRECT(CONCATENATE("'",$A$450,"'!q",B519),1)</f>
        <v>0</v>
      </c>
      <c r="U519" s="1" cm="1">
        <f t="array" aca="1" ref="U519" ca="1">INDIRECT(CONCATENATE("'",$A$450,"'!r",B519),1)</f>
        <v>0</v>
      </c>
      <c r="V519" s="1" cm="1">
        <f t="array" aca="1" ref="V519" ca="1">INDIRECT(CONCATENATE("'",$A$450,"'!s",B519),1)</f>
        <v>0</v>
      </c>
      <c r="W519" s="1" cm="1">
        <f t="array" aca="1" ref="W519" ca="1">INDIRECT(CONCATENATE("'",$A$450,"'!t",B519),1)</f>
        <v>0</v>
      </c>
      <c r="X519" s="1" cm="1">
        <f t="array" aca="1" ref="X519" ca="1">INDIRECT(CONCATENATE("'",$A$450,"'!u",B519),1)</f>
        <v>0</v>
      </c>
      <c r="Y519" s="1" cm="1">
        <f t="array" aca="1" ref="Y519" ca="1">INDIRECT(CONCATENATE("'",$A$450,"'!v",B519),1)</f>
        <v>0</v>
      </c>
    </row>
    <row r="520" spans="2:25" hidden="1" x14ac:dyDescent="0.25">
      <c r="B520" s="24">
        <f t="shared" si="41"/>
        <v>72</v>
      </c>
      <c r="C520" s="1" cm="1">
        <f t="array" aca="1" ref="C520" ca="1">INDIRECT(CONCATENATE("'",$A$450,"'!A",B520),1)</f>
        <v>0</v>
      </c>
      <c r="D520" s="1" cm="1">
        <f t="array" aca="1" ref="D520" ca="1">INDIRECT(CONCATENATE("'",$A$450,"'!B",B520),1)</f>
        <v>0</v>
      </c>
      <c r="E520" s="1" cm="1">
        <f t="array" aca="1" ref="E520" ca="1">INDIRECT(CONCATENATE("'",$A$450,"'!c",B520),1)</f>
        <v>0</v>
      </c>
      <c r="F520" s="1" cm="1">
        <f t="array" aca="1" ref="F520" ca="1">INDIRECT(CONCATENATE("'",$A$450,"'!d",B520),1)</f>
        <v>0</v>
      </c>
      <c r="G520" s="1" cm="1">
        <f t="array" aca="1" ref="G520" ca="1">INDIRECT(CONCATENATE("'",$A$450,"'!e",B520),1)</f>
        <v>0</v>
      </c>
      <c r="H520" s="1" cm="1">
        <f t="array" aca="1" ref="H520" ca="1">INDIRECT(CONCATENATE("'",$A$450,"'!f",B520),1)</f>
        <v>0</v>
      </c>
      <c r="I520" s="1" cm="1">
        <f t="array" aca="1" ref="I520" ca="1">INDIRECT(CONCATENATE("'",$A$450,"'!g",B520),1)</f>
        <v>0</v>
      </c>
      <c r="J520" s="1" cm="1">
        <f t="array" aca="1" ref="J520" ca="1">INDIRECT(CONCATENATE("'",$A$450,"'!h",B520),1)</f>
        <v>0</v>
      </c>
      <c r="K520" s="1" cm="1">
        <f t="array" aca="1" ref="K520" ca="1">INDIRECT(CONCATENATE("'",$A$450,"'!i",B520),1)</f>
        <v>0</v>
      </c>
      <c r="L520" s="1" cm="1">
        <f t="array" aca="1" ref="L520" ca="1">INDIRECT(CONCATENATE("'",$A$450,"'!j",B520),1)</f>
        <v>0</v>
      </c>
      <c r="M520" s="1" cm="1">
        <f t="array" aca="1" ref="M520" ca="1">INDIRECT(CONCATENATE("'",$A$450,"'!k",B520),1)</f>
        <v>0</v>
      </c>
      <c r="N520" s="1" cm="1">
        <f t="array" aca="1" ref="N520" ca="1">INDIRECT(CONCATENATE("'",$A$450,"'!l",B520),1)</f>
        <v>0</v>
      </c>
      <c r="O520" s="1" cm="1">
        <f t="array" aca="1" ref="O520" ca="1">INDIRECT(CONCATENATE("'",$A$450,"'!m",B520),1)</f>
        <v>0</v>
      </c>
      <c r="P520" s="1" cm="1">
        <f t="array" aca="1" ref="P520" ca="1">INDIRECT(CONCATENATE("'",$A$450,"'!n",B520),1)</f>
        <v>0</v>
      </c>
      <c r="Q520" s="1" cm="1">
        <f t="array" aca="1" ref="Q520" ca="1">INDIRECT(CONCATENATE("'",$A$450,"'!o",B520),1)</f>
        <v>0</v>
      </c>
      <c r="R520" s="1" cm="1">
        <f t="array" aca="1" ref="R520" ca="1">INDIRECT(CONCATENATE("'",$A$450,"'!p",B520),1)</f>
        <v>0</v>
      </c>
      <c r="S520" s="1">
        <f t="shared" ca="1" si="42"/>
        <v>0</v>
      </c>
      <c r="T520" s="1" cm="1">
        <f t="array" aca="1" ref="T520" ca="1">INDIRECT(CONCATENATE("'",$A$450,"'!q",B520),1)</f>
        <v>0</v>
      </c>
      <c r="U520" s="1" cm="1">
        <f t="array" aca="1" ref="U520" ca="1">INDIRECT(CONCATENATE("'",$A$450,"'!r",B520),1)</f>
        <v>0</v>
      </c>
      <c r="V520" s="1" cm="1">
        <f t="array" aca="1" ref="V520" ca="1">INDIRECT(CONCATENATE("'",$A$450,"'!s",B520),1)</f>
        <v>0</v>
      </c>
      <c r="W520" s="1" cm="1">
        <f t="array" aca="1" ref="W520" ca="1">INDIRECT(CONCATENATE("'",$A$450,"'!t",B520),1)</f>
        <v>0</v>
      </c>
      <c r="X520" s="1" cm="1">
        <f t="array" aca="1" ref="X520" ca="1">INDIRECT(CONCATENATE("'",$A$450,"'!u",B520),1)</f>
        <v>0</v>
      </c>
      <c r="Y520" s="1" cm="1">
        <f t="array" aca="1" ref="Y520" ca="1">INDIRECT(CONCATENATE("'",$A$450,"'!v",B520),1)</f>
        <v>0</v>
      </c>
    </row>
    <row r="521" spans="2:25" hidden="1" x14ac:dyDescent="0.25">
      <c r="B521" s="24">
        <f t="shared" si="41"/>
        <v>73</v>
      </c>
      <c r="C521" s="1" cm="1">
        <f t="array" aca="1" ref="C521" ca="1">INDIRECT(CONCATENATE("'",$A$450,"'!A",B521),1)</f>
        <v>0</v>
      </c>
      <c r="D521" s="1" cm="1">
        <f t="array" aca="1" ref="D521" ca="1">INDIRECT(CONCATENATE("'",$A$450,"'!B",B521),1)</f>
        <v>0</v>
      </c>
      <c r="E521" s="1" cm="1">
        <f t="array" aca="1" ref="E521" ca="1">INDIRECT(CONCATENATE("'",$A$450,"'!c",B521),1)</f>
        <v>0</v>
      </c>
      <c r="F521" s="1" cm="1">
        <f t="array" aca="1" ref="F521" ca="1">INDIRECT(CONCATENATE("'",$A$450,"'!d",B521),1)</f>
        <v>0</v>
      </c>
      <c r="G521" s="1" cm="1">
        <f t="array" aca="1" ref="G521" ca="1">INDIRECT(CONCATENATE("'",$A$450,"'!e",B521),1)</f>
        <v>0</v>
      </c>
      <c r="H521" s="1" cm="1">
        <f t="array" aca="1" ref="H521" ca="1">INDIRECT(CONCATENATE("'",$A$450,"'!f",B521),1)</f>
        <v>0</v>
      </c>
      <c r="I521" s="1" cm="1">
        <f t="array" aca="1" ref="I521" ca="1">INDIRECT(CONCATENATE("'",$A$450,"'!g",B521),1)</f>
        <v>0</v>
      </c>
      <c r="J521" s="1" cm="1">
        <f t="array" aca="1" ref="J521" ca="1">INDIRECT(CONCATENATE("'",$A$450,"'!h",B521),1)</f>
        <v>0</v>
      </c>
      <c r="K521" s="1" cm="1">
        <f t="array" aca="1" ref="K521" ca="1">INDIRECT(CONCATENATE("'",$A$450,"'!i",B521),1)</f>
        <v>0</v>
      </c>
      <c r="L521" s="1" cm="1">
        <f t="array" aca="1" ref="L521" ca="1">INDIRECT(CONCATENATE("'",$A$450,"'!j",B521),1)</f>
        <v>0</v>
      </c>
      <c r="M521" s="1" cm="1">
        <f t="array" aca="1" ref="M521" ca="1">INDIRECT(CONCATENATE("'",$A$450,"'!k",B521),1)</f>
        <v>0</v>
      </c>
      <c r="N521" s="1" cm="1">
        <f t="array" aca="1" ref="N521" ca="1">INDIRECT(CONCATENATE("'",$A$450,"'!l",B521),1)</f>
        <v>0</v>
      </c>
      <c r="O521" s="1" cm="1">
        <f t="array" aca="1" ref="O521" ca="1">INDIRECT(CONCATENATE("'",$A$450,"'!m",B521),1)</f>
        <v>0</v>
      </c>
      <c r="P521" s="1" cm="1">
        <f t="array" aca="1" ref="P521" ca="1">INDIRECT(CONCATENATE("'",$A$450,"'!n",B521),1)</f>
        <v>0</v>
      </c>
      <c r="Q521" s="1" cm="1">
        <f t="array" aca="1" ref="Q521" ca="1">INDIRECT(CONCATENATE("'",$A$450,"'!o",B521),1)</f>
        <v>0</v>
      </c>
      <c r="R521" s="1" cm="1">
        <f t="array" aca="1" ref="R521" ca="1">INDIRECT(CONCATENATE("'",$A$450,"'!p",B521),1)</f>
        <v>0</v>
      </c>
      <c r="S521" s="1">
        <f t="shared" ca="1" si="42"/>
        <v>0</v>
      </c>
      <c r="T521" s="1" cm="1">
        <f t="array" aca="1" ref="T521" ca="1">INDIRECT(CONCATENATE("'",$A$450,"'!q",B521),1)</f>
        <v>0</v>
      </c>
      <c r="U521" s="1" cm="1">
        <f t="array" aca="1" ref="U521" ca="1">INDIRECT(CONCATENATE("'",$A$450,"'!r",B521),1)</f>
        <v>0</v>
      </c>
      <c r="V521" s="1" cm="1">
        <f t="array" aca="1" ref="V521" ca="1">INDIRECT(CONCATENATE("'",$A$450,"'!s",B521),1)</f>
        <v>0</v>
      </c>
      <c r="W521" s="1" cm="1">
        <f t="array" aca="1" ref="W521" ca="1">INDIRECT(CONCATENATE("'",$A$450,"'!t",B521),1)</f>
        <v>0</v>
      </c>
      <c r="X521" s="1" cm="1">
        <f t="array" aca="1" ref="X521" ca="1">INDIRECT(CONCATENATE("'",$A$450,"'!u",B521),1)</f>
        <v>0</v>
      </c>
      <c r="Y521" s="1" cm="1">
        <f t="array" aca="1" ref="Y521" ca="1">INDIRECT(CONCATENATE("'",$A$450,"'!v",B521),1)</f>
        <v>0</v>
      </c>
    </row>
    <row r="522" spans="2:25" hidden="1" x14ac:dyDescent="0.25">
      <c r="B522" s="24">
        <f t="shared" si="41"/>
        <v>74</v>
      </c>
      <c r="C522" s="1" cm="1">
        <f t="array" aca="1" ref="C522" ca="1">INDIRECT(CONCATENATE("'",$A$450,"'!A",B522),1)</f>
        <v>0</v>
      </c>
      <c r="D522" s="1" cm="1">
        <f t="array" aca="1" ref="D522" ca="1">INDIRECT(CONCATENATE("'",$A$450,"'!B",B522),1)</f>
        <v>0</v>
      </c>
      <c r="E522" s="1" cm="1">
        <f t="array" aca="1" ref="E522" ca="1">INDIRECT(CONCATENATE("'",$A$450,"'!c",B522),1)</f>
        <v>0</v>
      </c>
      <c r="F522" s="1" cm="1">
        <f t="array" aca="1" ref="F522" ca="1">INDIRECT(CONCATENATE("'",$A$450,"'!d",B522),1)</f>
        <v>0</v>
      </c>
      <c r="G522" s="1" cm="1">
        <f t="array" aca="1" ref="G522" ca="1">INDIRECT(CONCATENATE("'",$A$450,"'!e",B522),1)</f>
        <v>0</v>
      </c>
      <c r="H522" s="1" cm="1">
        <f t="array" aca="1" ref="H522" ca="1">INDIRECT(CONCATENATE("'",$A$450,"'!f",B522),1)</f>
        <v>0</v>
      </c>
      <c r="I522" s="1" cm="1">
        <f t="array" aca="1" ref="I522" ca="1">INDIRECT(CONCATENATE("'",$A$450,"'!g",B522),1)</f>
        <v>0</v>
      </c>
      <c r="J522" s="1" cm="1">
        <f t="array" aca="1" ref="J522" ca="1">INDIRECT(CONCATENATE("'",$A$450,"'!h",B522),1)</f>
        <v>0</v>
      </c>
      <c r="K522" s="1" cm="1">
        <f t="array" aca="1" ref="K522" ca="1">INDIRECT(CONCATENATE("'",$A$450,"'!i",B522),1)</f>
        <v>0</v>
      </c>
      <c r="L522" s="1" cm="1">
        <f t="array" aca="1" ref="L522" ca="1">INDIRECT(CONCATENATE("'",$A$450,"'!j",B522),1)</f>
        <v>0</v>
      </c>
      <c r="M522" s="1" cm="1">
        <f t="array" aca="1" ref="M522" ca="1">INDIRECT(CONCATENATE("'",$A$450,"'!k",B522),1)</f>
        <v>0</v>
      </c>
      <c r="N522" s="1" cm="1">
        <f t="array" aca="1" ref="N522" ca="1">INDIRECT(CONCATENATE("'",$A$450,"'!l",B522),1)</f>
        <v>0</v>
      </c>
      <c r="O522" s="1" cm="1">
        <f t="array" aca="1" ref="O522" ca="1">INDIRECT(CONCATENATE("'",$A$450,"'!m",B522),1)</f>
        <v>0</v>
      </c>
      <c r="P522" s="1" cm="1">
        <f t="array" aca="1" ref="P522" ca="1">INDIRECT(CONCATENATE("'",$A$450,"'!n",B522),1)</f>
        <v>0</v>
      </c>
      <c r="Q522" s="1" cm="1">
        <f t="array" aca="1" ref="Q522" ca="1">INDIRECT(CONCATENATE("'",$A$450,"'!o",B522),1)</f>
        <v>0</v>
      </c>
      <c r="R522" s="1" cm="1">
        <f t="array" aca="1" ref="R522" ca="1">INDIRECT(CONCATENATE("'",$A$450,"'!p",B522),1)</f>
        <v>0</v>
      </c>
      <c r="S522" s="1">
        <f t="shared" ca="1" si="42"/>
        <v>0</v>
      </c>
      <c r="T522" s="1" cm="1">
        <f t="array" aca="1" ref="T522" ca="1">INDIRECT(CONCATENATE("'",$A$450,"'!q",B522),1)</f>
        <v>0</v>
      </c>
      <c r="U522" s="1" cm="1">
        <f t="array" aca="1" ref="U522" ca="1">INDIRECT(CONCATENATE("'",$A$450,"'!r",B522),1)</f>
        <v>0</v>
      </c>
      <c r="V522" s="1" cm="1">
        <f t="array" aca="1" ref="V522" ca="1">INDIRECT(CONCATENATE("'",$A$450,"'!s",B522),1)</f>
        <v>0</v>
      </c>
      <c r="W522" s="1" cm="1">
        <f t="array" aca="1" ref="W522" ca="1">INDIRECT(CONCATENATE("'",$A$450,"'!t",B522),1)</f>
        <v>0</v>
      </c>
      <c r="X522" s="1" cm="1">
        <f t="array" aca="1" ref="X522" ca="1">INDIRECT(CONCATENATE("'",$A$450,"'!u",B522),1)</f>
        <v>0</v>
      </c>
      <c r="Y522" s="1" cm="1">
        <f t="array" aca="1" ref="Y522" ca="1">INDIRECT(CONCATENATE("'",$A$450,"'!v",B522),1)</f>
        <v>0</v>
      </c>
    </row>
    <row r="523" spans="2:25" hidden="1" x14ac:dyDescent="0.25">
      <c r="B523" s="24">
        <f t="shared" si="41"/>
        <v>75</v>
      </c>
      <c r="C523" s="1" cm="1">
        <f t="array" aca="1" ref="C523" ca="1">INDIRECT(CONCATENATE("'",$A$450,"'!A",B523),1)</f>
        <v>0</v>
      </c>
      <c r="D523" s="1" cm="1">
        <f t="array" aca="1" ref="D523" ca="1">INDIRECT(CONCATENATE("'",$A$450,"'!B",B523),1)</f>
        <v>0</v>
      </c>
      <c r="E523" s="1" cm="1">
        <f t="array" aca="1" ref="E523" ca="1">INDIRECT(CONCATENATE("'",$A$450,"'!c",B523),1)</f>
        <v>0</v>
      </c>
      <c r="F523" s="1" cm="1">
        <f t="array" aca="1" ref="F523" ca="1">INDIRECT(CONCATENATE("'",$A$450,"'!d",B523),1)</f>
        <v>0</v>
      </c>
      <c r="G523" s="1" cm="1">
        <f t="array" aca="1" ref="G523" ca="1">INDIRECT(CONCATENATE("'",$A$450,"'!e",B523),1)</f>
        <v>0</v>
      </c>
      <c r="H523" s="1" cm="1">
        <f t="array" aca="1" ref="H523" ca="1">INDIRECT(CONCATENATE("'",$A$450,"'!f",B523),1)</f>
        <v>0</v>
      </c>
      <c r="I523" s="1" cm="1">
        <f t="array" aca="1" ref="I523" ca="1">INDIRECT(CONCATENATE("'",$A$450,"'!g",B523),1)</f>
        <v>0</v>
      </c>
      <c r="J523" s="1" cm="1">
        <f t="array" aca="1" ref="J523" ca="1">INDIRECT(CONCATENATE("'",$A$450,"'!h",B523),1)</f>
        <v>0</v>
      </c>
      <c r="K523" s="1" cm="1">
        <f t="array" aca="1" ref="K523" ca="1">INDIRECT(CONCATENATE("'",$A$450,"'!i",B523),1)</f>
        <v>0</v>
      </c>
      <c r="L523" s="1" cm="1">
        <f t="array" aca="1" ref="L523" ca="1">INDIRECT(CONCATENATE("'",$A$450,"'!j",B523),1)</f>
        <v>0</v>
      </c>
      <c r="M523" s="1" cm="1">
        <f t="array" aca="1" ref="M523" ca="1">INDIRECT(CONCATENATE("'",$A$450,"'!k",B523),1)</f>
        <v>0</v>
      </c>
      <c r="N523" s="1" cm="1">
        <f t="array" aca="1" ref="N523" ca="1">INDIRECT(CONCATENATE("'",$A$450,"'!l",B523),1)</f>
        <v>0</v>
      </c>
      <c r="O523" s="1" cm="1">
        <f t="array" aca="1" ref="O523" ca="1">INDIRECT(CONCATENATE("'",$A$450,"'!m",B523),1)</f>
        <v>0</v>
      </c>
      <c r="P523" s="1" cm="1">
        <f t="array" aca="1" ref="P523" ca="1">INDIRECT(CONCATENATE("'",$A$450,"'!n",B523),1)</f>
        <v>0</v>
      </c>
      <c r="Q523" s="1" cm="1">
        <f t="array" aca="1" ref="Q523" ca="1">INDIRECT(CONCATENATE("'",$A$450,"'!o",B523),1)</f>
        <v>0</v>
      </c>
      <c r="R523" s="1" cm="1">
        <f t="array" aca="1" ref="R523" ca="1">INDIRECT(CONCATENATE("'",$A$450,"'!p",B523),1)</f>
        <v>0</v>
      </c>
      <c r="S523" s="1">
        <f t="shared" ca="1" si="42"/>
        <v>0</v>
      </c>
      <c r="T523" s="1" cm="1">
        <f t="array" aca="1" ref="T523" ca="1">INDIRECT(CONCATENATE("'",$A$450,"'!q",B523),1)</f>
        <v>0</v>
      </c>
      <c r="U523" s="1" cm="1">
        <f t="array" aca="1" ref="U523" ca="1">INDIRECT(CONCATENATE("'",$A$450,"'!r",B523),1)</f>
        <v>0</v>
      </c>
      <c r="V523" s="1" cm="1">
        <f t="array" aca="1" ref="V523" ca="1">INDIRECT(CONCATENATE("'",$A$450,"'!s",B523),1)</f>
        <v>0</v>
      </c>
      <c r="W523" s="1" cm="1">
        <f t="array" aca="1" ref="W523" ca="1">INDIRECT(CONCATENATE("'",$A$450,"'!t",B523),1)</f>
        <v>0</v>
      </c>
      <c r="X523" s="1" cm="1">
        <f t="array" aca="1" ref="X523" ca="1">INDIRECT(CONCATENATE("'",$A$450,"'!u",B523),1)</f>
        <v>0</v>
      </c>
      <c r="Y523" s="1" cm="1">
        <f t="array" aca="1" ref="Y523" ca="1">INDIRECT(CONCATENATE("'",$A$450,"'!v",B523),1)</f>
        <v>0</v>
      </c>
    </row>
    <row r="524" spans="2:25" hidden="1" x14ac:dyDescent="0.25">
      <c r="B524" s="24">
        <f t="shared" si="41"/>
        <v>76</v>
      </c>
      <c r="C524" s="1" cm="1">
        <f t="array" aca="1" ref="C524" ca="1">INDIRECT(CONCATENATE("'",$A$450,"'!A",B524),1)</f>
        <v>0</v>
      </c>
      <c r="D524" s="1" cm="1">
        <f t="array" aca="1" ref="D524" ca="1">INDIRECT(CONCATENATE("'",$A$450,"'!B",B524),1)</f>
        <v>0</v>
      </c>
      <c r="E524" s="1" cm="1">
        <f t="array" aca="1" ref="E524" ca="1">INDIRECT(CONCATENATE("'",$A$450,"'!c",B524),1)</f>
        <v>0</v>
      </c>
      <c r="F524" s="1" cm="1">
        <f t="array" aca="1" ref="F524" ca="1">INDIRECT(CONCATENATE("'",$A$450,"'!d",B524),1)</f>
        <v>0</v>
      </c>
      <c r="G524" s="1" cm="1">
        <f t="array" aca="1" ref="G524" ca="1">INDIRECT(CONCATENATE("'",$A$450,"'!e",B524),1)</f>
        <v>0</v>
      </c>
      <c r="H524" s="1" cm="1">
        <f t="array" aca="1" ref="H524" ca="1">INDIRECT(CONCATENATE("'",$A$450,"'!f",B524),1)</f>
        <v>0</v>
      </c>
      <c r="I524" s="1" cm="1">
        <f t="array" aca="1" ref="I524" ca="1">INDIRECT(CONCATENATE("'",$A$450,"'!g",B524),1)</f>
        <v>0</v>
      </c>
      <c r="J524" s="1" cm="1">
        <f t="array" aca="1" ref="J524" ca="1">INDIRECT(CONCATENATE("'",$A$450,"'!h",B524),1)</f>
        <v>0</v>
      </c>
      <c r="K524" s="1" cm="1">
        <f t="array" aca="1" ref="K524" ca="1">INDIRECT(CONCATENATE("'",$A$450,"'!i",B524),1)</f>
        <v>0</v>
      </c>
      <c r="L524" s="1" cm="1">
        <f t="array" aca="1" ref="L524" ca="1">INDIRECT(CONCATENATE("'",$A$450,"'!j",B524),1)</f>
        <v>0</v>
      </c>
      <c r="M524" s="1" cm="1">
        <f t="array" aca="1" ref="M524" ca="1">INDIRECT(CONCATENATE("'",$A$450,"'!k",B524),1)</f>
        <v>0</v>
      </c>
      <c r="N524" s="1" cm="1">
        <f t="array" aca="1" ref="N524" ca="1">INDIRECT(CONCATENATE("'",$A$450,"'!l",B524),1)</f>
        <v>0</v>
      </c>
      <c r="O524" s="1" cm="1">
        <f t="array" aca="1" ref="O524" ca="1">INDIRECT(CONCATENATE("'",$A$450,"'!m",B524),1)</f>
        <v>0</v>
      </c>
      <c r="P524" s="1" cm="1">
        <f t="array" aca="1" ref="P524" ca="1">INDIRECT(CONCATENATE("'",$A$450,"'!n",B524),1)</f>
        <v>0</v>
      </c>
      <c r="Q524" s="1" cm="1">
        <f t="array" aca="1" ref="Q524" ca="1">INDIRECT(CONCATENATE("'",$A$450,"'!o",B524),1)</f>
        <v>0</v>
      </c>
      <c r="R524" s="1" cm="1">
        <f t="array" aca="1" ref="R524" ca="1">INDIRECT(CONCATENATE("'",$A$450,"'!p",B524),1)</f>
        <v>0</v>
      </c>
      <c r="S524" s="1">
        <f t="shared" ca="1" si="42"/>
        <v>0</v>
      </c>
      <c r="T524" s="1" cm="1">
        <f t="array" aca="1" ref="T524" ca="1">INDIRECT(CONCATENATE("'",$A$450,"'!q",B524),1)</f>
        <v>0</v>
      </c>
      <c r="U524" s="1" cm="1">
        <f t="array" aca="1" ref="U524" ca="1">INDIRECT(CONCATENATE("'",$A$450,"'!r",B524),1)</f>
        <v>0</v>
      </c>
      <c r="V524" s="1" cm="1">
        <f t="array" aca="1" ref="V524" ca="1">INDIRECT(CONCATENATE("'",$A$450,"'!s",B524),1)</f>
        <v>0</v>
      </c>
      <c r="W524" s="1" cm="1">
        <f t="array" aca="1" ref="W524" ca="1">INDIRECT(CONCATENATE("'",$A$450,"'!t",B524),1)</f>
        <v>0</v>
      </c>
      <c r="X524" s="1" cm="1">
        <f t="array" aca="1" ref="X524" ca="1">INDIRECT(CONCATENATE("'",$A$450,"'!u",B524),1)</f>
        <v>0</v>
      </c>
      <c r="Y524" s="1" cm="1">
        <f t="array" aca="1" ref="Y524" ca="1">INDIRECT(CONCATENATE("'",$A$450,"'!v",B524),1)</f>
        <v>0</v>
      </c>
    </row>
    <row r="525" spans="2:25" hidden="1" x14ac:dyDescent="0.25">
      <c r="B525" s="24">
        <f t="shared" si="41"/>
        <v>77</v>
      </c>
      <c r="C525" s="1" cm="1">
        <f t="array" aca="1" ref="C525" ca="1">INDIRECT(CONCATENATE("'",$A$450,"'!A",B525),1)</f>
        <v>0</v>
      </c>
      <c r="D525" s="1" cm="1">
        <f t="array" aca="1" ref="D525" ca="1">INDIRECT(CONCATENATE("'",$A$450,"'!B",B525),1)</f>
        <v>0</v>
      </c>
      <c r="E525" s="1" cm="1">
        <f t="array" aca="1" ref="E525" ca="1">INDIRECT(CONCATENATE("'",$A$450,"'!c",B525),1)</f>
        <v>0</v>
      </c>
      <c r="F525" s="1" cm="1">
        <f t="array" aca="1" ref="F525" ca="1">INDIRECT(CONCATENATE("'",$A$450,"'!d",B525),1)</f>
        <v>0</v>
      </c>
      <c r="G525" s="1" cm="1">
        <f t="array" aca="1" ref="G525" ca="1">INDIRECT(CONCATENATE("'",$A$450,"'!e",B525),1)</f>
        <v>0</v>
      </c>
      <c r="H525" s="1" cm="1">
        <f t="array" aca="1" ref="H525" ca="1">INDIRECT(CONCATENATE("'",$A$450,"'!f",B525),1)</f>
        <v>0</v>
      </c>
      <c r="I525" s="1" cm="1">
        <f t="array" aca="1" ref="I525" ca="1">INDIRECT(CONCATENATE("'",$A$450,"'!g",B525),1)</f>
        <v>0</v>
      </c>
      <c r="J525" s="1" cm="1">
        <f t="array" aca="1" ref="J525" ca="1">INDIRECT(CONCATENATE("'",$A$450,"'!h",B525),1)</f>
        <v>0</v>
      </c>
      <c r="K525" s="1" cm="1">
        <f t="array" aca="1" ref="K525" ca="1">INDIRECT(CONCATENATE("'",$A$450,"'!i",B525),1)</f>
        <v>0</v>
      </c>
      <c r="L525" s="1" cm="1">
        <f t="array" aca="1" ref="L525" ca="1">INDIRECT(CONCATENATE("'",$A$450,"'!j",B525),1)</f>
        <v>0</v>
      </c>
      <c r="M525" s="1" cm="1">
        <f t="array" aca="1" ref="M525" ca="1">INDIRECT(CONCATENATE("'",$A$450,"'!k",B525),1)</f>
        <v>0</v>
      </c>
      <c r="N525" s="1" cm="1">
        <f t="array" aca="1" ref="N525" ca="1">INDIRECT(CONCATENATE("'",$A$450,"'!l",B525),1)</f>
        <v>0</v>
      </c>
      <c r="O525" s="1" cm="1">
        <f t="array" aca="1" ref="O525" ca="1">INDIRECT(CONCATENATE("'",$A$450,"'!m",B525),1)</f>
        <v>0</v>
      </c>
      <c r="P525" s="1" cm="1">
        <f t="array" aca="1" ref="P525" ca="1">INDIRECT(CONCATENATE("'",$A$450,"'!n",B525),1)</f>
        <v>0</v>
      </c>
      <c r="Q525" s="1" cm="1">
        <f t="array" aca="1" ref="Q525" ca="1">INDIRECT(CONCATENATE("'",$A$450,"'!o",B525),1)</f>
        <v>0</v>
      </c>
      <c r="R525" s="1" cm="1">
        <f t="array" aca="1" ref="R525" ca="1">INDIRECT(CONCATENATE("'",$A$450,"'!p",B525),1)</f>
        <v>0</v>
      </c>
      <c r="S525" s="1">
        <f t="shared" ca="1" si="42"/>
        <v>0</v>
      </c>
      <c r="T525" s="1" cm="1">
        <f t="array" aca="1" ref="T525" ca="1">INDIRECT(CONCATENATE("'",$A$450,"'!q",B525),1)</f>
        <v>0</v>
      </c>
      <c r="U525" s="1" cm="1">
        <f t="array" aca="1" ref="U525" ca="1">INDIRECT(CONCATENATE("'",$A$450,"'!r",B525),1)</f>
        <v>0</v>
      </c>
      <c r="V525" s="1" cm="1">
        <f t="array" aca="1" ref="V525" ca="1">INDIRECT(CONCATENATE("'",$A$450,"'!s",B525),1)</f>
        <v>0</v>
      </c>
      <c r="W525" s="1" cm="1">
        <f t="array" aca="1" ref="W525" ca="1">INDIRECT(CONCATENATE("'",$A$450,"'!t",B525),1)</f>
        <v>0</v>
      </c>
      <c r="X525" s="1" cm="1">
        <f t="array" aca="1" ref="X525" ca="1">INDIRECT(CONCATENATE("'",$A$450,"'!u",B525),1)</f>
        <v>0</v>
      </c>
      <c r="Y525" s="1" cm="1">
        <f t="array" aca="1" ref="Y525" ca="1">INDIRECT(CONCATENATE("'",$A$450,"'!v",B525),1)</f>
        <v>0</v>
      </c>
    </row>
    <row r="526" spans="2:25" hidden="1" x14ac:dyDescent="0.25">
      <c r="B526" s="24">
        <f t="shared" si="41"/>
        <v>78</v>
      </c>
      <c r="C526" s="1" cm="1">
        <f t="array" aca="1" ref="C526" ca="1">INDIRECT(CONCATENATE("'",$A$450,"'!A",B526),1)</f>
        <v>0</v>
      </c>
      <c r="D526" s="1" cm="1">
        <f t="array" aca="1" ref="D526" ca="1">INDIRECT(CONCATENATE("'",$A$450,"'!B",B526),1)</f>
        <v>0</v>
      </c>
      <c r="E526" s="1" cm="1">
        <f t="array" aca="1" ref="E526" ca="1">INDIRECT(CONCATENATE("'",$A$450,"'!c",B526),1)</f>
        <v>0</v>
      </c>
      <c r="F526" s="1" cm="1">
        <f t="array" aca="1" ref="F526" ca="1">INDIRECT(CONCATENATE("'",$A$450,"'!d",B526),1)</f>
        <v>0</v>
      </c>
      <c r="G526" s="1" cm="1">
        <f t="array" aca="1" ref="G526" ca="1">INDIRECT(CONCATENATE("'",$A$450,"'!e",B526),1)</f>
        <v>0</v>
      </c>
      <c r="H526" s="1" cm="1">
        <f t="array" aca="1" ref="H526" ca="1">INDIRECT(CONCATENATE("'",$A$450,"'!f",B526),1)</f>
        <v>0</v>
      </c>
      <c r="I526" s="1" cm="1">
        <f t="array" aca="1" ref="I526" ca="1">INDIRECT(CONCATENATE("'",$A$450,"'!g",B526),1)</f>
        <v>0</v>
      </c>
      <c r="J526" s="1" cm="1">
        <f t="array" aca="1" ref="J526" ca="1">INDIRECT(CONCATENATE("'",$A$450,"'!h",B526),1)</f>
        <v>0</v>
      </c>
      <c r="K526" s="1" cm="1">
        <f t="array" aca="1" ref="K526" ca="1">INDIRECT(CONCATENATE("'",$A$450,"'!i",B526),1)</f>
        <v>0</v>
      </c>
      <c r="L526" s="1" cm="1">
        <f t="array" aca="1" ref="L526" ca="1">INDIRECT(CONCATENATE("'",$A$450,"'!j",B526),1)</f>
        <v>0</v>
      </c>
      <c r="M526" s="1" cm="1">
        <f t="array" aca="1" ref="M526" ca="1">INDIRECT(CONCATENATE("'",$A$450,"'!k",B526),1)</f>
        <v>0</v>
      </c>
      <c r="N526" s="1" cm="1">
        <f t="array" aca="1" ref="N526" ca="1">INDIRECT(CONCATENATE("'",$A$450,"'!l",B526),1)</f>
        <v>0</v>
      </c>
      <c r="O526" s="1" cm="1">
        <f t="array" aca="1" ref="O526" ca="1">INDIRECT(CONCATENATE("'",$A$450,"'!m",B526),1)</f>
        <v>0</v>
      </c>
      <c r="P526" s="1" cm="1">
        <f t="array" aca="1" ref="P526" ca="1">INDIRECT(CONCATENATE("'",$A$450,"'!n",B526),1)</f>
        <v>0</v>
      </c>
      <c r="Q526" s="1" cm="1">
        <f t="array" aca="1" ref="Q526" ca="1">INDIRECT(CONCATENATE("'",$A$450,"'!o",B526),1)</f>
        <v>0</v>
      </c>
      <c r="R526" s="1" cm="1">
        <f t="array" aca="1" ref="R526" ca="1">INDIRECT(CONCATENATE("'",$A$450,"'!p",B526),1)</f>
        <v>0</v>
      </c>
      <c r="S526" s="1">
        <f t="shared" ca="1" si="42"/>
        <v>0</v>
      </c>
      <c r="T526" s="1" cm="1">
        <f t="array" aca="1" ref="T526" ca="1">INDIRECT(CONCATENATE("'",$A$450,"'!q",B526),1)</f>
        <v>0</v>
      </c>
      <c r="U526" s="1" cm="1">
        <f t="array" aca="1" ref="U526" ca="1">INDIRECT(CONCATENATE("'",$A$450,"'!r",B526),1)</f>
        <v>0</v>
      </c>
      <c r="V526" s="1" cm="1">
        <f t="array" aca="1" ref="V526" ca="1">INDIRECT(CONCATENATE("'",$A$450,"'!s",B526),1)</f>
        <v>0</v>
      </c>
      <c r="W526" s="1" cm="1">
        <f t="array" aca="1" ref="W526" ca="1">INDIRECT(CONCATENATE("'",$A$450,"'!t",B526),1)</f>
        <v>0</v>
      </c>
      <c r="X526" s="1" cm="1">
        <f t="array" aca="1" ref="X526" ca="1">INDIRECT(CONCATENATE("'",$A$450,"'!u",B526),1)</f>
        <v>0</v>
      </c>
      <c r="Y526" s="1" cm="1">
        <f t="array" aca="1" ref="Y526" ca="1">INDIRECT(CONCATENATE("'",$A$450,"'!v",B526),1)</f>
        <v>0</v>
      </c>
    </row>
    <row r="527" spans="2:25" hidden="1" x14ac:dyDescent="0.25">
      <c r="B527" s="24">
        <f t="shared" si="41"/>
        <v>79</v>
      </c>
      <c r="C527" s="1" cm="1">
        <f t="array" aca="1" ref="C527" ca="1">INDIRECT(CONCATENATE("'",$A$450,"'!A",B527),1)</f>
        <v>0</v>
      </c>
      <c r="D527" s="1" cm="1">
        <f t="array" aca="1" ref="D527" ca="1">INDIRECT(CONCATENATE("'",$A$450,"'!B",B527),1)</f>
        <v>0</v>
      </c>
      <c r="E527" s="1" cm="1">
        <f t="array" aca="1" ref="E527" ca="1">INDIRECT(CONCATENATE("'",$A$450,"'!c",B527),1)</f>
        <v>0</v>
      </c>
      <c r="F527" s="1" cm="1">
        <f t="array" aca="1" ref="F527" ca="1">INDIRECT(CONCATENATE("'",$A$450,"'!d",B527),1)</f>
        <v>0</v>
      </c>
      <c r="G527" s="1" cm="1">
        <f t="array" aca="1" ref="G527" ca="1">INDIRECT(CONCATENATE("'",$A$450,"'!e",B527),1)</f>
        <v>0</v>
      </c>
      <c r="H527" s="1" cm="1">
        <f t="array" aca="1" ref="H527" ca="1">INDIRECT(CONCATENATE("'",$A$450,"'!f",B527),1)</f>
        <v>0</v>
      </c>
      <c r="I527" s="1" cm="1">
        <f t="array" aca="1" ref="I527" ca="1">INDIRECT(CONCATENATE("'",$A$450,"'!g",B527),1)</f>
        <v>0</v>
      </c>
      <c r="J527" s="1" cm="1">
        <f t="array" aca="1" ref="J527" ca="1">INDIRECT(CONCATENATE("'",$A$450,"'!h",B527),1)</f>
        <v>0</v>
      </c>
      <c r="K527" s="1" cm="1">
        <f t="array" aca="1" ref="K527" ca="1">INDIRECT(CONCATENATE("'",$A$450,"'!i",B527),1)</f>
        <v>0</v>
      </c>
      <c r="L527" s="1" cm="1">
        <f t="array" aca="1" ref="L527" ca="1">INDIRECT(CONCATENATE("'",$A$450,"'!j",B527),1)</f>
        <v>0</v>
      </c>
      <c r="M527" s="1" cm="1">
        <f t="array" aca="1" ref="M527" ca="1">INDIRECT(CONCATENATE("'",$A$450,"'!k",B527),1)</f>
        <v>0</v>
      </c>
      <c r="N527" s="1" cm="1">
        <f t="array" aca="1" ref="N527" ca="1">INDIRECT(CONCATENATE("'",$A$450,"'!l",B527),1)</f>
        <v>0</v>
      </c>
      <c r="O527" s="1" cm="1">
        <f t="array" aca="1" ref="O527" ca="1">INDIRECT(CONCATENATE("'",$A$450,"'!m",B527),1)</f>
        <v>0</v>
      </c>
      <c r="P527" s="1" cm="1">
        <f t="array" aca="1" ref="P527" ca="1">INDIRECT(CONCATENATE("'",$A$450,"'!n",B527),1)</f>
        <v>0</v>
      </c>
      <c r="Q527" s="1" cm="1">
        <f t="array" aca="1" ref="Q527" ca="1">INDIRECT(CONCATENATE("'",$A$450,"'!o",B527),1)</f>
        <v>0</v>
      </c>
      <c r="R527" s="1" cm="1">
        <f t="array" aca="1" ref="R527" ca="1">INDIRECT(CONCATENATE("'",$A$450,"'!p",B527),1)</f>
        <v>0</v>
      </c>
      <c r="S527" s="1">
        <f t="shared" ref="S527:S533" ca="1" si="43">SUMIFS(U527,T527,$N$1)+SUMIFS(W527,V527,$N$1)+SUMIFS(Y527,X527,$N$1)</f>
        <v>0</v>
      </c>
      <c r="T527" s="1" cm="1">
        <f t="array" aca="1" ref="T527" ca="1">INDIRECT(CONCATENATE("'",$A$450,"'!q",B527),1)</f>
        <v>0</v>
      </c>
      <c r="U527" s="1" cm="1">
        <f t="array" aca="1" ref="U527" ca="1">INDIRECT(CONCATENATE("'",$A$450,"'!r",B527),1)</f>
        <v>0</v>
      </c>
      <c r="V527" s="1" cm="1">
        <f t="array" aca="1" ref="V527" ca="1">INDIRECT(CONCATENATE("'",$A$450,"'!s",B527),1)</f>
        <v>0</v>
      </c>
      <c r="W527" s="1" cm="1">
        <f t="array" aca="1" ref="W527" ca="1">INDIRECT(CONCATENATE("'",$A$450,"'!t",B527),1)</f>
        <v>0</v>
      </c>
      <c r="X527" s="1" cm="1">
        <f t="array" aca="1" ref="X527" ca="1">INDIRECT(CONCATENATE("'",$A$450,"'!u",B527),1)</f>
        <v>0</v>
      </c>
      <c r="Y527" s="1" cm="1">
        <f t="array" aca="1" ref="Y527" ca="1">INDIRECT(CONCATENATE("'",$A$450,"'!v",B527),1)</f>
        <v>0</v>
      </c>
    </row>
    <row r="528" spans="2:25" hidden="1" x14ac:dyDescent="0.25">
      <c r="B528" s="24">
        <f t="shared" si="41"/>
        <v>80</v>
      </c>
      <c r="C528" s="1" cm="1">
        <f t="array" aca="1" ref="C528" ca="1">INDIRECT(CONCATENATE("'",$A$450,"'!A",B528),1)</f>
        <v>0</v>
      </c>
      <c r="D528" s="1" cm="1">
        <f t="array" aca="1" ref="D528" ca="1">INDIRECT(CONCATENATE("'",$A$450,"'!B",B528),1)</f>
        <v>0</v>
      </c>
      <c r="E528" s="1" cm="1">
        <f t="array" aca="1" ref="E528" ca="1">INDIRECT(CONCATENATE("'",$A$450,"'!c",B528),1)</f>
        <v>0</v>
      </c>
      <c r="F528" s="1" cm="1">
        <f t="array" aca="1" ref="F528" ca="1">INDIRECT(CONCATENATE("'",$A$450,"'!d",B528),1)</f>
        <v>0</v>
      </c>
      <c r="G528" s="1" cm="1">
        <f t="array" aca="1" ref="G528" ca="1">INDIRECT(CONCATENATE("'",$A$450,"'!e",B528),1)</f>
        <v>0</v>
      </c>
      <c r="H528" s="1" cm="1">
        <f t="array" aca="1" ref="H528" ca="1">INDIRECT(CONCATENATE("'",$A$450,"'!f",B528),1)</f>
        <v>0</v>
      </c>
      <c r="I528" s="1" cm="1">
        <f t="array" aca="1" ref="I528" ca="1">INDIRECT(CONCATENATE("'",$A$450,"'!g",B528),1)</f>
        <v>0</v>
      </c>
      <c r="J528" s="1" cm="1">
        <f t="array" aca="1" ref="J528" ca="1">INDIRECT(CONCATENATE("'",$A$450,"'!h",B528),1)</f>
        <v>0</v>
      </c>
      <c r="K528" s="1" cm="1">
        <f t="array" aca="1" ref="K528" ca="1">INDIRECT(CONCATENATE("'",$A$450,"'!i",B528),1)</f>
        <v>0</v>
      </c>
      <c r="L528" s="1" cm="1">
        <f t="array" aca="1" ref="L528" ca="1">INDIRECT(CONCATENATE("'",$A$450,"'!j",B528),1)</f>
        <v>0</v>
      </c>
      <c r="M528" s="1" cm="1">
        <f t="array" aca="1" ref="M528" ca="1">INDIRECT(CONCATENATE("'",$A$450,"'!k",B528),1)</f>
        <v>0</v>
      </c>
      <c r="N528" s="1" cm="1">
        <f t="array" aca="1" ref="N528" ca="1">INDIRECT(CONCATENATE("'",$A$450,"'!l",B528),1)</f>
        <v>0</v>
      </c>
      <c r="O528" s="1" cm="1">
        <f t="array" aca="1" ref="O528" ca="1">INDIRECT(CONCATENATE("'",$A$450,"'!m",B528),1)</f>
        <v>0</v>
      </c>
      <c r="P528" s="1" cm="1">
        <f t="array" aca="1" ref="P528" ca="1">INDIRECT(CONCATENATE("'",$A$450,"'!n",B528),1)</f>
        <v>0</v>
      </c>
      <c r="Q528" s="1" cm="1">
        <f t="array" aca="1" ref="Q528" ca="1">INDIRECT(CONCATENATE("'",$A$450,"'!o",B528),1)</f>
        <v>0</v>
      </c>
      <c r="R528" s="1" cm="1">
        <f t="array" aca="1" ref="R528" ca="1">INDIRECT(CONCATENATE("'",$A$450,"'!p",B528),1)</f>
        <v>0</v>
      </c>
      <c r="S528" s="1">
        <f t="shared" ca="1" si="43"/>
        <v>0</v>
      </c>
      <c r="T528" s="1" cm="1">
        <f t="array" aca="1" ref="T528" ca="1">INDIRECT(CONCATENATE("'",$A$450,"'!q",B528),1)</f>
        <v>0</v>
      </c>
      <c r="U528" s="1" cm="1">
        <f t="array" aca="1" ref="U528" ca="1">INDIRECT(CONCATENATE("'",$A$450,"'!r",B528),1)</f>
        <v>0</v>
      </c>
      <c r="V528" s="1" cm="1">
        <f t="array" aca="1" ref="V528" ca="1">INDIRECT(CONCATENATE("'",$A$450,"'!s",B528),1)</f>
        <v>0</v>
      </c>
      <c r="W528" s="1" cm="1">
        <f t="array" aca="1" ref="W528" ca="1">INDIRECT(CONCATENATE("'",$A$450,"'!t",B528),1)</f>
        <v>0</v>
      </c>
      <c r="X528" s="1" cm="1">
        <f t="array" aca="1" ref="X528" ca="1">INDIRECT(CONCATENATE("'",$A$450,"'!u",B528),1)</f>
        <v>0</v>
      </c>
      <c r="Y528" s="1" cm="1">
        <f t="array" aca="1" ref="Y528" ca="1">INDIRECT(CONCATENATE("'",$A$450,"'!v",B528),1)</f>
        <v>0</v>
      </c>
    </row>
    <row r="529" spans="2:25" hidden="1" x14ac:dyDescent="0.25">
      <c r="B529" s="24">
        <f t="shared" si="41"/>
        <v>81</v>
      </c>
      <c r="C529" s="1" cm="1">
        <f t="array" aca="1" ref="C529" ca="1">INDIRECT(CONCATENATE("'",$A$450,"'!A",B529),1)</f>
        <v>0</v>
      </c>
      <c r="D529" s="1" cm="1">
        <f t="array" aca="1" ref="D529" ca="1">INDIRECT(CONCATENATE("'",$A$450,"'!B",B529),1)</f>
        <v>0</v>
      </c>
      <c r="E529" s="1" cm="1">
        <f t="array" aca="1" ref="E529" ca="1">INDIRECT(CONCATENATE("'",$A$450,"'!c",B529),1)</f>
        <v>0</v>
      </c>
      <c r="F529" s="1" cm="1">
        <f t="array" aca="1" ref="F529" ca="1">INDIRECT(CONCATENATE("'",$A$450,"'!d",B529),1)</f>
        <v>0</v>
      </c>
      <c r="G529" s="1" cm="1">
        <f t="array" aca="1" ref="G529" ca="1">INDIRECT(CONCATENATE("'",$A$450,"'!e",B529),1)</f>
        <v>0</v>
      </c>
      <c r="H529" s="1" cm="1">
        <f t="array" aca="1" ref="H529" ca="1">INDIRECT(CONCATENATE("'",$A$450,"'!f",B529),1)</f>
        <v>0</v>
      </c>
      <c r="I529" s="1" cm="1">
        <f t="array" aca="1" ref="I529" ca="1">INDIRECT(CONCATENATE("'",$A$450,"'!g",B529),1)</f>
        <v>0</v>
      </c>
      <c r="J529" s="1" cm="1">
        <f t="array" aca="1" ref="J529" ca="1">INDIRECT(CONCATENATE("'",$A$450,"'!h",B529),1)</f>
        <v>0</v>
      </c>
      <c r="K529" s="1" cm="1">
        <f t="array" aca="1" ref="K529" ca="1">INDIRECT(CONCATENATE("'",$A$450,"'!i",B529),1)</f>
        <v>0</v>
      </c>
      <c r="L529" s="1" cm="1">
        <f t="array" aca="1" ref="L529" ca="1">INDIRECT(CONCATENATE("'",$A$450,"'!j",B529),1)</f>
        <v>0</v>
      </c>
      <c r="M529" s="1" cm="1">
        <f t="array" aca="1" ref="M529" ca="1">INDIRECT(CONCATENATE("'",$A$450,"'!k",B529),1)</f>
        <v>0</v>
      </c>
      <c r="N529" s="1" cm="1">
        <f t="array" aca="1" ref="N529" ca="1">INDIRECT(CONCATENATE("'",$A$450,"'!l",B529),1)</f>
        <v>0</v>
      </c>
      <c r="O529" s="1" cm="1">
        <f t="array" aca="1" ref="O529" ca="1">INDIRECT(CONCATENATE("'",$A$450,"'!m",B529),1)</f>
        <v>0</v>
      </c>
      <c r="P529" s="1" cm="1">
        <f t="array" aca="1" ref="P529" ca="1">INDIRECT(CONCATENATE("'",$A$450,"'!n",B529),1)</f>
        <v>0</v>
      </c>
      <c r="Q529" s="1" cm="1">
        <f t="array" aca="1" ref="Q529" ca="1">INDIRECT(CONCATENATE("'",$A$450,"'!o",B529),1)</f>
        <v>0</v>
      </c>
      <c r="R529" s="1" cm="1">
        <f t="array" aca="1" ref="R529" ca="1">INDIRECT(CONCATENATE("'",$A$450,"'!p",B529),1)</f>
        <v>0</v>
      </c>
      <c r="S529" s="1">
        <f t="shared" ca="1" si="43"/>
        <v>0</v>
      </c>
      <c r="T529" s="1" cm="1">
        <f t="array" aca="1" ref="T529" ca="1">INDIRECT(CONCATENATE("'",$A$450,"'!q",B529),1)</f>
        <v>0</v>
      </c>
      <c r="U529" s="1" cm="1">
        <f t="array" aca="1" ref="U529" ca="1">INDIRECT(CONCATENATE("'",$A$450,"'!r",B529),1)</f>
        <v>0</v>
      </c>
      <c r="V529" s="1" cm="1">
        <f t="array" aca="1" ref="V529" ca="1">INDIRECT(CONCATENATE("'",$A$450,"'!s",B529),1)</f>
        <v>0</v>
      </c>
      <c r="W529" s="1" cm="1">
        <f t="array" aca="1" ref="W529" ca="1">INDIRECT(CONCATENATE("'",$A$450,"'!t",B529),1)</f>
        <v>0</v>
      </c>
      <c r="X529" s="1" cm="1">
        <f t="array" aca="1" ref="X529" ca="1">INDIRECT(CONCATENATE("'",$A$450,"'!u",B529),1)</f>
        <v>0</v>
      </c>
      <c r="Y529" s="1" cm="1">
        <f t="array" aca="1" ref="Y529" ca="1">INDIRECT(CONCATENATE("'",$A$450,"'!v",B529),1)</f>
        <v>0</v>
      </c>
    </row>
    <row r="530" spans="2:25" hidden="1" x14ac:dyDescent="0.25">
      <c r="B530" s="24">
        <f t="shared" si="41"/>
        <v>82</v>
      </c>
      <c r="C530" s="1" cm="1">
        <f t="array" aca="1" ref="C530" ca="1">INDIRECT(CONCATENATE("'",$A$450,"'!A",B530),1)</f>
        <v>0</v>
      </c>
      <c r="D530" s="1" cm="1">
        <f t="array" aca="1" ref="D530" ca="1">INDIRECT(CONCATENATE("'",$A$450,"'!B",B530),1)</f>
        <v>0</v>
      </c>
      <c r="E530" s="1" cm="1">
        <f t="array" aca="1" ref="E530" ca="1">INDIRECT(CONCATENATE("'",$A$450,"'!c",B530),1)</f>
        <v>0</v>
      </c>
      <c r="F530" s="1" cm="1">
        <f t="array" aca="1" ref="F530" ca="1">INDIRECT(CONCATENATE("'",$A$450,"'!d",B530),1)</f>
        <v>0</v>
      </c>
      <c r="G530" s="1" cm="1">
        <f t="array" aca="1" ref="G530" ca="1">INDIRECT(CONCATENATE("'",$A$450,"'!e",B530),1)</f>
        <v>0</v>
      </c>
      <c r="H530" s="1" cm="1">
        <f t="array" aca="1" ref="H530" ca="1">INDIRECT(CONCATENATE("'",$A$450,"'!f",B530),1)</f>
        <v>0</v>
      </c>
      <c r="I530" s="1" cm="1">
        <f t="array" aca="1" ref="I530" ca="1">INDIRECT(CONCATENATE("'",$A$450,"'!g",B530),1)</f>
        <v>0</v>
      </c>
      <c r="J530" s="1" cm="1">
        <f t="array" aca="1" ref="J530" ca="1">INDIRECT(CONCATENATE("'",$A$450,"'!h",B530),1)</f>
        <v>0</v>
      </c>
      <c r="K530" s="1" cm="1">
        <f t="array" aca="1" ref="K530" ca="1">INDIRECT(CONCATENATE("'",$A$450,"'!i",B530),1)</f>
        <v>0</v>
      </c>
      <c r="L530" s="1" cm="1">
        <f t="array" aca="1" ref="L530" ca="1">INDIRECT(CONCATENATE("'",$A$450,"'!j",B530),1)</f>
        <v>0</v>
      </c>
      <c r="M530" s="1" cm="1">
        <f t="array" aca="1" ref="M530" ca="1">INDIRECT(CONCATENATE("'",$A$450,"'!k",B530),1)</f>
        <v>0</v>
      </c>
      <c r="N530" s="1" cm="1">
        <f t="array" aca="1" ref="N530" ca="1">INDIRECT(CONCATENATE("'",$A$450,"'!l",B530),1)</f>
        <v>0</v>
      </c>
      <c r="O530" s="1" cm="1">
        <f t="array" aca="1" ref="O530" ca="1">INDIRECT(CONCATENATE("'",$A$450,"'!m",B530),1)</f>
        <v>0</v>
      </c>
      <c r="P530" s="1" cm="1">
        <f t="array" aca="1" ref="P530" ca="1">INDIRECT(CONCATENATE("'",$A$450,"'!n",B530),1)</f>
        <v>0</v>
      </c>
      <c r="Q530" s="1" cm="1">
        <f t="array" aca="1" ref="Q530" ca="1">INDIRECT(CONCATENATE("'",$A$450,"'!o",B530),1)</f>
        <v>0</v>
      </c>
      <c r="R530" s="1" cm="1">
        <f t="array" aca="1" ref="R530" ca="1">INDIRECT(CONCATENATE("'",$A$450,"'!p",B530),1)</f>
        <v>0</v>
      </c>
      <c r="S530" s="1">
        <f t="shared" ca="1" si="43"/>
        <v>0</v>
      </c>
      <c r="T530" s="1" cm="1">
        <f t="array" aca="1" ref="T530" ca="1">INDIRECT(CONCATENATE("'",$A$450,"'!q",B530),1)</f>
        <v>0</v>
      </c>
      <c r="U530" s="1" cm="1">
        <f t="array" aca="1" ref="U530" ca="1">INDIRECT(CONCATENATE("'",$A$450,"'!r",B530),1)</f>
        <v>0</v>
      </c>
      <c r="V530" s="1" cm="1">
        <f t="array" aca="1" ref="V530" ca="1">INDIRECT(CONCATENATE("'",$A$450,"'!s",B530),1)</f>
        <v>0</v>
      </c>
      <c r="W530" s="1" cm="1">
        <f t="array" aca="1" ref="W530" ca="1">INDIRECT(CONCATENATE("'",$A$450,"'!t",B530),1)</f>
        <v>0</v>
      </c>
      <c r="X530" s="1" cm="1">
        <f t="array" aca="1" ref="X530" ca="1">INDIRECT(CONCATENATE("'",$A$450,"'!u",B530),1)</f>
        <v>0</v>
      </c>
      <c r="Y530" s="1" cm="1">
        <f t="array" aca="1" ref="Y530" ca="1">INDIRECT(CONCATENATE("'",$A$450,"'!v",B530),1)</f>
        <v>0</v>
      </c>
    </row>
    <row r="531" spans="2:25" hidden="1" x14ac:dyDescent="0.25">
      <c r="B531" s="24">
        <f t="shared" si="41"/>
        <v>83</v>
      </c>
      <c r="C531" s="1" cm="1">
        <f t="array" aca="1" ref="C531" ca="1">INDIRECT(CONCATENATE("'",$A$450,"'!A",B531),1)</f>
        <v>0</v>
      </c>
      <c r="D531" s="1" cm="1">
        <f t="array" aca="1" ref="D531" ca="1">INDIRECT(CONCATENATE("'",$A$450,"'!B",B531),1)</f>
        <v>0</v>
      </c>
      <c r="E531" s="1" cm="1">
        <f t="array" aca="1" ref="E531" ca="1">INDIRECT(CONCATENATE("'",$A$450,"'!c",B531),1)</f>
        <v>0</v>
      </c>
      <c r="F531" s="1" cm="1">
        <f t="array" aca="1" ref="F531" ca="1">INDIRECT(CONCATENATE("'",$A$450,"'!d",B531),1)</f>
        <v>0</v>
      </c>
      <c r="G531" s="1" cm="1">
        <f t="array" aca="1" ref="G531" ca="1">INDIRECT(CONCATENATE("'",$A$450,"'!e",B531),1)</f>
        <v>0</v>
      </c>
      <c r="H531" s="1" cm="1">
        <f t="array" aca="1" ref="H531" ca="1">INDIRECT(CONCATENATE("'",$A$450,"'!f",B531),1)</f>
        <v>0</v>
      </c>
      <c r="I531" s="1" cm="1">
        <f t="array" aca="1" ref="I531" ca="1">INDIRECT(CONCATENATE("'",$A$450,"'!g",B531),1)</f>
        <v>0</v>
      </c>
      <c r="J531" s="1" cm="1">
        <f t="array" aca="1" ref="J531" ca="1">INDIRECT(CONCATENATE("'",$A$450,"'!h",B531),1)</f>
        <v>0</v>
      </c>
      <c r="K531" s="1" cm="1">
        <f t="array" aca="1" ref="K531" ca="1">INDIRECT(CONCATENATE("'",$A$450,"'!i",B531),1)</f>
        <v>0</v>
      </c>
      <c r="L531" s="1" cm="1">
        <f t="array" aca="1" ref="L531" ca="1">INDIRECT(CONCATENATE("'",$A$450,"'!j",B531),1)</f>
        <v>0</v>
      </c>
      <c r="M531" s="1" cm="1">
        <f t="array" aca="1" ref="M531" ca="1">INDIRECT(CONCATENATE("'",$A$450,"'!k",B531),1)</f>
        <v>0</v>
      </c>
      <c r="N531" s="1" cm="1">
        <f t="array" aca="1" ref="N531" ca="1">INDIRECT(CONCATENATE("'",$A$450,"'!l",B531),1)</f>
        <v>0</v>
      </c>
      <c r="O531" s="1" cm="1">
        <f t="array" aca="1" ref="O531" ca="1">INDIRECT(CONCATENATE("'",$A$450,"'!m",B531),1)</f>
        <v>0</v>
      </c>
      <c r="P531" s="1" cm="1">
        <f t="array" aca="1" ref="P531" ca="1">INDIRECT(CONCATENATE("'",$A$450,"'!n",B531),1)</f>
        <v>0</v>
      </c>
      <c r="Q531" s="1" cm="1">
        <f t="array" aca="1" ref="Q531" ca="1">INDIRECT(CONCATENATE("'",$A$450,"'!o",B531),1)</f>
        <v>0</v>
      </c>
      <c r="R531" s="1" cm="1">
        <f t="array" aca="1" ref="R531" ca="1">INDIRECT(CONCATENATE("'",$A$450,"'!p",B531),1)</f>
        <v>0</v>
      </c>
      <c r="S531" s="1">
        <f t="shared" ca="1" si="43"/>
        <v>0</v>
      </c>
      <c r="T531" s="1" cm="1">
        <f t="array" aca="1" ref="T531" ca="1">INDIRECT(CONCATENATE("'",$A$450,"'!q",B531),1)</f>
        <v>0</v>
      </c>
      <c r="U531" s="1" cm="1">
        <f t="array" aca="1" ref="U531" ca="1">INDIRECT(CONCATENATE("'",$A$450,"'!r",B531),1)</f>
        <v>0</v>
      </c>
      <c r="V531" s="1" cm="1">
        <f t="array" aca="1" ref="V531" ca="1">INDIRECT(CONCATENATE("'",$A$450,"'!s",B531),1)</f>
        <v>0</v>
      </c>
      <c r="W531" s="1" cm="1">
        <f t="array" aca="1" ref="W531" ca="1">INDIRECT(CONCATENATE("'",$A$450,"'!t",B531),1)</f>
        <v>0</v>
      </c>
      <c r="X531" s="1" cm="1">
        <f t="array" aca="1" ref="X531" ca="1">INDIRECT(CONCATENATE("'",$A$450,"'!u",B531),1)</f>
        <v>0</v>
      </c>
      <c r="Y531" s="1" cm="1">
        <f t="array" aca="1" ref="Y531" ca="1">INDIRECT(CONCATENATE("'",$A$450,"'!v",B531),1)</f>
        <v>0</v>
      </c>
    </row>
    <row r="532" spans="2:25" hidden="1" x14ac:dyDescent="0.25">
      <c r="B532" s="24">
        <f t="shared" si="41"/>
        <v>84</v>
      </c>
      <c r="C532" s="1" cm="1">
        <f t="array" aca="1" ref="C532" ca="1">INDIRECT(CONCATENATE("'",$A$450,"'!A",B532),1)</f>
        <v>0</v>
      </c>
      <c r="D532" s="1" cm="1">
        <f t="array" aca="1" ref="D532" ca="1">INDIRECT(CONCATENATE("'",$A$450,"'!B",B532),1)</f>
        <v>0</v>
      </c>
      <c r="E532" s="1" cm="1">
        <f t="array" aca="1" ref="E532" ca="1">INDIRECT(CONCATENATE("'",$A$450,"'!c",B532),1)</f>
        <v>0</v>
      </c>
      <c r="F532" s="1" cm="1">
        <f t="array" aca="1" ref="F532" ca="1">INDIRECT(CONCATENATE("'",$A$450,"'!d",B532),1)</f>
        <v>0</v>
      </c>
      <c r="G532" s="1" cm="1">
        <f t="array" aca="1" ref="G532" ca="1">INDIRECT(CONCATENATE("'",$A$450,"'!e",B532),1)</f>
        <v>0</v>
      </c>
      <c r="H532" s="1" cm="1">
        <f t="array" aca="1" ref="H532" ca="1">INDIRECT(CONCATENATE("'",$A$450,"'!f",B532),1)</f>
        <v>0</v>
      </c>
      <c r="I532" s="1" cm="1">
        <f t="array" aca="1" ref="I532" ca="1">INDIRECT(CONCATENATE("'",$A$450,"'!g",B532),1)</f>
        <v>0</v>
      </c>
      <c r="J532" s="1" cm="1">
        <f t="array" aca="1" ref="J532" ca="1">INDIRECT(CONCATENATE("'",$A$450,"'!h",B532),1)</f>
        <v>0</v>
      </c>
      <c r="K532" s="1" cm="1">
        <f t="array" aca="1" ref="K532" ca="1">INDIRECT(CONCATENATE("'",$A$450,"'!i",B532),1)</f>
        <v>0</v>
      </c>
      <c r="L532" s="1" cm="1">
        <f t="array" aca="1" ref="L532" ca="1">INDIRECT(CONCATENATE("'",$A$450,"'!j",B532),1)</f>
        <v>0</v>
      </c>
      <c r="M532" s="1" cm="1">
        <f t="array" aca="1" ref="M532" ca="1">INDIRECT(CONCATENATE("'",$A$450,"'!k",B532),1)</f>
        <v>0</v>
      </c>
      <c r="N532" s="1" cm="1">
        <f t="array" aca="1" ref="N532" ca="1">INDIRECT(CONCATENATE("'",$A$450,"'!l",B532),1)</f>
        <v>0</v>
      </c>
      <c r="O532" s="1" cm="1">
        <f t="array" aca="1" ref="O532" ca="1">INDIRECT(CONCATENATE("'",$A$450,"'!m",B532),1)</f>
        <v>0</v>
      </c>
      <c r="P532" s="1" cm="1">
        <f t="array" aca="1" ref="P532" ca="1">INDIRECT(CONCATENATE("'",$A$450,"'!n",B532),1)</f>
        <v>0</v>
      </c>
      <c r="Q532" s="1" cm="1">
        <f t="array" aca="1" ref="Q532" ca="1">INDIRECT(CONCATENATE("'",$A$450,"'!o",B532),1)</f>
        <v>0</v>
      </c>
      <c r="R532" s="1" cm="1">
        <f t="array" aca="1" ref="R532" ca="1">INDIRECT(CONCATENATE("'",$A$450,"'!p",B532),1)</f>
        <v>0</v>
      </c>
      <c r="S532" s="1">
        <f t="shared" ca="1" si="43"/>
        <v>0</v>
      </c>
      <c r="T532" s="1" cm="1">
        <f t="array" aca="1" ref="T532" ca="1">INDIRECT(CONCATENATE("'",$A$450,"'!q",B532),1)</f>
        <v>0</v>
      </c>
      <c r="U532" s="1" cm="1">
        <f t="array" aca="1" ref="U532" ca="1">INDIRECT(CONCATENATE("'",$A$450,"'!r",B532),1)</f>
        <v>0</v>
      </c>
      <c r="V532" s="1" cm="1">
        <f t="array" aca="1" ref="V532" ca="1">INDIRECT(CONCATENATE("'",$A$450,"'!s",B532),1)</f>
        <v>0</v>
      </c>
      <c r="W532" s="1" cm="1">
        <f t="array" aca="1" ref="W532" ca="1">INDIRECT(CONCATENATE("'",$A$450,"'!t",B532),1)</f>
        <v>0</v>
      </c>
      <c r="X532" s="1" cm="1">
        <f t="array" aca="1" ref="X532" ca="1">INDIRECT(CONCATENATE("'",$A$450,"'!u",B532),1)</f>
        <v>0</v>
      </c>
      <c r="Y532" s="1" cm="1">
        <f t="array" aca="1" ref="Y532" ca="1">INDIRECT(CONCATENATE("'",$A$450,"'!v",B532),1)</f>
        <v>0</v>
      </c>
    </row>
    <row r="533" spans="2:25" hidden="1" x14ac:dyDescent="0.25">
      <c r="B533" s="24">
        <f t="shared" si="41"/>
        <v>85</v>
      </c>
      <c r="C533" s="1" cm="1">
        <f t="array" aca="1" ref="C533" ca="1">INDIRECT(CONCATENATE("'",$A$450,"'!A",B533),1)</f>
        <v>0</v>
      </c>
      <c r="D533" s="1" cm="1">
        <f t="array" aca="1" ref="D533" ca="1">INDIRECT(CONCATENATE("'",$A$450,"'!B",B533),1)</f>
        <v>0</v>
      </c>
      <c r="E533" s="1" cm="1">
        <f t="array" aca="1" ref="E533" ca="1">INDIRECT(CONCATENATE("'",$A$450,"'!c",B533),1)</f>
        <v>0</v>
      </c>
      <c r="F533" s="1" cm="1">
        <f t="array" aca="1" ref="F533" ca="1">INDIRECT(CONCATENATE("'",$A$450,"'!d",B533),1)</f>
        <v>0</v>
      </c>
      <c r="G533" s="1" cm="1">
        <f t="array" aca="1" ref="G533" ca="1">INDIRECT(CONCATENATE("'",$A$450,"'!e",B533),1)</f>
        <v>0</v>
      </c>
      <c r="H533" s="1" cm="1">
        <f t="array" aca="1" ref="H533" ca="1">INDIRECT(CONCATENATE("'",$A$450,"'!f",B533),1)</f>
        <v>0</v>
      </c>
      <c r="I533" s="1" cm="1">
        <f t="array" aca="1" ref="I533" ca="1">INDIRECT(CONCATENATE("'",$A$450,"'!g",B533),1)</f>
        <v>0</v>
      </c>
      <c r="J533" s="1" cm="1">
        <f t="array" aca="1" ref="J533" ca="1">INDIRECT(CONCATENATE("'",$A$450,"'!h",B533),1)</f>
        <v>0</v>
      </c>
      <c r="K533" s="1" cm="1">
        <f t="array" aca="1" ref="K533" ca="1">INDIRECT(CONCATENATE("'",$A$450,"'!i",B533),1)</f>
        <v>0</v>
      </c>
      <c r="L533" s="1" cm="1">
        <f t="array" aca="1" ref="L533" ca="1">INDIRECT(CONCATENATE("'",$A$450,"'!j",B533),1)</f>
        <v>0</v>
      </c>
      <c r="M533" s="1" cm="1">
        <f t="array" aca="1" ref="M533" ca="1">INDIRECT(CONCATENATE("'",$A$450,"'!k",B533),1)</f>
        <v>0</v>
      </c>
      <c r="N533" s="1" cm="1">
        <f t="array" aca="1" ref="N533" ca="1">INDIRECT(CONCATENATE("'",$A$450,"'!l",B533),1)</f>
        <v>0</v>
      </c>
      <c r="O533" s="1" cm="1">
        <f t="array" aca="1" ref="O533" ca="1">INDIRECT(CONCATENATE("'",$A$450,"'!m",B533),1)</f>
        <v>0</v>
      </c>
      <c r="P533" s="1" cm="1">
        <f t="array" aca="1" ref="P533" ca="1">INDIRECT(CONCATENATE("'",$A$450,"'!n",B533),1)</f>
        <v>0</v>
      </c>
      <c r="Q533" s="1" cm="1">
        <f t="array" aca="1" ref="Q533" ca="1">INDIRECT(CONCATENATE("'",$A$450,"'!o",B533),1)</f>
        <v>0</v>
      </c>
      <c r="R533" s="1" cm="1">
        <f t="array" aca="1" ref="R533" ca="1">INDIRECT(CONCATENATE("'",$A$450,"'!p",B533),1)</f>
        <v>0</v>
      </c>
      <c r="S533" s="1">
        <f t="shared" ca="1" si="43"/>
        <v>0</v>
      </c>
      <c r="T533" s="1" cm="1">
        <f t="array" aca="1" ref="T533" ca="1">INDIRECT(CONCATENATE("'",$A$450,"'!q",B533),1)</f>
        <v>0</v>
      </c>
      <c r="U533" s="1" cm="1">
        <f t="array" aca="1" ref="U533" ca="1">INDIRECT(CONCATENATE("'",$A$450,"'!r",B533),1)</f>
        <v>0</v>
      </c>
      <c r="V533" s="1" cm="1">
        <f t="array" aca="1" ref="V533" ca="1">INDIRECT(CONCATENATE("'",$A$450,"'!s",B533),1)</f>
        <v>0</v>
      </c>
      <c r="W533" s="1" cm="1">
        <f t="array" aca="1" ref="W533" ca="1">INDIRECT(CONCATENATE("'",$A$450,"'!t",B533),1)</f>
        <v>0</v>
      </c>
      <c r="X533" s="1" cm="1">
        <f t="array" aca="1" ref="X533" ca="1">INDIRECT(CONCATENATE("'",$A$450,"'!u",B533),1)</f>
        <v>0</v>
      </c>
      <c r="Y533" s="1" cm="1">
        <f t="array" aca="1" ref="Y533" ca="1">INDIRECT(CONCATENATE("'",$A$450,"'!v",B533),1)</f>
        <v>0</v>
      </c>
    </row>
    <row r="534" spans="2:25" hidden="1" x14ac:dyDescent="0.25">
      <c r="B534" s="24">
        <f t="shared" si="41"/>
        <v>86</v>
      </c>
      <c r="C534" s="1" cm="1">
        <f t="array" aca="1" ref="C534" ca="1">INDIRECT(CONCATENATE("'",$A$450,"'!A",B534),1)</f>
        <v>0</v>
      </c>
      <c r="D534" s="1" cm="1">
        <f t="array" aca="1" ref="D534" ca="1">INDIRECT(CONCATENATE("'",$A$450,"'!B",B534),1)</f>
        <v>0</v>
      </c>
      <c r="E534" s="1" cm="1">
        <f t="array" aca="1" ref="E534" ca="1">INDIRECT(CONCATENATE("'",$A$450,"'!c",B534),1)</f>
        <v>0</v>
      </c>
      <c r="F534" s="1" cm="1">
        <f t="array" aca="1" ref="F534" ca="1">INDIRECT(CONCATENATE("'",$A$450,"'!d",B534),1)</f>
        <v>0</v>
      </c>
      <c r="G534" s="1" cm="1">
        <f t="array" aca="1" ref="G534" ca="1">INDIRECT(CONCATENATE("'",$A$450,"'!e",B534),1)</f>
        <v>0</v>
      </c>
      <c r="H534" s="1" cm="1">
        <f t="array" aca="1" ref="H534" ca="1">INDIRECT(CONCATENATE("'",$A$450,"'!f",B534),1)</f>
        <v>0</v>
      </c>
      <c r="I534" s="1" cm="1">
        <f t="array" aca="1" ref="I534" ca="1">INDIRECT(CONCATENATE("'",$A$450,"'!g",B534),1)</f>
        <v>0</v>
      </c>
      <c r="J534" s="1" cm="1">
        <f t="array" aca="1" ref="J534" ca="1">INDIRECT(CONCATENATE("'",$A$450,"'!h",B534),1)</f>
        <v>0</v>
      </c>
      <c r="K534" s="1" cm="1">
        <f t="array" aca="1" ref="K534" ca="1">INDIRECT(CONCATENATE("'",$A$450,"'!i",B534),1)</f>
        <v>0</v>
      </c>
      <c r="L534" s="1" cm="1">
        <f t="array" aca="1" ref="L534" ca="1">INDIRECT(CONCATENATE("'",$A$450,"'!j",B534),1)</f>
        <v>0</v>
      </c>
      <c r="M534" s="1" cm="1">
        <f t="array" aca="1" ref="M534" ca="1">INDIRECT(CONCATENATE("'",$A$450,"'!k",B534),1)</f>
        <v>0</v>
      </c>
      <c r="N534" s="1" cm="1">
        <f t="array" aca="1" ref="N534" ca="1">INDIRECT(CONCATENATE("'",$A$450,"'!l",B534),1)</f>
        <v>0</v>
      </c>
      <c r="O534" s="1" cm="1">
        <f t="array" aca="1" ref="O534" ca="1">INDIRECT(CONCATENATE("'",$A$450,"'!m",B534),1)</f>
        <v>0</v>
      </c>
      <c r="P534" s="1" cm="1">
        <f t="array" aca="1" ref="P534" ca="1">INDIRECT(CONCATENATE("'",$A$450,"'!n",B534),1)</f>
        <v>0</v>
      </c>
      <c r="Q534" s="1" cm="1">
        <f t="array" aca="1" ref="Q534" ca="1">INDIRECT(CONCATENATE("'",$A$450,"'!o",B534),1)</f>
        <v>0</v>
      </c>
      <c r="R534" s="1" cm="1">
        <f t="array" aca="1" ref="R534" ca="1">INDIRECT(CONCATENATE("'",$A$450,"'!p",B534),1)</f>
        <v>0</v>
      </c>
      <c r="S534" s="1">
        <f t="shared" ref="S534:S550" ca="1" si="44">SUMIFS(U534,T534,$N$1)+SUMIFS(W534,V534,$N$1)+SUMIFS(Y534,X534,$N$1)</f>
        <v>0</v>
      </c>
      <c r="T534" s="1" cm="1">
        <f t="array" aca="1" ref="T534" ca="1">INDIRECT(CONCATENATE("'",$A$450,"'!q",B534),1)</f>
        <v>0</v>
      </c>
      <c r="U534" s="1" cm="1">
        <f t="array" aca="1" ref="U534" ca="1">INDIRECT(CONCATENATE("'",$A$450,"'!r",B534),1)</f>
        <v>0</v>
      </c>
      <c r="V534" s="1" cm="1">
        <f t="array" aca="1" ref="V534" ca="1">INDIRECT(CONCATENATE("'",$A$450,"'!s",B534),1)</f>
        <v>0</v>
      </c>
      <c r="W534" s="1" cm="1">
        <f t="array" aca="1" ref="W534" ca="1">INDIRECT(CONCATENATE("'",$A$450,"'!t",B534),1)</f>
        <v>0</v>
      </c>
      <c r="X534" s="1" cm="1">
        <f t="array" aca="1" ref="X534" ca="1">INDIRECT(CONCATENATE("'",$A$450,"'!u",B534),1)</f>
        <v>0</v>
      </c>
      <c r="Y534" s="1" cm="1">
        <f t="array" aca="1" ref="Y534" ca="1">INDIRECT(CONCATENATE("'",$A$450,"'!v",B534),1)</f>
        <v>0</v>
      </c>
    </row>
    <row r="535" spans="2:25" hidden="1" x14ac:dyDescent="0.25">
      <c r="B535" s="24">
        <f t="shared" si="41"/>
        <v>87</v>
      </c>
      <c r="C535" s="1" cm="1">
        <f t="array" aca="1" ref="C535" ca="1">INDIRECT(CONCATENATE("'",$A$450,"'!A",B535),1)</f>
        <v>0</v>
      </c>
      <c r="D535" s="1" cm="1">
        <f t="array" aca="1" ref="D535" ca="1">INDIRECT(CONCATENATE("'",$A$450,"'!B",B535),1)</f>
        <v>0</v>
      </c>
      <c r="E535" s="1" cm="1">
        <f t="array" aca="1" ref="E535" ca="1">INDIRECT(CONCATENATE("'",$A$450,"'!c",B535),1)</f>
        <v>0</v>
      </c>
      <c r="F535" s="1" cm="1">
        <f t="array" aca="1" ref="F535" ca="1">INDIRECT(CONCATENATE("'",$A$450,"'!d",B535),1)</f>
        <v>0</v>
      </c>
      <c r="G535" s="1" cm="1">
        <f t="array" aca="1" ref="G535" ca="1">INDIRECT(CONCATENATE("'",$A$450,"'!e",B535),1)</f>
        <v>0</v>
      </c>
      <c r="H535" s="1" cm="1">
        <f t="array" aca="1" ref="H535" ca="1">INDIRECT(CONCATENATE("'",$A$450,"'!f",B535),1)</f>
        <v>0</v>
      </c>
      <c r="I535" s="1" cm="1">
        <f t="array" aca="1" ref="I535" ca="1">INDIRECT(CONCATENATE("'",$A$450,"'!g",B535),1)</f>
        <v>0</v>
      </c>
      <c r="J535" s="1" cm="1">
        <f t="array" aca="1" ref="J535" ca="1">INDIRECT(CONCATENATE("'",$A$450,"'!h",B535),1)</f>
        <v>0</v>
      </c>
      <c r="K535" s="1" cm="1">
        <f t="array" aca="1" ref="K535" ca="1">INDIRECT(CONCATENATE("'",$A$450,"'!i",B535),1)</f>
        <v>0</v>
      </c>
      <c r="L535" s="1" cm="1">
        <f t="array" aca="1" ref="L535" ca="1">INDIRECT(CONCATENATE("'",$A$450,"'!j",B535),1)</f>
        <v>0</v>
      </c>
      <c r="M535" s="1" cm="1">
        <f t="array" aca="1" ref="M535" ca="1">INDIRECT(CONCATENATE("'",$A$450,"'!k",B535),1)</f>
        <v>0</v>
      </c>
      <c r="N535" s="1" cm="1">
        <f t="array" aca="1" ref="N535" ca="1">INDIRECT(CONCATENATE("'",$A$450,"'!l",B535),1)</f>
        <v>0</v>
      </c>
      <c r="O535" s="1" cm="1">
        <f t="array" aca="1" ref="O535" ca="1">INDIRECT(CONCATENATE("'",$A$450,"'!m",B535),1)</f>
        <v>0</v>
      </c>
      <c r="P535" s="1" cm="1">
        <f t="array" aca="1" ref="P535" ca="1">INDIRECT(CONCATENATE("'",$A$450,"'!n",B535),1)</f>
        <v>0</v>
      </c>
      <c r="Q535" s="1" cm="1">
        <f t="array" aca="1" ref="Q535" ca="1">INDIRECT(CONCATENATE("'",$A$450,"'!o",B535),1)</f>
        <v>0</v>
      </c>
      <c r="R535" s="1" cm="1">
        <f t="array" aca="1" ref="R535" ca="1">INDIRECT(CONCATENATE("'",$A$450,"'!p",B535),1)</f>
        <v>0</v>
      </c>
      <c r="S535" s="1">
        <f t="shared" ca="1" si="44"/>
        <v>0</v>
      </c>
      <c r="T535" s="1" cm="1">
        <f t="array" aca="1" ref="T535" ca="1">INDIRECT(CONCATENATE("'",$A$450,"'!q",B535),1)</f>
        <v>0</v>
      </c>
      <c r="U535" s="1" cm="1">
        <f t="array" aca="1" ref="U535" ca="1">INDIRECT(CONCATENATE("'",$A$450,"'!r",B535),1)</f>
        <v>0</v>
      </c>
      <c r="V535" s="1" cm="1">
        <f t="array" aca="1" ref="V535" ca="1">INDIRECT(CONCATENATE("'",$A$450,"'!s",B535),1)</f>
        <v>0</v>
      </c>
      <c r="W535" s="1" cm="1">
        <f t="array" aca="1" ref="W535" ca="1">INDIRECT(CONCATENATE("'",$A$450,"'!t",B535),1)</f>
        <v>0</v>
      </c>
      <c r="X535" s="1" cm="1">
        <f t="array" aca="1" ref="X535" ca="1">INDIRECT(CONCATENATE("'",$A$450,"'!u",B535),1)</f>
        <v>0</v>
      </c>
      <c r="Y535" s="1" cm="1">
        <f t="array" aca="1" ref="Y535" ca="1">INDIRECT(CONCATENATE("'",$A$450,"'!v",B535),1)</f>
        <v>0</v>
      </c>
    </row>
    <row r="536" spans="2:25" hidden="1" x14ac:dyDescent="0.25">
      <c r="B536" s="24">
        <f t="shared" si="41"/>
        <v>88</v>
      </c>
      <c r="C536" s="1" cm="1">
        <f t="array" aca="1" ref="C536" ca="1">INDIRECT(CONCATENATE("'",$A$450,"'!A",B536),1)</f>
        <v>0</v>
      </c>
      <c r="D536" s="1" cm="1">
        <f t="array" aca="1" ref="D536" ca="1">INDIRECT(CONCATENATE("'",$A$450,"'!B",B536),1)</f>
        <v>0</v>
      </c>
      <c r="E536" s="1" cm="1">
        <f t="array" aca="1" ref="E536" ca="1">INDIRECT(CONCATENATE("'",$A$450,"'!c",B536),1)</f>
        <v>0</v>
      </c>
      <c r="F536" s="1" cm="1">
        <f t="array" aca="1" ref="F536" ca="1">INDIRECT(CONCATENATE("'",$A$450,"'!d",B536),1)</f>
        <v>0</v>
      </c>
      <c r="G536" s="1" cm="1">
        <f t="array" aca="1" ref="G536" ca="1">INDIRECT(CONCATENATE("'",$A$450,"'!e",B536),1)</f>
        <v>0</v>
      </c>
      <c r="H536" s="1" cm="1">
        <f t="array" aca="1" ref="H536" ca="1">INDIRECT(CONCATENATE("'",$A$450,"'!f",B536),1)</f>
        <v>0</v>
      </c>
      <c r="I536" s="1" cm="1">
        <f t="array" aca="1" ref="I536" ca="1">INDIRECT(CONCATENATE("'",$A$450,"'!g",B536),1)</f>
        <v>0</v>
      </c>
      <c r="J536" s="1" cm="1">
        <f t="array" aca="1" ref="J536" ca="1">INDIRECT(CONCATENATE("'",$A$450,"'!h",B536),1)</f>
        <v>0</v>
      </c>
      <c r="K536" s="1" cm="1">
        <f t="array" aca="1" ref="K536" ca="1">INDIRECT(CONCATENATE("'",$A$450,"'!i",B536),1)</f>
        <v>0</v>
      </c>
      <c r="L536" s="1" cm="1">
        <f t="array" aca="1" ref="L536" ca="1">INDIRECT(CONCATENATE("'",$A$450,"'!j",B536),1)</f>
        <v>0</v>
      </c>
      <c r="M536" s="1" cm="1">
        <f t="array" aca="1" ref="M536" ca="1">INDIRECT(CONCATENATE("'",$A$450,"'!k",B536),1)</f>
        <v>0</v>
      </c>
      <c r="N536" s="1" cm="1">
        <f t="array" aca="1" ref="N536" ca="1">INDIRECT(CONCATENATE("'",$A$450,"'!l",B536),1)</f>
        <v>0</v>
      </c>
      <c r="O536" s="1" cm="1">
        <f t="array" aca="1" ref="O536" ca="1">INDIRECT(CONCATENATE("'",$A$450,"'!m",B536),1)</f>
        <v>0</v>
      </c>
      <c r="P536" s="1" cm="1">
        <f t="array" aca="1" ref="P536" ca="1">INDIRECT(CONCATENATE("'",$A$450,"'!n",B536),1)</f>
        <v>0</v>
      </c>
      <c r="Q536" s="1" cm="1">
        <f t="array" aca="1" ref="Q536" ca="1">INDIRECT(CONCATENATE("'",$A$450,"'!o",B536),1)</f>
        <v>0</v>
      </c>
      <c r="R536" s="1" cm="1">
        <f t="array" aca="1" ref="R536" ca="1">INDIRECT(CONCATENATE("'",$A$450,"'!p",B536),1)</f>
        <v>0</v>
      </c>
      <c r="S536" s="1">
        <f t="shared" ca="1" si="44"/>
        <v>0</v>
      </c>
      <c r="T536" s="1" cm="1">
        <f t="array" aca="1" ref="T536" ca="1">INDIRECT(CONCATENATE("'",$A$450,"'!q",B536),1)</f>
        <v>0</v>
      </c>
      <c r="U536" s="1" cm="1">
        <f t="array" aca="1" ref="U536" ca="1">INDIRECT(CONCATENATE("'",$A$450,"'!r",B536),1)</f>
        <v>0</v>
      </c>
      <c r="V536" s="1" cm="1">
        <f t="array" aca="1" ref="V536" ca="1">INDIRECT(CONCATENATE("'",$A$450,"'!s",B536),1)</f>
        <v>0</v>
      </c>
      <c r="W536" s="1" cm="1">
        <f t="array" aca="1" ref="W536" ca="1">INDIRECT(CONCATENATE("'",$A$450,"'!t",B536),1)</f>
        <v>0</v>
      </c>
      <c r="X536" s="1" cm="1">
        <f t="array" aca="1" ref="X536" ca="1">INDIRECT(CONCATENATE("'",$A$450,"'!u",B536),1)</f>
        <v>0</v>
      </c>
      <c r="Y536" s="1" cm="1">
        <f t="array" aca="1" ref="Y536" ca="1">INDIRECT(CONCATENATE("'",$A$450,"'!v",B536),1)</f>
        <v>0</v>
      </c>
    </row>
    <row r="537" spans="2:25" hidden="1" x14ac:dyDescent="0.25">
      <c r="B537" s="24">
        <f t="shared" si="41"/>
        <v>89</v>
      </c>
      <c r="C537" s="1" cm="1">
        <f t="array" aca="1" ref="C537" ca="1">INDIRECT(CONCATENATE("'",$A$450,"'!A",B537),1)</f>
        <v>0</v>
      </c>
      <c r="D537" s="1" cm="1">
        <f t="array" aca="1" ref="D537" ca="1">INDIRECT(CONCATENATE("'",$A$450,"'!B",B537),1)</f>
        <v>0</v>
      </c>
      <c r="E537" s="1" cm="1">
        <f t="array" aca="1" ref="E537" ca="1">INDIRECT(CONCATENATE("'",$A$450,"'!c",B537),1)</f>
        <v>0</v>
      </c>
      <c r="F537" s="1" cm="1">
        <f t="array" aca="1" ref="F537" ca="1">INDIRECT(CONCATENATE("'",$A$450,"'!d",B537),1)</f>
        <v>0</v>
      </c>
      <c r="G537" s="1" cm="1">
        <f t="array" aca="1" ref="G537" ca="1">INDIRECT(CONCATENATE("'",$A$450,"'!e",B537),1)</f>
        <v>0</v>
      </c>
      <c r="H537" s="1" cm="1">
        <f t="array" aca="1" ref="H537" ca="1">INDIRECT(CONCATENATE("'",$A$450,"'!f",B537),1)</f>
        <v>0</v>
      </c>
      <c r="I537" s="1" cm="1">
        <f t="array" aca="1" ref="I537" ca="1">INDIRECT(CONCATENATE("'",$A$450,"'!g",B537),1)</f>
        <v>0</v>
      </c>
      <c r="J537" s="1" cm="1">
        <f t="array" aca="1" ref="J537" ca="1">INDIRECT(CONCATENATE("'",$A$450,"'!h",B537),1)</f>
        <v>0</v>
      </c>
      <c r="K537" s="1" cm="1">
        <f t="array" aca="1" ref="K537" ca="1">INDIRECT(CONCATENATE("'",$A$450,"'!i",B537),1)</f>
        <v>0</v>
      </c>
      <c r="L537" s="1" cm="1">
        <f t="array" aca="1" ref="L537" ca="1">INDIRECT(CONCATENATE("'",$A$450,"'!j",B537),1)</f>
        <v>0</v>
      </c>
      <c r="M537" s="1" cm="1">
        <f t="array" aca="1" ref="M537" ca="1">INDIRECT(CONCATENATE("'",$A$450,"'!k",B537),1)</f>
        <v>0</v>
      </c>
      <c r="N537" s="1" cm="1">
        <f t="array" aca="1" ref="N537" ca="1">INDIRECT(CONCATENATE("'",$A$450,"'!l",B537),1)</f>
        <v>0</v>
      </c>
      <c r="O537" s="1" cm="1">
        <f t="array" aca="1" ref="O537" ca="1">INDIRECT(CONCATENATE("'",$A$450,"'!m",B537),1)</f>
        <v>0</v>
      </c>
      <c r="P537" s="1" cm="1">
        <f t="array" aca="1" ref="P537" ca="1">INDIRECT(CONCATENATE("'",$A$450,"'!n",B537),1)</f>
        <v>0</v>
      </c>
      <c r="Q537" s="1" cm="1">
        <f t="array" aca="1" ref="Q537" ca="1">INDIRECT(CONCATENATE("'",$A$450,"'!o",B537),1)</f>
        <v>0</v>
      </c>
      <c r="R537" s="1" cm="1">
        <f t="array" aca="1" ref="R537" ca="1">INDIRECT(CONCATENATE("'",$A$450,"'!p",B537),1)</f>
        <v>0</v>
      </c>
      <c r="S537" s="1">
        <f t="shared" ca="1" si="44"/>
        <v>0</v>
      </c>
      <c r="T537" s="1" cm="1">
        <f t="array" aca="1" ref="T537" ca="1">INDIRECT(CONCATENATE("'",$A$450,"'!q",B537),1)</f>
        <v>0</v>
      </c>
      <c r="U537" s="1" cm="1">
        <f t="array" aca="1" ref="U537" ca="1">INDIRECT(CONCATENATE("'",$A$450,"'!r",B537),1)</f>
        <v>0</v>
      </c>
      <c r="V537" s="1" cm="1">
        <f t="array" aca="1" ref="V537" ca="1">INDIRECT(CONCATENATE("'",$A$450,"'!s",B537),1)</f>
        <v>0</v>
      </c>
      <c r="W537" s="1" cm="1">
        <f t="array" aca="1" ref="W537" ca="1">INDIRECT(CONCATENATE("'",$A$450,"'!t",B537),1)</f>
        <v>0</v>
      </c>
      <c r="X537" s="1" cm="1">
        <f t="array" aca="1" ref="X537" ca="1">INDIRECT(CONCATENATE("'",$A$450,"'!u",B537),1)</f>
        <v>0</v>
      </c>
      <c r="Y537" s="1" cm="1">
        <f t="array" aca="1" ref="Y537" ca="1">INDIRECT(CONCATENATE("'",$A$450,"'!v",B537),1)</f>
        <v>0</v>
      </c>
    </row>
    <row r="538" spans="2:25" hidden="1" x14ac:dyDescent="0.25">
      <c r="B538" s="24">
        <f t="shared" si="41"/>
        <v>90</v>
      </c>
      <c r="C538" s="1" cm="1">
        <f t="array" aca="1" ref="C538" ca="1">INDIRECT(CONCATENATE("'",$A$450,"'!A",B538),1)</f>
        <v>0</v>
      </c>
      <c r="D538" s="1" cm="1">
        <f t="array" aca="1" ref="D538" ca="1">INDIRECT(CONCATENATE("'",$A$450,"'!B",B538),1)</f>
        <v>0</v>
      </c>
      <c r="E538" s="1" cm="1">
        <f t="array" aca="1" ref="E538" ca="1">INDIRECT(CONCATENATE("'",$A$450,"'!c",B538),1)</f>
        <v>0</v>
      </c>
      <c r="F538" s="1" cm="1">
        <f t="array" aca="1" ref="F538" ca="1">INDIRECT(CONCATENATE("'",$A$450,"'!d",B538),1)</f>
        <v>0</v>
      </c>
      <c r="G538" s="1" cm="1">
        <f t="array" aca="1" ref="G538" ca="1">INDIRECT(CONCATENATE("'",$A$450,"'!e",B538),1)</f>
        <v>0</v>
      </c>
      <c r="H538" s="1" cm="1">
        <f t="array" aca="1" ref="H538" ca="1">INDIRECT(CONCATENATE("'",$A$450,"'!f",B538),1)</f>
        <v>0</v>
      </c>
      <c r="I538" s="1" cm="1">
        <f t="array" aca="1" ref="I538" ca="1">INDIRECT(CONCATENATE("'",$A$450,"'!g",B538),1)</f>
        <v>0</v>
      </c>
      <c r="J538" s="1" cm="1">
        <f t="array" aca="1" ref="J538" ca="1">INDIRECT(CONCATENATE("'",$A$450,"'!h",B538),1)</f>
        <v>0</v>
      </c>
      <c r="K538" s="1" cm="1">
        <f t="array" aca="1" ref="K538" ca="1">INDIRECT(CONCATENATE("'",$A$450,"'!i",B538),1)</f>
        <v>0</v>
      </c>
      <c r="L538" s="1" cm="1">
        <f t="array" aca="1" ref="L538" ca="1">INDIRECT(CONCATENATE("'",$A$450,"'!j",B538),1)</f>
        <v>0</v>
      </c>
      <c r="M538" s="1" cm="1">
        <f t="array" aca="1" ref="M538" ca="1">INDIRECT(CONCATENATE("'",$A$450,"'!k",B538),1)</f>
        <v>0</v>
      </c>
      <c r="N538" s="1" cm="1">
        <f t="array" aca="1" ref="N538" ca="1">INDIRECT(CONCATENATE("'",$A$450,"'!l",B538),1)</f>
        <v>0</v>
      </c>
      <c r="O538" s="1" cm="1">
        <f t="array" aca="1" ref="O538" ca="1">INDIRECT(CONCATENATE("'",$A$450,"'!m",B538),1)</f>
        <v>0</v>
      </c>
      <c r="P538" s="1" cm="1">
        <f t="array" aca="1" ref="P538" ca="1">INDIRECT(CONCATENATE("'",$A$450,"'!n",B538),1)</f>
        <v>0</v>
      </c>
      <c r="Q538" s="1" cm="1">
        <f t="array" aca="1" ref="Q538" ca="1">INDIRECT(CONCATENATE("'",$A$450,"'!o",B538),1)</f>
        <v>0</v>
      </c>
      <c r="R538" s="1" cm="1">
        <f t="array" aca="1" ref="R538" ca="1">INDIRECT(CONCATENATE("'",$A$450,"'!p",B538),1)</f>
        <v>0</v>
      </c>
      <c r="S538" s="1">
        <f t="shared" ca="1" si="44"/>
        <v>0</v>
      </c>
      <c r="T538" s="1" cm="1">
        <f t="array" aca="1" ref="T538" ca="1">INDIRECT(CONCATENATE("'",$A$450,"'!q",B538),1)</f>
        <v>0</v>
      </c>
      <c r="U538" s="1" cm="1">
        <f t="array" aca="1" ref="U538" ca="1">INDIRECT(CONCATENATE("'",$A$450,"'!r",B538),1)</f>
        <v>0</v>
      </c>
      <c r="V538" s="1" cm="1">
        <f t="array" aca="1" ref="V538" ca="1">INDIRECT(CONCATENATE("'",$A$450,"'!s",B538),1)</f>
        <v>0</v>
      </c>
      <c r="W538" s="1" cm="1">
        <f t="array" aca="1" ref="W538" ca="1">INDIRECT(CONCATENATE("'",$A$450,"'!t",B538),1)</f>
        <v>0</v>
      </c>
      <c r="X538" s="1" cm="1">
        <f t="array" aca="1" ref="X538" ca="1">INDIRECT(CONCATENATE("'",$A$450,"'!u",B538),1)</f>
        <v>0</v>
      </c>
      <c r="Y538" s="1" cm="1">
        <f t="array" aca="1" ref="Y538" ca="1">INDIRECT(CONCATENATE("'",$A$450,"'!v",B538),1)</f>
        <v>0</v>
      </c>
    </row>
    <row r="539" spans="2:25" hidden="1" x14ac:dyDescent="0.25">
      <c r="B539" s="24">
        <f t="shared" si="41"/>
        <v>91</v>
      </c>
      <c r="C539" s="1" cm="1">
        <f t="array" aca="1" ref="C539" ca="1">INDIRECT(CONCATENATE("'",$A$450,"'!A",B539),1)</f>
        <v>0</v>
      </c>
      <c r="D539" s="1" cm="1">
        <f t="array" aca="1" ref="D539" ca="1">INDIRECT(CONCATENATE("'",$A$450,"'!B",B539),1)</f>
        <v>0</v>
      </c>
      <c r="E539" s="1" cm="1">
        <f t="array" aca="1" ref="E539" ca="1">INDIRECT(CONCATENATE("'",$A$450,"'!c",B539),1)</f>
        <v>0</v>
      </c>
      <c r="F539" s="1" cm="1">
        <f t="array" aca="1" ref="F539" ca="1">INDIRECT(CONCATENATE("'",$A$450,"'!d",B539),1)</f>
        <v>0</v>
      </c>
      <c r="G539" s="1" cm="1">
        <f t="array" aca="1" ref="G539" ca="1">INDIRECT(CONCATENATE("'",$A$450,"'!e",B539),1)</f>
        <v>0</v>
      </c>
      <c r="H539" s="1" cm="1">
        <f t="array" aca="1" ref="H539" ca="1">INDIRECT(CONCATENATE("'",$A$450,"'!f",B539),1)</f>
        <v>0</v>
      </c>
      <c r="I539" s="1" cm="1">
        <f t="array" aca="1" ref="I539" ca="1">INDIRECT(CONCATENATE("'",$A$450,"'!g",B539),1)</f>
        <v>0</v>
      </c>
      <c r="J539" s="1" cm="1">
        <f t="array" aca="1" ref="J539" ca="1">INDIRECT(CONCATENATE("'",$A$450,"'!h",B539),1)</f>
        <v>0</v>
      </c>
      <c r="K539" s="1" cm="1">
        <f t="array" aca="1" ref="K539" ca="1">INDIRECT(CONCATENATE("'",$A$450,"'!i",B539),1)</f>
        <v>0</v>
      </c>
      <c r="L539" s="1" cm="1">
        <f t="array" aca="1" ref="L539" ca="1">INDIRECT(CONCATENATE("'",$A$450,"'!j",B539),1)</f>
        <v>0</v>
      </c>
      <c r="M539" s="1" cm="1">
        <f t="array" aca="1" ref="M539" ca="1">INDIRECT(CONCATENATE("'",$A$450,"'!k",B539),1)</f>
        <v>0</v>
      </c>
      <c r="N539" s="1" cm="1">
        <f t="array" aca="1" ref="N539" ca="1">INDIRECT(CONCATENATE("'",$A$450,"'!l",B539),1)</f>
        <v>0</v>
      </c>
      <c r="O539" s="1" cm="1">
        <f t="array" aca="1" ref="O539" ca="1">INDIRECT(CONCATENATE("'",$A$450,"'!m",B539),1)</f>
        <v>0</v>
      </c>
      <c r="P539" s="1" cm="1">
        <f t="array" aca="1" ref="P539" ca="1">INDIRECT(CONCATENATE("'",$A$450,"'!n",B539),1)</f>
        <v>0</v>
      </c>
      <c r="Q539" s="1" cm="1">
        <f t="array" aca="1" ref="Q539" ca="1">INDIRECT(CONCATENATE("'",$A$450,"'!o",B539),1)</f>
        <v>0</v>
      </c>
      <c r="R539" s="1" cm="1">
        <f t="array" aca="1" ref="R539" ca="1">INDIRECT(CONCATENATE("'",$A$450,"'!p",B539),1)</f>
        <v>0</v>
      </c>
      <c r="S539" s="1">
        <f t="shared" ca="1" si="44"/>
        <v>0</v>
      </c>
      <c r="T539" s="1" cm="1">
        <f t="array" aca="1" ref="T539" ca="1">INDIRECT(CONCATENATE("'",$A$450,"'!q",B539),1)</f>
        <v>0</v>
      </c>
      <c r="U539" s="1" cm="1">
        <f t="array" aca="1" ref="U539" ca="1">INDIRECT(CONCATENATE("'",$A$450,"'!r",B539),1)</f>
        <v>0</v>
      </c>
      <c r="V539" s="1" cm="1">
        <f t="array" aca="1" ref="V539" ca="1">INDIRECT(CONCATENATE("'",$A$450,"'!s",B539),1)</f>
        <v>0</v>
      </c>
      <c r="W539" s="1" cm="1">
        <f t="array" aca="1" ref="W539" ca="1">INDIRECT(CONCATENATE("'",$A$450,"'!t",B539),1)</f>
        <v>0</v>
      </c>
      <c r="X539" s="1" cm="1">
        <f t="array" aca="1" ref="X539" ca="1">INDIRECT(CONCATENATE("'",$A$450,"'!u",B539),1)</f>
        <v>0</v>
      </c>
      <c r="Y539" s="1" cm="1">
        <f t="array" aca="1" ref="Y539" ca="1">INDIRECT(CONCATENATE("'",$A$450,"'!v",B539),1)</f>
        <v>0</v>
      </c>
    </row>
    <row r="540" spans="2:25" hidden="1" x14ac:dyDescent="0.25">
      <c r="B540" s="24">
        <f t="shared" si="41"/>
        <v>92</v>
      </c>
      <c r="C540" s="1" cm="1">
        <f t="array" aca="1" ref="C540" ca="1">INDIRECT(CONCATENATE("'",$A$450,"'!A",B540),1)</f>
        <v>0</v>
      </c>
      <c r="D540" s="1" cm="1">
        <f t="array" aca="1" ref="D540" ca="1">INDIRECT(CONCATENATE("'",$A$450,"'!B",B540),1)</f>
        <v>0</v>
      </c>
      <c r="E540" s="1" cm="1">
        <f t="array" aca="1" ref="E540" ca="1">INDIRECT(CONCATENATE("'",$A$450,"'!c",B540),1)</f>
        <v>0</v>
      </c>
      <c r="F540" s="1" cm="1">
        <f t="array" aca="1" ref="F540" ca="1">INDIRECT(CONCATENATE("'",$A$450,"'!d",B540),1)</f>
        <v>0</v>
      </c>
      <c r="G540" s="1" cm="1">
        <f t="array" aca="1" ref="G540" ca="1">INDIRECT(CONCATENATE("'",$A$450,"'!e",B540),1)</f>
        <v>0</v>
      </c>
      <c r="H540" s="1" cm="1">
        <f t="array" aca="1" ref="H540" ca="1">INDIRECT(CONCATENATE("'",$A$450,"'!f",B540),1)</f>
        <v>0</v>
      </c>
      <c r="I540" s="1" cm="1">
        <f t="array" aca="1" ref="I540" ca="1">INDIRECT(CONCATENATE("'",$A$450,"'!g",B540),1)</f>
        <v>0</v>
      </c>
      <c r="J540" s="1" cm="1">
        <f t="array" aca="1" ref="J540" ca="1">INDIRECT(CONCATENATE("'",$A$450,"'!h",B540),1)</f>
        <v>0</v>
      </c>
      <c r="K540" s="1" cm="1">
        <f t="array" aca="1" ref="K540" ca="1">INDIRECT(CONCATENATE("'",$A$450,"'!i",B540),1)</f>
        <v>0</v>
      </c>
      <c r="L540" s="1" cm="1">
        <f t="array" aca="1" ref="L540" ca="1">INDIRECT(CONCATENATE("'",$A$450,"'!j",B540),1)</f>
        <v>0</v>
      </c>
      <c r="M540" s="1" cm="1">
        <f t="array" aca="1" ref="M540" ca="1">INDIRECT(CONCATENATE("'",$A$450,"'!k",B540),1)</f>
        <v>0</v>
      </c>
      <c r="N540" s="1" cm="1">
        <f t="array" aca="1" ref="N540" ca="1">INDIRECT(CONCATENATE("'",$A$450,"'!l",B540),1)</f>
        <v>0</v>
      </c>
      <c r="O540" s="1" cm="1">
        <f t="array" aca="1" ref="O540" ca="1">INDIRECT(CONCATENATE("'",$A$450,"'!m",B540),1)</f>
        <v>0</v>
      </c>
      <c r="P540" s="1" cm="1">
        <f t="array" aca="1" ref="P540" ca="1">INDIRECT(CONCATENATE("'",$A$450,"'!n",B540),1)</f>
        <v>0</v>
      </c>
      <c r="Q540" s="1" cm="1">
        <f t="array" aca="1" ref="Q540" ca="1">INDIRECT(CONCATENATE("'",$A$450,"'!o",B540),1)</f>
        <v>0</v>
      </c>
      <c r="R540" s="1" cm="1">
        <f t="array" aca="1" ref="R540" ca="1">INDIRECT(CONCATENATE("'",$A$450,"'!p",B540),1)</f>
        <v>0</v>
      </c>
      <c r="S540" s="1">
        <f t="shared" ca="1" si="44"/>
        <v>0</v>
      </c>
      <c r="T540" s="1" cm="1">
        <f t="array" aca="1" ref="T540" ca="1">INDIRECT(CONCATENATE("'",$A$450,"'!q",B540),1)</f>
        <v>0</v>
      </c>
      <c r="U540" s="1" cm="1">
        <f t="array" aca="1" ref="U540" ca="1">INDIRECT(CONCATENATE("'",$A$450,"'!r",B540),1)</f>
        <v>0</v>
      </c>
      <c r="V540" s="1" cm="1">
        <f t="array" aca="1" ref="V540" ca="1">INDIRECT(CONCATENATE("'",$A$450,"'!s",B540),1)</f>
        <v>0</v>
      </c>
      <c r="W540" s="1" cm="1">
        <f t="array" aca="1" ref="W540" ca="1">INDIRECT(CONCATENATE("'",$A$450,"'!t",B540),1)</f>
        <v>0</v>
      </c>
      <c r="X540" s="1" cm="1">
        <f t="array" aca="1" ref="X540" ca="1">INDIRECT(CONCATENATE("'",$A$450,"'!u",B540),1)</f>
        <v>0</v>
      </c>
      <c r="Y540" s="1" cm="1">
        <f t="array" aca="1" ref="Y540" ca="1">INDIRECT(CONCATENATE("'",$A$450,"'!v",B540),1)</f>
        <v>0</v>
      </c>
    </row>
    <row r="541" spans="2:25" hidden="1" x14ac:dyDescent="0.25">
      <c r="B541" s="24">
        <f t="shared" si="41"/>
        <v>93</v>
      </c>
      <c r="C541" s="1" cm="1">
        <f t="array" aca="1" ref="C541" ca="1">INDIRECT(CONCATENATE("'",$A$450,"'!A",B541),1)</f>
        <v>0</v>
      </c>
      <c r="D541" s="1" cm="1">
        <f t="array" aca="1" ref="D541" ca="1">INDIRECT(CONCATENATE("'",$A$450,"'!B",B541),1)</f>
        <v>0</v>
      </c>
      <c r="E541" s="1" cm="1">
        <f t="array" aca="1" ref="E541" ca="1">INDIRECT(CONCATENATE("'",$A$450,"'!c",B541),1)</f>
        <v>0</v>
      </c>
      <c r="F541" s="1" cm="1">
        <f t="array" aca="1" ref="F541" ca="1">INDIRECT(CONCATENATE("'",$A$450,"'!d",B541),1)</f>
        <v>0</v>
      </c>
      <c r="G541" s="1" cm="1">
        <f t="array" aca="1" ref="G541" ca="1">INDIRECT(CONCATENATE("'",$A$450,"'!e",B541),1)</f>
        <v>0</v>
      </c>
      <c r="H541" s="1" cm="1">
        <f t="array" aca="1" ref="H541" ca="1">INDIRECT(CONCATENATE("'",$A$450,"'!f",B541),1)</f>
        <v>0</v>
      </c>
      <c r="I541" s="1" cm="1">
        <f t="array" aca="1" ref="I541" ca="1">INDIRECT(CONCATENATE("'",$A$450,"'!g",B541),1)</f>
        <v>0</v>
      </c>
      <c r="J541" s="1" cm="1">
        <f t="array" aca="1" ref="J541" ca="1">INDIRECT(CONCATENATE("'",$A$450,"'!h",B541),1)</f>
        <v>0</v>
      </c>
      <c r="K541" s="1" cm="1">
        <f t="array" aca="1" ref="K541" ca="1">INDIRECT(CONCATENATE("'",$A$450,"'!i",B541),1)</f>
        <v>0</v>
      </c>
      <c r="L541" s="1" cm="1">
        <f t="array" aca="1" ref="L541" ca="1">INDIRECT(CONCATENATE("'",$A$450,"'!j",B541),1)</f>
        <v>0</v>
      </c>
      <c r="M541" s="1" cm="1">
        <f t="array" aca="1" ref="M541" ca="1">INDIRECT(CONCATENATE("'",$A$450,"'!k",B541),1)</f>
        <v>0</v>
      </c>
      <c r="N541" s="1" cm="1">
        <f t="array" aca="1" ref="N541" ca="1">INDIRECT(CONCATENATE("'",$A$450,"'!l",B541),1)</f>
        <v>0</v>
      </c>
      <c r="O541" s="1" cm="1">
        <f t="array" aca="1" ref="O541" ca="1">INDIRECT(CONCATENATE("'",$A$450,"'!m",B541),1)</f>
        <v>0</v>
      </c>
      <c r="P541" s="1" cm="1">
        <f t="array" aca="1" ref="P541" ca="1">INDIRECT(CONCATENATE("'",$A$450,"'!n",B541),1)</f>
        <v>0</v>
      </c>
      <c r="Q541" s="1" cm="1">
        <f t="array" aca="1" ref="Q541" ca="1">INDIRECT(CONCATENATE("'",$A$450,"'!o",B541),1)</f>
        <v>0</v>
      </c>
      <c r="R541" s="1" cm="1">
        <f t="array" aca="1" ref="R541" ca="1">INDIRECT(CONCATENATE("'",$A$450,"'!p",B541),1)</f>
        <v>0</v>
      </c>
      <c r="S541" s="1">
        <f t="shared" ca="1" si="44"/>
        <v>0</v>
      </c>
      <c r="T541" s="1" cm="1">
        <f t="array" aca="1" ref="T541" ca="1">INDIRECT(CONCATENATE("'",$A$450,"'!q",B541),1)</f>
        <v>0</v>
      </c>
      <c r="U541" s="1" cm="1">
        <f t="array" aca="1" ref="U541" ca="1">INDIRECT(CONCATENATE("'",$A$450,"'!r",B541),1)</f>
        <v>0</v>
      </c>
      <c r="V541" s="1" cm="1">
        <f t="array" aca="1" ref="V541" ca="1">INDIRECT(CONCATENATE("'",$A$450,"'!s",B541),1)</f>
        <v>0</v>
      </c>
      <c r="W541" s="1" cm="1">
        <f t="array" aca="1" ref="W541" ca="1">INDIRECT(CONCATENATE("'",$A$450,"'!t",B541),1)</f>
        <v>0</v>
      </c>
      <c r="X541" s="1" cm="1">
        <f t="array" aca="1" ref="X541" ca="1">INDIRECT(CONCATENATE("'",$A$450,"'!u",B541),1)</f>
        <v>0</v>
      </c>
      <c r="Y541" s="1" cm="1">
        <f t="array" aca="1" ref="Y541" ca="1">INDIRECT(CONCATENATE("'",$A$450,"'!v",B541),1)</f>
        <v>0</v>
      </c>
    </row>
    <row r="542" spans="2:25" hidden="1" x14ac:dyDescent="0.25">
      <c r="B542" s="24">
        <f t="shared" si="41"/>
        <v>94</v>
      </c>
      <c r="C542" s="1" cm="1">
        <f t="array" aca="1" ref="C542" ca="1">INDIRECT(CONCATENATE("'",$A$450,"'!A",B542),1)</f>
        <v>0</v>
      </c>
      <c r="D542" s="1" cm="1">
        <f t="array" aca="1" ref="D542" ca="1">INDIRECT(CONCATENATE("'",$A$450,"'!B",B542),1)</f>
        <v>0</v>
      </c>
      <c r="E542" s="1" cm="1">
        <f t="array" aca="1" ref="E542" ca="1">INDIRECT(CONCATENATE("'",$A$450,"'!c",B542),1)</f>
        <v>0</v>
      </c>
      <c r="F542" s="1" cm="1">
        <f t="array" aca="1" ref="F542" ca="1">INDIRECT(CONCATENATE("'",$A$450,"'!d",B542),1)</f>
        <v>0</v>
      </c>
      <c r="G542" s="1" cm="1">
        <f t="array" aca="1" ref="G542" ca="1">INDIRECT(CONCATENATE("'",$A$450,"'!e",B542),1)</f>
        <v>0</v>
      </c>
      <c r="H542" s="1" cm="1">
        <f t="array" aca="1" ref="H542" ca="1">INDIRECT(CONCATENATE("'",$A$450,"'!f",B542),1)</f>
        <v>0</v>
      </c>
      <c r="I542" s="1" cm="1">
        <f t="array" aca="1" ref="I542" ca="1">INDIRECT(CONCATENATE("'",$A$450,"'!g",B542),1)</f>
        <v>0</v>
      </c>
      <c r="J542" s="1" cm="1">
        <f t="array" aca="1" ref="J542" ca="1">INDIRECT(CONCATENATE("'",$A$450,"'!h",B542),1)</f>
        <v>0</v>
      </c>
      <c r="K542" s="1" cm="1">
        <f t="array" aca="1" ref="K542" ca="1">INDIRECT(CONCATENATE("'",$A$450,"'!i",B542),1)</f>
        <v>0</v>
      </c>
      <c r="L542" s="1" cm="1">
        <f t="array" aca="1" ref="L542" ca="1">INDIRECT(CONCATENATE("'",$A$450,"'!j",B542),1)</f>
        <v>0</v>
      </c>
      <c r="M542" s="1" cm="1">
        <f t="array" aca="1" ref="M542" ca="1">INDIRECT(CONCATENATE("'",$A$450,"'!k",B542),1)</f>
        <v>0</v>
      </c>
      <c r="N542" s="1" cm="1">
        <f t="array" aca="1" ref="N542" ca="1">INDIRECT(CONCATENATE("'",$A$450,"'!l",B542),1)</f>
        <v>0</v>
      </c>
      <c r="O542" s="1" cm="1">
        <f t="array" aca="1" ref="O542" ca="1">INDIRECT(CONCATENATE("'",$A$450,"'!m",B542),1)</f>
        <v>0</v>
      </c>
      <c r="P542" s="1" cm="1">
        <f t="array" aca="1" ref="P542" ca="1">INDIRECT(CONCATENATE("'",$A$450,"'!n",B542),1)</f>
        <v>0</v>
      </c>
      <c r="Q542" s="1" cm="1">
        <f t="array" aca="1" ref="Q542" ca="1">INDIRECT(CONCATENATE("'",$A$450,"'!o",B542),1)</f>
        <v>0</v>
      </c>
      <c r="R542" s="1" cm="1">
        <f t="array" aca="1" ref="R542" ca="1">INDIRECT(CONCATENATE("'",$A$450,"'!p",B542),1)</f>
        <v>0</v>
      </c>
      <c r="S542" s="1">
        <f t="shared" ca="1" si="44"/>
        <v>0</v>
      </c>
      <c r="T542" s="1" cm="1">
        <f t="array" aca="1" ref="T542" ca="1">INDIRECT(CONCATENATE("'",$A$450,"'!q",B542),1)</f>
        <v>0</v>
      </c>
      <c r="U542" s="1" cm="1">
        <f t="array" aca="1" ref="U542" ca="1">INDIRECT(CONCATENATE("'",$A$450,"'!r",B542),1)</f>
        <v>0</v>
      </c>
      <c r="V542" s="1" cm="1">
        <f t="array" aca="1" ref="V542" ca="1">INDIRECT(CONCATENATE("'",$A$450,"'!s",B542),1)</f>
        <v>0</v>
      </c>
      <c r="W542" s="1" cm="1">
        <f t="array" aca="1" ref="W542" ca="1">INDIRECT(CONCATENATE("'",$A$450,"'!t",B542),1)</f>
        <v>0</v>
      </c>
      <c r="X542" s="1" cm="1">
        <f t="array" aca="1" ref="X542" ca="1">INDIRECT(CONCATENATE("'",$A$450,"'!u",B542),1)</f>
        <v>0</v>
      </c>
      <c r="Y542" s="1" cm="1">
        <f t="array" aca="1" ref="Y542" ca="1">INDIRECT(CONCATENATE("'",$A$450,"'!v",B542),1)</f>
        <v>0</v>
      </c>
    </row>
    <row r="543" spans="2:25" hidden="1" x14ac:dyDescent="0.25">
      <c r="B543" s="24">
        <f t="shared" si="41"/>
        <v>95</v>
      </c>
      <c r="C543" s="1" cm="1">
        <f t="array" aca="1" ref="C543" ca="1">INDIRECT(CONCATENATE("'",$A$450,"'!A",B543),1)</f>
        <v>0</v>
      </c>
      <c r="D543" s="1" cm="1">
        <f t="array" aca="1" ref="D543" ca="1">INDIRECT(CONCATENATE("'",$A$450,"'!B",B543),1)</f>
        <v>0</v>
      </c>
      <c r="E543" s="1" cm="1">
        <f t="array" aca="1" ref="E543" ca="1">INDIRECT(CONCATENATE("'",$A$450,"'!c",B543),1)</f>
        <v>0</v>
      </c>
      <c r="F543" s="1" cm="1">
        <f t="array" aca="1" ref="F543" ca="1">INDIRECT(CONCATENATE("'",$A$450,"'!d",B543),1)</f>
        <v>0</v>
      </c>
      <c r="G543" s="1" cm="1">
        <f t="array" aca="1" ref="G543" ca="1">INDIRECT(CONCATENATE("'",$A$450,"'!e",B543),1)</f>
        <v>0</v>
      </c>
      <c r="H543" s="1" cm="1">
        <f t="array" aca="1" ref="H543" ca="1">INDIRECT(CONCATENATE("'",$A$450,"'!f",B543),1)</f>
        <v>0</v>
      </c>
      <c r="I543" s="1" cm="1">
        <f t="array" aca="1" ref="I543" ca="1">INDIRECT(CONCATENATE("'",$A$450,"'!g",B543),1)</f>
        <v>0</v>
      </c>
      <c r="J543" s="1" cm="1">
        <f t="array" aca="1" ref="J543" ca="1">INDIRECT(CONCATENATE("'",$A$450,"'!h",B543),1)</f>
        <v>0</v>
      </c>
      <c r="K543" s="1" cm="1">
        <f t="array" aca="1" ref="K543" ca="1">INDIRECT(CONCATENATE("'",$A$450,"'!i",B543),1)</f>
        <v>0</v>
      </c>
      <c r="L543" s="1" cm="1">
        <f t="array" aca="1" ref="L543" ca="1">INDIRECT(CONCATENATE("'",$A$450,"'!j",B543),1)</f>
        <v>0</v>
      </c>
      <c r="M543" s="1" cm="1">
        <f t="array" aca="1" ref="M543" ca="1">INDIRECT(CONCATENATE("'",$A$450,"'!k",B543),1)</f>
        <v>0</v>
      </c>
      <c r="N543" s="1" cm="1">
        <f t="array" aca="1" ref="N543" ca="1">INDIRECT(CONCATENATE("'",$A$450,"'!l",B543),1)</f>
        <v>0</v>
      </c>
      <c r="O543" s="1" cm="1">
        <f t="array" aca="1" ref="O543" ca="1">INDIRECT(CONCATENATE("'",$A$450,"'!m",B543),1)</f>
        <v>0</v>
      </c>
      <c r="P543" s="1" cm="1">
        <f t="array" aca="1" ref="P543" ca="1">INDIRECT(CONCATENATE("'",$A$450,"'!n",B543),1)</f>
        <v>0</v>
      </c>
      <c r="Q543" s="1" cm="1">
        <f t="array" aca="1" ref="Q543" ca="1">INDIRECT(CONCATENATE("'",$A$450,"'!o",B543),1)</f>
        <v>0</v>
      </c>
      <c r="R543" s="1" cm="1">
        <f t="array" aca="1" ref="R543" ca="1">INDIRECT(CONCATENATE("'",$A$450,"'!p",B543),1)</f>
        <v>0</v>
      </c>
      <c r="S543" s="1">
        <f t="shared" ca="1" si="44"/>
        <v>0</v>
      </c>
      <c r="T543" s="1" cm="1">
        <f t="array" aca="1" ref="T543" ca="1">INDIRECT(CONCATENATE("'",$A$450,"'!q",B543),1)</f>
        <v>0</v>
      </c>
      <c r="U543" s="1" cm="1">
        <f t="array" aca="1" ref="U543" ca="1">INDIRECT(CONCATENATE("'",$A$450,"'!r",B543),1)</f>
        <v>0</v>
      </c>
      <c r="V543" s="1" cm="1">
        <f t="array" aca="1" ref="V543" ca="1">INDIRECT(CONCATENATE("'",$A$450,"'!s",B543),1)</f>
        <v>0</v>
      </c>
      <c r="W543" s="1" cm="1">
        <f t="array" aca="1" ref="W543" ca="1">INDIRECT(CONCATENATE("'",$A$450,"'!t",B543),1)</f>
        <v>0</v>
      </c>
      <c r="X543" s="1" cm="1">
        <f t="array" aca="1" ref="X543" ca="1">INDIRECT(CONCATENATE("'",$A$450,"'!u",B543),1)</f>
        <v>0</v>
      </c>
      <c r="Y543" s="1" cm="1">
        <f t="array" aca="1" ref="Y543" ca="1">INDIRECT(CONCATENATE("'",$A$450,"'!v",B543),1)</f>
        <v>0</v>
      </c>
    </row>
    <row r="544" spans="2:25" hidden="1" x14ac:dyDescent="0.25">
      <c r="B544" s="24">
        <f t="shared" si="41"/>
        <v>96</v>
      </c>
      <c r="C544" s="1" cm="1">
        <f t="array" aca="1" ref="C544" ca="1">INDIRECT(CONCATENATE("'",$A$450,"'!A",B544),1)</f>
        <v>0</v>
      </c>
      <c r="D544" s="1" cm="1">
        <f t="array" aca="1" ref="D544" ca="1">INDIRECT(CONCATENATE("'",$A$450,"'!B",B544),1)</f>
        <v>0</v>
      </c>
      <c r="E544" s="1" cm="1">
        <f t="array" aca="1" ref="E544" ca="1">INDIRECT(CONCATENATE("'",$A$450,"'!c",B544),1)</f>
        <v>0</v>
      </c>
      <c r="F544" s="1" cm="1">
        <f t="array" aca="1" ref="F544" ca="1">INDIRECT(CONCATENATE("'",$A$450,"'!d",B544),1)</f>
        <v>0</v>
      </c>
      <c r="G544" s="1" cm="1">
        <f t="array" aca="1" ref="G544" ca="1">INDIRECT(CONCATENATE("'",$A$450,"'!e",B544),1)</f>
        <v>0</v>
      </c>
      <c r="H544" s="1" cm="1">
        <f t="array" aca="1" ref="H544" ca="1">INDIRECT(CONCATENATE("'",$A$450,"'!f",B544),1)</f>
        <v>0</v>
      </c>
      <c r="I544" s="1" cm="1">
        <f t="array" aca="1" ref="I544" ca="1">INDIRECT(CONCATENATE("'",$A$450,"'!g",B544),1)</f>
        <v>0</v>
      </c>
      <c r="J544" s="1" cm="1">
        <f t="array" aca="1" ref="J544" ca="1">INDIRECT(CONCATENATE("'",$A$450,"'!h",B544),1)</f>
        <v>0</v>
      </c>
      <c r="K544" s="1" cm="1">
        <f t="array" aca="1" ref="K544" ca="1">INDIRECT(CONCATENATE("'",$A$450,"'!i",B544),1)</f>
        <v>0</v>
      </c>
      <c r="L544" s="1" cm="1">
        <f t="array" aca="1" ref="L544" ca="1">INDIRECT(CONCATENATE("'",$A$450,"'!j",B544),1)</f>
        <v>0</v>
      </c>
      <c r="M544" s="1" cm="1">
        <f t="array" aca="1" ref="M544" ca="1">INDIRECT(CONCATENATE("'",$A$450,"'!k",B544),1)</f>
        <v>0</v>
      </c>
      <c r="N544" s="1" cm="1">
        <f t="array" aca="1" ref="N544" ca="1">INDIRECT(CONCATENATE("'",$A$450,"'!l",B544),1)</f>
        <v>0</v>
      </c>
      <c r="O544" s="1" cm="1">
        <f t="array" aca="1" ref="O544" ca="1">INDIRECT(CONCATENATE("'",$A$450,"'!m",B544),1)</f>
        <v>0</v>
      </c>
      <c r="P544" s="1" cm="1">
        <f t="array" aca="1" ref="P544" ca="1">INDIRECT(CONCATENATE("'",$A$450,"'!n",B544),1)</f>
        <v>0</v>
      </c>
      <c r="Q544" s="1" cm="1">
        <f t="array" aca="1" ref="Q544" ca="1">INDIRECT(CONCATENATE("'",$A$450,"'!o",B544),1)</f>
        <v>0</v>
      </c>
      <c r="R544" s="1" cm="1">
        <f t="array" aca="1" ref="R544" ca="1">INDIRECT(CONCATENATE("'",$A$450,"'!p",B544),1)</f>
        <v>0</v>
      </c>
      <c r="S544" s="1">
        <f t="shared" ca="1" si="44"/>
        <v>0</v>
      </c>
      <c r="T544" s="1" cm="1">
        <f t="array" aca="1" ref="T544" ca="1">INDIRECT(CONCATENATE("'",$A$450,"'!q",B544),1)</f>
        <v>0</v>
      </c>
      <c r="U544" s="1" cm="1">
        <f t="array" aca="1" ref="U544" ca="1">INDIRECT(CONCATENATE("'",$A$450,"'!r",B544),1)</f>
        <v>0</v>
      </c>
      <c r="V544" s="1" cm="1">
        <f t="array" aca="1" ref="V544" ca="1">INDIRECT(CONCATENATE("'",$A$450,"'!s",B544),1)</f>
        <v>0</v>
      </c>
      <c r="W544" s="1" cm="1">
        <f t="array" aca="1" ref="W544" ca="1">INDIRECT(CONCATENATE("'",$A$450,"'!t",B544),1)</f>
        <v>0</v>
      </c>
      <c r="X544" s="1" cm="1">
        <f t="array" aca="1" ref="X544" ca="1">INDIRECT(CONCATENATE("'",$A$450,"'!u",B544),1)</f>
        <v>0</v>
      </c>
      <c r="Y544" s="1" cm="1">
        <f t="array" aca="1" ref="Y544" ca="1">INDIRECT(CONCATENATE("'",$A$450,"'!v",B544),1)</f>
        <v>0</v>
      </c>
    </row>
    <row r="545" spans="1:25" hidden="1" x14ac:dyDescent="0.25">
      <c r="B545" s="24">
        <f t="shared" si="41"/>
        <v>97</v>
      </c>
      <c r="C545" s="1" cm="1">
        <f t="array" aca="1" ref="C545" ca="1">INDIRECT(CONCATENATE("'",$A$450,"'!A",B545),1)</f>
        <v>0</v>
      </c>
      <c r="D545" s="1" cm="1">
        <f t="array" aca="1" ref="D545" ca="1">INDIRECT(CONCATENATE("'",$A$450,"'!B",B545),1)</f>
        <v>0</v>
      </c>
      <c r="E545" s="1" cm="1">
        <f t="array" aca="1" ref="E545" ca="1">INDIRECT(CONCATENATE("'",$A$450,"'!c",B545),1)</f>
        <v>0</v>
      </c>
      <c r="F545" s="1" cm="1">
        <f t="array" aca="1" ref="F545" ca="1">INDIRECT(CONCATENATE("'",$A$450,"'!d",B545),1)</f>
        <v>0</v>
      </c>
      <c r="G545" s="1" cm="1">
        <f t="array" aca="1" ref="G545" ca="1">INDIRECT(CONCATENATE("'",$A$450,"'!e",B545),1)</f>
        <v>0</v>
      </c>
      <c r="H545" s="1" cm="1">
        <f t="array" aca="1" ref="H545" ca="1">INDIRECT(CONCATENATE("'",$A$450,"'!f",B545),1)</f>
        <v>0</v>
      </c>
      <c r="I545" s="1" cm="1">
        <f t="array" aca="1" ref="I545" ca="1">INDIRECT(CONCATENATE("'",$A$450,"'!g",B545),1)</f>
        <v>0</v>
      </c>
      <c r="J545" s="1" cm="1">
        <f t="array" aca="1" ref="J545" ca="1">INDIRECT(CONCATENATE("'",$A$450,"'!h",B545),1)</f>
        <v>0</v>
      </c>
      <c r="K545" s="1" cm="1">
        <f t="array" aca="1" ref="K545" ca="1">INDIRECT(CONCATENATE("'",$A$450,"'!i",B545),1)</f>
        <v>0</v>
      </c>
      <c r="L545" s="1" cm="1">
        <f t="array" aca="1" ref="L545" ca="1">INDIRECT(CONCATENATE("'",$A$450,"'!j",B545),1)</f>
        <v>0</v>
      </c>
      <c r="M545" s="1" cm="1">
        <f t="array" aca="1" ref="M545" ca="1">INDIRECT(CONCATENATE("'",$A$450,"'!k",B545),1)</f>
        <v>0</v>
      </c>
      <c r="N545" s="1" cm="1">
        <f t="array" aca="1" ref="N545" ca="1">INDIRECT(CONCATENATE("'",$A$450,"'!l",B545),1)</f>
        <v>0</v>
      </c>
      <c r="O545" s="1" cm="1">
        <f t="array" aca="1" ref="O545" ca="1">INDIRECT(CONCATENATE("'",$A$450,"'!m",B545),1)</f>
        <v>0</v>
      </c>
      <c r="P545" s="1" cm="1">
        <f t="array" aca="1" ref="P545" ca="1">INDIRECT(CONCATENATE("'",$A$450,"'!n",B545),1)</f>
        <v>0</v>
      </c>
      <c r="Q545" s="1" cm="1">
        <f t="array" aca="1" ref="Q545" ca="1">INDIRECT(CONCATENATE("'",$A$450,"'!o",B545),1)</f>
        <v>0</v>
      </c>
      <c r="R545" s="1" cm="1">
        <f t="array" aca="1" ref="R545" ca="1">INDIRECT(CONCATENATE("'",$A$450,"'!p",B545),1)</f>
        <v>0</v>
      </c>
      <c r="S545" s="1">
        <f t="shared" ca="1" si="44"/>
        <v>0</v>
      </c>
      <c r="T545" s="1" cm="1">
        <f t="array" aca="1" ref="T545" ca="1">INDIRECT(CONCATENATE("'",$A$450,"'!q",B545),1)</f>
        <v>0</v>
      </c>
      <c r="U545" s="1" cm="1">
        <f t="array" aca="1" ref="U545" ca="1">INDIRECT(CONCATENATE("'",$A$450,"'!r",B545),1)</f>
        <v>0</v>
      </c>
      <c r="V545" s="1" cm="1">
        <f t="array" aca="1" ref="V545" ca="1">INDIRECT(CONCATENATE("'",$A$450,"'!s",B545),1)</f>
        <v>0</v>
      </c>
      <c r="W545" s="1" cm="1">
        <f t="array" aca="1" ref="W545" ca="1">INDIRECT(CONCATENATE("'",$A$450,"'!t",B545),1)</f>
        <v>0</v>
      </c>
      <c r="X545" s="1" cm="1">
        <f t="array" aca="1" ref="X545" ca="1">INDIRECT(CONCATENATE("'",$A$450,"'!u",B545),1)</f>
        <v>0</v>
      </c>
      <c r="Y545" s="1" cm="1">
        <f t="array" aca="1" ref="Y545" ca="1">INDIRECT(CONCATENATE("'",$A$450,"'!v",B545),1)</f>
        <v>0</v>
      </c>
    </row>
    <row r="546" spans="1:25" hidden="1" x14ac:dyDescent="0.25">
      <c r="B546" s="24">
        <f t="shared" si="41"/>
        <v>98</v>
      </c>
      <c r="C546" s="1" cm="1">
        <f t="array" aca="1" ref="C546" ca="1">INDIRECT(CONCATENATE("'",$A$450,"'!A",B546),1)</f>
        <v>0</v>
      </c>
      <c r="D546" s="1" cm="1">
        <f t="array" aca="1" ref="D546" ca="1">INDIRECT(CONCATENATE("'",$A$450,"'!B",B546),1)</f>
        <v>0</v>
      </c>
      <c r="E546" s="1" cm="1">
        <f t="array" aca="1" ref="E546" ca="1">INDIRECT(CONCATENATE("'",$A$450,"'!c",B546),1)</f>
        <v>0</v>
      </c>
      <c r="F546" s="1" cm="1">
        <f t="array" aca="1" ref="F546" ca="1">INDIRECT(CONCATENATE("'",$A$450,"'!d",B546),1)</f>
        <v>0</v>
      </c>
      <c r="G546" s="1" cm="1">
        <f t="array" aca="1" ref="G546" ca="1">INDIRECT(CONCATENATE("'",$A$450,"'!e",B546),1)</f>
        <v>0</v>
      </c>
      <c r="H546" s="1" cm="1">
        <f t="array" aca="1" ref="H546" ca="1">INDIRECT(CONCATENATE("'",$A$450,"'!f",B546),1)</f>
        <v>0</v>
      </c>
      <c r="I546" s="1" cm="1">
        <f t="array" aca="1" ref="I546" ca="1">INDIRECT(CONCATENATE("'",$A$450,"'!g",B546),1)</f>
        <v>0</v>
      </c>
      <c r="J546" s="1" cm="1">
        <f t="array" aca="1" ref="J546" ca="1">INDIRECT(CONCATENATE("'",$A$450,"'!h",B546),1)</f>
        <v>0</v>
      </c>
      <c r="K546" s="1" cm="1">
        <f t="array" aca="1" ref="K546" ca="1">INDIRECT(CONCATENATE("'",$A$450,"'!i",B546),1)</f>
        <v>0</v>
      </c>
      <c r="L546" s="1" cm="1">
        <f t="array" aca="1" ref="L546" ca="1">INDIRECT(CONCATENATE("'",$A$450,"'!j",B546),1)</f>
        <v>0</v>
      </c>
      <c r="M546" s="1" cm="1">
        <f t="array" aca="1" ref="M546" ca="1">INDIRECT(CONCATENATE("'",$A$450,"'!k",B546),1)</f>
        <v>0</v>
      </c>
      <c r="N546" s="1" cm="1">
        <f t="array" aca="1" ref="N546" ca="1">INDIRECT(CONCATENATE("'",$A$450,"'!l",B546),1)</f>
        <v>0</v>
      </c>
      <c r="O546" s="1" cm="1">
        <f t="array" aca="1" ref="O546" ca="1">INDIRECT(CONCATENATE("'",$A$450,"'!m",B546),1)</f>
        <v>0</v>
      </c>
      <c r="P546" s="1" cm="1">
        <f t="array" aca="1" ref="P546" ca="1">INDIRECT(CONCATENATE("'",$A$450,"'!n",B546),1)</f>
        <v>0</v>
      </c>
      <c r="Q546" s="1" cm="1">
        <f t="array" aca="1" ref="Q546" ca="1">INDIRECT(CONCATENATE("'",$A$450,"'!o",B546),1)</f>
        <v>0</v>
      </c>
      <c r="R546" s="1" cm="1">
        <f t="array" aca="1" ref="R546" ca="1">INDIRECT(CONCATENATE("'",$A$450,"'!p",B546),1)</f>
        <v>0</v>
      </c>
      <c r="S546" s="1">
        <f t="shared" ca="1" si="44"/>
        <v>0</v>
      </c>
      <c r="T546" s="1" cm="1">
        <f t="array" aca="1" ref="T546" ca="1">INDIRECT(CONCATENATE("'",$A$450,"'!q",B546),1)</f>
        <v>0</v>
      </c>
      <c r="U546" s="1" cm="1">
        <f t="array" aca="1" ref="U546" ca="1">INDIRECT(CONCATENATE("'",$A$450,"'!r",B546),1)</f>
        <v>0</v>
      </c>
      <c r="V546" s="1" cm="1">
        <f t="array" aca="1" ref="V546" ca="1">INDIRECT(CONCATENATE("'",$A$450,"'!s",B546),1)</f>
        <v>0</v>
      </c>
      <c r="W546" s="1" cm="1">
        <f t="array" aca="1" ref="W546" ca="1">INDIRECT(CONCATENATE("'",$A$450,"'!t",B546),1)</f>
        <v>0</v>
      </c>
      <c r="X546" s="1" cm="1">
        <f t="array" aca="1" ref="X546" ca="1">INDIRECT(CONCATENATE("'",$A$450,"'!u",B546),1)</f>
        <v>0</v>
      </c>
      <c r="Y546" s="1" cm="1">
        <f t="array" aca="1" ref="Y546" ca="1">INDIRECT(CONCATENATE("'",$A$450,"'!v",B546),1)</f>
        <v>0</v>
      </c>
    </row>
    <row r="547" spans="1:25" hidden="1" x14ac:dyDescent="0.25">
      <c r="B547" s="24">
        <f t="shared" si="41"/>
        <v>99</v>
      </c>
      <c r="C547" s="1" cm="1">
        <f t="array" aca="1" ref="C547" ca="1">INDIRECT(CONCATENATE("'",$A$450,"'!A",B547),1)</f>
        <v>0</v>
      </c>
      <c r="D547" s="1" cm="1">
        <f t="array" aca="1" ref="D547" ca="1">INDIRECT(CONCATENATE("'",$A$450,"'!B",B547),1)</f>
        <v>0</v>
      </c>
      <c r="E547" s="1" cm="1">
        <f t="array" aca="1" ref="E547" ca="1">INDIRECT(CONCATENATE("'",$A$450,"'!c",B547),1)</f>
        <v>0</v>
      </c>
      <c r="F547" s="1" cm="1">
        <f t="array" aca="1" ref="F547" ca="1">INDIRECT(CONCATENATE("'",$A$450,"'!d",B547),1)</f>
        <v>0</v>
      </c>
      <c r="G547" s="1" cm="1">
        <f t="array" aca="1" ref="G547" ca="1">INDIRECT(CONCATENATE("'",$A$450,"'!e",B547),1)</f>
        <v>0</v>
      </c>
      <c r="H547" s="1" cm="1">
        <f t="array" aca="1" ref="H547" ca="1">INDIRECT(CONCATENATE("'",$A$450,"'!f",B547),1)</f>
        <v>0</v>
      </c>
      <c r="I547" s="1" cm="1">
        <f t="array" aca="1" ref="I547" ca="1">INDIRECT(CONCATENATE("'",$A$450,"'!g",B547),1)</f>
        <v>0</v>
      </c>
      <c r="J547" s="1" cm="1">
        <f t="array" aca="1" ref="J547" ca="1">INDIRECT(CONCATENATE("'",$A$450,"'!h",B547),1)</f>
        <v>0</v>
      </c>
      <c r="K547" s="1" cm="1">
        <f t="array" aca="1" ref="K547" ca="1">INDIRECT(CONCATENATE("'",$A$450,"'!i",B547),1)</f>
        <v>0</v>
      </c>
      <c r="L547" s="1" cm="1">
        <f t="array" aca="1" ref="L547" ca="1">INDIRECT(CONCATENATE("'",$A$450,"'!j",B547),1)</f>
        <v>0</v>
      </c>
      <c r="M547" s="1" cm="1">
        <f t="array" aca="1" ref="M547" ca="1">INDIRECT(CONCATENATE("'",$A$450,"'!k",B547),1)</f>
        <v>0</v>
      </c>
      <c r="N547" s="1" cm="1">
        <f t="array" aca="1" ref="N547" ca="1">INDIRECT(CONCATENATE("'",$A$450,"'!l",B547),1)</f>
        <v>0</v>
      </c>
      <c r="O547" s="1" cm="1">
        <f t="array" aca="1" ref="O547" ca="1">INDIRECT(CONCATENATE("'",$A$450,"'!m",B547),1)</f>
        <v>0</v>
      </c>
      <c r="P547" s="1" cm="1">
        <f t="array" aca="1" ref="P547" ca="1">INDIRECT(CONCATENATE("'",$A$450,"'!n",B547),1)</f>
        <v>0</v>
      </c>
      <c r="Q547" s="1" cm="1">
        <f t="array" aca="1" ref="Q547" ca="1">INDIRECT(CONCATENATE("'",$A$450,"'!o",B547),1)</f>
        <v>0</v>
      </c>
      <c r="R547" s="1" cm="1">
        <f t="array" aca="1" ref="R547" ca="1">INDIRECT(CONCATENATE("'",$A$450,"'!p",B547),1)</f>
        <v>0</v>
      </c>
      <c r="S547" s="1">
        <f t="shared" ca="1" si="44"/>
        <v>0</v>
      </c>
      <c r="T547" s="1" cm="1">
        <f t="array" aca="1" ref="T547" ca="1">INDIRECT(CONCATENATE("'",$A$450,"'!q",B547),1)</f>
        <v>0</v>
      </c>
      <c r="U547" s="1" cm="1">
        <f t="array" aca="1" ref="U547" ca="1">INDIRECT(CONCATENATE("'",$A$450,"'!r",B547),1)</f>
        <v>0</v>
      </c>
      <c r="V547" s="1" cm="1">
        <f t="array" aca="1" ref="V547" ca="1">INDIRECT(CONCATENATE("'",$A$450,"'!s",B547),1)</f>
        <v>0</v>
      </c>
      <c r="W547" s="1" cm="1">
        <f t="array" aca="1" ref="W547" ca="1">INDIRECT(CONCATENATE("'",$A$450,"'!t",B547),1)</f>
        <v>0</v>
      </c>
      <c r="X547" s="1" cm="1">
        <f t="array" aca="1" ref="X547" ca="1">INDIRECT(CONCATENATE("'",$A$450,"'!u",B547),1)</f>
        <v>0</v>
      </c>
      <c r="Y547" s="1" cm="1">
        <f t="array" aca="1" ref="Y547" ca="1">INDIRECT(CONCATENATE("'",$A$450,"'!v",B547),1)</f>
        <v>0</v>
      </c>
    </row>
    <row r="548" spans="1:25" hidden="1" x14ac:dyDescent="0.25">
      <c r="B548" s="24">
        <f t="shared" si="41"/>
        <v>100</v>
      </c>
      <c r="C548" s="1" cm="1">
        <f t="array" aca="1" ref="C548" ca="1">INDIRECT(CONCATENATE("'",$A$450,"'!A",B548),1)</f>
        <v>0</v>
      </c>
      <c r="D548" s="1" cm="1">
        <f t="array" aca="1" ref="D548" ca="1">INDIRECT(CONCATENATE("'",$A$450,"'!B",B548),1)</f>
        <v>0</v>
      </c>
      <c r="E548" s="1" cm="1">
        <f t="array" aca="1" ref="E548" ca="1">INDIRECT(CONCATENATE("'",$A$450,"'!c",B548),1)</f>
        <v>0</v>
      </c>
      <c r="F548" s="1" cm="1">
        <f t="array" aca="1" ref="F548" ca="1">INDIRECT(CONCATENATE("'",$A$450,"'!d",B548),1)</f>
        <v>0</v>
      </c>
      <c r="G548" s="1" cm="1">
        <f t="array" aca="1" ref="G548" ca="1">INDIRECT(CONCATENATE("'",$A$450,"'!e",B548),1)</f>
        <v>0</v>
      </c>
      <c r="H548" s="1" cm="1">
        <f t="array" aca="1" ref="H548" ca="1">INDIRECT(CONCATENATE("'",$A$450,"'!f",B548),1)</f>
        <v>0</v>
      </c>
      <c r="I548" s="1" cm="1">
        <f t="array" aca="1" ref="I548" ca="1">INDIRECT(CONCATENATE("'",$A$450,"'!g",B548),1)</f>
        <v>0</v>
      </c>
      <c r="J548" s="1" cm="1">
        <f t="array" aca="1" ref="J548" ca="1">INDIRECT(CONCATENATE("'",$A$450,"'!h",B548),1)</f>
        <v>0</v>
      </c>
      <c r="K548" s="1" cm="1">
        <f t="array" aca="1" ref="K548" ca="1">INDIRECT(CONCATENATE("'",$A$450,"'!i",B548),1)</f>
        <v>0</v>
      </c>
      <c r="L548" s="1" cm="1">
        <f t="array" aca="1" ref="L548" ca="1">INDIRECT(CONCATENATE("'",$A$450,"'!j",B548),1)</f>
        <v>0</v>
      </c>
      <c r="M548" s="1" cm="1">
        <f t="array" aca="1" ref="M548" ca="1">INDIRECT(CONCATENATE("'",$A$450,"'!k",B548),1)</f>
        <v>0</v>
      </c>
      <c r="N548" s="1" cm="1">
        <f t="array" aca="1" ref="N548" ca="1">INDIRECT(CONCATENATE("'",$A$450,"'!l",B548),1)</f>
        <v>0</v>
      </c>
      <c r="O548" s="1" cm="1">
        <f t="array" aca="1" ref="O548" ca="1">INDIRECT(CONCATENATE("'",$A$450,"'!m",B548),1)</f>
        <v>0</v>
      </c>
      <c r="P548" s="1" cm="1">
        <f t="array" aca="1" ref="P548" ca="1">INDIRECT(CONCATENATE("'",$A$450,"'!n",B548),1)</f>
        <v>0</v>
      </c>
      <c r="Q548" s="1" cm="1">
        <f t="array" aca="1" ref="Q548" ca="1">INDIRECT(CONCATENATE("'",$A$450,"'!o",B548),1)</f>
        <v>0</v>
      </c>
      <c r="R548" s="1" cm="1">
        <f t="array" aca="1" ref="R548" ca="1">INDIRECT(CONCATENATE("'",$A$450,"'!p",B548),1)</f>
        <v>0</v>
      </c>
      <c r="S548" s="1">
        <f t="shared" ca="1" si="44"/>
        <v>0</v>
      </c>
      <c r="T548" s="1" cm="1">
        <f t="array" aca="1" ref="T548" ca="1">INDIRECT(CONCATENATE("'",$A$450,"'!q",B548),1)</f>
        <v>0</v>
      </c>
      <c r="U548" s="1" cm="1">
        <f t="array" aca="1" ref="U548" ca="1">INDIRECT(CONCATENATE("'",$A$450,"'!r",B548),1)</f>
        <v>0</v>
      </c>
      <c r="V548" s="1" cm="1">
        <f t="array" aca="1" ref="V548" ca="1">INDIRECT(CONCATENATE("'",$A$450,"'!s",B548),1)</f>
        <v>0</v>
      </c>
      <c r="W548" s="1" cm="1">
        <f t="array" aca="1" ref="W548" ca="1">INDIRECT(CONCATENATE("'",$A$450,"'!t",B548),1)</f>
        <v>0</v>
      </c>
      <c r="X548" s="1" cm="1">
        <f t="array" aca="1" ref="X548" ca="1">INDIRECT(CONCATENATE("'",$A$450,"'!u",B548),1)</f>
        <v>0</v>
      </c>
      <c r="Y548" s="1" cm="1">
        <f t="array" aca="1" ref="Y548" ca="1">INDIRECT(CONCATENATE("'",$A$450,"'!v",B548),1)</f>
        <v>0</v>
      </c>
    </row>
    <row r="549" spans="1:25" hidden="1" x14ac:dyDescent="0.25">
      <c r="B549" s="24">
        <f t="shared" si="41"/>
        <v>101</v>
      </c>
      <c r="C549" s="1" cm="1">
        <f t="array" aca="1" ref="C549" ca="1">INDIRECT(CONCATENATE("'",$A$450,"'!A",B549),1)</f>
        <v>0</v>
      </c>
      <c r="D549" s="1" cm="1">
        <f t="array" aca="1" ref="D549" ca="1">INDIRECT(CONCATENATE("'",$A$450,"'!B",B549),1)</f>
        <v>0</v>
      </c>
      <c r="E549" s="1" cm="1">
        <f t="array" aca="1" ref="E549" ca="1">INDIRECT(CONCATENATE("'",$A$450,"'!c",B549),1)</f>
        <v>0</v>
      </c>
      <c r="F549" s="1" cm="1">
        <f t="array" aca="1" ref="F549" ca="1">INDIRECT(CONCATENATE("'",$A$450,"'!d",B549),1)</f>
        <v>0</v>
      </c>
      <c r="G549" s="1" cm="1">
        <f t="array" aca="1" ref="G549" ca="1">INDIRECT(CONCATENATE("'",$A$450,"'!e",B549),1)</f>
        <v>0</v>
      </c>
      <c r="H549" s="1" cm="1">
        <f t="array" aca="1" ref="H549" ca="1">INDIRECT(CONCATENATE("'",$A$450,"'!f",B549),1)</f>
        <v>0</v>
      </c>
      <c r="I549" s="1" cm="1">
        <f t="array" aca="1" ref="I549" ca="1">INDIRECT(CONCATENATE("'",$A$450,"'!g",B549),1)</f>
        <v>0</v>
      </c>
      <c r="J549" s="1" cm="1">
        <f t="array" aca="1" ref="J549" ca="1">INDIRECT(CONCATENATE("'",$A$450,"'!h",B549),1)</f>
        <v>0</v>
      </c>
      <c r="K549" s="1" cm="1">
        <f t="array" aca="1" ref="K549" ca="1">INDIRECT(CONCATENATE("'",$A$450,"'!i",B549),1)</f>
        <v>0</v>
      </c>
      <c r="L549" s="1" cm="1">
        <f t="array" aca="1" ref="L549" ca="1">INDIRECT(CONCATENATE("'",$A$450,"'!j",B549),1)</f>
        <v>0</v>
      </c>
      <c r="M549" s="1" cm="1">
        <f t="array" aca="1" ref="M549" ca="1">INDIRECT(CONCATENATE("'",$A$450,"'!k",B549),1)</f>
        <v>0</v>
      </c>
      <c r="N549" s="1" cm="1">
        <f t="array" aca="1" ref="N549" ca="1">INDIRECT(CONCATENATE("'",$A$450,"'!l",B549),1)</f>
        <v>0</v>
      </c>
      <c r="O549" s="1" cm="1">
        <f t="array" aca="1" ref="O549" ca="1">INDIRECT(CONCATENATE("'",$A$450,"'!m",B549),1)</f>
        <v>0</v>
      </c>
      <c r="P549" s="1" cm="1">
        <f t="array" aca="1" ref="P549" ca="1">INDIRECT(CONCATENATE("'",$A$450,"'!n",B549),1)</f>
        <v>0</v>
      </c>
      <c r="Q549" s="1" cm="1">
        <f t="array" aca="1" ref="Q549" ca="1">INDIRECT(CONCATENATE("'",$A$450,"'!o",B549),1)</f>
        <v>0</v>
      </c>
      <c r="R549" s="1" cm="1">
        <f t="array" aca="1" ref="R549" ca="1">INDIRECT(CONCATENATE("'",$A$450,"'!p",B549),1)</f>
        <v>0</v>
      </c>
      <c r="S549" s="1">
        <f t="shared" ca="1" si="44"/>
        <v>0</v>
      </c>
      <c r="T549" s="1" cm="1">
        <f t="array" aca="1" ref="T549" ca="1">INDIRECT(CONCATENATE("'",$A$450,"'!q",B549),1)</f>
        <v>0</v>
      </c>
      <c r="U549" s="1" cm="1">
        <f t="array" aca="1" ref="U549" ca="1">INDIRECT(CONCATENATE("'",$A$450,"'!r",B549),1)</f>
        <v>0</v>
      </c>
      <c r="V549" s="1" cm="1">
        <f t="array" aca="1" ref="V549" ca="1">INDIRECT(CONCATENATE("'",$A$450,"'!s",B549),1)</f>
        <v>0</v>
      </c>
      <c r="W549" s="1" cm="1">
        <f t="array" aca="1" ref="W549" ca="1">INDIRECT(CONCATENATE("'",$A$450,"'!t",B549),1)</f>
        <v>0</v>
      </c>
      <c r="X549" s="1" cm="1">
        <f t="array" aca="1" ref="X549" ca="1">INDIRECT(CONCATENATE("'",$A$450,"'!u",B549),1)</f>
        <v>0</v>
      </c>
      <c r="Y549" s="1" cm="1">
        <f t="array" aca="1" ref="Y549" ca="1">INDIRECT(CONCATENATE("'",$A$450,"'!v",B549),1)</f>
        <v>0</v>
      </c>
    </row>
    <row r="550" spans="1:25" hidden="1" x14ac:dyDescent="0.25">
      <c r="A550" s="24" t="s">
        <v>268</v>
      </c>
      <c r="B550" s="24">
        <v>2</v>
      </c>
      <c r="C550" s="1" cm="1">
        <f t="array" aca="1" ref="C550" ca="1">INDIRECT(CONCATENATE("'",$A$550,"'!A",B550),1)</f>
        <v>0</v>
      </c>
      <c r="D550" s="1" cm="1">
        <f t="array" aca="1" ref="D550" ca="1">INDIRECT(CONCATENATE("'",$A$550,"'!B",B550),1)</f>
        <v>0</v>
      </c>
      <c r="E550" s="1" cm="1">
        <f t="array" aca="1" ref="E550" ca="1">INDIRECT(CONCATENATE("'",$A$550,"'!c",B550),1)</f>
        <v>0</v>
      </c>
      <c r="F550" s="1" cm="1">
        <f t="array" aca="1" ref="F550" ca="1">INDIRECT(CONCATENATE("'",$A$550,"'!d",B550),1)</f>
        <v>0</v>
      </c>
      <c r="G550" s="1" cm="1">
        <f t="array" aca="1" ref="G550" ca="1">INDIRECT(CONCATENATE("'",$A$550,"'!e",B550),1)</f>
        <v>0</v>
      </c>
      <c r="H550" s="1" cm="1">
        <f t="array" aca="1" ref="H550" ca="1">INDIRECT(CONCATENATE("'",$A$550,"'!f",B550),1)</f>
        <v>0</v>
      </c>
      <c r="I550" s="1" cm="1">
        <f t="array" aca="1" ref="I550" ca="1">INDIRECT(CONCATENATE("'",$A$550,"'!g",B550),1)</f>
        <v>0</v>
      </c>
      <c r="J550" s="1" cm="1">
        <f t="array" aca="1" ref="J550" ca="1">INDIRECT(CONCATENATE("'",$A$550,"'!h",B550),1)</f>
        <v>0</v>
      </c>
      <c r="K550" s="1" cm="1">
        <f t="array" aca="1" ref="K550" ca="1">INDIRECT(CONCATENATE("'",$A$550,"'!i",B550),1)</f>
        <v>0</v>
      </c>
      <c r="L550" s="1" cm="1">
        <f t="array" aca="1" ref="L550" ca="1">INDIRECT(CONCATENATE("'",$A$550,"'!j",B550),1)</f>
        <v>0</v>
      </c>
      <c r="M550" s="1" cm="1">
        <f t="array" aca="1" ref="M550" ca="1">INDIRECT(CONCATENATE("'",$A$550,"'!k",B550),1)</f>
        <v>0</v>
      </c>
      <c r="N550" s="1" cm="1">
        <f t="array" aca="1" ref="N550" ca="1">INDIRECT(CONCATENATE("'",$A$550,"'!l",B550),1)</f>
        <v>0</v>
      </c>
      <c r="O550" s="1" cm="1">
        <f t="array" aca="1" ref="O550" ca="1">INDIRECT(CONCATENATE("'",$A$550,"'!m",B550),1)</f>
        <v>0</v>
      </c>
      <c r="P550" s="1" cm="1">
        <f t="array" aca="1" ref="P550" ca="1">INDIRECT(CONCATENATE("'",$A$550,"'!n",B550),1)</f>
        <v>0</v>
      </c>
      <c r="Q550" s="1" cm="1">
        <f t="array" aca="1" ref="Q550" ca="1">INDIRECT(CONCATENATE("'",$A$550,"'!o",B550),1)</f>
        <v>0</v>
      </c>
      <c r="R550" s="1" cm="1">
        <f t="array" aca="1" ref="R550" ca="1">INDIRECT(CONCATENATE("'",$A$550,"'!p",B550),1)</f>
        <v>0</v>
      </c>
      <c r="S550" s="1">
        <f t="shared" ca="1" si="44"/>
        <v>0</v>
      </c>
      <c r="T550" s="1" cm="1">
        <f t="array" aca="1" ref="T550" ca="1">INDIRECT(CONCATENATE("'",$A$550,"'!q",B550),1)</f>
        <v>0</v>
      </c>
      <c r="U550" s="1" cm="1">
        <f t="array" aca="1" ref="U550" ca="1">INDIRECT(CONCATENATE("'",$A$550,"'!r",B550),1)</f>
        <v>0</v>
      </c>
      <c r="V550" s="1" cm="1">
        <f t="array" aca="1" ref="V550" ca="1">INDIRECT(CONCATENATE("'",$A$550,"'!s",B550),1)</f>
        <v>0</v>
      </c>
      <c r="W550" s="1" cm="1">
        <f t="array" aca="1" ref="W550" ca="1">INDIRECT(CONCATENATE("'",$A$550,"'!t",B550),1)</f>
        <v>0</v>
      </c>
      <c r="X550" s="1" cm="1">
        <f t="array" aca="1" ref="X550" ca="1">INDIRECT(CONCATENATE("'",$A$550,"'!u",B550),1)</f>
        <v>0</v>
      </c>
      <c r="Y550" s="1" cm="1">
        <f t="array" aca="1" ref="Y550" ca="1">INDIRECT(CONCATENATE("'",$A$550,"'!v",B550),1)</f>
        <v>0</v>
      </c>
    </row>
    <row r="551" spans="1:25" customFormat="1" ht="22.5" hidden="1" x14ac:dyDescent="0.25">
      <c r="A551" s="15"/>
      <c r="B551" s="24">
        <f>B550+1</f>
        <v>3</v>
      </c>
      <c r="C551" s="1" t="str" cm="1">
        <f t="array" aca="1" ref="C551" ca="1">INDIRECT(CONCATENATE("'",$A$550,"'!A",B551),1)</f>
        <v>Системное программирование</v>
      </c>
      <c r="D551" s="1" t="str" cm="1">
        <f t="array" aca="1" ref="D551" ca="1">INDIRECT(CONCATENATE("'",$A$550,"'!B",B551),1)</f>
        <v xml:space="preserve">09.03.01(09у) </v>
      </c>
      <c r="E551" s="1" t="str" cm="1">
        <f t="array" aca="1" ref="E551" ca="1">INDIRECT(CONCATENATE("'",$A$550,"'!c",B551),1)</f>
        <v>3092з</v>
      </c>
      <c r="F551" s="1" cm="1">
        <f t="array" aca="1" ref="F551" ca="1">INDIRECT(CONCATENATE("'",$A$550,"'!d",B551),1)</f>
        <v>5</v>
      </c>
      <c r="G551" s="1" cm="1">
        <f t="array" aca="1" ref="G551" ca="1">INDIRECT(CONCATENATE("'",$A$550,"'!e",B551),1)</f>
        <v>1</v>
      </c>
      <c r="H551" s="1" cm="1">
        <f t="array" aca="1" ref="H551" ca="1">INDIRECT(CONCATENATE("'",$A$550,"'!f",B551),1)</f>
        <v>15</v>
      </c>
      <c r="I551" s="1" t="str" cm="1">
        <f t="array" aca="1" ref="I551" ca="1">INDIRECT(CONCATENATE("'",$A$550,"'!g",B551),1)</f>
        <v>ЭКЗ</v>
      </c>
      <c r="J551" s="1" cm="1">
        <f t="array" aca="1" ref="J551" ca="1">INDIRECT(CONCATENATE("'",$A$550,"'!h",B551),1)</f>
        <v>4</v>
      </c>
      <c r="K551" s="1" cm="1">
        <f t="array" aca="1" ref="K551" ca="1">INDIRECT(CONCATENATE("'",$A$550,"'!i",B551),1)</f>
        <v>4</v>
      </c>
      <c r="L551" s="1" cm="1">
        <f t="array" aca="1" ref="L551" ca="1">INDIRECT(CONCATENATE("'",$A$550,"'!j",B551),1)</f>
        <v>0</v>
      </c>
      <c r="M551" s="1" cm="1">
        <f t="array" aca="1" ref="M551" ca="1">INDIRECT(CONCATENATE("'",$A$550,"'!k",B551),1)</f>
        <v>8</v>
      </c>
      <c r="N551" s="1" t="str" cm="1">
        <f t="array" aca="1" ref="N551" ca="1">INDIRECT(CONCATENATE("'",$A$550,"'!l",B551),1)</f>
        <v xml:space="preserve">Иванов А.  </v>
      </c>
      <c r="O551" s="1" cm="1">
        <f t="array" aca="1" ref="O551" ca="1">INDIRECT(CONCATENATE("'",$A$550,"'!m",B551),1)</f>
        <v>0</v>
      </c>
      <c r="P551" s="1" cm="1">
        <f t="array" aca="1" ref="P551" ca="1">INDIRECT(CONCATENATE("'",$A$550,"'!n",B551),1)</f>
        <v>0</v>
      </c>
      <c r="Q551" s="1" cm="1">
        <f t="array" aca="1" ref="Q551" ca="1">INDIRECT(CONCATENATE("'",$A$550,"'!o",B551),1)</f>
        <v>9</v>
      </c>
      <c r="R551" s="1" cm="1">
        <f t="array" aca="1" ref="R551" ca="1">INDIRECT(CONCATENATE("'",$A$550,"'!p",B551),1)</f>
        <v>0</v>
      </c>
      <c r="S551" s="1">
        <f t="shared" ref="S551" ca="1" si="45">SUMIFS(U551,T551,$N$1)+SUMIFS(W551,V551,$N$1)+SUMIFS(Y551,X551,$N$1)</f>
        <v>0</v>
      </c>
      <c r="T551" s="1" t="str" cm="1">
        <f t="array" aca="1" ref="T551" ca="1">INDIRECT(CONCATENATE("'",$A$550,"'!q",B551),1)</f>
        <v>Иванов А.</v>
      </c>
      <c r="U551" s="1" cm="1">
        <f t="array" aca="1" ref="U551" ca="1">INDIRECT(CONCATENATE("'",$A$550,"'!r",B551),1)</f>
        <v>21</v>
      </c>
      <c r="V551" s="1" cm="1">
        <f t="array" aca="1" ref="V551" ca="1">INDIRECT(CONCATENATE("'",$A$550,"'!s",B551),1)</f>
        <v>0</v>
      </c>
      <c r="W551" s="1" cm="1">
        <f t="array" aca="1" ref="W551" ca="1">INDIRECT(CONCATENATE("'",$A$550,"'!t",B551),1)</f>
        <v>0</v>
      </c>
      <c r="X551" s="1" cm="1">
        <f t="array" aca="1" ref="X551" ca="1">INDIRECT(CONCATENATE("'",$A$550,"'!u",B551),1)</f>
        <v>0</v>
      </c>
      <c r="Y551" s="1" cm="1">
        <f t="array" aca="1" ref="Y551" ca="1">INDIRECT(CONCATENATE("'",$A$550,"'!v",B551),1)</f>
        <v>0</v>
      </c>
    </row>
    <row r="552" spans="1:25" ht="33.75" hidden="1" x14ac:dyDescent="0.25">
      <c r="A552" s="15"/>
      <c r="B552" s="24">
        <f t="shared" ref="B552:B615" si="46">B551+1</f>
        <v>4</v>
      </c>
      <c r="C552" s="1" t="str" cm="1">
        <f t="array" aca="1" ref="C552" ca="1">INDIRECT(CONCATENATE("'",$A$550,"'!A",B552),1)</f>
        <v>Микросервисные технологии и архитектура</v>
      </c>
      <c r="D552" s="1" t="str" cm="1">
        <f t="array" aca="1" ref="D552" ca="1">INDIRECT(CONCATENATE("'",$A$550,"'!B",B552),1)</f>
        <v xml:space="preserve">09.03.01(09у) </v>
      </c>
      <c r="E552" s="1" t="str" cm="1">
        <f t="array" aca="1" ref="E552" ca="1">INDIRECT(CONCATENATE("'",$A$550,"'!c",B552),1)</f>
        <v>3092з</v>
      </c>
      <c r="F552" s="1" cm="1">
        <f t="array" aca="1" ref="F552" ca="1">INDIRECT(CONCATENATE("'",$A$550,"'!d",B552),1)</f>
        <v>5</v>
      </c>
      <c r="G552" s="1" cm="1">
        <f t="array" aca="1" ref="G552" ca="1">INDIRECT(CONCATENATE("'",$A$550,"'!e",B552),1)</f>
        <v>1</v>
      </c>
      <c r="H552" s="1" cm="1">
        <f t="array" aca="1" ref="H552" ca="1">INDIRECT(CONCATENATE("'",$A$550,"'!f",B552),1)</f>
        <v>15</v>
      </c>
      <c r="I552" s="1" t="str" cm="1">
        <f t="array" aca="1" ref="I552" ca="1">INDIRECT(CONCATENATE("'",$A$550,"'!g",B552),1)</f>
        <v>ЭКЗ</v>
      </c>
      <c r="J552" s="1" cm="1">
        <f t="array" aca="1" ref="J552" ca="1">INDIRECT(CONCATENATE("'",$A$550,"'!h",B552),1)</f>
        <v>5</v>
      </c>
      <c r="K552" s="1" cm="1">
        <f t="array" aca="1" ref="K552" ca="1">INDIRECT(CONCATENATE("'",$A$550,"'!i",B552),1)</f>
        <v>8</v>
      </c>
      <c r="L552" s="1" cm="1">
        <f t="array" aca="1" ref="L552" ca="1">INDIRECT(CONCATENATE("'",$A$550,"'!j",B552),1)</f>
        <v>0</v>
      </c>
      <c r="M552" s="1" cm="1">
        <f t="array" aca="1" ref="M552" ca="1">INDIRECT(CONCATENATE("'",$A$550,"'!k",B552),1)</f>
        <v>8</v>
      </c>
      <c r="N552" s="1" t="str" cm="1">
        <f t="array" aca="1" ref="N552" ca="1">INDIRECT(CONCATENATE("'",$A$550,"'!l",B552),1)</f>
        <v xml:space="preserve">  </v>
      </c>
      <c r="O552" s="1" cm="1">
        <f t="array" aca="1" ref="O552" ca="1">INDIRECT(CONCATENATE("'",$A$550,"'!m",B552),1)</f>
        <v>0</v>
      </c>
      <c r="P552" s="1" cm="1">
        <f t="array" aca="1" ref="P552" ca="1">INDIRECT(CONCATENATE("'",$A$550,"'!n",B552),1)</f>
        <v>0</v>
      </c>
      <c r="Q552" s="1" cm="1">
        <f t="array" aca="1" ref="Q552" ca="1">INDIRECT(CONCATENATE("'",$A$550,"'!o",B552),1)</f>
        <v>11.25</v>
      </c>
      <c r="R552" s="1" cm="1">
        <f t="array" aca="1" ref="R552" ca="1">INDIRECT(CONCATENATE("'",$A$550,"'!p",B552),1)</f>
        <v>7.5</v>
      </c>
      <c r="S552" s="1">
        <f t="shared" ref="S552:S564" ca="1" si="47">SUMIFS(U552,T552,$N$1)+SUMIFS(W552,V552,$N$1)+SUMIFS(Y552,X552,$N$1)</f>
        <v>0</v>
      </c>
      <c r="T552" s="1" cm="1">
        <f t="array" aca="1" ref="T552" ca="1">INDIRECT(CONCATENATE("'",$A$550,"'!q",B552),1)</f>
        <v>0</v>
      </c>
      <c r="U552" s="1" cm="1">
        <f t="array" aca="1" ref="U552" ca="1">INDIRECT(CONCATENATE("'",$A$550,"'!r",B552),1)</f>
        <v>34.75</v>
      </c>
      <c r="V552" s="1" cm="1">
        <f t="array" aca="1" ref="V552" ca="1">INDIRECT(CONCATENATE("'",$A$550,"'!s",B552),1)</f>
        <v>0</v>
      </c>
      <c r="W552" s="1" cm="1">
        <f t="array" aca="1" ref="W552" ca="1">INDIRECT(CONCATENATE("'",$A$550,"'!t",B552),1)</f>
        <v>0</v>
      </c>
      <c r="X552" s="1" cm="1">
        <f t="array" aca="1" ref="X552" ca="1">INDIRECT(CONCATENATE("'",$A$550,"'!u",B552),1)</f>
        <v>0</v>
      </c>
      <c r="Y552" s="1" cm="1">
        <f t="array" aca="1" ref="Y552" ca="1">INDIRECT(CONCATENATE("'",$A$550,"'!v",B552),1)</f>
        <v>0</v>
      </c>
    </row>
    <row r="553" spans="1:25" ht="22.5" hidden="1" x14ac:dyDescent="0.25">
      <c r="A553" s="15"/>
      <c r="B553" s="24">
        <f t="shared" si="46"/>
        <v>5</v>
      </c>
      <c r="C553" s="1" t="str" cm="1">
        <f t="array" aca="1" ref="C553" ca="1">INDIRECT(CONCATENATE("'",$A$550,"'!A",B553),1)</f>
        <v>Базы данных</v>
      </c>
      <c r="D553" s="1" t="str" cm="1">
        <f t="array" aca="1" ref="D553" ca="1">INDIRECT(CONCATENATE("'",$A$550,"'!B",B553),1)</f>
        <v xml:space="preserve">09.03.01(09у) </v>
      </c>
      <c r="E553" s="1" t="str" cm="1">
        <f t="array" aca="1" ref="E553" ca="1">INDIRECT(CONCATENATE("'",$A$550,"'!c",B553),1)</f>
        <v>3092з</v>
      </c>
      <c r="F553" s="1" cm="1">
        <f t="array" aca="1" ref="F553" ca="1">INDIRECT(CONCATENATE("'",$A$550,"'!d",B553),1)</f>
        <v>5</v>
      </c>
      <c r="G553" s="1" cm="1">
        <f t="array" aca="1" ref="G553" ca="1">INDIRECT(CONCATENATE("'",$A$550,"'!e",B553),1)</f>
        <v>1</v>
      </c>
      <c r="H553" s="1" cm="1">
        <f t="array" aca="1" ref="H553" ca="1">INDIRECT(CONCATENATE("'",$A$550,"'!f",B553),1)</f>
        <v>15</v>
      </c>
      <c r="I553" s="1" t="str" cm="1">
        <f t="array" aca="1" ref="I553" ca="1">INDIRECT(CONCATENATE("'",$A$550,"'!g",B553),1)</f>
        <v>ЭКЗ</v>
      </c>
      <c r="J553" s="1" cm="1">
        <f t="array" aca="1" ref="J553" ca="1">INDIRECT(CONCATENATE("'",$A$550,"'!h",B553),1)</f>
        <v>5</v>
      </c>
      <c r="K553" s="1" cm="1">
        <f t="array" aca="1" ref="K553" ca="1">INDIRECT(CONCATENATE("'",$A$550,"'!i",B553),1)</f>
        <v>6</v>
      </c>
      <c r="L553" s="1" cm="1">
        <f t="array" aca="1" ref="L553" ca="1">INDIRECT(CONCATENATE("'",$A$550,"'!j",B553),1)</f>
        <v>0</v>
      </c>
      <c r="M553" s="1" cm="1">
        <f t="array" aca="1" ref="M553" ca="1">INDIRECT(CONCATENATE("'",$A$550,"'!k",B553),1)</f>
        <v>10</v>
      </c>
      <c r="N553" s="1" t="str" cm="1">
        <f t="array" aca="1" ref="N553" ca="1">INDIRECT(CONCATENATE("'",$A$550,"'!l",B553),1)</f>
        <v>Цымбалюк Л.Н.</v>
      </c>
      <c r="O553" s="1" cm="1">
        <f t="array" aca="1" ref="O553" ca="1">INDIRECT(CONCATENATE("'",$A$550,"'!m",B553),1)</f>
        <v>0</v>
      </c>
      <c r="P553" s="1" cm="1">
        <f t="array" aca="1" ref="P553" ca="1">INDIRECT(CONCATENATE("'",$A$550,"'!n",B553),1)</f>
        <v>0</v>
      </c>
      <c r="Q553" s="1" cm="1">
        <f t="array" aca="1" ref="Q553" ca="1">INDIRECT(CONCATENATE("'",$A$550,"'!o",B553),1)</f>
        <v>11.25</v>
      </c>
      <c r="R553" s="1" cm="1">
        <f t="array" aca="1" ref="R553" ca="1">INDIRECT(CONCATENATE("'",$A$550,"'!p",B553),1)</f>
        <v>7.5</v>
      </c>
      <c r="S553" s="1">
        <f t="shared" ca="1" si="47"/>
        <v>0</v>
      </c>
      <c r="T553" s="1" t="str" cm="1">
        <f t="array" aca="1" ref="T553" ca="1">INDIRECT(CONCATENATE("'",$A$550,"'!q",B553),1)</f>
        <v>Цымбалюк Л.Н.</v>
      </c>
      <c r="U553" s="1" cm="1">
        <f t="array" aca="1" ref="U553" ca="1">INDIRECT(CONCATENATE("'",$A$550,"'!r",B553),1)</f>
        <v>34.75</v>
      </c>
      <c r="V553" s="1" cm="1">
        <f t="array" aca="1" ref="V553" ca="1">INDIRECT(CONCATENATE("'",$A$550,"'!s",B553),1)</f>
        <v>0</v>
      </c>
      <c r="W553" s="1" cm="1">
        <f t="array" aca="1" ref="W553" ca="1">INDIRECT(CONCATENATE("'",$A$550,"'!t",B553),1)</f>
        <v>0</v>
      </c>
      <c r="X553" s="1" cm="1">
        <f t="array" aca="1" ref="X553" ca="1">INDIRECT(CONCATENATE("'",$A$550,"'!u",B553),1)</f>
        <v>0</v>
      </c>
      <c r="Y553" s="1" cm="1">
        <f t="array" aca="1" ref="Y553" ca="1">INDIRECT(CONCATENATE("'",$A$550,"'!v",B553),1)</f>
        <v>0</v>
      </c>
    </row>
    <row r="554" spans="1:25" ht="22.5" hidden="1" x14ac:dyDescent="0.25">
      <c r="A554" s="15"/>
      <c r="B554" s="24">
        <f t="shared" si="46"/>
        <v>6</v>
      </c>
      <c r="C554" s="1" t="str" cm="1">
        <f t="array" aca="1" ref="C554" ca="1">INDIRECT(CONCATENATE("'",$A$550,"'!A",B554),1)</f>
        <v>Базы данных</v>
      </c>
      <c r="D554" s="1" t="str" cm="1">
        <f t="array" aca="1" ref="D554" ca="1">INDIRECT(CONCATENATE("'",$A$550,"'!B",B554),1)</f>
        <v xml:space="preserve">09.03.01(09у) </v>
      </c>
      <c r="E554" s="1" t="str" cm="1">
        <f t="array" aca="1" ref="E554" ca="1">INDIRECT(CONCATENATE("'",$A$550,"'!c",B554),1)</f>
        <v>3092з</v>
      </c>
      <c r="F554" s="1" cm="1">
        <f t="array" aca="1" ref="F554" ca="1">INDIRECT(CONCATENATE("'",$A$550,"'!d",B554),1)</f>
        <v>5</v>
      </c>
      <c r="G554" s="1" cm="1">
        <f t="array" aca="1" ref="G554" ca="1">INDIRECT(CONCATENATE("'",$A$550,"'!e",B554),1)</f>
        <v>1</v>
      </c>
      <c r="H554" s="1" cm="1">
        <f t="array" aca="1" ref="H554" ca="1">INDIRECT(CONCATENATE("'",$A$550,"'!f",B554),1)</f>
        <v>15</v>
      </c>
      <c r="I554" s="1" t="str" cm="1">
        <f t="array" aca="1" ref="I554" ca="1">INDIRECT(CONCATENATE("'",$A$550,"'!g",B554),1)</f>
        <v>КП</v>
      </c>
      <c r="J554" s="1" cm="1">
        <f t="array" aca="1" ref="J554" ca="1">INDIRECT(CONCATENATE("'",$A$550,"'!h",B554),1)</f>
        <v>1</v>
      </c>
      <c r="K554" s="1" cm="1">
        <f t="array" aca="1" ref="K554" ca="1">INDIRECT(CONCATENATE("'",$A$550,"'!i",B554),1)</f>
        <v>0</v>
      </c>
      <c r="L554" s="1" cm="1">
        <f t="array" aca="1" ref="L554" ca="1">INDIRECT(CONCATENATE("'",$A$550,"'!j",B554),1)</f>
        <v>0</v>
      </c>
      <c r="M554" s="1" cm="1">
        <f t="array" aca="1" ref="M554" ca="1">INDIRECT(CONCATENATE("'",$A$550,"'!k",B554),1)</f>
        <v>0</v>
      </c>
      <c r="N554" s="1" t="str" cm="1">
        <f t="array" aca="1" ref="N554" ca="1">INDIRECT(CONCATENATE("'",$A$550,"'!l",B554),1)</f>
        <v>Цымбалюк Л.Н.</v>
      </c>
      <c r="O554" s="1" cm="1">
        <f t="array" aca="1" ref="O554" ca="1">INDIRECT(CONCATENATE("'",$A$550,"'!m",B554),1)</f>
        <v>0</v>
      </c>
      <c r="P554" s="1" cm="1">
        <f t="array" aca="1" ref="P554" ca="1">INDIRECT(CONCATENATE("'",$A$550,"'!n",B554),1)</f>
        <v>0</v>
      </c>
      <c r="Q554" s="1" cm="1">
        <f t="array" aca="1" ref="Q554" ca="1">INDIRECT(CONCATENATE("'",$A$550,"'!o",B554),1)</f>
        <v>22.5</v>
      </c>
      <c r="R554" s="1" cm="1">
        <f t="array" aca="1" ref="R554" ca="1">INDIRECT(CONCATENATE("'",$A$550,"'!p",B554),1)</f>
        <v>0</v>
      </c>
      <c r="S554" s="1">
        <f t="shared" ca="1" si="47"/>
        <v>0</v>
      </c>
      <c r="T554" s="1" t="str" cm="1">
        <f t="array" aca="1" ref="T554" ca="1">INDIRECT(CONCATENATE("'",$A$550,"'!q",B554),1)</f>
        <v>Цымбалюк Л.Н.</v>
      </c>
      <c r="U554" s="1" cm="1">
        <f t="array" aca="1" ref="U554" ca="1">INDIRECT(CONCATENATE("'",$A$550,"'!r",B554),1)</f>
        <v>22.5</v>
      </c>
      <c r="V554" s="1" cm="1">
        <f t="array" aca="1" ref="V554" ca="1">INDIRECT(CONCATENATE("'",$A$550,"'!s",B554),1)</f>
        <v>0</v>
      </c>
      <c r="W554" s="1" cm="1">
        <f t="array" aca="1" ref="W554" ca="1">INDIRECT(CONCATENATE("'",$A$550,"'!t",B554),1)</f>
        <v>0</v>
      </c>
      <c r="X554" s="1" cm="1">
        <f t="array" aca="1" ref="X554" ca="1">INDIRECT(CONCATENATE("'",$A$550,"'!u",B554),1)</f>
        <v>0</v>
      </c>
      <c r="Y554" s="1" cm="1">
        <f t="array" aca="1" ref="Y554" ca="1">INDIRECT(CONCATENATE("'",$A$550,"'!v",B554),1)</f>
        <v>0</v>
      </c>
    </row>
    <row r="555" spans="1:25" ht="22.5" hidden="1" x14ac:dyDescent="0.25">
      <c r="A555" s="15"/>
      <c r="B555" s="24">
        <f t="shared" si="46"/>
        <v>7</v>
      </c>
      <c r="C555" s="1" t="str" cm="1">
        <f t="array" aca="1" ref="C555" ca="1">INDIRECT(CONCATENATE("'",$A$550,"'!A",B555),1)</f>
        <v>Моделирование систем(установ.)</v>
      </c>
      <c r="D555" s="1" t="str" cm="1">
        <f t="array" aca="1" ref="D555" ca="1">INDIRECT(CONCATENATE("'",$A$550,"'!B",B555),1)</f>
        <v xml:space="preserve">09.03.01(09у) </v>
      </c>
      <c r="E555" s="1" t="str" cm="1">
        <f t="array" aca="1" ref="E555" ca="1">INDIRECT(CONCATENATE("'",$A$550,"'!c",B555),1)</f>
        <v>3092з</v>
      </c>
      <c r="F555" s="1" cm="1">
        <f t="array" aca="1" ref="F555" ca="1">INDIRECT(CONCATENATE("'",$A$550,"'!d",B555),1)</f>
        <v>5</v>
      </c>
      <c r="G555" s="1" cm="1">
        <f t="array" aca="1" ref="G555" ca="1">INDIRECT(CONCATENATE("'",$A$550,"'!e",B555),1)</f>
        <v>1</v>
      </c>
      <c r="H555" s="1" cm="1">
        <f t="array" aca="1" ref="H555" ca="1">INDIRECT(CONCATENATE("'",$A$550,"'!f",B555),1)</f>
        <v>15</v>
      </c>
      <c r="I555" s="1" cm="1">
        <f t="array" aca="1" ref="I555" ca="1">INDIRECT(CONCATENATE("'",$A$550,"'!g",B555),1)</f>
        <v>0</v>
      </c>
      <c r="J555" s="1" cm="1">
        <f t="array" aca="1" ref="J555" ca="1">INDIRECT(CONCATENATE("'",$A$550,"'!h",B555),1)</f>
        <v>0</v>
      </c>
      <c r="K555" s="1" cm="1">
        <f t="array" aca="1" ref="K555" ca="1">INDIRECT(CONCATENATE("'",$A$550,"'!i",B555),1)</f>
        <v>2</v>
      </c>
      <c r="L555" s="1" cm="1">
        <f t="array" aca="1" ref="L555" ca="1">INDIRECT(CONCATENATE("'",$A$550,"'!j",B555),1)</f>
        <v>0</v>
      </c>
      <c r="M555" s="1" cm="1">
        <f t="array" aca="1" ref="M555" ca="1">INDIRECT(CONCATENATE("'",$A$550,"'!k",B555),1)</f>
        <v>0</v>
      </c>
      <c r="N555" s="1" t="str" cm="1">
        <f t="array" aca="1" ref="N555" ca="1">INDIRECT(CONCATENATE("'",$A$550,"'!l",B555),1)</f>
        <v>Эминов С.И.</v>
      </c>
      <c r="O555" s="1" cm="1">
        <f t="array" aca="1" ref="O555" ca="1">INDIRECT(CONCATENATE("'",$A$550,"'!m",B555),1)</f>
        <v>0</v>
      </c>
      <c r="P555" s="1" cm="1">
        <f t="array" aca="1" ref="P555" ca="1">INDIRECT(CONCATENATE("'",$A$550,"'!n",B555),1)</f>
        <v>0</v>
      </c>
      <c r="Q555" s="1" cm="1">
        <f t="array" aca="1" ref="Q555" ca="1">INDIRECT(CONCATENATE("'",$A$550,"'!o",B555),1)</f>
        <v>0</v>
      </c>
      <c r="R555" s="1" cm="1">
        <f t="array" aca="1" ref="R555" ca="1">INDIRECT(CONCATENATE("'",$A$550,"'!p",B555),1)</f>
        <v>0</v>
      </c>
      <c r="S555" s="1">
        <f t="shared" ca="1" si="47"/>
        <v>0</v>
      </c>
      <c r="T555" s="1" t="str" cm="1">
        <f t="array" aca="1" ref="T555" ca="1">INDIRECT(CONCATENATE("'",$A$550,"'!q",B555),1)</f>
        <v>Эминов С.И.</v>
      </c>
      <c r="U555" s="1" cm="1">
        <f t="array" aca="1" ref="U555" ca="1">INDIRECT(CONCATENATE("'",$A$550,"'!r",B555),1)</f>
        <v>0</v>
      </c>
      <c r="V555" s="1" cm="1">
        <f t="array" aca="1" ref="V555" ca="1">INDIRECT(CONCATENATE("'",$A$550,"'!s",B555),1)</f>
        <v>0</v>
      </c>
      <c r="W555" s="1" cm="1">
        <f t="array" aca="1" ref="W555" ca="1">INDIRECT(CONCATENATE("'",$A$550,"'!t",B555),1)</f>
        <v>0</v>
      </c>
      <c r="X555" s="1" cm="1">
        <f t="array" aca="1" ref="X555" ca="1">INDIRECT(CONCATENATE("'",$A$550,"'!u",B555),1)</f>
        <v>0</v>
      </c>
      <c r="Y555" s="1" cm="1">
        <f t="array" aca="1" ref="Y555" ca="1">INDIRECT(CONCATENATE("'",$A$550,"'!v",B555),1)</f>
        <v>0</v>
      </c>
    </row>
    <row r="556" spans="1:25" ht="33.75" hidden="1" x14ac:dyDescent="0.25">
      <c r="A556" s="15"/>
      <c r="B556" s="24">
        <f t="shared" si="46"/>
        <v>8</v>
      </c>
      <c r="C556" s="1" t="str" cm="1">
        <f t="array" aca="1" ref="C556" ca="1">INDIRECT(CONCATENATE("'",$A$550,"'!A",B556),1)</f>
        <v>Проектирование информационных систем(установ.)</v>
      </c>
      <c r="D556" s="1" t="str" cm="1">
        <f t="array" aca="1" ref="D556" ca="1">INDIRECT(CONCATENATE("'",$A$550,"'!B",B556),1)</f>
        <v xml:space="preserve">09.03.01(09у) </v>
      </c>
      <c r="E556" s="1" t="str" cm="1">
        <f t="array" aca="1" ref="E556" ca="1">INDIRECT(CONCATENATE("'",$A$550,"'!c",B556),1)</f>
        <v>3092з</v>
      </c>
      <c r="F556" s="1" cm="1">
        <f t="array" aca="1" ref="F556" ca="1">INDIRECT(CONCATENATE("'",$A$550,"'!d",B556),1)</f>
        <v>5</v>
      </c>
      <c r="G556" s="1" cm="1">
        <f t="array" aca="1" ref="G556" ca="1">INDIRECT(CONCATENATE("'",$A$550,"'!e",B556),1)</f>
        <v>1</v>
      </c>
      <c r="H556" s="1" cm="1">
        <f t="array" aca="1" ref="H556" ca="1">INDIRECT(CONCATENATE("'",$A$550,"'!f",B556),1)</f>
        <v>15</v>
      </c>
      <c r="I556" s="1" cm="1">
        <f t="array" aca="1" ref="I556" ca="1">INDIRECT(CONCATENATE("'",$A$550,"'!g",B556),1)</f>
        <v>0</v>
      </c>
      <c r="J556" s="1" cm="1">
        <f t="array" aca="1" ref="J556" ca="1">INDIRECT(CONCATENATE("'",$A$550,"'!h",B556),1)</f>
        <v>0</v>
      </c>
      <c r="K556" s="1" cm="1">
        <f t="array" aca="1" ref="K556" ca="1">INDIRECT(CONCATENATE("'",$A$550,"'!i",B556),1)</f>
        <v>2</v>
      </c>
      <c r="L556" s="1" cm="1">
        <f t="array" aca="1" ref="L556" ca="1">INDIRECT(CONCATENATE("'",$A$550,"'!j",B556),1)</f>
        <v>0</v>
      </c>
      <c r="M556" s="1" cm="1">
        <f t="array" aca="1" ref="M556" ca="1">INDIRECT(CONCATENATE("'",$A$550,"'!k",B556),1)</f>
        <v>0</v>
      </c>
      <c r="N556" s="1" t="str" cm="1">
        <f t="array" aca="1" ref="N556" ca="1">INDIRECT(CONCATENATE("'",$A$550,"'!l",B556),1)</f>
        <v>Цымбалюк Л.Н.</v>
      </c>
      <c r="O556" s="1" cm="1">
        <f t="array" aca="1" ref="O556" ca="1">INDIRECT(CONCATENATE("'",$A$550,"'!m",B556),1)</f>
        <v>0</v>
      </c>
      <c r="P556" s="1" cm="1">
        <f t="array" aca="1" ref="P556" ca="1">INDIRECT(CONCATENATE("'",$A$550,"'!n",B556),1)</f>
        <v>0</v>
      </c>
      <c r="Q556" s="1" cm="1">
        <f t="array" aca="1" ref="Q556" ca="1">INDIRECT(CONCATENATE("'",$A$550,"'!o",B556),1)</f>
        <v>0</v>
      </c>
      <c r="R556" s="1" cm="1">
        <f t="array" aca="1" ref="R556" ca="1">INDIRECT(CONCATENATE("'",$A$550,"'!p",B556),1)</f>
        <v>0</v>
      </c>
      <c r="S556" s="1">
        <f t="shared" ca="1" si="47"/>
        <v>0</v>
      </c>
      <c r="T556" s="1" t="str" cm="1">
        <f t="array" aca="1" ref="T556" ca="1">INDIRECT(CONCATENATE("'",$A$550,"'!q",B556),1)</f>
        <v>Цымбалюк Л.Н.</v>
      </c>
      <c r="U556" s="1" cm="1">
        <f t="array" aca="1" ref="U556" ca="1">INDIRECT(CONCATENATE("'",$A$550,"'!r",B556),1)</f>
        <v>0</v>
      </c>
      <c r="V556" s="1" cm="1">
        <f t="array" aca="1" ref="V556" ca="1">INDIRECT(CONCATENATE("'",$A$550,"'!s",B556),1)</f>
        <v>0</v>
      </c>
      <c r="W556" s="1" cm="1">
        <f t="array" aca="1" ref="W556" ca="1">INDIRECT(CONCATENATE("'",$A$550,"'!t",B556),1)</f>
        <v>0</v>
      </c>
      <c r="X556" s="1" cm="1">
        <f t="array" aca="1" ref="X556" ca="1">INDIRECT(CONCATENATE("'",$A$550,"'!u",B556),1)</f>
        <v>0</v>
      </c>
      <c r="Y556" s="1" cm="1">
        <f t="array" aca="1" ref="Y556" ca="1">INDIRECT(CONCATENATE("'",$A$550,"'!v",B556),1)</f>
        <v>0</v>
      </c>
    </row>
    <row r="557" spans="1:25" ht="33.75" hidden="1" x14ac:dyDescent="0.25">
      <c r="A557" s="15"/>
      <c r="B557" s="24">
        <f t="shared" si="46"/>
        <v>9</v>
      </c>
      <c r="C557" s="1" t="str" cm="1">
        <f t="array" aca="1" ref="C557" ca="1">INDIRECT(CONCATENATE("'",$A$550,"'!A",B557),1)</f>
        <v>Машинное обучение и большие данные(установ.)</v>
      </c>
      <c r="D557" s="1" t="str" cm="1">
        <f t="array" aca="1" ref="D557" ca="1">INDIRECT(CONCATENATE("'",$A$550,"'!B",B557),1)</f>
        <v xml:space="preserve">09.03.01(09у) </v>
      </c>
      <c r="E557" s="1" t="str" cm="1">
        <f t="array" aca="1" ref="E557" ca="1">INDIRECT(CONCATENATE("'",$A$550,"'!c",B557),1)</f>
        <v>3092з</v>
      </c>
      <c r="F557" s="1" cm="1">
        <f t="array" aca="1" ref="F557" ca="1">INDIRECT(CONCATENATE("'",$A$550,"'!d",B557),1)</f>
        <v>5</v>
      </c>
      <c r="G557" s="1" cm="1">
        <f t="array" aca="1" ref="G557" ca="1">INDIRECT(CONCATENATE("'",$A$550,"'!e",B557),1)</f>
        <v>1</v>
      </c>
      <c r="H557" s="1" cm="1">
        <f t="array" aca="1" ref="H557" ca="1">INDIRECT(CONCATENATE("'",$A$550,"'!f",B557),1)</f>
        <v>15</v>
      </c>
      <c r="I557" s="1" cm="1">
        <f t="array" aca="1" ref="I557" ca="1">INDIRECT(CONCATENATE("'",$A$550,"'!g",B557),1)</f>
        <v>0</v>
      </c>
      <c r="J557" s="1" cm="1">
        <f t="array" aca="1" ref="J557" ca="1">INDIRECT(CONCATENATE("'",$A$550,"'!h",B557),1)</f>
        <v>0</v>
      </c>
      <c r="K557" s="1" cm="1">
        <f t="array" aca="1" ref="K557" ca="1">INDIRECT(CONCATENATE("'",$A$550,"'!i",B557),1)</f>
        <v>2</v>
      </c>
      <c r="L557" s="1" cm="1">
        <f t="array" aca="1" ref="L557" ca="1">INDIRECT(CONCATENATE("'",$A$550,"'!j",B557),1)</f>
        <v>0</v>
      </c>
      <c r="M557" s="1" cm="1">
        <f t="array" aca="1" ref="M557" ca="1">INDIRECT(CONCATENATE("'",$A$550,"'!k",B557),1)</f>
        <v>0</v>
      </c>
      <c r="N557" s="1" t="str" cm="1">
        <f t="array" aca="1" ref="N557" ca="1">INDIRECT(CONCATENATE("'",$A$550,"'!l",B557),1)</f>
        <v>Телина И.С.</v>
      </c>
      <c r="O557" s="1" cm="1">
        <f t="array" aca="1" ref="O557" ca="1">INDIRECT(CONCATENATE("'",$A$550,"'!m",B557),1)</f>
        <v>0</v>
      </c>
      <c r="P557" s="1" cm="1">
        <f t="array" aca="1" ref="P557" ca="1">INDIRECT(CONCATENATE("'",$A$550,"'!n",B557),1)</f>
        <v>0</v>
      </c>
      <c r="Q557" s="1" cm="1">
        <f t="array" aca="1" ref="Q557" ca="1">INDIRECT(CONCATENATE("'",$A$550,"'!o",B557),1)</f>
        <v>0</v>
      </c>
      <c r="R557" s="1" cm="1">
        <f t="array" aca="1" ref="R557" ca="1">INDIRECT(CONCATENATE("'",$A$550,"'!p",B557),1)</f>
        <v>0</v>
      </c>
      <c r="S557" s="1">
        <f t="shared" ca="1" si="47"/>
        <v>0</v>
      </c>
      <c r="T557" s="1" t="str" cm="1">
        <f t="array" aca="1" ref="T557" ca="1">INDIRECT(CONCATENATE("'",$A$550,"'!q",B557),1)</f>
        <v>Телина И.С.</v>
      </c>
      <c r="U557" s="1" cm="1">
        <f t="array" aca="1" ref="U557" ca="1">INDIRECT(CONCATENATE("'",$A$550,"'!r",B557),1)</f>
        <v>0</v>
      </c>
      <c r="V557" s="1" cm="1">
        <f t="array" aca="1" ref="V557" ca="1">INDIRECT(CONCATENATE("'",$A$550,"'!s",B557),1)</f>
        <v>0</v>
      </c>
      <c r="W557" s="1" cm="1">
        <f t="array" aca="1" ref="W557" ca="1">INDIRECT(CONCATENATE("'",$A$550,"'!t",B557),1)</f>
        <v>0</v>
      </c>
      <c r="X557" s="1" cm="1">
        <f t="array" aca="1" ref="X557" ca="1">INDIRECT(CONCATENATE("'",$A$550,"'!u",B557),1)</f>
        <v>0</v>
      </c>
      <c r="Y557" s="1" cm="1">
        <f t="array" aca="1" ref="Y557" ca="1">INDIRECT(CONCATENATE("'",$A$550,"'!v",B557),1)</f>
        <v>0</v>
      </c>
    </row>
    <row r="558" spans="1:25" ht="22.5" hidden="1" x14ac:dyDescent="0.25">
      <c r="A558" s="15"/>
      <c r="B558" s="24">
        <f t="shared" si="46"/>
        <v>10</v>
      </c>
      <c r="C558" s="1" t="str" cm="1">
        <f t="array" aca="1" ref="C558" ca="1">INDIRECT(CONCATENATE("'",$A$550,"'!A",B558),1)</f>
        <v>Основы теории управления</v>
      </c>
      <c r="D558" s="1" t="str" cm="1">
        <f t="array" aca="1" ref="D558" ca="1">INDIRECT(CONCATENATE("'",$A$550,"'!B",B558),1)</f>
        <v xml:space="preserve">09.03.01(09у) </v>
      </c>
      <c r="E558" s="1" t="str" cm="1">
        <f t="array" aca="1" ref="E558" ca="1">INDIRECT(CONCATENATE("'",$A$550,"'!c",B558),1)</f>
        <v>3092з</v>
      </c>
      <c r="F558" s="1" cm="1">
        <f t="array" aca="1" ref="F558" ca="1">INDIRECT(CONCATENATE("'",$A$550,"'!d",B558),1)</f>
        <v>5</v>
      </c>
      <c r="G558" s="1" cm="1">
        <f t="array" aca="1" ref="G558" ca="1">INDIRECT(CONCATENATE("'",$A$550,"'!e",B558),1)</f>
        <v>1</v>
      </c>
      <c r="H558" s="1" cm="1">
        <f t="array" aca="1" ref="H558" ca="1">INDIRECT(CONCATENATE("'",$A$550,"'!f",B558),1)</f>
        <v>15</v>
      </c>
      <c r="I558" s="1" t="str" cm="1">
        <f t="array" aca="1" ref="I558" ca="1">INDIRECT(CONCATENATE("'",$A$550,"'!g",B558),1)</f>
        <v>ЗАЧ</v>
      </c>
      <c r="J558" s="1" cm="1">
        <f t="array" aca="1" ref="J558" ca="1">INDIRECT(CONCATENATE("'",$A$550,"'!h",B558),1)</f>
        <v>4</v>
      </c>
      <c r="K558" s="1" cm="1">
        <f t="array" aca="1" ref="K558" ca="1">INDIRECT(CONCATENATE("'",$A$550,"'!i",B558),1)</f>
        <v>4</v>
      </c>
      <c r="L558" s="1" cm="1">
        <f t="array" aca="1" ref="L558" ca="1">INDIRECT(CONCATENATE("'",$A$550,"'!j",B558),1)</f>
        <v>4</v>
      </c>
      <c r="M558" s="1" cm="1">
        <f t="array" aca="1" ref="M558" ca="1">INDIRECT(CONCATENATE("'",$A$550,"'!k",B558),1)</f>
        <v>8</v>
      </c>
      <c r="N558" s="1" t="str" cm="1">
        <f t="array" aca="1" ref="N558" ca="1">INDIRECT(CONCATENATE("'",$A$550,"'!l",B558),1)</f>
        <v>Эминов С.И.</v>
      </c>
      <c r="O558" s="1" cm="1">
        <f t="array" aca="1" ref="O558" ca="1">INDIRECT(CONCATENATE("'",$A$550,"'!m",B558),1)</f>
        <v>0</v>
      </c>
      <c r="P558" s="1" cm="1">
        <f t="array" aca="1" ref="P558" ca="1">INDIRECT(CONCATENATE("'",$A$550,"'!n",B558),1)</f>
        <v>0</v>
      </c>
      <c r="Q558" s="1" cm="1">
        <f t="array" aca="1" ref="Q558" ca="1">INDIRECT(CONCATENATE("'",$A$550,"'!o",B558),1)</f>
        <v>9</v>
      </c>
      <c r="R558" s="1" cm="1">
        <f t="array" aca="1" ref="R558" ca="1">INDIRECT(CONCATENATE("'",$A$550,"'!p",B558),1)</f>
        <v>0</v>
      </c>
      <c r="S558" s="1">
        <f t="shared" ca="1" si="47"/>
        <v>0</v>
      </c>
      <c r="T558" s="1" t="str" cm="1">
        <f t="array" aca="1" ref="T558" ca="1">INDIRECT(CONCATENATE("'",$A$550,"'!q",B558),1)</f>
        <v>Эминов С.И.</v>
      </c>
      <c r="U558" s="1" cm="1">
        <f t="array" aca="1" ref="U558" ca="1">INDIRECT(CONCATENATE("'",$A$550,"'!r",B558),1)</f>
        <v>25</v>
      </c>
      <c r="V558" s="1" cm="1">
        <f t="array" aca="1" ref="V558" ca="1">INDIRECT(CONCATENATE("'",$A$550,"'!s",B558),1)</f>
        <v>0</v>
      </c>
      <c r="W558" s="1" cm="1">
        <f t="array" aca="1" ref="W558" ca="1">INDIRECT(CONCATENATE("'",$A$550,"'!t",B558),1)</f>
        <v>0</v>
      </c>
      <c r="X558" s="1" cm="1">
        <f t="array" aca="1" ref="X558" ca="1">INDIRECT(CONCATENATE("'",$A$550,"'!u",B558),1)</f>
        <v>0</v>
      </c>
      <c r="Y558" s="1" cm="1">
        <f t="array" aca="1" ref="Y558" ca="1">INDIRECT(CONCATENATE("'",$A$550,"'!v",B558),1)</f>
        <v>0</v>
      </c>
    </row>
    <row r="559" spans="1:25" ht="33.75" hidden="1" x14ac:dyDescent="0.25">
      <c r="A559" s="15"/>
      <c r="B559" s="24">
        <f t="shared" si="46"/>
        <v>11</v>
      </c>
      <c r="C559" s="1" t="str" cm="1">
        <f t="array" aca="1" ref="C559" ca="1">INDIRECT(CONCATENATE("'",$A$550,"'!A",B559),1)</f>
        <v>Технология разработки программного обеспечения(установ.)</v>
      </c>
      <c r="D559" s="1" t="str" cm="1">
        <f t="array" aca="1" ref="D559" ca="1">INDIRECT(CONCATENATE("'",$A$550,"'!B",B559),1)</f>
        <v xml:space="preserve">09.03.01(09у) </v>
      </c>
      <c r="E559" s="1" t="str" cm="1">
        <f t="array" aca="1" ref="E559" ca="1">INDIRECT(CONCATENATE("'",$A$550,"'!c",B559),1)</f>
        <v>3092з</v>
      </c>
      <c r="F559" s="1" cm="1">
        <f t="array" aca="1" ref="F559" ca="1">INDIRECT(CONCATENATE("'",$A$550,"'!d",B559),1)</f>
        <v>5</v>
      </c>
      <c r="G559" s="1" cm="1">
        <f t="array" aca="1" ref="G559" ca="1">INDIRECT(CONCATENATE("'",$A$550,"'!e",B559),1)</f>
        <v>1</v>
      </c>
      <c r="H559" s="1" cm="1">
        <f t="array" aca="1" ref="H559" ca="1">INDIRECT(CONCATENATE("'",$A$550,"'!f",B559),1)</f>
        <v>15</v>
      </c>
      <c r="I559" s="1" cm="1">
        <f t="array" aca="1" ref="I559" ca="1">INDIRECT(CONCATENATE("'",$A$550,"'!g",B559),1)</f>
        <v>0</v>
      </c>
      <c r="J559" s="1" cm="1">
        <f t="array" aca="1" ref="J559" ca="1">INDIRECT(CONCATENATE("'",$A$550,"'!h",B559),1)</f>
        <v>0</v>
      </c>
      <c r="K559" s="1" cm="1">
        <f t="array" aca="1" ref="K559" ca="1">INDIRECT(CONCATENATE("'",$A$550,"'!i",B559),1)</f>
        <v>2</v>
      </c>
      <c r="L559" s="1" cm="1">
        <f t="array" aca="1" ref="L559" ca="1">INDIRECT(CONCATENATE("'",$A$550,"'!j",B559),1)</f>
        <v>0</v>
      </c>
      <c r="M559" s="1" cm="1">
        <f t="array" aca="1" ref="M559" ca="1">INDIRECT(CONCATENATE("'",$A$550,"'!k",B559),1)</f>
        <v>0</v>
      </c>
      <c r="N559" s="1" t="str" cm="1">
        <f t="array" aca="1" ref="N559" ca="1">INDIRECT(CONCATENATE("'",$A$550,"'!l",B559),1)</f>
        <v>Алексеев П.С.</v>
      </c>
      <c r="O559" s="1" cm="1">
        <f t="array" aca="1" ref="O559" ca="1">INDIRECT(CONCATENATE("'",$A$550,"'!m",B559),1)</f>
        <v>0</v>
      </c>
      <c r="P559" s="1" cm="1">
        <f t="array" aca="1" ref="P559" ca="1">INDIRECT(CONCATENATE("'",$A$550,"'!n",B559),1)</f>
        <v>0</v>
      </c>
      <c r="Q559" s="1" cm="1">
        <f t="array" aca="1" ref="Q559" ca="1">INDIRECT(CONCATENATE("'",$A$550,"'!o",B559),1)</f>
        <v>0</v>
      </c>
      <c r="R559" s="1" cm="1">
        <f t="array" aca="1" ref="R559" ca="1">INDIRECT(CONCATENATE("'",$A$550,"'!p",B559),1)</f>
        <v>0</v>
      </c>
      <c r="S559" s="1">
        <f t="shared" ca="1" si="47"/>
        <v>0</v>
      </c>
      <c r="T559" s="1" t="str" cm="1">
        <f t="array" aca="1" ref="T559" ca="1">INDIRECT(CONCATENATE("'",$A$550,"'!q",B559),1)</f>
        <v>Алексеев П.С.</v>
      </c>
      <c r="U559" s="1" cm="1">
        <f t="array" aca="1" ref="U559" ca="1">INDIRECT(CONCATENATE("'",$A$550,"'!r",B559),1)</f>
        <v>0</v>
      </c>
      <c r="V559" s="1" cm="1">
        <f t="array" aca="1" ref="V559" ca="1">INDIRECT(CONCATENATE("'",$A$550,"'!s",B559),1)</f>
        <v>0</v>
      </c>
      <c r="W559" s="1" cm="1">
        <f t="array" aca="1" ref="W559" ca="1">INDIRECT(CONCATENATE("'",$A$550,"'!t",B559),1)</f>
        <v>0</v>
      </c>
      <c r="X559" s="1" cm="1">
        <f t="array" aca="1" ref="X559" ca="1">INDIRECT(CONCATENATE("'",$A$550,"'!u",B559),1)</f>
        <v>0</v>
      </c>
      <c r="Y559" s="1" cm="1">
        <f t="array" aca="1" ref="Y559" ca="1">INDIRECT(CONCATENATE("'",$A$550,"'!v",B559),1)</f>
        <v>0</v>
      </c>
    </row>
    <row r="560" spans="1:25" ht="22.5" hidden="1" x14ac:dyDescent="0.25">
      <c r="A560" s="15"/>
      <c r="B560" s="24">
        <f t="shared" si="46"/>
        <v>12</v>
      </c>
      <c r="C560" s="1" t="str" cm="1">
        <f t="array" aca="1" ref="C560" ca="1">INDIRECT(CONCATENATE("'",$A$550,"'!A",B560),1)</f>
        <v>Системы искусственного интеллекта(установ.)</v>
      </c>
      <c r="D560" s="1" t="str" cm="1">
        <f t="array" aca="1" ref="D560" ca="1">INDIRECT(CONCATENATE("'",$A$550,"'!B",B560),1)</f>
        <v xml:space="preserve">09.03.01(09у) </v>
      </c>
      <c r="E560" s="1" t="str" cm="1">
        <f t="array" aca="1" ref="E560" ca="1">INDIRECT(CONCATENATE("'",$A$550,"'!c",B560),1)</f>
        <v>3092з</v>
      </c>
      <c r="F560" s="1" cm="1">
        <f t="array" aca="1" ref="F560" ca="1">INDIRECT(CONCATENATE("'",$A$550,"'!d",B560),1)</f>
        <v>5</v>
      </c>
      <c r="G560" s="1" cm="1">
        <f t="array" aca="1" ref="G560" ca="1">INDIRECT(CONCATENATE("'",$A$550,"'!e",B560),1)</f>
        <v>1</v>
      </c>
      <c r="H560" s="1" cm="1">
        <f t="array" aca="1" ref="H560" ca="1">INDIRECT(CONCATENATE("'",$A$550,"'!f",B560),1)</f>
        <v>15</v>
      </c>
      <c r="I560" s="1" cm="1">
        <f t="array" aca="1" ref="I560" ca="1">INDIRECT(CONCATENATE("'",$A$550,"'!g",B560),1)</f>
        <v>0</v>
      </c>
      <c r="J560" s="1" cm="1">
        <f t="array" aca="1" ref="J560" ca="1">INDIRECT(CONCATENATE("'",$A$550,"'!h",B560),1)</f>
        <v>0</v>
      </c>
      <c r="K560" s="1" cm="1">
        <f t="array" aca="1" ref="K560" ca="1">INDIRECT(CONCATENATE("'",$A$550,"'!i",B560),1)</f>
        <v>2</v>
      </c>
      <c r="L560" s="1" cm="1">
        <f t="array" aca="1" ref="L560" ca="1">INDIRECT(CONCATENATE("'",$A$550,"'!j",B560),1)</f>
        <v>0</v>
      </c>
      <c r="M560" s="1" cm="1">
        <f t="array" aca="1" ref="M560" ca="1">INDIRECT(CONCATENATE("'",$A$550,"'!k",B560),1)</f>
        <v>0</v>
      </c>
      <c r="N560" s="1" t="str" cm="1">
        <f t="array" aca="1" ref="N560" ca="1">INDIRECT(CONCATENATE("'",$A$550,"'!l",B560),1)</f>
        <v>Михайлов Д.В.</v>
      </c>
      <c r="O560" s="1" cm="1">
        <f t="array" aca="1" ref="O560" ca="1">INDIRECT(CONCATENATE("'",$A$550,"'!m",B560),1)</f>
        <v>0</v>
      </c>
      <c r="P560" s="1" cm="1">
        <f t="array" aca="1" ref="P560" ca="1">INDIRECT(CONCATENATE("'",$A$550,"'!n",B560),1)</f>
        <v>0</v>
      </c>
      <c r="Q560" s="1" cm="1">
        <f t="array" aca="1" ref="Q560" ca="1">INDIRECT(CONCATENATE("'",$A$550,"'!o",B560),1)</f>
        <v>0</v>
      </c>
      <c r="R560" s="1" cm="1">
        <f t="array" aca="1" ref="R560" ca="1">INDIRECT(CONCATENATE("'",$A$550,"'!p",B560),1)</f>
        <v>0</v>
      </c>
      <c r="S560" s="1">
        <f t="shared" ca="1" si="47"/>
        <v>0</v>
      </c>
      <c r="T560" s="1" t="str" cm="1">
        <f t="array" aca="1" ref="T560" ca="1">INDIRECT(CONCATENATE("'",$A$550,"'!q",B560),1)</f>
        <v>Михайлов Д.В.</v>
      </c>
      <c r="U560" s="1" cm="1">
        <f t="array" aca="1" ref="U560" ca="1">INDIRECT(CONCATENATE("'",$A$550,"'!r",B560),1)</f>
        <v>0</v>
      </c>
      <c r="V560" s="1" cm="1">
        <f t="array" aca="1" ref="V560" ca="1">INDIRECT(CONCATENATE("'",$A$550,"'!s",B560),1)</f>
        <v>0</v>
      </c>
      <c r="W560" s="1" cm="1">
        <f t="array" aca="1" ref="W560" ca="1">INDIRECT(CONCATENATE("'",$A$550,"'!t",B560),1)</f>
        <v>0</v>
      </c>
      <c r="X560" s="1" cm="1">
        <f t="array" aca="1" ref="X560" ca="1">INDIRECT(CONCATENATE("'",$A$550,"'!u",B560),1)</f>
        <v>0</v>
      </c>
      <c r="Y560" s="1" cm="1">
        <f t="array" aca="1" ref="Y560" ca="1">INDIRECT(CONCATENATE("'",$A$550,"'!v",B560),1)</f>
        <v>0</v>
      </c>
    </row>
    <row r="561" spans="1:25" hidden="1" x14ac:dyDescent="0.25">
      <c r="A561" s="15"/>
      <c r="B561" s="24">
        <f t="shared" si="46"/>
        <v>13</v>
      </c>
      <c r="C561" s="1" cm="1">
        <f t="array" aca="1" ref="C561" ca="1">INDIRECT(CONCATENATE("'",$A$550,"'!A",B561),1)</f>
        <v>0</v>
      </c>
      <c r="D561" s="1" cm="1">
        <f t="array" aca="1" ref="D561" ca="1">INDIRECT(CONCATENATE("'",$A$550,"'!B",B561),1)</f>
        <v>0</v>
      </c>
      <c r="E561" s="1" cm="1">
        <f t="array" aca="1" ref="E561" ca="1">INDIRECT(CONCATENATE("'",$A$550,"'!c",B561),1)</f>
        <v>0</v>
      </c>
      <c r="F561" s="1" cm="1">
        <f t="array" aca="1" ref="F561" ca="1">INDIRECT(CONCATENATE("'",$A$550,"'!d",B561),1)</f>
        <v>0</v>
      </c>
      <c r="G561" s="1" cm="1">
        <f t="array" aca="1" ref="G561" ca="1">INDIRECT(CONCATENATE("'",$A$550,"'!e",B561),1)</f>
        <v>0</v>
      </c>
      <c r="H561" s="1" cm="1">
        <f t="array" aca="1" ref="H561" ca="1">INDIRECT(CONCATENATE("'",$A$550,"'!f",B561),1)</f>
        <v>0</v>
      </c>
      <c r="I561" s="1" cm="1">
        <f t="array" aca="1" ref="I561" ca="1">INDIRECT(CONCATENATE("'",$A$550,"'!g",B561),1)</f>
        <v>0</v>
      </c>
      <c r="J561" s="1" cm="1">
        <f t="array" aca="1" ref="J561" ca="1">INDIRECT(CONCATENATE("'",$A$550,"'!h",B561),1)</f>
        <v>0</v>
      </c>
      <c r="K561" s="1" cm="1">
        <f t="array" aca="1" ref="K561" ca="1">INDIRECT(CONCATENATE("'",$A$550,"'!i",B561),1)</f>
        <v>0</v>
      </c>
      <c r="L561" s="1" cm="1">
        <f t="array" aca="1" ref="L561" ca="1">INDIRECT(CONCATENATE("'",$A$550,"'!j",B561),1)</f>
        <v>0</v>
      </c>
      <c r="M561" s="1" cm="1">
        <f t="array" aca="1" ref="M561" ca="1">INDIRECT(CONCATENATE("'",$A$550,"'!k",B561),1)</f>
        <v>0</v>
      </c>
      <c r="N561" s="1" t="str" cm="1">
        <f t="array" aca="1" ref="N561" ca="1">INDIRECT(CONCATENATE("'",$A$550,"'!l",B561),1)</f>
        <v/>
      </c>
      <c r="O561" s="1" cm="1">
        <f t="array" aca="1" ref="O561" ca="1">INDIRECT(CONCATENATE("'",$A$550,"'!m",B561),1)</f>
        <v>0</v>
      </c>
      <c r="P561" s="1" cm="1">
        <f t="array" aca="1" ref="P561" ca="1">INDIRECT(CONCATENATE("'",$A$550,"'!n",B561),1)</f>
        <v>0</v>
      </c>
      <c r="Q561" s="1" cm="1">
        <f t="array" aca="1" ref="Q561" ca="1">INDIRECT(CONCATENATE("'",$A$550,"'!o",B561),1)</f>
        <v>0</v>
      </c>
      <c r="R561" s="1" cm="1">
        <f t="array" aca="1" ref="R561" ca="1">INDIRECT(CONCATENATE("'",$A$550,"'!p",B561),1)</f>
        <v>0</v>
      </c>
      <c r="S561" s="1">
        <f t="shared" ca="1" si="47"/>
        <v>0</v>
      </c>
      <c r="T561" s="1" cm="1">
        <f t="array" aca="1" ref="T561" ca="1">INDIRECT(CONCATENATE("'",$A$550,"'!q",B561),1)</f>
        <v>0</v>
      </c>
      <c r="U561" s="1" cm="1">
        <f t="array" aca="1" ref="U561" ca="1">INDIRECT(CONCATENATE("'",$A$550,"'!r",B561),1)</f>
        <v>0</v>
      </c>
      <c r="V561" s="1" cm="1">
        <f t="array" aca="1" ref="V561" ca="1">INDIRECT(CONCATENATE("'",$A$550,"'!s",B561),1)</f>
        <v>0</v>
      </c>
      <c r="W561" s="1" cm="1">
        <f t="array" aca="1" ref="W561" ca="1">INDIRECT(CONCATENATE("'",$A$550,"'!t",B561),1)</f>
        <v>0</v>
      </c>
      <c r="X561" s="1" cm="1">
        <f t="array" aca="1" ref="X561" ca="1">INDIRECT(CONCATENATE("'",$A$550,"'!u",B561),1)</f>
        <v>0</v>
      </c>
      <c r="Y561" s="1" cm="1">
        <f t="array" aca="1" ref="Y561" ca="1">INDIRECT(CONCATENATE("'",$A$550,"'!v",B561),1)</f>
        <v>0</v>
      </c>
    </row>
    <row r="562" spans="1:25" hidden="1" x14ac:dyDescent="0.25">
      <c r="A562" s="15"/>
      <c r="B562" s="24">
        <f t="shared" si="46"/>
        <v>14</v>
      </c>
      <c r="C562" s="1" cm="1">
        <f t="array" aca="1" ref="C562" ca="1">INDIRECT(CONCATENATE("'",$A$550,"'!A",B562),1)</f>
        <v>0</v>
      </c>
      <c r="D562" s="1" cm="1">
        <f t="array" aca="1" ref="D562" ca="1">INDIRECT(CONCATENATE("'",$A$550,"'!B",B562),1)</f>
        <v>0</v>
      </c>
      <c r="E562" s="1" cm="1">
        <f t="array" aca="1" ref="E562" ca="1">INDIRECT(CONCATENATE("'",$A$550,"'!c",B562),1)</f>
        <v>0</v>
      </c>
      <c r="F562" s="1" cm="1">
        <f t="array" aca="1" ref="F562" ca="1">INDIRECT(CONCATENATE("'",$A$550,"'!d",B562),1)</f>
        <v>0</v>
      </c>
      <c r="G562" s="1" cm="1">
        <f t="array" aca="1" ref="G562" ca="1">INDIRECT(CONCATENATE("'",$A$550,"'!e",B562),1)</f>
        <v>0</v>
      </c>
      <c r="H562" s="1" cm="1">
        <f t="array" aca="1" ref="H562" ca="1">INDIRECT(CONCATENATE("'",$A$550,"'!f",B562),1)</f>
        <v>0</v>
      </c>
      <c r="I562" s="1" cm="1">
        <f t="array" aca="1" ref="I562" ca="1">INDIRECT(CONCATENATE("'",$A$550,"'!g",B562),1)</f>
        <v>0</v>
      </c>
      <c r="J562" s="1" cm="1">
        <f t="array" aca="1" ref="J562" ca="1">INDIRECT(CONCATENATE("'",$A$550,"'!h",B562),1)</f>
        <v>0</v>
      </c>
      <c r="K562" s="1" cm="1">
        <f t="array" aca="1" ref="K562" ca="1">INDIRECT(CONCATENATE("'",$A$550,"'!i",B562),1)</f>
        <v>0</v>
      </c>
      <c r="L562" s="1" cm="1">
        <f t="array" aca="1" ref="L562" ca="1">INDIRECT(CONCATENATE("'",$A$550,"'!j",B562),1)</f>
        <v>0</v>
      </c>
      <c r="M562" s="1" cm="1">
        <f t="array" aca="1" ref="M562" ca="1">INDIRECT(CONCATENATE("'",$A$550,"'!k",B562),1)</f>
        <v>0</v>
      </c>
      <c r="N562" s="1" t="str" cm="1">
        <f t="array" aca="1" ref="N562" ca="1">INDIRECT(CONCATENATE("'",$A$550,"'!l",B562),1)</f>
        <v/>
      </c>
      <c r="O562" s="1" cm="1">
        <f t="array" aca="1" ref="O562" ca="1">INDIRECT(CONCATENATE("'",$A$550,"'!m",B562),1)</f>
        <v>0</v>
      </c>
      <c r="P562" s="1" cm="1">
        <f t="array" aca="1" ref="P562" ca="1">INDIRECT(CONCATENATE("'",$A$550,"'!n",B562),1)</f>
        <v>0</v>
      </c>
      <c r="Q562" s="1" cm="1">
        <f t="array" aca="1" ref="Q562" ca="1">INDIRECT(CONCATENATE("'",$A$550,"'!o",B562),1)</f>
        <v>0</v>
      </c>
      <c r="R562" s="1" cm="1">
        <f t="array" aca="1" ref="R562" ca="1">INDIRECT(CONCATENATE("'",$A$550,"'!p",B562),1)</f>
        <v>0</v>
      </c>
      <c r="S562" s="1">
        <f t="shared" ca="1" si="47"/>
        <v>0</v>
      </c>
      <c r="T562" s="1" cm="1">
        <f t="array" aca="1" ref="T562" ca="1">INDIRECT(CONCATENATE("'",$A$550,"'!q",B562),1)</f>
        <v>0</v>
      </c>
      <c r="U562" s="1" cm="1">
        <f t="array" aca="1" ref="U562" ca="1">INDIRECT(CONCATENATE("'",$A$550,"'!r",B562),1)</f>
        <v>0</v>
      </c>
      <c r="V562" s="1" cm="1">
        <f t="array" aca="1" ref="V562" ca="1">INDIRECT(CONCATENATE("'",$A$550,"'!s",B562),1)</f>
        <v>0</v>
      </c>
      <c r="W562" s="1" cm="1">
        <f t="array" aca="1" ref="W562" ca="1">INDIRECT(CONCATENATE("'",$A$550,"'!t",B562),1)</f>
        <v>0</v>
      </c>
      <c r="X562" s="1" cm="1">
        <f t="array" aca="1" ref="X562" ca="1">INDIRECT(CONCATENATE("'",$A$550,"'!u",B562),1)</f>
        <v>0</v>
      </c>
      <c r="Y562" s="1" cm="1">
        <f t="array" aca="1" ref="Y562" ca="1">INDIRECT(CONCATENATE("'",$A$550,"'!v",B562),1)</f>
        <v>0</v>
      </c>
    </row>
    <row r="563" spans="1:25" hidden="1" x14ac:dyDescent="0.25">
      <c r="A563" s="15"/>
      <c r="B563" s="24">
        <f t="shared" si="46"/>
        <v>15</v>
      </c>
      <c r="C563" s="1" cm="1">
        <f t="array" aca="1" ref="C563" ca="1">INDIRECT(CONCATENATE("'",$A$550,"'!A",B563),1)</f>
        <v>0</v>
      </c>
      <c r="D563" s="1" cm="1">
        <f t="array" aca="1" ref="D563" ca="1">INDIRECT(CONCATENATE("'",$A$550,"'!B",B563),1)</f>
        <v>0</v>
      </c>
      <c r="E563" s="1" cm="1">
        <f t="array" aca="1" ref="E563" ca="1">INDIRECT(CONCATENATE("'",$A$550,"'!c",B563),1)</f>
        <v>0</v>
      </c>
      <c r="F563" s="1" cm="1">
        <f t="array" aca="1" ref="F563" ca="1">INDIRECT(CONCATENATE("'",$A$550,"'!d",B563),1)</f>
        <v>0</v>
      </c>
      <c r="G563" s="1" cm="1">
        <f t="array" aca="1" ref="G563" ca="1">INDIRECT(CONCATENATE("'",$A$550,"'!e",B563),1)</f>
        <v>0</v>
      </c>
      <c r="H563" s="1" cm="1">
        <f t="array" aca="1" ref="H563" ca="1">INDIRECT(CONCATENATE("'",$A$550,"'!f",B563),1)</f>
        <v>0</v>
      </c>
      <c r="I563" s="1" cm="1">
        <f t="array" aca="1" ref="I563" ca="1">INDIRECT(CONCATENATE("'",$A$550,"'!g",B563),1)</f>
        <v>0</v>
      </c>
      <c r="J563" s="1" cm="1">
        <f t="array" aca="1" ref="J563" ca="1">INDIRECT(CONCATENATE("'",$A$550,"'!h",B563),1)</f>
        <v>0</v>
      </c>
      <c r="K563" s="1" cm="1">
        <f t="array" aca="1" ref="K563" ca="1">INDIRECT(CONCATENATE("'",$A$550,"'!i",B563),1)</f>
        <v>0</v>
      </c>
      <c r="L563" s="1" cm="1">
        <f t="array" aca="1" ref="L563" ca="1">INDIRECT(CONCATENATE("'",$A$550,"'!j",B563),1)</f>
        <v>0</v>
      </c>
      <c r="M563" s="1" cm="1">
        <f t="array" aca="1" ref="M563" ca="1">INDIRECT(CONCATENATE("'",$A$550,"'!k",B563),1)</f>
        <v>0</v>
      </c>
      <c r="N563" s="1" t="str" cm="1">
        <f t="array" aca="1" ref="N563" ca="1">INDIRECT(CONCATENATE("'",$A$550,"'!l",B563),1)</f>
        <v/>
      </c>
      <c r="O563" s="1" cm="1">
        <f t="array" aca="1" ref="O563" ca="1">INDIRECT(CONCATENATE("'",$A$550,"'!m",B563),1)</f>
        <v>0</v>
      </c>
      <c r="P563" s="1" cm="1">
        <f t="array" aca="1" ref="P563" ca="1">INDIRECT(CONCATENATE("'",$A$550,"'!n",B563),1)</f>
        <v>0</v>
      </c>
      <c r="Q563" s="1" cm="1">
        <f t="array" aca="1" ref="Q563" ca="1">INDIRECT(CONCATENATE("'",$A$550,"'!o",B563),1)</f>
        <v>0</v>
      </c>
      <c r="R563" s="1" cm="1">
        <f t="array" aca="1" ref="R563" ca="1">INDIRECT(CONCATENATE("'",$A$550,"'!p",B563),1)</f>
        <v>0</v>
      </c>
      <c r="S563" s="1">
        <f t="shared" ca="1" si="47"/>
        <v>0</v>
      </c>
      <c r="T563" s="1" cm="1">
        <f t="array" aca="1" ref="T563" ca="1">INDIRECT(CONCATENATE("'",$A$550,"'!q",B563),1)</f>
        <v>0</v>
      </c>
      <c r="U563" s="1" cm="1">
        <f t="array" aca="1" ref="U563" ca="1">INDIRECT(CONCATENATE("'",$A$550,"'!r",B563),1)</f>
        <v>0</v>
      </c>
      <c r="V563" s="1" cm="1">
        <f t="array" aca="1" ref="V563" ca="1">INDIRECT(CONCATENATE("'",$A$550,"'!s",B563),1)</f>
        <v>0</v>
      </c>
      <c r="W563" s="1" cm="1">
        <f t="array" aca="1" ref="W563" ca="1">INDIRECT(CONCATENATE("'",$A$550,"'!t",B563),1)</f>
        <v>0</v>
      </c>
      <c r="X563" s="1" cm="1">
        <f t="array" aca="1" ref="X563" ca="1">INDIRECT(CONCATENATE("'",$A$550,"'!u",B563),1)</f>
        <v>0</v>
      </c>
      <c r="Y563" s="1" cm="1">
        <f t="array" aca="1" ref="Y563" ca="1">INDIRECT(CONCATENATE("'",$A$550,"'!v",B563),1)</f>
        <v>0</v>
      </c>
    </row>
    <row r="564" spans="1:25" hidden="1" x14ac:dyDescent="0.25">
      <c r="A564" s="15"/>
      <c r="B564" s="24">
        <f t="shared" si="46"/>
        <v>16</v>
      </c>
      <c r="C564" s="1" cm="1">
        <f t="array" aca="1" ref="C564" ca="1">INDIRECT(CONCATENATE("'",$A$550,"'!A",B564),1)</f>
        <v>0</v>
      </c>
      <c r="D564" s="1" cm="1">
        <f t="array" aca="1" ref="D564" ca="1">INDIRECT(CONCATENATE("'",$A$550,"'!B",B564),1)</f>
        <v>0</v>
      </c>
      <c r="E564" s="1" cm="1">
        <f t="array" aca="1" ref="E564" ca="1">INDIRECT(CONCATENATE("'",$A$550,"'!c",B564),1)</f>
        <v>0</v>
      </c>
      <c r="F564" s="1" cm="1">
        <f t="array" aca="1" ref="F564" ca="1">INDIRECT(CONCATENATE("'",$A$550,"'!d",B564),1)</f>
        <v>0</v>
      </c>
      <c r="G564" s="1" cm="1">
        <f t="array" aca="1" ref="G564" ca="1">INDIRECT(CONCATENATE("'",$A$550,"'!e",B564),1)</f>
        <v>0</v>
      </c>
      <c r="H564" s="1" cm="1">
        <f t="array" aca="1" ref="H564" ca="1">INDIRECT(CONCATENATE("'",$A$550,"'!f",B564),1)</f>
        <v>0</v>
      </c>
      <c r="I564" s="1" cm="1">
        <f t="array" aca="1" ref="I564" ca="1">INDIRECT(CONCATENATE("'",$A$550,"'!g",B564),1)</f>
        <v>0</v>
      </c>
      <c r="J564" s="1" cm="1">
        <f t="array" aca="1" ref="J564" ca="1">INDIRECT(CONCATENATE("'",$A$550,"'!h",B564),1)</f>
        <v>0</v>
      </c>
      <c r="K564" s="1" cm="1">
        <f t="array" aca="1" ref="K564" ca="1">INDIRECT(CONCATENATE("'",$A$550,"'!i",B564),1)</f>
        <v>0</v>
      </c>
      <c r="L564" s="1" cm="1">
        <f t="array" aca="1" ref="L564" ca="1">INDIRECT(CONCATENATE("'",$A$550,"'!j",B564),1)</f>
        <v>0</v>
      </c>
      <c r="M564" s="1" cm="1">
        <f t="array" aca="1" ref="M564" ca="1">INDIRECT(CONCATENATE("'",$A$550,"'!k",B564),1)</f>
        <v>0</v>
      </c>
      <c r="N564" s="1" t="str" cm="1">
        <f t="array" aca="1" ref="N564" ca="1">INDIRECT(CONCATENATE("'",$A$550,"'!l",B564),1)</f>
        <v/>
      </c>
      <c r="O564" s="1" cm="1">
        <f t="array" aca="1" ref="O564" ca="1">INDIRECT(CONCATENATE("'",$A$550,"'!m",B564),1)</f>
        <v>0</v>
      </c>
      <c r="P564" s="1" cm="1">
        <f t="array" aca="1" ref="P564" ca="1">INDIRECT(CONCATENATE("'",$A$550,"'!n",B564),1)</f>
        <v>0</v>
      </c>
      <c r="Q564" s="1" cm="1">
        <f t="array" aca="1" ref="Q564" ca="1">INDIRECT(CONCATENATE("'",$A$550,"'!o",B564),1)</f>
        <v>0</v>
      </c>
      <c r="R564" s="1" cm="1">
        <f t="array" aca="1" ref="R564" ca="1">INDIRECT(CONCATENATE("'",$A$550,"'!p",B564),1)</f>
        <v>0</v>
      </c>
      <c r="S564" s="1">
        <f t="shared" ca="1" si="47"/>
        <v>0</v>
      </c>
      <c r="T564" s="1" cm="1">
        <f t="array" aca="1" ref="T564" ca="1">INDIRECT(CONCATENATE("'",$A$550,"'!q",B564),1)</f>
        <v>0</v>
      </c>
      <c r="U564" s="1" cm="1">
        <f t="array" aca="1" ref="U564" ca="1">INDIRECT(CONCATENATE("'",$A$550,"'!r",B564),1)</f>
        <v>0</v>
      </c>
      <c r="V564" s="1" cm="1">
        <f t="array" aca="1" ref="V564" ca="1">INDIRECT(CONCATENATE("'",$A$550,"'!s",B564),1)</f>
        <v>0</v>
      </c>
      <c r="W564" s="1" cm="1">
        <f t="array" aca="1" ref="W564" ca="1">INDIRECT(CONCATENATE("'",$A$550,"'!t",B564),1)</f>
        <v>0</v>
      </c>
      <c r="X564" s="1" cm="1">
        <f t="array" aca="1" ref="X564" ca="1">INDIRECT(CONCATENATE("'",$A$550,"'!u",B564),1)</f>
        <v>0</v>
      </c>
      <c r="Y564" s="1" cm="1">
        <f t="array" aca="1" ref="Y564" ca="1">INDIRECT(CONCATENATE("'",$A$550,"'!v",B564),1)</f>
        <v>0</v>
      </c>
    </row>
    <row r="565" spans="1:25" hidden="1" x14ac:dyDescent="0.25">
      <c r="A565" s="15"/>
      <c r="B565" s="24">
        <f t="shared" si="46"/>
        <v>17</v>
      </c>
      <c r="C565" s="1" cm="1">
        <f t="array" aca="1" ref="C565" ca="1">INDIRECT(CONCATENATE("'",$A$550,"'!A",B565),1)</f>
        <v>0</v>
      </c>
      <c r="D565" s="1" cm="1">
        <f t="array" aca="1" ref="D565" ca="1">INDIRECT(CONCATENATE("'",$A$550,"'!B",B565),1)</f>
        <v>0</v>
      </c>
      <c r="E565" s="1" cm="1">
        <f t="array" aca="1" ref="E565" ca="1">INDIRECT(CONCATENATE("'",$A$550,"'!c",B565),1)</f>
        <v>0</v>
      </c>
      <c r="F565" s="1" cm="1">
        <f t="array" aca="1" ref="F565" ca="1">INDIRECT(CONCATENATE("'",$A$550,"'!d",B565),1)</f>
        <v>0</v>
      </c>
      <c r="G565" s="1" cm="1">
        <f t="array" aca="1" ref="G565" ca="1">INDIRECT(CONCATENATE("'",$A$550,"'!e",B565),1)</f>
        <v>0</v>
      </c>
      <c r="H565" s="1" cm="1">
        <f t="array" aca="1" ref="H565" ca="1">INDIRECT(CONCATENATE("'",$A$550,"'!f",B565),1)</f>
        <v>0</v>
      </c>
      <c r="I565" s="1" cm="1">
        <f t="array" aca="1" ref="I565" ca="1">INDIRECT(CONCATENATE("'",$A$550,"'!g",B565),1)</f>
        <v>0</v>
      </c>
      <c r="J565" s="1" cm="1">
        <f t="array" aca="1" ref="J565" ca="1">INDIRECT(CONCATENATE("'",$A$550,"'!h",B565),1)</f>
        <v>0</v>
      </c>
      <c r="K565" s="1" cm="1">
        <f t="array" aca="1" ref="K565" ca="1">INDIRECT(CONCATENATE("'",$A$550,"'!i",B565),1)</f>
        <v>0</v>
      </c>
      <c r="L565" s="1" cm="1">
        <f t="array" aca="1" ref="L565" ca="1">INDIRECT(CONCATENATE("'",$A$550,"'!j",B565),1)</f>
        <v>0</v>
      </c>
      <c r="M565" s="1" cm="1">
        <f t="array" aca="1" ref="M565" ca="1">INDIRECT(CONCATENATE("'",$A$550,"'!k",B565),1)</f>
        <v>0</v>
      </c>
      <c r="N565" s="1" t="str" cm="1">
        <f t="array" aca="1" ref="N565" ca="1">INDIRECT(CONCATENATE("'",$A$550,"'!l",B565),1)</f>
        <v/>
      </c>
      <c r="O565" s="1" cm="1">
        <f t="array" aca="1" ref="O565" ca="1">INDIRECT(CONCATENATE("'",$A$550,"'!m",B565),1)</f>
        <v>0</v>
      </c>
      <c r="P565" s="1" cm="1">
        <f t="array" aca="1" ref="P565" ca="1">INDIRECT(CONCATENATE("'",$A$550,"'!n",B565),1)</f>
        <v>0</v>
      </c>
      <c r="Q565" s="1" cm="1">
        <f t="array" aca="1" ref="Q565" ca="1">INDIRECT(CONCATENATE("'",$A$550,"'!o",B565),1)</f>
        <v>0</v>
      </c>
      <c r="R565" s="1" cm="1">
        <f t="array" aca="1" ref="R565" ca="1">INDIRECT(CONCATENATE("'",$A$550,"'!p",B565),1)</f>
        <v>0</v>
      </c>
      <c r="S565" s="1">
        <f t="shared" ref="S565:S625" ca="1" si="48">SUMIFS(U565,T565,$N$1)+SUMIFS(W565,V565,$N$1)+SUMIFS(Y565,X565,$N$1)</f>
        <v>0</v>
      </c>
      <c r="T565" s="1" cm="1">
        <f t="array" aca="1" ref="T565" ca="1">INDIRECT(CONCATENATE("'",$A$550,"'!q",B565),1)</f>
        <v>0</v>
      </c>
      <c r="U565" s="1" cm="1">
        <f t="array" aca="1" ref="U565" ca="1">INDIRECT(CONCATENATE("'",$A$550,"'!r",B565),1)</f>
        <v>0</v>
      </c>
      <c r="V565" s="1" cm="1">
        <f t="array" aca="1" ref="V565" ca="1">INDIRECT(CONCATENATE("'",$A$550,"'!s",B565),1)</f>
        <v>0</v>
      </c>
      <c r="W565" s="1" cm="1">
        <f t="array" aca="1" ref="W565" ca="1">INDIRECT(CONCATENATE("'",$A$550,"'!t",B565),1)</f>
        <v>0</v>
      </c>
      <c r="X565" s="1" cm="1">
        <f t="array" aca="1" ref="X565" ca="1">INDIRECT(CONCATENATE("'",$A$550,"'!u",B565),1)</f>
        <v>0</v>
      </c>
      <c r="Y565" s="1" cm="1">
        <f t="array" aca="1" ref="Y565" ca="1">INDIRECT(CONCATENATE("'",$A$550,"'!v",B565),1)</f>
        <v>0</v>
      </c>
    </row>
    <row r="566" spans="1:25" hidden="1" x14ac:dyDescent="0.25">
      <c r="A566" s="15"/>
      <c r="B566" s="24">
        <f t="shared" si="46"/>
        <v>18</v>
      </c>
      <c r="C566" s="1" cm="1">
        <f t="array" aca="1" ref="C566" ca="1">INDIRECT(CONCATENATE("'",$A$550,"'!A",B566),1)</f>
        <v>0</v>
      </c>
      <c r="D566" s="1" cm="1">
        <f t="array" aca="1" ref="D566" ca="1">INDIRECT(CONCATENATE("'",$A$550,"'!B",B566),1)</f>
        <v>0</v>
      </c>
      <c r="E566" s="1" cm="1">
        <f t="array" aca="1" ref="E566" ca="1">INDIRECT(CONCATENATE("'",$A$550,"'!c",B566),1)</f>
        <v>0</v>
      </c>
      <c r="F566" s="1" cm="1">
        <f t="array" aca="1" ref="F566" ca="1">INDIRECT(CONCATENATE("'",$A$550,"'!d",B566),1)</f>
        <v>0</v>
      </c>
      <c r="G566" s="1" cm="1">
        <f t="array" aca="1" ref="G566" ca="1">INDIRECT(CONCATENATE("'",$A$550,"'!e",B566),1)</f>
        <v>0</v>
      </c>
      <c r="H566" s="1" cm="1">
        <f t="array" aca="1" ref="H566" ca="1">INDIRECT(CONCATENATE("'",$A$550,"'!f",B566),1)</f>
        <v>0</v>
      </c>
      <c r="I566" s="1" cm="1">
        <f t="array" aca="1" ref="I566" ca="1">INDIRECT(CONCATENATE("'",$A$550,"'!g",B566),1)</f>
        <v>0</v>
      </c>
      <c r="J566" s="1" cm="1">
        <f t="array" aca="1" ref="J566" ca="1">INDIRECT(CONCATENATE("'",$A$550,"'!h",B566),1)</f>
        <v>0</v>
      </c>
      <c r="K566" s="1" cm="1">
        <f t="array" aca="1" ref="K566" ca="1">INDIRECT(CONCATENATE("'",$A$550,"'!i",B566),1)</f>
        <v>0</v>
      </c>
      <c r="L566" s="1" cm="1">
        <f t="array" aca="1" ref="L566" ca="1">INDIRECT(CONCATENATE("'",$A$550,"'!j",B566),1)</f>
        <v>0</v>
      </c>
      <c r="M566" s="1" cm="1">
        <f t="array" aca="1" ref="M566" ca="1">INDIRECT(CONCATENATE("'",$A$550,"'!k",B566),1)</f>
        <v>0</v>
      </c>
      <c r="N566" s="1" t="str" cm="1">
        <f t="array" aca="1" ref="N566" ca="1">INDIRECT(CONCATENATE("'",$A$550,"'!l",B566),1)</f>
        <v/>
      </c>
      <c r="O566" s="1" cm="1">
        <f t="array" aca="1" ref="O566" ca="1">INDIRECT(CONCATENATE("'",$A$550,"'!m",B566),1)</f>
        <v>0</v>
      </c>
      <c r="P566" s="1" cm="1">
        <f t="array" aca="1" ref="P566" ca="1">INDIRECT(CONCATENATE("'",$A$550,"'!n",B566),1)</f>
        <v>0</v>
      </c>
      <c r="Q566" s="1" cm="1">
        <f t="array" aca="1" ref="Q566" ca="1">INDIRECT(CONCATENATE("'",$A$550,"'!o",B566),1)</f>
        <v>0</v>
      </c>
      <c r="R566" s="1" cm="1">
        <f t="array" aca="1" ref="R566" ca="1">INDIRECT(CONCATENATE("'",$A$550,"'!p",B566),1)</f>
        <v>0</v>
      </c>
      <c r="S566" s="1">
        <f t="shared" ca="1" si="48"/>
        <v>0</v>
      </c>
      <c r="T566" s="1" cm="1">
        <f t="array" aca="1" ref="T566" ca="1">INDIRECT(CONCATENATE("'",$A$550,"'!q",B566),1)</f>
        <v>0</v>
      </c>
      <c r="U566" s="1" cm="1">
        <f t="array" aca="1" ref="U566" ca="1">INDIRECT(CONCATENATE("'",$A$550,"'!r",B566),1)</f>
        <v>0</v>
      </c>
      <c r="V566" s="1" cm="1">
        <f t="array" aca="1" ref="V566" ca="1">INDIRECT(CONCATENATE("'",$A$550,"'!s",B566),1)</f>
        <v>0</v>
      </c>
      <c r="W566" s="1" cm="1">
        <f t="array" aca="1" ref="W566" ca="1">INDIRECT(CONCATENATE("'",$A$550,"'!t",B566),1)</f>
        <v>0</v>
      </c>
      <c r="X566" s="1" cm="1">
        <f t="array" aca="1" ref="X566" ca="1">INDIRECT(CONCATENATE("'",$A$550,"'!u",B566),1)</f>
        <v>0</v>
      </c>
      <c r="Y566" s="1" cm="1">
        <f t="array" aca="1" ref="Y566" ca="1">INDIRECT(CONCATENATE("'",$A$550,"'!v",B566),1)</f>
        <v>0</v>
      </c>
    </row>
    <row r="567" spans="1:25" ht="33.75" hidden="1" x14ac:dyDescent="0.25">
      <c r="A567" s="15"/>
      <c r="B567" s="24">
        <f t="shared" si="46"/>
        <v>19</v>
      </c>
      <c r="C567" s="1" t="str" cm="1">
        <f t="array" aca="1" ref="C567" ca="1">INDIRECT(CONCATENATE("'",$A$550,"'!A",B567),1)</f>
        <v>Технология разработки программного обеспечения</v>
      </c>
      <c r="D567" s="1" t="str" cm="1">
        <f t="array" aca="1" ref="D567" ca="1">INDIRECT(CONCATENATE("'",$A$550,"'!B",B567),1)</f>
        <v xml:space="preserve">09.03.01(09у) </v>
      </c>
      <c r="E567" s="1" t="str" cm="1">
        <f t="array" aca="1" ref="E567" ca="1">INDIRECT(CONCATENATE("'",$A$550,"'!c",B567),1)</f>
        <v>3092з</v>
      </c>
      <c r="F567" s="1" cm="1">
        <f t="array" aca="1" ref="F567" ca="1">INDIRECT(CONCATENATE("'",$A$550,"'!d",B567),1)</f>
        <v>6</v>
      </c>
      <c r="G567" s="1" cm="1">
        <f t="array" aca="1" ref="G567" ca="1">INDIRECT(CONCATENATE("'",$A$550,"'!e",B567),1)</f>
        <v>1</v>
      </c>
      <c r="H567" s="1" cm="1">
        <f t="array" aca="1" ref="H567" ca="1">INDIRECT(CONCATENATE("'",$A$550,"'!f",B567),1)</f>
        <v>15</v>
      </c>
      <c r="I567" s="1" t="str" cm="1">
        <f t="array" aca="1" ref="I567" ca="1">INDIRECT(CONCATENATE("'",$A$550,"'!g",B567),1)</f>
        <v>ЭКЗ</v>
      </c>
      <c r="J567" s="1" cm="1">
        <f t="array" aca="1" ref="J567" ca="1">INDIRECT(CONCATENATE("'",$A$550,"'!h",B567),1)</f>
        <v>4</v>
      </c>
      <c r="K567" s="1" cm="1">
        <f t="array" aca="1" ref="K567" ca="1">INDIRECT(CONCATENATE("'",$A$550,"'!i",B567),1)</f>
        <v>4</v>
      </c>
      <c r="L567" s="1" cm="1">
        <f t="array" aca="1" ref="L567" ca="1">INDIRECT(CONCATENATE("'",$A$550,"'!j",B567),1)</f>
        <v>4</v>
      </c>
      <c r="M567" s="1" cm="1">
        <f t="array" aca="1" ref="M567" ca="1">INDIRECT(CONCATENATE("'",$A$550,"'!k",B567),1)</f>
        <v>4</v>
      </c>
      <c r="N567" s="1" t="str" cm="1">
        <f t="array" aca="1" ref="N567" ca="1">INDIRECT(CONCATENATE("'",$A$550,"'!l",B567),1)</f>
        <v>Алексеев П.С.</v>
      </c>
      <c r="O567" s="1" cm="1">
        <f t="array" aca="1" ref="O567" ca="1">INDIRECT(CONCATENATE("'",$A$550,"'!m",B567),1)</f>
        <v>3312</v>
      </c>
      <c r="P567" s="1" cm="1">
        <f t="array" aca="1" ref="P567" ca="1">INDIRECT(CONCATENATE("'",$A$550,"'!n",B567),1)</f>
        <v>3312</v>
      </c>
      <c r="Q567" s="1" cm="1">
        <f t="array" aca="1" ref="Q567" ca="1">INDIRECT(CONCATENATE("'",$A$550,"'!o",B567),1)</f>
        <v>9</v>
      </c>
      <c r="R567" s="1" cm="1">
        <f t="array" aca="1" ref="R567" ca="1">INDIRECT(CONCATENATE("'",$A$550,"'!p",B567),1)</f>
        <v>6</v>
      </c>
      <c r="S567" s="1">
        <f t="shared" ca="1" si="48"/>
        <v>0</v>
      </c>
      <c r="T567" s="1" t="str" cm="1">
        <f t="array" aca="1" ref="T567" ca="1">INDIRECT(CONCATENATE("'",$A$550,"'!q",B567),1)</f>
        <v>Алексеев П.С.</v>
      </c>
      <c r="U567" s="1" cm="1">
        <f t="array" aca="1" ref="U567" ca="1">INDIRECT(CONCATENATE("'",$A$550,"'!r",B567),1)</f>
        <v>27</v>
      </c>
      <c r="V567" s="1" cm="1">
        <f t="array" aca="1" ref="V567" ca="1">INDIRECT(CONCATENATE("'",$A$550,"'!s",B567),1)</f>
        <v>0</v>
      </c>
      <c r="W567" s="1" cm="1">
        <f t="array" aca="1" ref="W567" ca="1">INDIRECT(CONCATENATE("'",$A$550,"'!t",B567),1)</f>
        <v>0</v>
      </c>
      <c r="X567" s="1" cm="1">
        <f t="array" aca="1" ref="X567" ca="1">INDIRECT(CONCATENATE("'",$A$550,"'!u",B567),1)</f>
        <v>0</v>
      </c>
      <c r="Y567" s="1" cm="1">
        <f t="array" aca="1" ref="Y567" ca="1">INDIRECT(CONCATENATE("'",$A$550,"'!v",B567),1)</f>
        <v>0</v>
      </c>
    </row>
    <row r="568" spans="1:25" ht="33.75" x14ac:dyDescent="0.25">
      <c r="A568" s="15"/>
      <c r="B568" s="24">
        <f t="shared" si="46"/>
        <v>20</v>
      </c>
      <c r="C568" s="1" t="str" cm="1">
        <f t="array" aca="1" ref="C568" ca="1">INDIRECT(CONCATENATE("'",$A$550,"'!A",B568),1)</f>
        <v>Проектный практикум</v>
      </c>
      <c r="D568" s="1" t="str" cm="1">
        <f t="array" aca="1" ref="D568" ca="1">INDIRECT(CONCATENATE("'",$A$550,"'!B",B568),1)</f>
        <v>09.03.01(09) 09.03.01(09у)</v>
      </c>
      <c r="E568" s="1" t="str" cm="1">
        <f t="array" aca="1" ref="E568" ca="1">INDIRECT(CONCATENATE("'",$A$550,"'!c",B568),1)</f>
        <v>3091з
3092з</v>
      </c>
      <c r="F568" s="1" cm="1">
        <f t="array" aca="1" ref="F568" ca="1">INDIRECT(CONCATENATE("'",$A$550,"'!d",B568),1)</f>
        <v>6</v>
      </c>
      <c r="G568" s="1" cm="1">
        <f t="array" aca="1" ref="G568" ca="1">INDIRECT(CONCATENATE("'",$A$550,"'!e",B568),1)</f>
        <v>2</v>
      </c>
      <c r="H568" s="1" cm="1">
        <f t="array" aca="1" ref="H568" ca="1">INDIRECT(CONCATENATE("'",$A$550,"'!f",B568),1)</f>
        <v>30</v>
      </c>
      <c r="I568" s="1" t="str" cm="1">
        <f t="array" aca="1" ref="I568" ca="1">INDIRECT(CONCATENATE("'",$A$550,"'!g",B568),1)</f>
        <v>ЗАЧ</v>
      </c>
      <c r="J568" s="1" cm="1">
        <f t="array" aca="1" ref="J568" ca="1">INDIRECT(CONCATENATE("'",$A$550,"'!h",B568),1)</f>
        <v>1</v>
      </c>
      <c r="K568" s="1" cm="1">
        <f t="array" aca="1" ref="K568" ca="1">INDIRECT(CONCATENATE("'",$A$550,"'!i",B568),1)</f>
        <v>0</v>
      </c>
      <c r="L568" s="1" cm="1">
        <f t="array" aca="1" ref="L568" ca="1">INDIRECT(CONCATENATE("'",$A$550,"'!j",B568),1)</f>
        <v>8</v>
      </c>
      <c r="M568" s="1" cm="1">
        <f t="array" aca="1" ref="M568" ca="1">INDIRECT(CONCATENATE("'",$A$550,"'!k",B568),1)</f>
        <v>0</v>
      </c>
      <c r="N568" s="1" t="str" cm="1">
        <f t="array" aca="1" ref="N568" ca="1">INDIRECT(CONCATENATE("'",$A$550,"'!l",B568),1)</f>
        <v>Савинова М.А.</v>
      </c>
      <c r="O568" s="1" cm="1">
        <f t="array" aca="1" ref="O568" ca="1">INDIRECT(CONCATENATE("'",$A$550,"'!m",B568),1)</f>
        <v>108</v>
      </c>
      <c r="P568" s="1" t="str" cm="1">
        <f t="array" aca="1" ref="P568" ca="1">INDIRECT(CONCATENATE("'",$A$550,"'!n",B568),1)</f>
        <v>2п</v>
      </c>
      <c r="Q568" s="1" cm="1">
        <f t="array" aca="1" ref="Q568" ca="1">INDIRECT(CONCATENATE("'",$A$550,"'!o",B568),1)</f>
        <v>45</v>
      </c>
      <c r="R568" s="1" cm="1">
        <f t="array" aca="1" ref="R568" ca="1">INDIRECT(CONCATENATE("'",$A$550,"'!p",B568),1)</f>
        <v>0</v>
      </c>
      <c r="S568" s="1">
        <f t="shared" ca="1" si="48"/>
        <v>45</v>
      </c>
      <c r="T568" s="1" t="str" cm="1">
        <f t="array" aca="1" ref="T568" ca="1">INDIRECT(CONCATENATE("'",$A$550,"'!q",B568),1)</f>
        <v>Савинова М.А.</v>
      </c>
      <c r="U568" s="1" cm="1">
        <f t="array" aca="1" ref="U568" ca="1">INDIRECT(CONCATENATE("'",$A$550,"'!r",B568),1)</f>
        <v>45</v>
      </c>
      <c r="V568" s="1" cm="1">
        <f t="array" aca="1" ref="V568" ca="1">INDIRECT(CONCATENATE("'",$A$550,"'!s",B568),1)</f>
        <v>0</v>
      </c>
      <c r="W568" s="1" cm="1">
        <f t="array" aca="1" ref="W568" ca="1">INDIRECT(CONCATENATE("'",$A$550,"'!t",B568),1)</f>
        <v>0</v>
      </c>
      <c r="X568" s="1" cm="1">
        <f t="array" aca="1" ref="X568" ca="1">INDIRECT(CONCATENATE("'",$A$550,"'!u",B568),1)</f>
        <v>0</v>
      </c>
      <c r="Y568" s="1" cm="1">
        <f t="array" aca="1" ref="Y568" ca="1">INDIRECT(CONCATENATE("'",$A$550,"'!v",B568),1)</f>
        <v>0</v>
      </c>
    </row>
    <row r="569" spans="1:25" ht="22.5" hidden="1" x14ac:dyDescent="0.25">
      <c r="A569" s="15"/>
      <c r="B569" s="24">
        <f t="shared" si="46"/>
        <v>21</v>
      </c>
      <c r="C569" s="1" t="str" cm="1">
        <f t="array" aca="1" ref="C569" ca="1">INDIRECT(CONCATENATE("'",$A$550,"'!A",B569),1)</f>
        <v>Системы искусственного интеллекта</v>
      </c>
      <c r="D569" s="1" t="str" cm="1">
        <f t="array" aca="1" ref="D569" ca="1">INDIRECT(CONCATENATE("'",$A$550,"'!B",B569),1)</f>
        <v>09.03.01(09)</v>
      </c>
      <c r="E569" s="1" t="str" cm="1">
        <f t="array" aca="1" ref="E569" ca="1">INDIRECT(CONCATENATE("'",$A$550,"'!c",B569),1)</f>
        <v>3092з</v>
      </c>
      <c r="F569" s="1" cm="1">
        <f t="array" aca="1" ref="F569" ca="1">INDIRECT(CONCATENATE("'",$A$550,"'!d",B569),1)</f>
        <v>6</v>
      </c>
      <c r="G569" s="1" cm="1">
        <f t="array" aca="1" ref="G569" ca="1">INDIRECT(CONCATENATE("'",$A$550,"'!e",B569),1)</f>
        <v>1</v>
      </c>
      <c r="H569" s="1" cm="1">
        <f t="array" aca="1" ref="H569" ca="1">INDIRECT(CONCATENATE("'",$A$550,"'!f",B569),1)</f>
        <v>15</v>
      </c>
      <c r="I569" s="1" t="str" cm="1">
        <f t="array" aca="1" ref="I569" ca="1">INDIRECT(CONCATENATE("'",$A$550,"'!g",B569),1)</f>
        <v>ЭКЗ</v>
      </c>
      <c r="J569" s="1" cm="1">
        <f t="array" aca="1" ref="J569" ca="1">INDIRECT(CONCATENATE("'",$A$550,"'!h",B569),1)</f>
        <v>4</v>
      </c>
      <c r="K569" s="1" cm="1">
        <f t="array" aca="1" ref="K569" ca="1">INDIRECT(CONCATENATE("'",$A$550,"'!i",B569),1)</f>
        <v>4</v>
      </c>
      <c r="L569" s="1" cm="1">
        <f t="array" aca="1" ref="L569" ca="1">INDIRECT(CONCATENATE("'",$A$550,"'!j",B569),1)</f>
        <v>4</v>
      </c>
      <c r="M569" s="1" cm="1">
        <f t="array" aca="1" ref="M569" ca="1">INDIRECT(CONCATENATE("'",$A$550,"'!k",B569),1)</f>
        <v>4</v>
      </c>
      <c r="N569" s="1" t="str" cm="1">
        <f t="array" aca="1" ref="N569" ca="1">INDIRECT(CONCATENATE("'",$A$550,"'!l",B569),1)</f>
        <v>Михайлов Д.В.</v>
      </c>
      <c r="O569" s="1" cm="1">
        <f t="array" aca="1" ref="O569" ca="1">INDIRECT(CONCATENATE("'",$A$550,"'!m",B569),1)</f>
        <v>3305</v>
      </c>
      <c r="P569" s="1" t="str" cm="1">
        <f t="array" aca="1" ref="P569" ca="1">INDIRECT(CONCATENATE("'",$A$550,"'!n",B569),1)</f>
        <v>2п</v>
      </c>
      <c r="Q569" s="1" cm="1">
        <f t="array" aca="1" ref="Q569" ca="1">INDIRECT(CONCATENATE("'",$A$550,"'!o",B569),1)</f>
        <v>9</v>
      </c>
      <c r="R569" s="1" cm="1">
        <f t="array" aca="1" ref="R569" ca="1">INDIRECT(CONCATENATE("'",$A$550,"'!p",B569),1)</f>
        <v>6</v>
      </c>
      <c r="S569" s="1">
        <f t="shared" ca="1" si="48"/>
        <v>0</v>
      </c>
      <c r="T569" s="1" t="str" cm="1">
        <f t="array" aca="1" ref="T569" ca="1">INDIRECT(CONCATENATE("'",$A$550,"'!q",B569),1)</f>
        <v>Михайлов Д.В.</v>
      </c>
      <c r="U569" s="1" cm="1">
        <f t="array" aca="1" ref="U569" ca="1">INDIRECT(CONCATENATE("'",$A$550,"'!r",B569),1)</f>
        <v>27</v>
      </c>
      <c r="V569" s="1" cm="1">
        <f t="array" aca="1" ref="V569" ca="1">INDIRECT(CONCATENATE("'",$A$550,"'!s",B569),1)</f>
        <v>0</v>
      </c>
      <c r="W569" s="1" cm="1">
        <f t="array" aca="1" ref="W569" ca="1">INDIRECT(CONCATENATE("'",$A$550,"'!t",B569),1)</f>
        <v>0</v>
      </c>
      <c r="X569" s="1" cm="1">
        <f t="array" aca="1" ref="X569" ca="1">INDIRECT(CONCATENATE("'",$A$550,"'!u",B569),1)</f>
        <v>0</v>
      </c>
      <c r="Y569" s="1" cm="1">
        <f t="array" aca="1" ref="Y569" ca="1">INDIRECT(CONCATENATE("'",$A$550,"'!v",B569),1)</f>
        <v>0</v>
      </c>
    </row>
    <row r="570" spans="1:25" hidden="1" x14ac:dyDescent="0.25">
      <c r="A570" s="15"/>
      <c r="B570" s="24">
        <f t="shared" si="46"/>
        <v>22</v>
      </c>
      <c r="C570" s="1" t="str" cm="1">
        <f t="array" aca="1" ref="C570" ca="1">INDIRECT(CONCATENATE("'",$A$550,"'!A",B570),1)</f>
        <v>Моделирование систем</v>
      </c>
      <c r="D570" s="1" t="str" cm="1">
        <f t="array" aca="1" ref="D570" ca="1">INDIRECT(CONCATENATE("'",$A$550,"'!B",B570),1)</f>
        <v>09.03.01(09)</v>
      </c>
      <c r="E570" s="1" t="str" cm="1">
        <f t="array" aca="1" ref="E570" ca="1">INDIRECT(CONCATENATE("'",$A$550,"'!c",B570),1)</f>
        <v>3092з</v>
      </c>
      <c r="F570" s="1" cm="1">
        <f t="array" aca="1" ref="F570" ca="1">INDIRECT(CONCATENATE("'",$A$550,"'!d",B570),1)</f>
        <v>6</v>
      </c>
      <c r="G570" s="1" cm="1">
        <f t="array" aca="1" ref="G570" ca="1">INDIRECT(CONCATENATE("'",$A$550,"'!e",B570),1)</f>
        <v>1</v>
      </c>
      <c r="H570" s="1" cm="1">
        <f t="array" aca="1" ref="H570" ca="1">INDIRECT(CONCATENATE("'",$A$550,"'!f",B570),1)</f>
        <v>15</v>
      </c>
      <c r="I570" s="1" t="str" cm="1">
        <f t="array" aca="1" ref="I570" ca="1">INDIRECT(CONCATENATE("'",$A$550,"'!g",B570),1)</f>
        <v>ДЗ</v>
      </c>
      <c r="J570" s="1" cm="1">
        <f t="array" aca="1" ref="J570" ca="1">INDIRECT(CONCATENATE("'",$A$550,"'!h",B570),1)</f>
        <v>4</v>
      </c>
      <c r="K570" s="1" cm="1">
        <f t="array" aca="1" ref="K570" ca="1">INDIRECT(CONCATENATE("'",$A$550,"'!i",B570),1)</f>
        <v>4</v>
      </c>
      <c r="L570" s="1" cm="1">
        <f t="array" aca="1" ref="L570" ca="1">INDIRECT(CONCATENATE("'",$A$550,"'!j",B570),1)</f>
        <v>0</v>
      </c>
      <c r="M570" s="1" cm="1">
        <f t="array" aca="1" ref="M570" ca="1">INDIRECT(CONCATENATE("'",$A$550,"'!k",B570),1)</f>
        <v>12</v>
      </c>
      <c r="N570" s="1" t="str" cm="1">
        <f t="array" aca="1" ref="N570" ca="1">INDIRECT(CONCATENATE("'",$A$550,"'!l",B570),1)</f>
        <v>Эминов С.И.</v>
      </c>
      <c r="O570" s="1" cm="1">
        <f t="array" aca="1" ref="O570" ca="1">INDIRECT(CONCATENATE("'",$A$550,"'!m",B570),1)</f>
        <v>3305</v>
      </c>
      <c r="P570" s="1" t="str" cm="1">
        <f t="array" aca="1" ref="P570" ca="1">INDIRECT(CONCATENATE("'",$A$550,"'!n",B570),1)</f>
        <v>2п</v>
      </c>
      <c r="Q570" s="1" cm="1">
        <f t="array" aca="1" ref="Q570" ca="1">INDIRECT(CONCATENATE("'",$A$550,"'!o",B570),1)</f>
        <v>9</v>
      </c>
      <c r="R570" s="1" cm="1">
        <f t="array" aca="1" ref="R570" ca="1">INDIRECT(CONCATENATE("'",$A$550,"'!p",B570),1)</f>
        <v>0</v>
      </c>
      <c r="S570" s="1">
        <f t="shared" ca="1" si="48"/>
        <v>0</v>
      </c>
      <c r="T570" s="1" t="str" cm="1">
        <f t="array" aca="1" ref="T570" ca="1">INDIRECT(CONCATENATE("'",$A$550,"'!q",B570),1)</f>
        <v>Эминов С.И.</v>
      </c>
      <c r="U570" s="1" cm="1">
        <f t="array" aca="1" ref="U570" ca="1">INDIRECT(CONCATENATE("'",$A$550,"'!r",B570),1)</f>
        <v>25</v>
      </c>
      <c r="V570" s="1" cm="1">
        <f t="array" aca="1" ref="V570" ca="1">INDIRECT(CONCATENATE("'",$A$550,"'!s",B570),1)</f>
        <v>0</v>
      </c>
      <c r="W570" s="1" cm="1">
        <f t="array" aca="1" ref="W570" ca="1">INDIRECT(CONCATENATE("'",$A$550,"'!t",B570),1)</f>
        <v>0</v>
      </c>
      <c r="X570" s="1" cm="1">
        <f t="array" aca="1" ref="X570" ca="1">INDIRECT(CONCATENATE("'",$A$550,"'!u",B570),1)</f>
        <v>0</v>
      </c>
      <c r="Y570" s="1" cm="1">
        <f t="array" aca="1" ref="Y570" ca="1">INDIRECT(CONCATENATE("'",$A$550,"'!v",B570),1)</f>
        <v>0</v>
      </c>
    </row>
    <row r="571" spans="1:25" ht="33.75" hidden="1" x14ac:dyDescent="0.25">
      <c r="A571" s="15"/>
      <c r="B571" s="24">
        <f t="shared" si="46"/>
        <v>23</v>
      </c>
      <c r="C571" s="1" t="str" cm="1">
        <f t="array" aca="1" ref="C571" ca="1">INDIRECT(CONCATENATE("'",$A$550,"'!A",B571),1)</f>
        <v>Проектирование информационных систем</v>
      </c>
      <c r="D571" s="1" t="str" cm="1">
        <f t="array" aca="1" ref="D571" ca="1">INDIRECT(CONCATENATE("'",$A$550,"'!B",B571),1)</f>
        <v xml:space="preserve">09.03.01(09у) </v>
      </c>
      <c r="E571" s="1" t="str" cm="1">
        <f t="array" aca="1" ref="E571" ca="1">INDIRECT(CONCATENATE("'",$A$550,"'!c",B571),1)</f>
        <v>3092з</v>
      </c>
      <c r="F571" s="1" cm="1">
        <f t="array" aca="1" ref="F571" ca="1">INDIRECT(CONCATENATE("'",$A$550,"'!d",B571),1)</f>
        <v>6</v>
      </c>
      <c r="G571" s="1" cm="1">
        <f t="array" aca="1" ref="G571" ca="1">INDIRECT(CONCATENATE("'",$A$550,"'!e",B571),1)</f>
        <v>1</v>
      </c>
      <c r="H571" s="1" cm="1">
        <f t="array" aca="1" ref="H571" ca="1">INDIRECT(CONCATENATE("'",$A$550,"'!f",B571),1)</f>
        <v>15</v>
      </c>
      <c r="I571" s="1" t="str" cm="1">
        <f t="array" aca="1" ref="I571" ca="1">INDIRECT(CONCATENATE("'",$A$550,"'!g",B571),1)</f>
        <v>ЭКЗ</v>
      </c>
      <c r="J571" s="1" cm="1">
        <f t="array" aca="1" ref="J571" ca="1">INDIRECT(CONCATENATE("'",$A$550,"'!h",B571),1)</f>
        <v>5</v>
      </c>
      <c r="K571" s="1" cm="1">
        <f t="array" aca="1" ref="K571" ca="1">INDIRECT(CONCATENATE("'",$A$550,"'!i",B571),1)</f>
        <v>4</v>
      </c>
      <c r="L571" s="1" cm="1">
        <f t="array" aca="1" ref="L571" ca="1">INDIRECT(CONCATENATE("'",$A$550,"'!j",B571),1)</f>
        <v>0</v>
      </c>
      <c r="M571" s="1" cm="1">
        <f t="array" aca="1" ref="M571" ca="1">INDIRECT(CONCATENATE("'",$A$550,"'!k",B571),1)</f>
        <v>12</v>
      </c>
      <c r="N571" s="1" t="str" cm="1">
        <f t="array" aca="1" ref="N571" ca="1">INDIRECT(CONCATENATE("'",$A$550,"'!l",B571),1)</f>
        <v>Цымбалюк Л.Н.</v>
      </c>
      <c r="O571" s="1" cm="1">
        <f t="array" aca="1" ref="O571" ca="1">INDIRECT(CONCATENATE("'",$A$550,"'!m",B571),1)</f>
        <v>124</v>
      </c>
      <c r="P571" s="1" cm="1">
        <f t="array" aca="1" ref="P571" ca="1">INDIRECT(CONCATENATE("'",$A$550,"'!n",B571),1)</f>
        <v>0</v>
      </c>
      <c r="Q571" s="1" cm="1">
        <f t="array" aca="1" ref="Q571" ca="1">INDIRECT(CONCATENATE("'",$A$550,"'!o",B571),1)</f>
        <v>11.3</v>
      </c>
      <c r="R571" s="1" cm="1">
        <f t="array" aca="1" ref="R571" ca="1">INDIRECT(CONCATENATE("'",$A$550,"'!p",B571),1)</f>
        <v>7.5</v>
      </c>
      <c r="S571" s="1">
        <f t="shared" ca="1" si="48"/>
        <v>0</v>
      </c>
      <c r="T571" s="1" t="str" cm="1">
        <f t="array" aca="1" ref="T571" ca="1">INDIRECT(CONCATENATE("'",$A$550,"'!q",B571),1)</f>
        <v>Цымбалюк Л.Н.</v>
      </c>
      <c r="U571" s="1" cm="1">
        <f t="array" aca="1" ref="U571" ca="1">INDIRECT(CONCATENATE("'",$A$550,"'!r",B571),1)</f>
        <v>34.799999999999997</v>
      </c>
      <c r="V571" s="1" cm="1">
        <f t="array" aca="1" ref="V571" ca="1">INDIRECT(CONCATENATE("'",$A$550,"'!s",B571),1)</f>
        <v>0</v>
      </c>
      <c r="W571" s="1" cm="1">
        <f t="array" aca="1" ref="W571" ca="1">INDIRECT(CONCATENATE("'",$A$550,"'!t",B571),1)</f>
        <v>0</v>
      </c>
      <c r="X571" s="1" cm="1">
        <f t="array" aca="1" ref="X571" ca="1">INDIRECT(CONCATENATE("'",$A$550,"'!u",B571),1)</f>
        <v>0</v>
      </c>
      <c r="Y571" s="1" cm="1">
        <f t="array" aca="1" ref="Y571" ca="1">INDIRECT(CONCATENATE("'",$A$550,"'!v",B571),1)</f>
        <v>0</v>
      </c>
    </row>
    <row r="572" spans="1:25" ht="33.75" hidden="1" x14ac:dyDescent="0.25">
      <c r="A572" s="15"/>
      <c r="B572" s="24">
        <f t="shared" si="46"/>
        <v>24</v>
      </c>
      <c r="C572" s="1" t="str" cm="1">
        <f t="array" aca="1" ref="C572" ca="1">INDIRECT(CONCATENATE("'",$A$550,"'!A",B572),1)</f>
        <v>Проектирование информационных систем</v>
      </c>
      <c r="D572" s="1" t="str" cm="1">
        <f t="array" aca="1" ref="D572" ca="1">INDIRECT(CONCATENATE("'",$A$550,"'!B",B572),1)</f>
        <v xml:space="preserve">09.03.01(09у) </v>
      </c>
      <c r="E572" s="1" t="str" cm="1">
        <f t="array" aca="1" ref="E572" ca="1">INDIRECT(CONCATENATE("'",$A$550,"'!c",B572),1)</f>
        <v>3092з</v>
      </c>
      <c r="F572" s="1" cm="1">
        <f t="array" aca="1" ref="F572" ca="1">INDIRECT(CONCATENATE("'",$A$550,"'!d",B572),1)</f>
        <v>6</v>
      </c>
      <c r="G572" s="1" cm="1">
        <f t="array" aca="1" ref="G572" ca="1">INDIRECT(CONCATENATE("'",$A$550,"'!e",B572),1)</f>
        <v>1</v>
      </c>
      <c r="H572" s="1" cm="1">
        <f t="array" aca="1" ref="H572" ca="1">INDIRECT(CONCATENATE("'",$A$550,"'!f",B572),1)</f>
        <v>15</v>
      </c>
      <c r="I572" s="1" t="str" cm="1">
        <f t="array" aca="1" ref="I572" ca="1">INDIRECT(CONCATENATE("'",$A$550,"'!g",B572),1)</f>
        <v>КП</v>
      </c>
      <c r="J572" s="1" cm="1">
        <f t="array" aca="1" ref="J572" ca="1">INDIRECT(CONCATENATE("'",$A$550,"'!h",B572),1)</f>
        <v>1</v>
      </c>
      <c r="K572" s="1" cm="1">
        <f t="array" aca="1" ref="K572" ca="1">INDIRECT(CONCATENATE("'",$A$550,"'!i",B572),1)</f>
        <v>0</v>
      </c>
      <c r="L572" s="1" cm="1">
        <f t="array" aca="1" ref="L572" ca="1">INDIRECT(CONCATENATE("'",$A$550,"'!j",B572),1)</f>
        <v>0</v>
      </c>
      <c r="M572" s="1" cm="1">
        <f t="array" aca="1" ref="M572" ca="1">INDIRECT(CONCATENATE("'",$A$550,"'!k",B572),1)</f>
        <v>0</v>
      </c>
      <c r="N572" s="1" t="str" cm="1">
        <f t="array" aca="1" ref="N572" ca="1">INDIRECT(CONCATENATE("'",$A$550,"'!l",B572),1)</f>
        <v>Цымбалюк Л.Н.</v>
      </c>
      <c r="O572" s="1" cm="1">
        <f t="array" aca="1" ref="O572" ca="1">INDIRECT(CONCATENATE("'",$A$550,"'!m",B572),1)</f>
        <v>0</v>
      </c>
      <c r="P572" s="1" cm="1">
        <f t="array" aca="1" ref="P572" ca="1">INDIRECT(CONCATENATE("'",$A$550,"'!n",B572),1)</f>
        <v>0</v>
      </c>
      <c r="Q572" s="1" cm="1">
        <f t="array" aca="1" ref="Q572" ca="1">INDIRECT(CONCATENATE("'",$A$550,"'!o",B572),1)</f>
        <v>22.5</v>
      </c>
      <c r="R572" s="1" cm="1">
        <f t="array" aca="1" ref="R572" ca="1">INDIRECT(CONCATENATE("'",$A$550,"'!p",B572),1)</f>
        <v>0</v>
      </c>
      <c r="S572" s="1">
        <f t="shared" ca="1" si="48"/>
        <v>0</v>
      </c>
      <c r="T572" s="1" t="str" cm="1">
        <f t="array" aca="1" ref="T572" ca="1">INDIRECT(CONCATENATE("'",$A$550,"'!q",B572),1)</f>
        <v>Цымбалюк Л.Н.</v>
      </c>
      <c r="U572" s="1" cm="1">
        <f t="array" aca="1" ref="U572" ca="1">INDIRECT(CONCATENATE("'",$A$550,"'!r",B572),1)</f>
        <v>0</v>
      </c>
      <c r="V572" s="1" cm="1">
        <f t="array" aca="1" ref="V572" ca="1">INDIRECT(CONCATENATE("'",$A$550,"'!s",B572),1)</f>
        <v>0</v>
      </c>
      <c r="W572" s="1" cm="1">
        <f t="array" aca="1" ref="W572" ca="1">INDIRECT(CONCATENATE("'",$A$550,"'!t",B572),1)</f>
        <v>0</v>
      </c>
      <c r="X572" s="1" cm="1">
        <f t="array" aca="1" ref="X572" ca="1">INDIRECT(CONCATENATE("'",$A$550,"'!u",B572),1)</f>
        <v>0</v>
      </c>
      <c r="Y572" s="1" cm="1">
        <f t="array" aca="1" ref="Y572" ca="1">INDIRECT(CONCATENATE("'",$A$550,"'!v",B572),1)</f>
        <v>0</v>
      </c>
    </row>
    <row r="573" spans="1:25" ht="45" hidden="1" x14ac:dyDescent="0.25">
      <c r="A573" s="15"/>
      <c r="B573" s="24">
        <f t="shared" si="46"/>
        <v>25</v>
      </c>
      <c r="C573" s="1" t="str" cm="1">
        <f t="array" aca="1" ref="C573" ca="1">INDIRECT(CONCATENATE("'",$A$550,"'!A",B573),1)</f>
        <v>Основы программирования микроконтроллеров и ПЛИС</v>
      </c>
      <c r="D573" s="1" t="str" cm="1">
        <f t="array" aca="1" ref="D573" ca="1">INDIRECT(CONCATENATE("'",$A$550,"'!B",B573),1)</f>
        <v>09.03.01(09)</v>
      </c>
      <c r="E573" s="1" t="str" cm="1">
        <f t="array" aca="1" ref="E573" ca="1">INDIRECT(CONCATENATE("'",$A$550,"'!c",B573),1)</f>
        <v>3092з</v>
      </c>
      <c r="F573" s="1" cm="1">
        <f t="array" aca="1" ref="F573" ca="1">INDIRECT(CONCATENATE("'",$A$550,"'!d",B573),1)</f>
        <v>6</v>
      </c>
      <c r="G573" s="1" cm="1">
        <f t="array" aca="1" ref="G573" ca="1">INDIRECT(CONCATENATE("'",$A$550,"'!e",B573),1)</f>
        <v>1</v>
      </c>
      <c r="H573" s="1" cm="1">
        <f t="array" aca="1" ref="H573" ca="1">INDIRECT(CONCATENATE("'",$A$550,"'!f",B573),1)</f>
        <v>15</v>
      </c>
      <c r="I573" s="1" t="str" cm="1">
        <f t="array" aca="1" ref="I573" ca="1">INDIRECT(CONCATENATE("'",$A$550,"'!g",B573),1)</f>
        <v>ДЗ</v>
      </c>
      <c r="J573" s="1" cm="1">
        <f t="array" aca="1" ref="J573" ca="1">INDIRECT(CONCATENATE("'",$A$550,"'!h",B573),1)</f>
        <v>4</v>
      </c>
      <c r="K573" s="1" cm="1">
        <f t="array" aca="1" ref="K573" ca="1">INDIRECT(CONCATENATE("'",$A$550,"'!i",B573),1)</f>
        <v>4</v>
      </c>
      <c r="L573" s="1" cm="1">
        <f t="array" aca="1" ref="L573" ca="1">INDIRECT(CONCATENATE("'",$A$550,"'!j",B573),1)</f>
        <v>0</v>
      </c>
      <c r="M573" s="1" cm="1">
        <f t="array" aca="1" ref="M573" ca="1">INDIRECT(CONCATENATE("'",$A$550,"'!k",B573),1)</f>
        <v>12</v>
      </c>
      <c r="N573" s="1" t="str" cm="1">
        <f t="array" aca="1" ref="N573" ca="1">INDIRECT(CONCATENATE("'",$A$550,"'!l",B573),1)</f>
        <v>Килиба Ю.В.</v>
      </c>
      <c r="O573" s="1" cm="1">
        <f t="array" aca="1" ref="O573" ca="1">INDIRECT(CONCATENATE("'",$A$550,"'!m",B573),1)</f>
        <v>3305</v>
      </c>
      <c r="P573" s="1" t="str" cm="1">
        <f t="array" aca="1" ref="P573" ca="1">INDIRECT(CONCATENATE("'",$A$550,"'!n",B573),1)</f>
        <v>2п</v>
      </c>
      <c r="Q573" s="1" cm="1">
        <f t="array" aca="1" ref="Q573" ca="1">INDIRECT(CONCATENATE("'",$A$550,"'!o",B573),1)</f>
        <v>9</v>
      </c>
      <c r="R573" s="1" cm="1">
        <f t="array" aca="1" ref="R573" ca="1">INDIRECT(CONCATENATE("'",$A$550,"'!p",B573),1)</f>
        <v>0</v>
      </c>
      <c r="S573" s="1">
        <f t="shared" ca="1" si="48"/>
        <v>0</v>
      </c>
      <c r="T573" s="1" t="str" cm="1">
        <f t="array" aca="1" ref="T573" ca="1">INDIRECT(CONCATENATE("'",$A$550,"'!q",B573),1)</f>
        <v>Килиба Ю.В.</v>
      </c>
      <c r="U573" s="1" cm="1">
        <f t="array" aca="1" ref="U573" ca="1">INDIRECT(CONCATENATE("'",$A$550,"'!r",B573),1)</f>
        <v>25</v>
      </c>
      <c r="V573" s="1" cm="1">
        <f t="array" aca="1" ref="V573" ca="1">INDIRECT(CONCATENATE("'",$A$550,"'!s",B573),1)</f>
        <v>0</v>
      </c>
      <c r="W573" s="1" cm="1">
        <f t="array" aca="1" ref="W573" ca="1">INDIRECT(CONCATENATE("'",$A$550,"'!t",B573),1)</f>
        <v>0</v>
      </c>
      <c r="X573" s="1" cm="1">
        <f t="array" aca="1" ref="X573" ca="1">INDIRECT(CONCATENATE("'",$A$550,"'!u",B573),1)</f>
        <v>0</v>
      </c>
      <c r="Y573" s="1" cm="1">
        <f t="array" aca="1" ref="Y573" ca="1">INDIRECT(CONCATENATE("'",$A$550,"'!v",B573),1)</f>
        <v>0</v>
      </c>
    </row>
    <row r="574" spans="1:25" ht="22.5" hidden="1" x14ac:dyDescent="0.25">
      <c r="A574" s="15"/>
      <c r="B574" s="24">
        <f t="shared" si="46"/>
        <v>26</v>
      </c>
      <c r="C574" s="1" t="str" cm="1">
        <f t="array" aca="1" ref="C574" ca="1">INDIRECT(CONCATENATE("'",$A$550,"'!A",B574),1)</f>
        <v>Машинное обучение и большие данные</v>
      </c>
      <c r="D574" s="1" t="str" cm="1">
        <f t="array" aca="1" ref="D574" ca="1">INDIRECT(CONCATENATE("'",$A$550,"'!B",B574),1)</f>
        <v xml:space="preserve">09.03.01(09у) </v>
      </c>
      <c r="E574" s="1" t="str" cm="1">
        <f t="array" aca="1" ref="E574" ca="1">INDIRECT(CONCATENATE("'",$A$550,"'!c",B574),1)</f>
        <v>3092з</v>
      </c>
      <c r="F574" s="1" cm="1">
        <f t="array" aca="1" ref="F574" ca="1">INDIRECT(CONCATENATE("'",$A$550,"'!d",B574),1)</f>
        <v>6</v>
      </c>
      <c r="G574" s="1" cm="1">
        <f t="array" aca="1" ref="G574" ca="1">INDIRECT(CONCATENATE("'",$A$550,"'!e",B574),1)</f>
        <v>1</v>
      </c>
      <c r="H574" s="1" cm="1">
        <f t="array" aca="1" ref="H574" ca="1">INDIRECT(CONCATENATE("'",$A$550,"'!f",B574),1)</f>
        <v>15</v>
      </c>
      <c r="I574" s="1" t="str" cm="1">
        <f t="array" aca="1" ref="I574" ca="1">INDIRECT(CONCATENATE("'",$A$550,"'!g",B574),1)</f>
        <v>ЭКЗ</v>
      </c>
      <c r="J574" s="1" cm="1">
        <f t="array" aca="1" ref="J574" ca="1">INDIRECT(CONCATENATE("'",$A$550,"'!h",B574),1)</f>
        <v>4</v>
      </c>
      <c r="K574" s="1" cm="1">
        <f t="array" aca="1" ref="K574" ca="1">INDIRECT(CONCATENATE("'",$A$550,"'!i",B574),1)</f>
        <v>4</v>
      </c>
      <c r="L574" s="1" cm="1">
        <f t="array" aca="1" ref="L574" ca="1">INDIRECT(CONCATENATE("'",$A$550,"'!j",B574),1)</f>
        <v>0</v>
      </c>
      <c r="M574" s="1" cm="1">
        <f t="array" aca="1" ref="M574" ca="1">INDIRECT(CONCATENATE("'",$A$550,"'!k",B574),1)</f>
        <v>8</v>
      </c>
      <c r="N574" s="1" t="str" cm="1">
        <f t="array" aca="1" ref="N574" ca="1">INDIRECT(CONCATENATE("'",$A$550,"'!l",B574),1)</f>
        <v>Телина И.С.</v>
      </c>
      <c r="O574" s="1" cm="1">
        <f t="array" aca="1" ref="O574" ca="1">INDIRECT(CONCATENATE("'",$A$550,"'!m",B574),1)</f>
        <v>0</v>
      </c>
      <c r="P574" s="1" cm="1">
        <f t="array" aca="1" ref="P574" ca="1">INDIRECT(CONCATENATE("'",$A$550,"'!n",B574),1)</f>
        <v>0</v>
      </c>
      <c r="Q574" s="1" cm="1">
        <f t="array" aca="1" ref="Q574" ca="1">INDIRECT(CONCATENATE("'",$A$550,"'!o",B574),1)</f>
        <v>9</v>
      </c>
      <c r="R574" s="1" cm="1">
        <f t="array" aca="1" ref="R574" ca="1">INDIRECT(CONCATENATE("'",$A$550,"'!p",B574),1)</f>
        <v>6</v>
      </c>
      <c r="S574" s="1">
        <f t="shared" ca="1" si="48"/>
        <v>0</v>
      </c>
      <c r="T574" s="1" t="str" cm="1">
        <f t="array" aca="1" ref="T574" ca="1">INDIRECT(CONCATENATE("'",$A$550,"'!q",B574),1)</f>
        <v>Телина И.С.</v>
      </c>
      <c r="U574" s="1" cm="1">
        <f t="array" aca="1" ref="U574" ca="1">INDIRECT(CONCATENATE("'",$A$550,"'!r",B574),1)</f>
        <v>27</v>
      </c>
      <c r="V574" s="1" cm="1">
        <f t="array" aca="1" ref="V574" ca="1">INDIRECT(CONCATENATE("'",$A$550,"'!s",B574),1)</f>
        <v>0</v>
      </c>
      <c r="W574" s="1" cm="1">
        <f t="array" aca="1" ref="W574" ca="1">INDIRECT(CONCATENATE("'",$A$550,"'!t",B574),1)</f>
        <v>0</v>
      </c>
      <c r="X574" s="1" cm="1">
        <f t="array" aca="1" ref="X574" ca="1">INDIRECT(CONCATENATE("'",$A$550,"'!u",B574),1)</f>
        <v>0</v>
      </c>
      <c r="Y574" s="1" cm="1">
        <f t="array" aca="1" ref="Y574" ca="1">INDIRECT(CONCATENATE("'",$A$550,"'!v",B574),1)</f>
        <v>0</v>
      </c>
    </row>
    <row r="575" spans="1:25" ht="45" hidden="1" x14ac:dyDescent="0.25">
      <c r="A575" s="15"/>
      <c r="B575" s="24">
        <f t="shared" si="46"/>
        <v>27</v>
      </c>
      <c r="C575" s="1" t="str" cm="1">
        <f t="array" aca="1" ref="C575" ca="1">INDIRECT(CONCATENATE("'",$A$550,"'!A",B575),1)</f>
        <v>Введение в информационные технологии больших данных(установ.)</v>
      </c>
      <c r="D575" s="1" t="str" cm="1">
        <f t="array" aca="1" ref="D575" ca="1">INDIRECT(CONCATENATE("'",$A$550,"'!B",B575),1)</f>
        <v xml:space="preserve">09.03.01(09у) </v>
      </c>
      <c r="E575" s="1" t="str" cm="1">
        <f t="array" aca="1" ref="E575" ca="1">INDIRECT(CONCATENATE("'",$A$550,"'!c",B575),1)</f>
        <v>3092з</v>
      </c>
      <c r="F575" s="1" cm="1">
        <f t="array" aca="1" ref="F575" ca="1">INDIRECT(CONCATENATE("'",$A$550,"'!d",B575),1)</f>
        <v>6</v>
      </c>
      <c r="G575" s="1" cm="1">
        <f t="array" aca="1" ref="G575" ca="1">INDIRECT(CONCATENATE("'",$A$550,"'!e",B575),1)</f>
        <v>1</v>
      </c>
      <c r="H575" s="1" cm="1">
        <f t="array" aca="1" ref="H575" ca="1">INDIRECT(CONCATENATE("'",$A$550,"'!f",B575),1)</f>
        <v>15</v>
      </c>
      <c r="I575" s="1" cm="1">
        <f t="array" aca="1" ref="I575" ca="1">INDIRECT(CONCATENATE("'",$A$550,"'!g",B575),1)</f>
        <v>0</v>
      </c>
      <c r="J575" s="1" cm="1">
        <f t="array" aca="1" ref="J575" ca="1">INDIRECT(CONCATENATE("'",$A$550,"'!h",B575),1)</f>
        <v>0</v>
      </c>
      <c r="K575" s="1" cm="1">
        <f t="array" aca="1" ref="K575" ca="1">INDIRECT(CONCATENATE("'",$A$550,"'!i",B575),1)</f>
        <v>0</v>
      </c>
      <c r="L575" s="1" cm="1">
        <f t="array" aca="1" ref="L575" ca="1">INDIRECT(CONCATENATE("'",$A$550,"'!j",B575),1)</f>
        <v>2</v>
      </c>
      <c r="M575" s="1" cm="1">
        <f t="array" aca="1" ref="M575" ca="1">INDIRECT(CONCATENATE("'",$A$550,"'!k",B575),1)</f>
        <v>0</v>
      </c>
      <c r="N575" s="1" t="str" cm="1">
        <f t="array" aca="1" ref="N575" ca="1">INDIRECT(CONCATENATE("'",$A$550,"'!l",B575),1)</f>
        <v>Цымбалюк Л.Н.</v>
      </c>
      <c r="O575" s="1" cm="1">
        <f t="array" aca="1" ref="O575" ca="1">INDIRECT(CONCATENATE("'",$A$550,"'!m",B575),1)</f>
        <v>124</v>
      </c>
      <c r="P575" s="1" t="str" cm="1">
        <f t="array" aca="1" ref="P575" ca="1">INDIRECT(CONCATENATE("'",$A$550,"'!n",B575),1)</f>
        <v>уст.</v>
      </c>
      <c r="Q575" s="1" cm="1">
        <f t="array" aca="1" ref="Q575" ca="1">INDIRECT(CONCATENATE("'",$A$550,"'!o",B575),1)</f>
        <v>0</v>
      </c>
      <c r="R575" s="1" cm="1">
        <f t="array" aca="1" ref="R575" ca="1">INDIRECT(CONCATENATE("'",$A$550,"'!p",B575),1)</f>
        <v>0</v>
      </c>
      <c r="S575" s="1">
        <f t="shared" ca="1" si="48"/>
        <v>0</v>
      </c>
      <c r="T575" s="1" t="str" cm="1">
        <f t="array" aca="1" ref="T575" ca="1">INDIRECT(CONCATENATE("'",$A$550,"'!q",B575),1)</f>
        <v>Цымбалюк Л.Н.</v>
      </c>
      <c r="U575" s="1" cm="1">
        <f t="array" aca="1" ref="U575" ca="1">INDIRECT(CONCATENATE("'",$A$550,"'!r",B575),1)</f>
        <v>0</v>
      </c>
      <c r="V575" s="1" cm="1">
        <f t="array" aca="1" ref="V575" ca="1">INDIRECT(CONCATENATE("'",$A$550,"'!s",B575),1)</f>
        <v>0</v>
      </c>
      <c r="W575" s="1" cm="1">
        <f t="array" aca="1" ref="W575" ca="1">INDIRECT(CONCATENATE("'",$A$550,"'!t",B575),1)</f>
        <v>0</v>
      </c>
      <c r="X575" s="1" cm="1">
        <f t="array" aca="1" ref="X575" ca="1">INDIRECT(CONCATENATE("'",$A$550,"'!u",B575),1)</f>
        <v>0</v>
      </c>
      <c r="Y575" s="1" cm="1">
        <f t="array" aca="1" ref="Y575" ca="1">INDIRECT(CONCATENATE("'",$A$550,"'!v",B575),1)</f>
        <v>0</v>
      </c>
    </row>
    <row r="576" spans="1:25" ht="19.350000000000001" hidden="1" customHeight="1" x14ac:dyDescent="0.25">
      <c r="A576" s="15"/>
      <c r="B576" s="24">
        <f t="shared" si="46"/>
        <v>28</v>
      </c>
      <c r="C576" s="1" t="str" cm="1">
        <f t="array" aca="1" ref="C576" ca="1">INDIRECT(CONCATENATE("'",$A$550,"'!A",B576),1)</f>
        <v>Коммерциализация IT проектов(установ.)</v>
      </c>
      <c r="D576" s="1" t="str" cm="1">
        <f t="array" aca="1" ref="D576" ca="1">INDIRECT(CONCATENATE("'",$A$550,"'!B",B576),1)</f>
        <v xml:space="preserve">09.03.01(09у) </v>
      </c>
      <c r="E576" s="1" t="str" cm="1">
        <f t="array" aca="1" ref="E576" ca="1">INDIRECT(CONCATENATE("'",$A$550,"'!c",B576),1)</f>
        <v>3092з</v>
      </c>
      <c r="F576" s="1" cm="1">
        <f t="array" aca="1" ref="F576" ca="1">INDIRECT(CONCATENATE("'",$A$550,"'!d",B576),1)</f>
        <v>6</v>
      </c>
      <c r="G576" s="1" cm="1">
        <f t="array" aca="1" ref="G576" ca="1">INDIRECT(CONCATENATE("'",$A$550,"'!e",B576),1)</f>
        <v>1</v>
      </c>
      <c r="H576" s="1" cm="1">
        <f t="array" aca="1" ref="H576" ca="1">INDIRECT(CONCATENATE("'",$A$550,"'!f",B576),1)</f>
        <v>15</v>
      </c>
      <c r="I576" s="1" cm="1">
        <f t="array" aca="1" ref="I576" ca="1">INDIRECT(CONCATENATE("'",$A$550,"'!g",B576),1)</f>
        <v>0</v>
      </c>
      <c r="J576" s="1" cm="1">
        <f t="array" aca="1" ref="J576" ca="1">INDIRECT(CONCATENATE("'",$A$550,"'!h",B576),1)</f>
        <v>0</v>
      </c>
      <c r="K576" s="1" cm="1">
        <f t="array" aca="1" ref="K576" ca="1">INDIRECT(CONCATENATE("'",$A$550,"'!i",B576),1)</f>
        <v>0</v>
      </c>
      <c r="L576" s="1" cm="1">
        <f t="array" aca="1" ref="L576" ca="1">INDIRECT(CONCATENATE("'",$A$550,"'!j",B576),1)</f>
        <v>2</v>
      </c>
      <c r="M576" s="1" cm="1">
        <f t="array" aca="1" ref="M576" ca="1">INDIRECT(CONCATENATE("'",$A$550,"'!k",B576),1)</f>
        <v>0</v>
      </c>
      <c r="N576" s="1" t="str" cm="1">
        <f t="array" aca="1" ref="N576" ca="1">INDIRECT(CONCATENATE("'",$A$550,"'!l",B576),1)</f>
        <v>Макевич П.В.</v>
      </c>
      <c r="O576" s="1" cm="1">
        <f t="array" aca="1" ref="O576" ca="1">INDIRECT(CONCATENATE("'",$A$550,"'!m",B576),1)</f>
        <v>0</v>
      </c>
      <c r="P576" s="1" t="str" cm="1">
        <f t="array" aca="1" ref="P576" ca="1">INDIRECT(CONCATENATE("'",$A$550,"'!n",B576),1)</f>
        <v>уст.</v>
      </c>
      <c r="Q576" s="1" cm="1">
        <f t="array" aca="1" ref="Q576" ca="1">INDIRECT(CONCATENATE("'",$A$550,"'!o",B576),1)</f>
        <v>0</v>
      </c>
      <c r="R576" s="1" cm="1">
        <f t="array" aca="1" ref="R576" ca="1">INDIRECT(CONCATENATE("'",$A$550,"'!p",B576),1)</f>
        <v>0</v>
      </c>
      <c r="S576" s="1">
        <f t="shared" ca="1" si="48"/>
        <v>0</v>
      </c>
      <c r="T576" s="1" t="str" cm="1">
        <f t="array" aca="1" ref="T576" ca="1">INDIRECT(CONCATENATE("'",$A$550,"'!q",B576),1)</f>
        <v>Макевич П.В.</v>
      </c>
      <c r="U576" s="1" cm="1">
        <f t="array" aca="1" ref="U576" ca="1">INDIRECT(CONCATENATE("'",$A$550,"'!r",B576),1)</f>
        <v>0</v>
      </c>
      <c r="V576" s="1" cm="1">
        <f t="array" aca="1" ref="V576" ca="1">INDIRECT(CONCATENATE("'",$A$550,"'!s",B576),1)</f>
        <v>0</v>
      </c>
      <c r="W576" s="1" cm="1">
        <f t="array" aca="1" ref="W576" ca="1">INDIRECT(CONCATENATE("'",$A$550,"'!t",B576),1)</f>
        <v>0</v>
      </c>
      <c r="X576" s="1" cm="1">
        <f t="array" aca="1" ref="X576" ca="1">INDIRECT(CONCATENATE("'",$A$550,"'!u",B576),1)</f>
        <v>0</v>
      </c>
      <c r="Y576" s="1" cm="1">
        <f t="array" aca="1" ref="Y576" ca="1">INDIRECT(CONCATENATE("'",$A$550,"'!v",B576),1)</f>
        <v>0</v>
      </c>
    </row>
    <row r="577" spans="1:25" ht="56.25" hidden="1" x14ac:dyDescent="0.25">
      <c r="A577" s="15"/>
      <c r="B577" s="24">
        <f t="shared" si="46"/>
        <v>29</v>
      </c>
      <c r="C577" s="1" t="str" cm="1">
        <f t="array" aca="1" ref="C577" ca="1">INDIRECT(CONCATENATE("'",$A$550,"'!A",B577),1)</f>
        <v>Основы автоматизированных информационных систем управления предприятием(установ.)</v>
      </c>
      <c r="D577" s="1" t="str" cm="1">
        <f t="array" aca="1" ref="D577" ca="1">INDIRECT(CONCATENATE("'",$A$550,"'!B",B577),1)</f>
        <v xml:space="preserve">09.03.01(09у) </v>
      </c>
      <c r="E577" s="1" t="str" cm="1">
        <f t="array" aca="1" ref="E577" ca="1">INDIRECT(CONCATENATE("'",$A$550,"'!c",B577),1)</f>
        <v>3092з</v>
      </c>
      <c r="F577" s="1" cm="1">
        <f t="array" aca="1" ref="F577" ca="1">INDIRECT(CONCATENATE("'",$A$550,"'!d",B577),1)</f>
        <v>6</v>
      </c>
      <c r="G577" s="1" cm="1">
        <f t="array" aca="1" ref="G577" ca="1">INDIRECT(CONCATENATE("'",$A$550,"'!e",B577),1)</f>
        <v>1</v>
      </c>
      <c r="H577" s="1" cm="1">
        <f t="array" aca="1" ref="H577" ca="1">INDIRECT(CONCATENATE("'",$A$550,"'!f",B577),1)</f>
        <v>15</v>
      </c>
      <c r="I577" s="1" cm="1">
        <f t="array" aca="1" ref="I577" ca="1">INDIRECT(CONCATENATE("'",$A$550,"'!g",B577),1)</f>
        <v>0</v>
      </c>
      <c r="J577" s="1" cm="1">
        <f t="array" aca="1" ref="J577" ca="1">INDIRECT(CONCATENATE("'",$A$550,"'!h",B577),1)</f>
        <v>0</v>
      </c>
      <c r="K577" s="1" cm="1">
        <f t="array" aca="1" ref="K577" ca="1">INDIRECT(CONCATENATE("'",$A$550,"'!i",B577),1)</f>
        <v>0</v>
      </c>
      <c r="L577" s="1" cm="1">
        <f t="array" aca="1" ref="L577" ca="1">INDIRECT(CONCATENATE("'",$A$550,"'!j",B577),1)</f>
        <v>2</v>
      </c>
      <c r="M577" s="1" cm="1">
        <f t="array" aca="1" ref="M577" ca="1">INDIRECT(CONCATENATE("'",$A$550,"'!k",B577),1)</f>
        <v>0</v>
      </c>
      <c r="N577" s="1" t="str" cm="1">
        <f t="array" aca="1" ref="N577" ca="1">INDIRECT(CONCATENATE("'",$A$550,"'!l",B577),1)</f>
        <v>Соколова Г.Ю,</v>
      </c>
      <c r="O577" s="1" cm="1">
        <f t="array" aca="1" ref="O577" ca="1">INDIRECT(CONCATENATE("'",$A$550,"'!m",B577),1)</f>
        <v>0</v>
      </c>
      <c r="P577" s="1" t="str" cm="1">
        <f t="array" aca="1" ref="P577" ca="1">INDIRECT(CONCATENATE("'",$A$550,"'!n",B577),1)</f>
        <v>уст.</v>
      </c>
      <c r="Q577" s="1" cm="1">
        <f t="array" aca="1" ref="Q577" ca="1">INDIRECT(CONCATENATE("'",$A$550,"'!o",B577),1)</f>
        <v>0</v>
      </c>
      <c r="R577" s="1" cm="1">
        <f t="array" aca="1" ref="R577" ca="1">INDIRECT(CONCATENATE("'",$A$550,"'!p",B577),1)</f>
        <v>0</v>
      </c>
      <c r="S577" s="1">
        <f t="shared" ca="1" si="48"/>
        <v>0</v>
      </c>
      <c r="T577" s="1" t="str" cm="1">
        <f t="array" aca="1" ref="T577" ca="1">INDIRECT(CONCATENATE("'",$A$550,"'!q",B577),1)</f>
        <v>Соколова Г.Ю,</v>
      </c>
      <c r="U577" s="1" cm="1">
        <f t="array" aca="1" ref="U577" ca="1">INDIRECT(CONCATENATE("'",$A$550,"'!r",B577),1)</f>
        <v>0</v>
      </c>
      <c r="V577" s="1" cm="1">
        <f t="array" aca="1" ref="V577" ca="1">INDIRECT(CONCATENATE("'",$A$550,"'!s",B577),1)</f>
        <v>0</v>
      </c>
      <c r="W577" s="1" cm="1">
        <f t="array" aca="1" ref="W577" ca="1">INDIRECT(CONCATENATE("'",$A$550,"'!t",B577),1)</f>
        <v>0</v>
      </c>
      <c r="X577" s="1" cm="1">
        <f t="array" aca="1" ref="X577" ca="1">INDIRECT(CONCATENATE("'",$A$550,"'!u",B577),1)</f>
        <v>0</v>
      </c>
      <c r="Y577" s="1" cm="1">
        <f t="array" aca="1" ref="Y577" ca="1">INDIRECT(CONCATENATE("'",$A$550,"'!v",B577),1)</f>
        <v>0</v>
      </c>
    </row>
    <row r="578" spans="1:25" ht="33.75" hidden="1" x14ac:dyDescent="0.25">
      <c r="A578" s="15"/>
      <c r="B578" s="24">
        <f t="shared" si="46"/>
        <v>30</v>
      </c>
      <c r="C578" s="1" t="str" cm="1">
        <f t="array" aca="1" ref="C578" ca="1">INDIRECT(CONCATENATE("'",$A$550,"'!A",B578),1)</f>
        <v>Сети и телекоммуникации(установ.)</v>
      </c>
      <c r="D578" s="1" t="str" cm="1">
        <f t="array" aca="1" ref="D578" ca="1">INDIRECT(CONCATENATE("'",$A$550,"'!B",B578),1)</f>
        <v xml:space="preserve">09.03.01(09у) </v>
      </c>
      <c r="E578" s="1" t="str" cm="1">
        <f t="array" aca="1" ref="E578" ca="1">INDIRECT(CONCATENATE("'",$A$550,"'!c",B578),1)</f>
        <v>3092з</v>
      </c>
      <c r="F578" s="1" cm="1">
        <f t="array" aca="1" ref="F578" ca="1">INDIRECT(CONCATENATE("'",$A$550,"'!d",B578),1)</f>
        <v>6</v>
      </c>
      <c r="G578" s="1" cm="1">
        <f t="array" aca="1" ref="G578" ca="1">INDIRECT(CONCATENATE("'",$A$550,"'!e",B578),1)</f>
        <v>1</v>
      </c>
      <c r="H578" s="1" cm="1">
        <f t="array" aca="1" ref="H578" ca="1">INDIRECT(CONCATENATE("'",$A$550,"'!f",B578),1)</f>
        <v>15</v>
      </c>
      <c r="I578" s="1" cm="1">
        <f t="array" aca="1" ref="I578" ca="1">INDIRECT(CONCATENATE("'",$A$550,"'!g",B578),1)</f>
        <v>0</v>
      </c>
      <c r="J578" s="1" cm="1">
        <f t="array" aca="1" ref="J578" ca="1">INDIRECT(CONCATENATE("'",$A$550,"'!h",B578),1)</f>
        <v>0</v>
      </c>
      <c r="K578" s="1" cm="1">
        <f t="array" aca="1" ref="K578" ca="1">INDIRECT(CONCATENATE("'",$A$550,"'!i",B578),1)</f>
        <v>0</v>
      </c>
      <c r="L578" s="1" cm="1">
        <f t="array" aca="1" ref="L578" ca="1">INDIRECT(CONCATENATE("'",$A$550,"'!j",B578),1)</f>
        <v>2</v>
      </c>
      <c r="M578" s="1" cm="1">
        <f t="array" aca="1" ref="M578" ca="1">INDIRECT(CONCATENATE("'",$A$550,"'!k",B578),1)</f>
        <v>0</v>
      </c>
      <c r="N578" s="1" t="str" cm="1">
        <f t="array" aca="1" ref="N578" ca="1">INDIRECT(CONCATENATE("'",$A$550,"'!l",B578),1)</f>
        <v>Журавлева М.П.</v>
      </c>
      <c r="O578" s="1" cm="1">
        <f t="array" aca="1" ref="O578" ca="1">INDIRECT(CONCATENATE("'",$A$550,"'!m",B578),1)</f>
        <v>0</v>
      </c>
      <c r="P578" s="1" t="str" cm="1">
        <f t="array" aca="1" ref="P578" ca="1">INDIRECT(CONCATENATE("'",$A$550,"'!n",B578),1)</f>
        <v>уст.</v>
      </c>
      <c r="Q578" s="1" cm="1">
        <f t="array" aca="1" ref="Q578" ca="1">INDIRECT(CONCATENATE("'",$A$550,"'!o",B578),1)</f>
        <v>0</v>
      </c>
      <c r="R578" s="1" cm="1">
        <f t="array" aca="1" ref="R578" ca="1">INDIRECT(CONCATENATE("'",$A$550,"'!p",B578),1)</f>
        <v>0</v>
      </c>
      <c r="S578" s="1">
        <f t="shared" ca="1" si="48"/>
        <v>0</v>
      </c>
      <c r="T578" s="1" t="str" cm="1">
        <f t="array" aca="1" ref="T578" ca="1">INDIRECT(CONCATENATE("'",$A$550,"'!q",B578),1)</f>
        <v>Журавлева М.П.</v>
      </c>
      <c r="U578" s="1" cm="1">
        <f t="array" aca="1" ref="U578" ca="1">INDIRECT(CONCATENATE("'",$A$550,"'!r",B578),1)</f>
        <v>0</v>
      </c>
      <c r="V578" s="1" cm="1">
        <f t="array" aca="1" ref="V578" ca="1">INDIRECT(CONCATENATE("'",$A$550,"'!s",B578),1)</f>
        <v>0</v>
      </c>
      <c r="W578" s="1" cm="1">
        <f t="array" aca="1" ref="W578" ca="1">INDIRECT(CONCATENATE("'",$A$550,"'!t",B578),1)</f>
        <v>0</v>
      </c>
      <c r="X578" s="1" cm="1">
        <f t="array" aca="1" ref="X578" ca="1">INDIRECT(CONCATENATE("'",$A$550,"'!u",B578),1)</f>
        <v>0</v>
      </c>
      <c r="Y578" s="1" cm="1">
        <f t="array" aca="1" ref="Y578" ca="1">INDIRECT(CONCATENATE("'",$A$550,"'!v",B578),1)</f>
        <v>0</v>
      </c>
    </row>
    <row r="579" spans="1:25" ht="21" hidden="1" customHeight="1" x14ac:dyDescent="0.25">
      <c r="A579" s="15"/>
      <c r="B579" s="24">
        <f t="shared" si="46"/>
        <v>31</v>
      </c>
      <c r="C579" s="1" t="str" cm="1">
        <f t="array" aca="1" ref="C579" ca="1">INDIRECT(CONCATENATE("'",$A$550,"'!A",B579),1)</f>
        <v>Распознавание образов и обработка изображений(установ.)</v>
      </c>
      <c r="D579" s="1" t="str" cm="1">
        <f t="array" aca="1" ref="D579" ca="1">INDIRECT(CONCATENATE("'",$A$550,"'!B",B579),1)</f>
        <v xml:space="preserve">09.03.01(09у) </v>
      </c>
      <c r="E579" s="1" t="str" cm="1">
        <f t="array" aca="1" ref="E579" ca="1">INDIRECT(CONCATENATE("'",$A$550,"'!c",B579),1)</f>
        <v>3092з</v>
      </c>
      <c r="F579" s="1" cm="1">
        <f t="array" aca="1" ref="F579" ca="1">INDIRECT(CONCATENATE("'",$A$550,"'!d",B579),1)</f>
        <v>6</v>
      </c>
      <c r="G579" s="1" cm="1">
        <f t="array" aca="1" ref="G579" ca="1">INDIRECT(CONCATENATE("'",$A$550,"'!e",B579),1)</f>
        <v>1</v>
      </c>
      <c r="H579" s="1" cm="1">
        <f t="array" aca="1" ref="H579" ca="1">INDIRECT(CONCATENATE("'",$A$550,"'!f",B579),1)</f>
        <v>15</v>
      </c>
      <c r="I579" s="1" cm="1">
        <f t="array" aca="1" ref="I579" ca="1">INDIRECT(CONCATENATE("'",$A$550,"'!g",B579),1)</f>
        <v>0</v>
      </c>
      <c r="J579" s="1" cm="1">
        <f t="array" aca="1" ref="J579" ca="1">INDIRECT(CONCATENATE("'",$A$550,"'!h",B579),1)</f>
        <v>0</v>
      </c>
      <c r="K579" s="1" cm="1">
        <f t="array" aca="1" ref="K579" ca="1">INDIRECT(CONCATENATE("'",$A$550,"'!i",B579),1)</f>
        <v>0</v>
      </c>
      <c r="L579" s="1" cm="1">
        <f t="array" aca="1" ref="L579" ca="1">INDIRECT(CONCATENATE("'",$A$550,"'!j",B579),1)</f>
        <v>2</v>
      </c>
      <c r="M579" s="1" cm="1">
        <f t="array" aca="1" ref="M579" ca="1">INDIRECT(CONCATENATE("'",$A$550,"'!k",B579),1)</f>
        <v>0</v>
      </c>
      <c r="N579" s="1" t="str" cm="1">
        <f t="array" aca="1" ref="N579" ca="1">INDIRECT(CONCATENATE("'",$A$550,"'!l",B579),1)</f>
        <v>Корнышев Н.П.</v>
      </c>
      <c r="O579" s="1" cm="1">
        <f t="array" aca="1" ref="O579" ca="1">INDIRECT(CONCATENATE("'",$A$550,"'!m",B579),1)</f>
        <v>0</v>
      </c>
      <c r="P579" s="1" t="str" cm="1">
        <f t="array" aca="1" ref="P579" ca="1">INDIRECT(CONCATENATE("'",$A$550,"'!n",B579),1)</f>
        <v>уст.</v>
      </c>
      <c r="Q579" s="1" cm="1">
        <f t="array" aca="1" ref="Q579" ca="1">INDIRECT(CONCATENATE("'",$A$550,"'!o",B579),1)</f>
        <v>0</v>
      </c>
      <c r="R579" s="1" cm="1">
        <f t="array" aca="1" ref="R579" ca="1">INDIRECT(CONCATENATE("'",$A$550,"'!p",B579),1)</f>
        <v>0</v>
      </c>
      <c r="S579" s="1">
        <f t="shared" ca="1" si="48"/>
        <v>0</v>
      </c>
      <c r="T579" s="1" t="str" cm="1">
        <f t="array" aca="1" ref="T579" ca="1">INDIRECT(CONCATENATE("'",$A$550,"'!q",B579),1)</f>
        <v>Корнышев Н.П.</v>
      </c>
      <c r="U579" s="1" cm="1">
        <f t="array" aca="1" ref="U579" ca="1">INDIRECT(CONCATENATE("'",$A$550,"'!r",B579),1)</f>
        <v>0</v>
      </c>
      <c r="V579" s="1" cm="1">
        <f t="array" aca="1" ref="V579" ca="1">INDIRECT(CONCATENATE("'",$A$550,"'!s",B579),1)</f>
        <v>0</v>
      </c>
      <c r="W579" s="1" cm="1">
        <f t="array" aca="1" ref="W579" ca="1">INDIRECT(CONCATENATE("'",$A$550,"'!t",B579),1)</f>
        <v>0</v>
      </c>
      <c r="X579" s="1" cm="1">
        <f t="array" aca="1" ref="X579" ca="1">INDIRECT(CONCATENATE("'",$A$550,"'!u",B579),1)</f>
        <v>0</v>
      </c>
      <c r="Y579" s="1" cm="1">
        <f t="array" aca="1" ref="Y579" ca="1">INDIRECT(CONCATENATE("'",$A$550,"'!v",B579),1)</f>
        <v>0</v>
      </c>
    </row>
    <row r="580" spans="1:25" ht="45" hidden="1" x14ac:dyDescent="0.25">
      <c r="A580" s="15"/>
      <c r="B580" s="24">
        <f t="shared" si="46"/>
        <v>32</v>
      </c>
      <c r="C580" s="1" t="str" cm="1">
        <f t="array" aca="1" ref="C580" ca="1">INDIRECT(CONCATENATE("'",$A$550,"'!A",B580),1)</f>
        <v>Функциональное и логическое программирование(установ.)</v>
      </c>
      <c r="D580" s="1" t="str" cm="1">
        <f t="array" aca="1" ref="D580" ca="1">INDIRECT(CONCATENATE("'",$A$550,"'!B",B580),1)</f>
        <v xml:space="preserve">09.03.01(09у) </v>
      </c>
      <c r="E580" s="1" t="str" cm="1">
        <f t="array" aca="1" ref="E580" ca="1">INDIRECT(CONCATENATE("'",$A$550,"'!c",B580),1)</f>
        <v>3092з</v>
      </c>
      <c r="F580" s="1" cm="1">
        <f t="array" aca="1" ref="F580" ca="1">INDIRECT(CONCATENATE("'",$A$550,"'!d",B580),1)</f>
        <v>6</v>
      </c>
      <c r="G580" s="1" cm="1">
        <f t="array" aca="1" ref="G580" ca="1">INDIRECT(CONCATENATE("'",$A$550,"'!e",B580),1)</f>
        <v>1</v>
      </c>
      <c r="H580" s="1" cm="1">
        <f t="array" aca="1" ref="H580" ca="1">INDIRECT(CONCATENATE("'",$A$550,"'!f",B580),1)</f>
        <v>15</v>
      </c>
      <c r="I580" s="1" cm="1">
        <f t="array" aca="1" ref="I580" ca="1">INDIRECT(CONCATENATE("'",$A$550,"'!g",B580),1)</f>
        <v>0</v>
      </c>
      <c r="J580" s="1" cm="1">
        <f t="array" aca="1" ref="J580" ca="1">INDIRECT(CONCATENATE("'",$A$550,"'!h",B580),1)</f>
        <v>0</v>
      </c>
      <c r="K580" s="1" cm="1">
        <f t="array" aca="1" ref="K580" ca="1">INDIRECT(CONCATENATE("'",$A$550,"'!i",B580),1)</f>
        <v>0</v>
      </c>
      <c r="L580" s="1" cm="1">
        <f t="array" aca="1" ref="L580" ca="1">INDIRECT(CONCATENATE("'",$A$550,"'!j",B580),1)</f>
        <v>2</v>
      </c>
      <c r="M580" s="1" cm="1">
        <f t="array" aca="1" ref="M580" ca="1">INDIRECT(CONCATENATE("'",$A$550,"'!k",B580),1)</f>
        <v>0</v>
      </c>
      <c r="N580" s="1" t="str" cm="1">
        <f t="array" aca="1" ref="N580" ca="1">INDIRECT(CONCATENATE("'",$A$550,"'!l",B580),1)</f>
        <v>Михайлов Д.В.</v>
      </c>
      <c r="O580" s="1" cm="1">
        <f t="array" aca="1" ref="O580" ca="1">INDIRECT(CONCATENATE("'",$A$550,"'!m",B580),1)</f>
        <v>0</v>
      </c>
      <c r="P580" s="1" t="str" cm="1">
        <f t="array" aca="1" ref="P580" ca="1">INDIRECT(CONCATENATE("'",$A$550,"'!n",B580),1)</f>
        <v>уст.</v>
      </c>
      <c r="Q580" s="1" cm="1">
        <f t="array" aca="1" ref="Q580" ca="1">INDIRECT(CONCATENATE("'",$A$550,"'!o",B580),1)</f>
        <v>0</v>
      </c>
      <c r="R580" s="1" cm="1">
        <f t="array" aca="1" ref="R580" ca="1">INDIRECT(CONCATENATE("'",$A$550,"'!p",B580),1)</f>
        <v>0</v>
      </c>
      <c r="S580" s="1">
        <f t="shared" ca="1" si="48"/>
        <v>0</v>
      </c>
      <c r="T580" s="1" t="str" cm="1">
        <f t="array" aca="1" ref="T580" ca="1">INDIRECT(CONCATENATE("'",$A$550,"'!q",B580),1)</f>
        <v>Михайлов Д.В.</v>
      </c>
      <c r="U580" s="1" cm="1">
        <f t="array" aca="1" ref="U580" ca="1">INDIRECT(CONCATENATE("'",$A$550,"'!r",B580),1)</f>
        <v>0</v>
      </c>
      <c r="V580" s="1" cm="1">
        <f t="array" aca="1" ref="V580" ca="1">INDIRECT(CONCATENATE("'",$A$550,"'!s",B580),1)</f>
        <v>0</v>
      </c>
      <c r="W580" s="1" cm="1">
        <f t="array" aca="1" ref="W580" ca="1">INDIRECT(CONCATENATE("'",$A$550,"'!t",B580),1)</f>
        <v>0</v>
      </c>
      <c r="X580" s="1" cm="1">
        <f t="array" aca="1" ref="X580" ca="1">INDIRECT(CONCATENATE("'",$A$550,"'!u",B580),1)</f>
        <v>0</v>
      </c>
      <c r="Y580" s="1" cm="1">
        <f t="array" aca="1" ref="Y580" ca="1">INDIRECT(CONCATENATE("'",$A$550,"'!v",B580),1)</f>
        <v>0</v>
      </c>
    </row>
    <row r="581" spans="1:25" ht="56.25" hidden="1" x14ac:dyDescent="0.25">
      <c r="A581" s="15"/>
      <c r="B581" s="24">
        <f t="shared" si="46"/>
        <v>33</v>
      </c>
      <c r="C581" s="1" t="str" cm="1">
        <f t="array" aca="1" ref="C581" ca="1">INDIRECT(CONCATENATE("'",$A$550,"'!A",B581),1)</f>
        <v>Практика производственная: Практика эксплуатационная(установ.)</v>
      </c>
      <c r="D581" s="1" t="str" cm="1">
        <f t="array" aca="1" ref="D581" ca="1">INDIRECT(CONCATENATE("'",$A$550,"'!B",B581),1)</f>
        <v xml:space="preserve">09.03.01(09у) </v>
      </c>
      <c r="E581" s="1" t="str" cm="1">
        <f t="array" aca="1" ref="E581" ca="1">INDIRECT(CONCATENATE("'",$A$550,"'!c",B581),1)</f>
        <v>3092з</v>
      </c>
      <c r="F581" s="1" cm="1">
        <f t="array" aca="1" ref="F581" ca="1">INDIRECT(CONCATENATE("'",$A$550,"'!d",B581),1)</f>
        <v>6</v>
      </c>
      <c r="G581" s="1" cm="1">
        <f t="array" aca="1" ref="G581" ca="1">INDIRECT(CONCATENATE("'",$A$550,"'!e",B581),1)</f>
        <v>1</v>
      </c>
      <c r="H581" s="1" cm="1">
        <f t="array" aca="1" ref="H581" ca="1">INDIRECT(CONCATENATE("'",$A$550,"'!f",B581),1)</f>
        <v>15</v>
      </c>
      <c r="I581" s="1" cm="1">
        <f t="array" aca="1" ref="I581" ca="1">INDIRECT(CONCATENATE("'",$A$550,"'!g",B581),1)</f>
        <v>0</v>
      </c>
      <c r="J581" s="1" cm="1">
        <f t="array" aca="1" ref="J581" ca="1">INDIRECT(CONCATENATE("'",$A$550,"'!h",B581),1)</f>
        <v>0</v>
      </c>
      <c r="K581" s="1" cm="1">
        <f t="array" aca="1" ref="K581" ca="1">INDIRECT(CONCATENATE("'",$A$550,"'!i",B581),1)</f>
        <v>0</v>
      </c>
      <c r="L581" s="1" cm="1">
        <f t="array" aca="1" ref="L581" ca="1">INDIRECT(CONCATENATE("'",$A$550,"'!j",B581),1)</f>
        <v>2</v>
      </c>
      <c r="M581" s="1" cm="1">
        <f t="array" aca="1" ref="M581" ca="1">INDIRECT(CONCATENATE("'",$A$550,"'!k",B581),1)</f>
        <v>0</v>
      </c>
      <c r="N581" s="1" t="str" cm="1">
        <f t="array" aca="1" ref="N581" ca="1">INDIRECT(CONCATENATE("'",$A$550,"'!l",B581),1)</f>
        <v>Соколова Г.Ю,</v>
      </c>
      <c r="O581" s="1" cm="1">
        <f t="array" aca="1" ref="O581" ca="1">INDIRECT(CONCATENATE("'",$A$550,"'!m",B581),1)</f>
        <v>124</v>
      </c>
      <c r="P581" s="1" t="str" cm="1">
        <f t="array" aca="1" ref="P581" ca="1">INDIRECT(CONCATENATE("'",$A$550,"'!n",B581),1)</f>
        <v>уст.</v>
      </c>
      <c r="Q581" s="1" cm="1">
        <f t="array" aca="1" ref="Q581" ca="1">INDIRECT(CONCATENATE("'",$A$550,"'!o",B581),1)</f>
        <v>0</v>
      </c>
      <c r="R581" s="1" cm="1">
        <f t="array" aca="1" ref="R581" ca="1">INDIRECT(CONCATENATE("'",$A$550,"'!p",B581),1)</f>
        <v>0</v>
      </c>
      <c r="S581" s="1">
        <f t="shared" ca="1" si="48"/>
        <v>0</v>
      </c>
      <c r="T581" s="1" t="str" cm="1">
        <f t="array" aca="1" ref="T581" ca="1">INDIRECT(CONCATENATE("'",$A$550,"'!q",B581),1)</f>
        <v>Соколова Г.Ю,</v>
      </c>
      <c r="U581" s="1" cm="1">
        <f t="array" aca="1" ref="U581" ca="1">INDIRECT(CONCATENATE("'",$A$550,"'!r",B581),1)</f>
        <v>0</v>
      </c>
      <c r="V581" s="1" cm="1">
        <f t="array" aca="1" ref="V581" ca="1">INDIRECT(CONCATENATE("'",$A$550,"'!s",B581),1)</f>
        <v>0</v>
      </c>
      <c r="W581" s="1" cm="1">
        <f t="array" aca="1" ref="W581" ca="1">INDIRECT(CONCATENATE("'",$A$550,"'!t",B581),1)</f>
        <v>0</v>
      </c>
      <c r="X581" s="1" cm="1">
        <f t="array" aca="1" ref="X581" ca="1">INDIRECT(CONCATENATE("'",$A$550,"'!u",B581),1)</f>
        <v>0</v>
      </c>
      <c r="Y581" s="1" cm="1">
        <f t="array" aca="1" ref="Y581" ca="1">INDIRECT(CONCATENATE("'",$A$550,"'!v",B581),1)</f>
        <v>0</v>
      </c>
    </row>
    <row r="582" spans="1:25" ht="56.25" hidden="1" x14ac:dyDescent="0.25">
      <c r="A582" s="15"/>
      <c r="B582" s="24">
        <f t="shared" si="46"/>
        <v>34</v>
      </c>
      <c r="C582" s="1" t="str" cm="1">
        <f t="array" aca="1" ref="C582" ca="1">INDIRECT(CONCATENATE("'",$A$550,"'!A",B582),1)</f>
        <v>Практика производственная: Практика проектно-технологическая(установ.)</v>
      </c>
      <c r="D582" s="1" t="str" cm="1">
        <f t="array" aca="1" ref="D582" ca="1">INDIRECT(CONCATENATE("'",$A$550,"'!B",B582),1)</f>
        <v xml:space="preserve">09.03.01(09у) </v>
      </c>
      <c r="E582" s="1" t="str" cm="1">
        <f t="array" aca="1" ref="E582" ca="1">INDIRECT(CONCATENATE("'",$A$550,"'!c",B582),1)</f>
        <v>3092з</v>
      </c>
      <c r="F582" s="1" cm="1">
        <f t="array" aca="1" ref="F582" ca="1">INDIRECT(CONCATENATE("'",$A$550,"'!d",B582),1)</f>
        <v>6</v>
      </c>
      <c r="G582" s="1" cm="1">
        <f t="array" aca="1" ref="G582" ca="1">INDIRECT(CONCATENATE("'",$A$550,"'!e",B582),1)</f>
        <v>1</v>
      </c>
      <c r="H582" s="1" cm="1">
        <f t="array" aca="1" ref="H582" ca="1">INDIRECT(CONCATENATE("'",$A$550,"'!f",B582),1)</f>
        <v>15</v>
      </c>
      <c r="I582" s="1" cm="1">
        <f t="array" aca="1" ref="I582" ca="1">INDIRECT(CONCATENATE("'",$A$550,"'!g",B582),1)</f>
        <v>0</v>
      </c>
      <c r="J582" s="1" cm="1">
        <f t="array" aca="1" ref="J582" ca="1">INDIRECT(CONCATENATE("'",$A$550,"'!h",B582),1)</f>
        <v>0</v>
      </c>
      <c r="K582" s="1" cm="1">
        <f t="array" aca="1" ref="K582" ca="1">INDIRECT(CONCATENATE("'",$A$550,"'!i",B582),1)</f>
        <v>0</v>
      </c>
      <c r="L582" s="1" cm="1">
        <f t="array" aca="1" ref="L582" ca="1">INDIRECT(CONCATENATE("'",$A$550,"'!j",B582),1)</f>
        <v>2</v>
      </c>
      <c r="M582" s="1" cm="1">
        <f t="array" aca="1" ref="M582" ca="1">INDIRECT(CONCATENATE("'",$A$550,"'!k",B582),1)</f>
        <v>0</v>
      </c>
      <c r="N582" s="1" t="str" cm="1">
        <f t="array" aca="1" ref="N582" ca="1">INDIRECT(CONCATENATE("'",$A$550,"'!l",B582),1)</f>
        <v>Соколова Г.Ю,</v>
      </c>
      <c r="O582" s="1" cm="1">
        <f t="array" aca="1" ref="O582" ca="1">INDIRECT(CONCATENATE("'",$A$550,"'!m",B582),1)</f>
        <v>0</v>
      </c>
      <c r="P582" s="1" t="str" cm="1">
        <f t="array" aca="1" ref="P582" ca="1">INDIRECT(CONCATENATE("'",$A$550,"'!n",B582),1)</f>
        <v>уст.</v>
      </c>
      <c r="Q582" s="1" cm="1">
        <f t="array" aca="1" ref="Q582" ca="1">INDIRECT(CONCATENATE("'",$A$550,"'!o",B582),1)</f>
        <v>0</v>
      </c>
      <c r="R582" s="1" cm="1">
        <f t="array" aca="1" ref="R582" ca="1">INDIRECT(CONCATENATE("'",$A$550,"'!p",B582),1)</f>
        <v>0</v>
      </c>
      <c r="S582" s="1">
        <f t="shared" ca="1" si="48"/>
        <v>0</v>
      </c>
      <c r="T582" s="1" t="str" cm="1">
        <f t="array" aca="1" ref="T582" ca="1">INDIRECT(CONCATENATE("'",$A$550,"'!q",B582),1)</f>
        <v>Соколова Г.Ю,</v>
      </c>
      <c r="U582" s="1" cm="1">
        <f t="array" aca="1" ref="U582" ca="1">INDIRECT(CONCATENATE("'",$A$550,"'!r",B582),1)</f>
        <v>0</v>
      </c>
      <c r="V582" s="1" cm="1">
        <f t="array" aca="1" ref="V582" ca="1">INDIRECT(CONCATENATE("'",$A$550,"'!s",B582),1)</f>
        <v>0</v>
      </c>
      <c r="W582" s="1" cm="1">
        <f t="array" aca="1" ref="W582" ca="1">INDIRECT(CONCATENATE("'",$A$550,"'!t",B582),1)</f>
        <v>0</v>
      </c>
      <c r="X582" s="1" cm="1">
        <f t="array" aca="1" ref="X582" ca="1">INDIRECT(CONCATENATE("'",$A$550,"'!u",B582),1)</f>
        <v>0</v>
      </c>
      <c r="Y582" s="1" cm="1">
        <f t="array" aca="1" ref="Y582" ca="1">INDIRECT(CONCATENATE("'",$A$550,"'!v",B582),1)</f>
        <v>0</v>
      </c>
    </row>
    <row r="583" spans="1:25" hidden="1" x14ac:dyDescent="0.25">
      <c r="A583" s="15"/>
      <c r="B583" s="24">
        <f t="shared" si="46"/>
        <v>35</v>
      </c>
      <c r="C583" s="1" cm="1">
        <f t="array" aca="1" ref="C583" ca="1">INDIRECT(CONCATENATE("'",$A$550,"'!A",B583),1)</f>
        <v>0</v>
      </c>
      <c r="D583" s="1" cm="1">
        <f t="array" aca="1" ref="D583" ca="1">INDIRECT(CONCATENATE("'",$A$550,"'!B",B583),1)</f>
        <v>0</v>
      </c>
      <c r="E583" s="1" cm="1">
        <f t="array" aca="1" ref="E583" ca="1">INDIRECT(CONCATENATE("'",$A$550,"'!c",B583),1)</f>
        <v>0</v>
      </c>
      <c r="F583" s="1" cm="1">
        <f t="array" aca="1" ref="F583" ca="1">INDIRECT(CONCATENATE("'",$A$550,"'!d",B583),1)</f>
        <v>0</v>
      </c>
      <c r="G583" s="1" cm="1">
        <f t="array" aca="1" ref="G583" ca="1">INDIRECT(CONCATENATE("'",$A$550,"'!e",B583),1)</f>
        <v>0</v>
      </c>
      <c r="H583" s="1" cm="1">
        <f t="array" aca="1" ref="H583" ca="1">INDIRECT(CONCATENATE("'",$A$550,"'!f",B583),1)</f>
        <v>0</v>
      </c>
      <c r="I583" s="1" cm="1">
        <f t="array" aca="1" ref="I583" ca="1">INDIRECT(CONCATENATE("'",$A$550,"'!g",B583),1)</f>
        <v>0</v>
      </c>
      <c r="J583" s="1" cm="1">
        <f t="array" aca="1" ref="J583" ca="1">INDIRECT(CONCATENATE("'",$A$550,"'!h",B583),1)</f>
        <v>0</v>
      </c>
      <c r="K583" s="1" cm="1">
        <f t="array" aca="1" ref="K583" ca="1">INDIRECT(CONCATENATE("'",$A$550,"'!i",B583),1)</f>
        <v>0</v>
      </c>
      <c r="L583" s="1" cm="1">
        <f t="array" aca="1" ref="L583" ca="1">INDIRECT(CONCATENATE("'",$A$550,"'!j",B583),1)</f>
        <v>0</v>
      </c>
      <c r="M583" s="1" cm="1">
        <f t="array" aca="1" ref="M583" ca="1">INDIRECT(CONCATENATE("'",$A$550,"'!k",B583),1)</f>
        <v>0</v>
      </c>
      <c r="N583" s="1" t="str" cm="1">
        <f t="array" aca="1" ref="N583" ca="1">INDIRECT(CONCATENATE("'",$A$550,"'!l",B583),1)</f>
        <v/>
      </c>
      <c r="O583" s="1" cm="1">
        <f t="array" aca="1" ref="O583" ca="1">INDIRECT(CONCATENATE("'",$A$550,"'!m",B583),1)</f>
        <v>0</v>
      </c>
      <c r="P583" s="1" cm="1">
        <f t="array" aca="1" ref="P583" ca="1">INDIRECT(CONCATENATE("'",$A$550,"'!n",B583),1)</f>
        <v>0</v>
      </c>
      <c r="Q583" s="1" cm="1">
        <f t="array" aca="1" ref="Q583" ca="1">INDIRECT(CONCATENATE("'",$A$550,"'!o",B583),1)</f>
        <v>0</v>
      </c>
      <c r="R583" s="1" cm="1">
        <f t="array" aca="1" ref="R583" ca="1">INDIRECT(CONCATENATE("'",$A$550,"'!p",B583),1)</f>
        <v>0</v>
      </c>
      <c r="S583" s="1">
        <f t="shared" ca="1" si="48"/>
        <v>0</v>
      </c>
      <c r="T583" s="1" cm="1">
        <f t="array" aca="1" ref="T583" ca="1">INDIRECT(CONCATENATE("'",$A$550,"'!q",B583),1)</f>
        <v>0</v>
      </c>
      <c r="U583" s="1" cm="1">
        <f t="array" aca="1" ref="U583" ca="1">INDIRECT(CONCATENATE("'",$A$550,"'!r",B583),1)</f>
        <v>0</v>
      </c>
      <c r="V583" s="1" cm="1">
        <f t="array" aca="1" ref="V583" ca="1">INDIRECT(CONCATENATE("'",$A$550,"'!s",B583),1)</f>
        <v>0</v>
      </c>
      <c r="W583" s="1" cm="1">
        <f t="array" aca="1" ref="W583" ca="1">INDIRECT(CONCATENATE("'",$A$550,"'!t",B583),1)</f>
        <v>0</v>
      </c>
      <c r="X583" s="1" cm="1">
        <f t="array" aca="1" ref="X583" ca="1">INDIRECT(CONCATENATE("'",$A$550,"'!u",B583),1)</f>
        <v>0</v>
      </c>
      <c r="Y583" s="1" cm="1">
        <f t="array" aca="1" ref="Y583" ca="1">INDIRECT(CONCATENATE("'",$A$550,"'!v",B583),1)</f>
        <v>0</v>
      </c>
    </row>
    <row r="584" spans="1:25" ht="45" hidden="1" x14ac:dyDescent="0.25">
      <c r="A584" s="15"/>
      <c r="B584" s="24">
        <f t="shared" si="46"/>
        <v>36</v>
      </c>
      <c r="C584" s="1" t="str" cm="1">
        <f t="array" aca="1" ref="C584" ca="1">INDIRECT(CONCATENATE("'",$A$550,"'!A",B584),1)</f>
        <v>Технология разработки программного обеспечения</v>
      </c>
      <c r="D584" s="1" t="str" cm="1">
        <f t="array" aca="1" ref="D584" ca="1">INDIRECT(CONCATENATE("'",$A$550,"'!B",B584),1)</f>
        <v xml:space="preserve">09.03.01(09)-11 09.03.01(09у)-31 </v>
      </c>
      <c r="E584" s="1" t="str" cm="1">
        <f t="array" aca="1" ref="E584" ca="1">INDIRECT(CONCATENATE("'",$A$550,"'!c",B584),1)</f>
        <v>2091з
2092зу</v>
      </c>
      <c r="F584" s="1" cm="1">
        <f t="array" aca="1" ref="F584" ca="1">INDIRECT(CONCATENATE("'",$A$550,"'!d",B584),1)</f>
        <v>7</v>
      </c>
      <c r="G584" s="1" cm="1">
        <f t="array" aca="1" ref="G584" ca="1">INDIRECT(CONCATENATE("'",$A$550,"'!e",B584),1)</f>
        <v>2</v>
      </c>
      <c r="H584" s="1" cm="1">
        <f t="array" aca="1" ref="H584" ca="1">INDIRECT(CONCATENATE("'",$A$550,"'!f",B584),1)</f>
        <v>42</v>
      </c>
      <c r="I584" s="1" t="str" cm="1">
        <f t="array" aca="1" ref="I584" ca="1">INDIRECT(CONCATENATE("'",$A$550,"'!g",B584),1)</f>
        <v>ДЗ</v>
      </c>
      <c r="J584" s="1" cm="1">
        <f t="array" aca="1" ref="J584" ca="1">INDIRECT(CONCATENATE("'",$A$550,"'!h",B584),1)</f>
        <v>4</v>
      </c>
      <c r="K584" s="1" cm="1">
        <f t="array" aca="1" ref="K584" ca="1">INDIRECT(CONCATENATE("'",$A$550,"'!i",B584),1)</f>
        <v>4</v>
      </c>
      <c r="L584" s="1" cm="1">
        <f t="array" aca="1" ref="L584" ca="1">INDIRECT(CONCATENATE("'",$A$550,"'!j",B584),1)</f>
        <v>8</v>
      </c>
      <c r="M584" s="1" cm="1">
        <f t="array" aca="1" ref="M584" ca="1">INDIRECT(CONCATENATE("'",$A$550,"'!k",B584),1)</f>
        <v>16</v>
      </c>
      <c r="N584" s="1" t="str" cm="1">
        <f t="array" aca="1" ref="N584" ca="1">INDIRECT(CONCATENATE("'",$A$550,"'!l",B584),1)</f>
        <v>Алексеев П.С.</v>
      </c>
      <c r="O584" s="1" t="str" cm="1">
        <f t="array" aca="1" ref="O584" ca="1">INDIRECT(CONCATENATE("'",$A$550,"'!m",B584),1)</f>
        <v>2п пр + 2п лр</v>
      </c>
      <c r="P584" s="1" cm="1">
        <f t="array" aca="1" ref="P584" ca="1">INDIRECT(CONCATENATE("'",$A$550,"'!n",B584),1)</f>
        <v>0</v>
      </c>
      <c r="Q584" s="1" cm="1">
        <f t="array" aca="1" ref="Q584" ca="1">INDIRECT(CONCATENATE("'",$A$550,"'!o",B584),1)</f>
        <v>25.2</v>
      </c>
      <c r="R584" s="1" cm="1">
        <f t="array" aca="1" ref="R584" ca="1">INDIRECT(CONCATENATE("'",$A$550,"'!p",B584),1)</f>
        <v>0</v>
      </c>
      <c r="S584" s="1">
        <f t="shared" ca="1" si="48"/>
        <v>0</v>
      </c>
      <c r="T584" s="1" t="str" cm="1">
        <f t="array" aca="1" ref="T584" ca="1">INDIRECT(CONCATENATE("'",$A$550,"'!q",B584),1)</f>
        <v>Алексеев П.С.</v>
      </c>
      <c r="U584" s="1" cm="1">
        <f t="array" aca="1" ref="U584" ca="1">INDIRECT(CONCATENATE("'",$A$550,"'!r",B584),1)</f>
        <v>53.2</v>
      </c>
      <c r="V584" s="1" cm="1">
        <f t="array" aca="1" ref="V584" ca="1">INDIRECT(CONCATENATE("'",$A$550,"'!s",B584),1)</f>
        <v>0</v>
      </c>
      <c r="W584" s="1" cm="1">
        <f t="array" aca="1" ref="W584" ca="1">INDIRECT(CONCATENATE("'",$A$550,"'!t",B584),1)</f>
        <v>0</v>
      </c>
      <c r="X584" s="1" cm="1">
        <f t="array" aca="1" ref="X584" ca="1">INDIRECT(CONCATENATE("'",$A$550,"'!u",B584),1)</f>
        <v>0</v>
      </c>
      <c r="Y584" s="1" cm="1">
        <f t="array" aca="1" ref="Y584" ca="1">INDIRECT(CONCATENATE("'",$A$550,"'!v",B584),1)</f>
        <v>0</v>
      </c>
    </row>
    <row r="585" spans="1:25" ht="45" x14ac:dyDescent="0.25">
      <c r="A585" s="15"/>
      <c r="B585" s="24">
        <f t="shared" si="46"/>
        <v>37</v>
      </c>
      <c r="C585" s="1" t="str" cm="1">
        <f t="array" aca="1" ref="C585" ca="1">INDIRECT(CONCATENATE("'",$A$550,"'!A",B585),1)</f>
        <v>Проектный практикум</v>
      </c>
      <c r="D585" s="1" t="str" cm="1">
        <f t="array" aca="1" ref="D585" ca="1">INDIRECT(CONCATENATE("'",$A$550,"'!B",B585),1)</f>
        <v xml:space="preserve">09.03.01(09)-11 09.03.01(09у)-31 </v>
      </c>
      <c r="E585" s="1" t="str" cm="1">
        <f t="array" aca="1" ref="E585" ca="1">INDIRECT(CONCATENATE("'",$A$550,"'!c",B585),1)</f>
        <v>2091з
2092зу</v>
      </c>
      <c r="F585" s="1" cm="1">
        <f t="array" aca="1" ref="F585" ca="1">INDIRECT(CONCATENATE("'",$A$550,"'!d",B585),1)</f>
        <v>7</v>
      </c>
      <c r="G585" s="1" cm="1">
        <f t="array" aca="1" ref="G585" ca="1">INDIRECT(CONCATENATE("'",$A$550,"'!e",B585),1)</f>
        <v>2</v>
      </c>
      <c r="H585" s="1" cm="1">
        <f t="array" aca="1" ref="H585" ca="1">INDIRECT(CONCATENATE("'",$A$550,"'!f",B585),1)</f>
        <v>42</v>
      </c>
      <c r="I585" s="1" t="str" cm="1">
        <f t="array" aca="1" ref="I585" ca="1">INDIRECT(CONCATENATE("'",$A$550,"'!g",B585),1)</f>
        <v>ЗАЧ</v>
      </c>
      <c r="J585" s="1" cm="1">
        <f t="array" aca="1" ref="J585" ca="1">INDIRECT(CONCATENATE("'",$A$550,"'!h",B585),1)</f>
        <v>0</v>
      </c>
      <c r="K585" s="1" cm="1">
        <f t="array" aca="1" ref="K585" ca="1">INDIRECT(CONCATENATE("'",$A$550,"'!i",B585),1)</f>
        <v>0</v>
      </c>
      <c r="L585" s="1" cm="1">
        <f t="array" aca="1" ref="L585" ca="1">INDIRECT(CONCATENATE("'",$A$550,"'!j",B585),1)</f>
        <v>0</v>
      </c>
      <c r="M585" s="1" cm="1">
        <f t="array" aca="1" ref="M585" ca="1">INDIRECT(CONCATENATE("'",$A$550,"'!k",B585),1)</f>
        <v>0</v>
      </c>
      <c r="N585" s="1" t="str" cm="1">
        <f t="array" aca="1" ref="N585" ca="1">INDIRECT(CONCATENATE("'",$A$550,"'!l",B585),1)</f>
        <v>Савинова М.А.</v>
      </c>
      <c r="O585" s="1" cm="1">
        <f t="array" aca="1" ref="O585" ca="1">INDIRECT(CONCATENATE("'",$A$550,"'!m",B585),1)</f>
        <v>0</v>
      </c>
      <c r="P585" s="1" cm="1">
        <f t="array" aca="1" ref="P585" ca="1">INDIRECT(CONCATENATE("'",$A$550,"'!n",B585),1)</f>
        <v>0</v>
      </c>
      <c r="Q585" s="1" cm="1">
        <f t="array" aca="1" ref="Q585" ca="1">INDIRECT(CONCATENATE("'",$A$550,"'!o",B585),1)</f>
        <v>63</v>
      </c>
      <c r="R585" s="1" cm="1">
        <f t="array" aca="1" ref="R585" ca="1">INDIRECT(CONCATENATE("'",$A$550,"'!p",B585),1)</f>
        <v>0</v>
      </c>
      <c r="S585" s="1">
        <f t="shared" ca="1" si="48"/>
        <v>63</v>
      </c>
      <c r="T585" s="1" t="str" cm="1">
        <f t="array" aca="1" ref="T585" ca="1">INDIRECT(CONCATENATE("'",$A$550,"'!q",B585),1)</f>
        <v>Савинова М.А.</v>
      </c>
      <c r="U585" s="1" cm="1">
        <f t="array" aca="1" ref="U585" ca="1">INDIRECT(CONCATENATE("'",$A$550,"'!r",B585),1)</f>
        <v>63</v>
      </c>
      <c r="V585" s="1" cm="1">
        <f t="array" aca="1" ref="V585" ca="1">INDIRECT(CONCATENATE("'",$A$550,"'!s",B585),1)</f>
        <v>0</v>
      </c>
      <c r="W585" s="1" cm="1">
        <f t="array" aca="1" ref="W585" ca="1">INDIRECT(CONCATENATE("'",$A$550,"'!t",B585),1)</f>
        <v>0</v>
      </c>
      <c r="X585" s="1" cm="1">
        <f t="array" aca="1" ref="X585" ca="1">INDIRECT(CONCATENATE("'",$A$550,"'!u",B585),1)</f>
        <v>0</v>
      </c>
      <c r="Y585" s="1" cm="1">
        <f t="array" aca="1" ref="Y585" ca="1">INDIRECT(CONCATENATE("'",$A$550,"'!v",B585),1)</f>
        <v>0</v>
      </c>
    </row>
    <row r="586" spans="1:25" ht="45" hidden="1" x14ac:dyDescent="0.25">
      <c r="A586" s="15"/>
      <c r="B586" s="24">
        <f t="shared" si="46"/>
        <v>38</v>
      </c>
      <c r="C586" s="1" t="str" cm="1">
        <f t="array" aca="1" ref="C586" ca="1">INDIRECT(CONCATENATE("'",$A$550,"'!A",B586),1)</f>
        <v>Проектирование информационных систем</v>
      </c>
      <c r="D586" s="1" t="str" cm="1">
        <f t="array" aca="1" ref="D586" ca="1">INDIRECT(CONCATENATE("'",$A$550,"'!B",B586),1)</f>
        <v xml:space="preserve">09.03.01(09у) </v>
      </c>
      <c r="E586" s="1" t="str" cm="1">
        <f t="array" aca="1" ref="E586" ca="1">INDIRECT(CONCATENATE("'",$A$550,"'!c",B586),1)</f>
        <v>2092зу</v>
      </c>
      <c r="F586" s="1" cm="1">
        <f t="array" aca="1" ref="F586" ca="1">INDIRECT(CONCATENATE("'",$A$550,"'!d",B586),1)</f>
        <v>7</v>
      </c>
      <c r="G586" s="1" cm="1">
        <f t="array" aca="1" ref="G586" ca="1">INDIRECT(CONCATENATE("'",$A$550,"'!e",B586),1)</f>
        <v>1</v>
      </c>
      <c r="H586" s="1" cm="1">
        <f t="array" aca="1" ref="H586" ca="1">INDIRECT(CONCATENATE("'",$A$550,"'!f",B586),1)</f>
        <v>31</v>
      </c>
      <c r="I586" s="1" t="str" cm="1">
        <f t="array" aca="1" ref="I586" ca="1">INDIRECT(CONCATENATE("'",$A$550,"'!g",B586),1)</f>
        <v>ЭКЗ</v>
      </c>
      <c r="J586" s="1" cm="1">
        <f t="array" aca="1" ref="J586" ca="1">INDIRECT(CONCATENATE("'",$A$550,"'!h",B586),1)</f>
        <v>5</v>
      </c>
      <c r="K586" s="1" cm="1">
        <f t="array" aca="1" ref="K586" ca="1">INDIRECT(CONCATENATE("'",$A$550,"'!i",B586),1)</f>
        <v>4</v>
      </c>
      <c r="L586" s="1" cm="1">
        <f t="array" aca="1" ref="L586" ca="1">INDIRECT(CONCATENATE("'",$A$550,"'!j",B586),1)</f>
        <v>0</v>
      </c>
      <c r="M586" s="1" cm="1">
        <f t="array" aca="1" ref="M586" ca="1">INDIRECT(CONCATENATE("'",$A$550,"'!k",B586),1)</f>
        <v>24</v>
      </c>
      <c r="N586" s="1" t="str" cm="1">
        <f t="array" aca="1" ref="N586" ca="1">INDIRECT(CONCATENATE("'",$A$550,"'!l",B586),1)</f>
        <v>Цымбалюк Л.Н.Цымбалюк А.Е.</v>
      </c>
      <c r="O586" s="1" t="str" cm="1">
        <f t="array" aca="1" ref="O586" ca="1">INDIRECT(CONCATENATE("'",$A$550,"'!m",B586),1)</f>
        <v>лр2</v>
      </c>
      <c r="P586" s="1" cm="1">
        <f t="array" aca="1" ref="P586" ca="1">INDIRECT(CONCATENATE("'",$A$550,"'!n",B586),1)</f>
        <v>0</v>
      </c>
      <c r="Q586" s="1" cm="1">
        <f t="array" aca="1" ref="Q586" ca="1">INDIRECT(CONCATENATE("'",$A$550,"'!o",B586),1)</f>
        <v>23.25</v>
      </c>
      <c r="R586" s="1" cm="1">
        <f t="array" aca="1" ref="R586" ca="1">INDIRECT(CONCATENATE("'",$A$550,"'!p",B586),1)</f>
        <v>15.5</v>
      </c>
      <c r="S586" s="1">
        <f t="shared" ca="1" si="48"/>
        <v>0</v>
      </c>
      <c r="T586" s="1" t="str" cm="1">
        <f t="array" aca="1" ref="T586" ca="1">INDIRECT(CONCATENATE("'",$A$550,"'!q",B586),1)</f>
        <v>Цымбалюк Л.Н.</v>
      </c>
      <c r="U586" s="1" cm="1">
        <f t="array" aca="1" ref="U586" ca="1">INDIRECT(CONCATENATE("'",$A$550,"'!r",B586),1)</f>
        <v>54.75</v>
      </c>
      <c r="V586" s="1" t="str" cm="1">
        <f t="array" aca="1" ref="V586" ca="1">INDIRECT(CONCATENATE("'",$A$550,"'!s",B586),1)</f>
        <v>Цымбалюк А.Е.</v>
      </c>
      <c r="W586" s="1" cm="1">
        <f t="array" aca="1" ref="W586" ca="1">INDIRECT(CONCATENATE("'",$A$550,"'!t",B586),1)</f>
        <v>12</v>
      </c>
      <c r="X586" s="1" cm="1">
        <f t="array" aca="1" ref="X586" ca="1">INDIRECT(CONCATENATE("'",$A$550,"'!u",B586),1)</f>
        <v>0</v>
      </c>
      <c r="Y586" s="1" cm="1">
        <f t="array" aca="1" ref="Y586" ca="1">INDIRECT(CONCATENATE("'",$A$550,"'!v",B586),1)</f>
        <v>0</v>
      </c>
    </row>
    <row r="587" spans="1:25" ht="22.35" hidden="1" customHeight="1" x14ac:dyDescent="0.25">
      <c r="A587" s="15"/>
      <c r="B587" s="24">
        <f t="shared" si="46"/>
        <v>39</v>
      </c>
      <c r="C587" s="1" t="str" cm="1">
        <f t="array" aca="1" ref="C587" ca="1">INDIRECT(CONCATENATE("'",$A$550,"'!A",B587),1)</f>
        <v>Проектирование информационных систем</v>
      </c>
      <c r="D587" s="1" t="str" cm="1">
        <f t="array" aca="1" ref="D587" ca="1">INDIRECT(CONCATENATE("'",$A$550,"'!B",B587),1)</f>
        <v xml:space="preserve">09.03.01(09у) </v>
      </c>
      <c r="E587" s="1" t="str" cm="1">
        <f t="array" aca="1" ref="E587" ca="1">INDIRECT(CONCATENATE("'",$A$550,"'!c",B587),1)</f>
        <v>2092зу</v>
      </c>
      <c r="F587" s="1" cm="1">
        <f t="array" aca="1" ref="F587" ca="1">INDIRECT(CONCATENATE("'",$A$550,"'!d",B587),1)</f>
        <v>7</v>
      </c>
      <c r="G587" s="1" cm="1">
        <f t="array" aca="1" ref="G587" ca="1">INDIRECT(CONCATENATE("'",$A$550,"'!e",B587),1)</f>
        <v>1</v>
      </c>
      <c r="H587" s="1" cm="1">
        <f t="array" aca="1" ref="H587" ca="1">INDIRECT(CONCATENATE("'",$A$550,"'!f",B587),1)</f>
        <v>31</v>
      </c>
      <c r="I587" s="1" t="str" cm="1">
        <f t="array" aca="1" ref="I587" ca="1">INDIRECT(CONCATENATE("'",$A$550,"'!g",B587),1)</f>
        <v>КП</v>
      </c>
      <c r="J587" s="1" cm="1">
        <f t="array" aca="1" ref="J587" ca="1">INDIRECT(CONCATENATE("'",$A$550,"'!h",B587),1)</f>
        <v>1</v>
      </c>
      <c r="K587" s="1" cm="1">
        <f t="array" aca="1" ref="K587" ca="1">INDIRECT(CONCATENATE("'",$A$550,"'!i",B587),1)</f>
        <v>0</v>
      </c>
      <c r="L587" s="1" cm="1">
        <f t="array" aca="1" ref="L587" ca="1">INDIRECT(CONCATENATE("'",$A$550,"'!j",B587),1)</f>
        <v>0</v>
      </c>
      <c r="M587" s="1" cm="1">
        <f t="array" aca="1" ref="M587" ca="1">INDIRECT(CONCATENATE("'",$A$550,"'!k",B587),1)</f>
        <v>0</v>
      </c>
      <c r="N587" s="1" t="str" cm="1">
        <f t="array" aca="1" ref="N587" ca="1">INDIRECT(CONCATENATE("'",$A$550,"'!l",B587),1)</f>
        <v>Цымбалюк Л.Н.Цымбалюк А.Е.</v>
      </c>
      <c r="O587" s="1" t="str" cm="1">
        <f t="array" aca="1" ref="O587" ca="1">INDIRECT(CONCATENATE("'",$A$550,"'!m",B587),1)</f>
        <v>лр2</v>
      </c>
      <c r="P587" s="1" cm="1">
        <f t="array" aca="1" ref="P587" ca="1">INDIRECT(CONCATENATE("'",$A$550,"'!n",B587),1)</f>
        <v>0</v>
      </c>
      <c r="Q587" s="1" cm="1">
        <f t="array" aca="1" ref="Q587" ca="1">INDIRECT(CONCATENATE("'",$A$550,"'!o",B587),1)</f>
        <v>46.5</v>
      </c>
      <c r="R587" s="1" cm="1">
        <f t="array" aca="1" ref="R587" ca="1">INDIRECT(CONCATENATE("'",$A$550,"'!p",B587),1)</f>
        <v>0</v>
      </c>
      <c r="S587" s="1">
        <f t="shared" ca="1" si="48"/>
        <v>0</v>
      </c>
      <c r="T587" s="1" t="str" cm="1">
        <f t="array" aca="1" ref="T587" ca="1">INDIRECT(CONCATENATE("'",$A$550,"'!q",B587),1)</f>
        <v>Цымбалюк Л.Н.</v>
      </c>
      <c r="U587" s="1" cm="1">
        <f t="array" aca="1" ref="U587" ca="1">INDIRECT(CONCATENATE("'",$A$550,"'!r",B587),1)</f>
        <v>12.5</v>
      </c>
      <c r="V587" s="1" t="str" cm="1">
        <f t="array" aca="1" ref="V587" ca="1">INDIRECT(CONCATENATE("'",$A$550,"'!s",B587),1)</f>
        <v>Цымбалюк А.Е.</v>
      </c>
      <c r="W587" s="1" cm="1">
        <f t="array" aca="1" ref="W587" ca="1">INDIRECT(CONCATENATE("'",$A$550,"'!t",B587),1)</f>
        <v>34</v>
      </c>
      <c r="X587" s="1" cm="1">
        <f t="array" aca="1" ref="X587" ca="1">INDIRECT(CONCATENATE("'",$A$550,"'!u",B587),1)</f>
        <v>0</v>
      </c>
      <c r="Y587" s="1" cm="1">
        <f t="array" aca="1" ref="Y587" ca="1">INDIRECT(CONCATENATE("'",$A$550,"'!v",B587),1)</f>
        <v>0</v>
      </c>
    </row>
    <row r="588" spans="1:25" ht="22.5" hidden="1" x14ac:dyDescent="0.25">
      <c r="A588" s="15"/>
      <c r="B588" s="24">
        <f t="shared" si="46"/>
        <v>40</v>
      </c>
      <c r="C588" s="1" t="str" cm="1">
        <f t="array" aca="1" ref="C588" ca="1">INDIRECT(CONCATENATE("'",$A$550,"'!A",B588),1)</f>
        <v>Машинное обучение и большие данные</v>
      </c>
      <c r="D588" s="1" t="str" cm="1">
        <f t="array" aca="1" ref="D588" ca="1">INDIRECT(CONCATENATE("'",$A$550,"'!B",B588),1)</f>
        <v xml:space="preserve">09.03.01(09у) </v>
      </c>
      <c r="E588" s="1" t="str" cm="1">
        <f t="array" aca="1" ref="E588" ca="1">INDIRECT(CONCATENATE("'",$A$550,"'!c",B588),1)</f>
        <v>2092зу</v>
      </c>
      <c r="F588" s="1" cm="1">
        <f t="array" aca="1" ref="F588" ca="1">INDIRECT(CONCATENATE("'",$A$550,"'!d",B588),1)</f>
        <v>7</v>
      </c>
      <c r="G588" s="1" cm="1">
        <f t="array" aca="1" ref="G588" ca="1">INDIRECT(CONCATENATE("'",$A$550,"'!e",B588),1)</f>
        <v>1</v>
      </c>
      <c r="H588" s="1" cm="1">
        <f t="array" aca="1" ref="H588" ca="1">INDIRECT(CONCATENATE("'",$A$550,"'!f",B588),1)</f>
        <v>31</v>
      </c>
      <c r="I588" s="1" t="str" cm="1">
        <f t="array" aca="1" ref="I588" ca="1">INDIRECT(CONCATENATE("'",$A$550,"'!g",B588),1)</f>
        <v>ЭКЗ</v>
      </c>
      <c r="J588" s="1" cm="1">
        <f t="array" aca="1" ref="J588" ca="1">INDIRECT(CONCATENATE("'",$A$550,"'!h",B588),1)</f>
        <v>3</v>
      </c>
      <c r="K588" s="1" cm="1">
        <f t="array" aca="1" ref="K588" ca="1">INDIRECT(CONCATENATE("'",$A$550,"'!i",B588),1)</f>
        <v>4</v>
      </c>
      <c r="L588" s="1" cm="1">
        <f t="array" aca="1" ref="L588" ca="1">INDIRECT(CONCATENATE("'",$A$550,"'!j",B588),1)</f>
        <v>0</v>
      </c>
      <c r="M588" s="1" cm="1">
        <f t="array" aca="1" ref="M588" ca="1">INDIRECT(CONCATENATE("'",$A$550,"'!k",B588),1)</f>
        <v>8</v>
      </c>
      <c r="N588" s="1" t="str" cm="1">
        <f t="array" aca="1" ref="N588" ca="1">INDIRECT(CONCATENATE("'",$A$550,"'!l",B588),1)</f>
        <v>Телина И.С.</v>
      </c>
      <c r="O588" s="1" t="str" cm="1">
        <f t="array" aca="1" ref="O588" ca="1">INDIRECT(CONCATENATE("'",$A$550,"'!m",B588),1)</f>
        <v>лр2</v>
      </c>
      <c r="P588" s="1" cm="1">
        <f t="array" aca="1" ref="P588" ca="1">INDIRECT(CONCATENATE("'",$A$550,"'!n",B588),1)</f>
        <v>0</v>
      </c>
      <c r="Q588" s="1" cm="1">
        <f t="array" aca="1" ref="Q588" ca="1">INDIRECT(CONCATENATE("'",$A$550,"'!o",B588),1)</f>
        <v>14</v>
      </c>
      <c r="R588" s="1" cm="1">
        <f t="array" aca="1" ref="R588" ca="1">INDIRECT(CONCATENATE("'",$A$550,"'!p",B588),1)</f>
        <v>9.3000000000000007</v>
      </c>
      <c r="S588" s="1">
        <f t="shared" ca="1" si="48"/>
        <v>0</v>
      </c>
      <c r="T588" s="1" t="str" cm="1">
        <f t="array" aca="1" ref="T588" ca="1">INDIRECT(CONCATENATE("'",$A$550,"'!q",B588),1)</f>
        <v>Телина И.С.</v>
      </c>
      <c r="U588" s="1" cm="1">
        <f t="array" aca="1" ref="U588" ca="1">INDIRECT(CONCATENATE("'",$A$550,"'!r",B588),1)</f>
        <v>35.299999999999997</v>
      </c>
      <c r="V588" s="1" cm="1">
        <f t="array" aca="1" ref="V588" ca="1">INDIRECT(CONCATENATE("'",$A$550,"'!s",B588),1)</f>
        <v>0</v>
      </c>
      <c r="W588" s="1" cm="1">
        <f t="array" aca="1" ref="W588" ca="1">INDIRECT(CONCATENATE("'",$A$550,"'!t",B588),1)</f>
        <v>0</v>
      </c>
      <c r="X588" s="1" cm="1">
        <f t="array" aca="1" ref="X588" ca="1">INDIRECT(CONCATENATE("'",$A$550,"'!u",B588),1)</f>
        <v>0</v>
      </c>
      <c r="Y588" s="1" cm="1">
        <f t="array" aca="1" ref="Y588" ca="1">INDIRECT(CONCATENATE("'",$A$550,"'!v",B588),1)</f>
        <v>0</v>
      </c>
    </row>
    <row r="589" spans="1:25" ht="22.35" hidden="1" customHeight="1" x14ac:dyDescent="0.25">
      <c r="A589" s="15"/>
      <c r="B589" s="24">
        <f t="shared" si="46"/>
        <v>41</v>
      </c>
      <c r="C589" s="1" t="str" cm="1">
        <f t="array" aca="1" ref="C589" ca="1">INDIRECT(CONCATENATE("'",$A$550,"'!A",B589),1)</f>
        <v>Введение в информационные технологии больших данных</v>
      </c>
      <c r="D589" s="1" t="str" cm="1">
        <f t="array" aca="1" ref="D589" ca="1">INDIRECT(CONCATENATE("'",$A$550,"'!B",B589),1)</f>
        <v xml:space="preserve">09.03.01(09у) </v>
      </c>
      <c r="E589" s="1" t="str" cm="1">
        <f t="array" aca="1" ref="E589" ca="1">INDIRECT(CONCATENATE("'",$A$550,"'!c",B589),1)</f>
        <v>2092зу</v>
      </c>
      <c r="F589" s="1" cm="1">
        <f t="array" aca="1" ref="F589" ca="1">INDIRECT(CONCATENATE("'",$A$550,"'!d",B589),1)</f>
        <v>7</v>
      </c>
      <c r="G589" s="1" cm="1">
        <f t="array" aca="1" ref="G589" ca="1">INDIRECT(CONCATENATE("'",$A$550,"'!e",B589),1)</f>
        <v>1</v>
      </c>
      <c r="H589" s="1" cm="1">
        <f t="array" aca="1" ref="H589" ca="1">INDIRECT(CONCATENATE("'",$A$550,"'!f",B589),1)</f>
        <v>31</v>
      </c>
      <c r="I589" s="1" t="str" cm="1">
        <f t="array" aca="1" ref="I589" ca="1">INDIRECT(CONCATENATE("'",$A$550,"'!g",B589),1)</f>
        <v>ДЗ</v>
      </c>
      <c r="J589" s="1" cm="1">
        <f t="array" aca="1" ref="J589" ca="1">INDIRECT(CONCATENATE("'",$A$550,"'!h",B589),1)</f>
        <v>3</v>
      </c>
      <c r="K589" s="1" cm="1">
        <f t="array" aca="1" ref="K589" ca="1">INDIRECT(CONCATENATE("'",$A$550,"'!i",B589),1)</f>
        <v>4</v>
      </c>
      <c r="L589" s="1" cm="1">
        <f t="array" aca="1" ref="L589" ca="1">INDIRECT(CONCATENATE("'",$A$550,"'!j",B589),1)</f>
        <v>0</v>
      </c>
      <c r="M589" s="1" cm="1">
        <f t="array" aca="1" ref="M589" ca="1">INDIRECT(CONCATENATE("'",$A$550,"'!k",B589),1)</f>
        <v>8</v>
      </c>
      <c r="N589" s="1" t="str" cm="1">
        <f t="array" aca="1" ref="N589" ca="1">INDIRECT(CONCATENATE("'",$A$550,"'!l",B589),1)</f>
        <v>Цымбалюк Л.Н.</v>
      </c>
      <c r="O589" s="1" t="str" cm="1">
        <f t="array" aca="1" ref="O589" ca="1">INDIRECT(CONCATENATE("'",$A$550,"'!m",B589),1)</f>
        <v>лр2</v>
      </c>
      <c r="P589" s="1" cm="1">
        <f t="array" aca="1" ref="P589" ca="1">INDIRECT(CONCATENATE("'",$A$550,"'!n",B589),1)</f>
        <v>0</v>
      </c>
      <c r="Q589" s="1" cm="1">
        <f t="array" aca="1" ref="Q589" ca="1">INDIRECT(CONCATENATE("'",$A$550,"'!o",B589),1)</f>
        <v>13.95</v>
      </c>
      <c r="R589" s="1" cm="1">
        <f t="array" aca="1" ref="R589" ca="1">INDIRECT(CONCATENATE("'",$A$550,"'!p",B589),1)</f>
        <v>0</v>
      </c>
      <c r="S589" s="1">
        <f t="shared" ca="1" si="48"/>
        <v>0</v>
      </c>
      <c r="T589" s="1" t="str" cm="1">
        <f t="array" aca="1" ref="T589" ca="1">INDIRECT(CONCATENATE("'",$A$550,"'!q",B589),1)</f>
        <v>Цымбалюк Л.Н.</v>
      </c>
      <c r="U589" s="1" cm="1">
        <f t="array" aca="1" ref="U589" ca="1">INDIRECT(CONCATENATE("'",$A$550,"'!r",B589),1)</f>
        <v>25.95</v>
      </c>
      <c r="V589" s="1" cm="1">
        <f t="array" aca="1" ref="V589" ca="1">INDIRECT(CONCATENATE("'",$A$550,"'!s",B589),1)</f>
        <v>0</v>
      </c>
      <c r="W589" s="1" cm="1">
        <f t="array" aca="1" ref="W589" ca="1">INDIRECT(CONCATENATE("'",$A$550,"'!t",B589),1)</f>
        <v>0</v>
      </c>
      <c r="X589" s="1" cm="1">
        <f t="array" aca="1" ref="X589" ca="1">INDIRECT(CONCATENATE("'",$A$550,"'!u",B589),1)</f>
        <v>0</v>
      </c>
      <c r="Y589" s="1" cm="1">
        <f t="array" aca="1" ref="Y589" ca="1">INDIRECT(CONCATENATE("'",$A$550,"'!v",B589),1)</f>
        <v>0</v>
      </c>
    </row>
    <row r="590" spans="1:25" ht="45" hidden="1" x14ac:dyDescent="0.25">
      <c r="A590" s="15"/>
      <c r="B590" s="24">
        <f t="shared" si="46"/>
        <v>42</v>
      </c>
      <c r="C590" s="1" t="str" cm="1">
        <f t="array" aca="1" ref="C590" ca="1">INDIRECT(CONCATENATE("'",$A$550,"'!A",B590),1)</f>
        <v>Информационная безопасность автоматизированных систем</v>
      </c>
      <c r="D590" s="1" t="str" cm="1">
        <f t="array" aca="1" ref="D590" ca="1">INDIRECT(CONCATENATE("'",$A$550,"'!B",B590),1)</f>
        <v xml:space="preserve">09.03.01(09у) </v>
      </c>
      <c r="E590" s="1" t="str" cm="1">
        <f t="array" aca="1" ref="E590" ca="1">INDIRECT(CONCATENATE("'",$A$550,"'!c",B590),1)</f>
        <v>2092зу</v>
      </c>
      <c r="F590" s="1" cm="1">
        <f t="array" aca="1" ref="F590" ca="1">INDIRECT(CONCATENATE("'",$A$550,"'!d",B590),1)</f>
        <v>7</v>
      </c>
      <c r="G590" s="1" cm="1">
        <f t="array" aca="1" ref="G590" ca="1">INDIRECT(CONCATENATE("'",$A$550,"'!e",B590),1)</f>
        <v>1</v>
      </c>
      <c r="H590" s="1" cm="1">
        <f t="array" aca="1" ref="H590" ca="1">INDIRECT(CONCATENATE("'",$A$550,"'!f",B590),1)</f>
        <v>31</v>
      </c>
      <c r="I590" s="1" t="str" cm="1">
        <f t="array" aca="1" ref="I590" ca="1">INDIRECT(CONCATENATE("'",$A$550,"'!g",B590),1)</f>
        <v>ЗАЧ</v>
      </c>
      <c r="J590" s="1" cm="1">
        <f t="array" aca="1" ref="J590" ca="1">INDIRECT(CONCATENATE("'",$A$550,"'!h",B590),1)</f>
        <v>3</v>
      </c>
      <c r="K590" s="1" cm="1">
        <f t="array" aca="1" ref="K590" ca="1">INDIRECT(CONCATENATE("'",$A$550,"'!i",B590),1)</f>
        <v>4</v>
      </c>
      <c r="L590" s="1" cm="1">
        <f t="array" aca="1" ref="L590" ca="1">INDIRECT(CONCATENATE("'",$A$550,"'!j",B590),1)</f>
        <v>0</v>
      </c>
      <c r="M590" s="1" cm="1">
        <f t="array" aca="1" ref="M590" ca="1">INDIRECT(CONCATENATE("'",$A$550,"'!k",B590),1)</f>
        <v>16</v>
      </c>
      <c r="N590" s="1" t="str" cm="1">
        <f t="array" aca="1" ref="N590" ca="1">INDIRECT(CONCATENATE("'",$A$550,"'!l",B590),1)</f>
        <v>Цымбалюк А.Е.</v>
      </c>
      <c r="O590" s="1" t="str" cm="1">
        <f t="array" aca="1" ref="O590" ca="1">INDIRECT(CONCATENATE("'",$A$550,"'!m",B590),1)</f>
        <v>лр2</v>
      </c>
      <c r="P590" s="1" cm="1">
        <f t="array" aca="1" ref="P590" ca="1">INDIRECT(CONCATENATE("'",$A$550,"'!n",B590),1)</f>
        <v>0</v>
      </c>
      <c r="Q590" s="1" cm="1">
        <f t="array" aca="1" ref="Q590" ca="1">INDIRECT(CONCATENATE("'",$A$550,"'!o",B590),1)</f>
        <v>14</v>
      </c>
      <c r="R590" s="1" cm="1">
        <f t="array" aca="1" ref="R590" ca="1">INDIRECT(CONCATENATE("'",$A$550,"'!p",B590),1)</f>
        <v>0</v>
      </c>
      <c r="S590" s="1">
        <f t="shared" ca="1" si="48"/>
        <v>0</v>
      </c>
      <c r="T590" s="1" t="str" cm="1">
        <f t="array" aca="1" ref="T590" ca="1">INDIRECT(CONCATENATE("'",$A$550,"'!q",B590),1)</f>
        <v>Цымбалюк А.Е.</v>
      </c>
      <c r="U590" s="1" cm="1">
        <f t="array" aca="1" ref="U590" ca="1">INDIRECT(CONCATENATE("'",$A$550,"'!r",B590),1)</f>
        <v>34</v>
      </c>
      <c r="V590" s="1" cm="1">
        <f t="array" aca="1" ref="V590" ca="1">INDIRECT(CONCATENATE("'",$A$550,"'!s",B590),1)</f>
        <v>0</v>
      </c>
      <c r="W590" s="1" cm="1">
        <f t="array" aca="1" ref="W590" ca="1">INDIRECT(CONCATENATE("'",$A$550,"'!t",B590),1)</f>
        <v>0</v>
      </c>
      <c r="X590" s="1" cm="1">
        <f t="array" aca="1" ref="X590" ca="1">INDIRECT(CONCATENATE("'",$A$550,"'!u",B590),1)</f>
        <v>0</v>
      </c>
      <c r="Y590" s="1" cm="1">
        <f t="array" aca="1" ref="Y590" ca="1">INDIRECT(CONCATENATE("'",$A$550,"'!v",B590),1)</f>
        <v>0</v>
      </c>
    </row>
    <row r="591" spans="1:25" ht="33.75" hidden="1" x14ac:dyDescent="0.25">
      <c r="A591" s="15"/>
      <c r="B591" s="24">
        <f t="shared" si="46"/>
        <v>43</v>
      </c>
      <c r="C591" s="1" t="str" cm="1">
        <f t="array" aca="1" ref="C591" ca="1">INDIRECT(CONCATENATE("'",$A$550,"'!A",B591),1)</f>
        <v>Функциональное и логическое программирование</v>
      </c>
      <c r="D591" s="1" t="str" cm="1">
        <f t="array" aca="1" ref="D591" ca="1">INDIRECT(CONCATENATE("'",$A$550,"'!B",B591),1)</f>
        <v xml:space="preserve">09.03.01(09у) </v>
      </c>
      <c r="E591" s="1" t="str" cm="1">
        <f t="array" aca="1" ref="E591" ca="1">INDIRECT(CONCATENATE("'",$A$550,"'!c",B591),1)</f>
        <v>2092зу</v>
      </c>
      <c r="F591" s="1" cm="1">
        <f t="array" aca="1" ref="F591" ca="1">INDIRECT(CONCATENATE("'",$A$550,"'!d",B591),1)</f>
        <v>7</v>
      </c>
      <c r="G591" s="1" cm="1">
        <f t="array" aca="1" ref="G591" ca="1">INDIRECT(CONCATENATE("'",$A$550,"'!e",B591),1)</f>
        <v>1</v>
      </c>
      <c r="H591" s="1" cm="1">
        <f t="array" aca="1" ref="H591" ca="1">INDIRECT(CONCATENATE("'",$A$550,"'!f",B591),1)</f>
        <v>31</v>
      </c>
      <c r="I591" s="1" t="str" cm="1">
        <f t="array" aca="1" ref="I591" ca="1">INDIRECT(CONCATENATE("'",$A$550,"'!g",B591),1)</f>
        <v>ЗАЧ</v>
      </c>
      <c r="J591" s="1" cm="1">
        <f t="array" aca="1" ref="J591" ca="1">INDIRECT(CONCATENATE("'",$A$550,"'!h",B591),1)</f>
        <v>3</v>
      </c>
      <c r="K591" s="1" cm="1">
        <f t="array" aca="1" ref="K591" ca="1">INDIRECT(CONCATENATE("'",$A$550,"'!i",B591),1)</f>
        <v>4</v>
      </c>
      <c r="L591" s="1" cm="1">
        <f t="array" aca="1" ref="L591" ca="1">INDIRECT(CONCATENATE("'",$A$550,"'!j",B591),1)</f>
        <v>4</v>
      </c>
      <c r="M591" s="1" cm="1">
        <f t="array" aca="1" ref="M591" ca="1">INDIRECT(CONCATENATE("'",$A$550,"'!k",B591),1)</f>
        <v>8</v>
      </c>
      <c r="N591" s="1" t="str" cm="1">
        <f t="array" aca="1" ref="N591" ca="1">INDIRECT(CONCATENATE("'",$A$550,"'!l",B591),1)</f>
        <v>Михайлов Д.В.</v>
      </c>
      <c r="O591" s="1" t="str" cm="1">
        <f t="array" aca="1" ref="O591" ca="1">INDIRECT(CONCATENATE("'",$A$550,"'!m",B591),1)</f>
        <v>лр2</v>
      </c>
      <c r="P591" s="1" cm="1">
        <f t="array" aca="1" ref="P591" ca="1">INDIRECT(CONCATENATE("'",$A$550,"'!n",B591),1)</f>
        <v>0</v>
      </c>
      <c r="Q591" s="1" cm="1">
        <f t="array" aca="1" ref="Q591" ca="1">INDIRECT(CONCATENATE("'",$A$550,"'!o",B591),1)</f>
        <v>14</v>
      </c>
      <c r="R591" s="1" cm="1">
        <f t="array" aca="1" ref="R591" ca="1">INDIRECT(CONCATENATE("'",$A$550,"'!p",B591),1)</f>
        <v>0</v>
      </c>
      <c r="S591" s="1">
        <f t="shared" ca="1" si="48"/>
        <v>0</v>
      </c>
      <c r="T591" s="1" t="str" cm="1">
        <f t="array" aca="1" ref="T591" ca="1">INDIRECT(CONCATENATE("'",$A$550,"'!q",B591),1)</f>
        <v>Михайлов Д.В.</v>
      </c>
      <c r="U591" s="1" cm="1">
        <f t="array" aca="1" ref="U591" ca="1">INDIRECT(CONCATENATE("'",$A$550,"'!r",B591),1)</f>
        <v>30</v>
      </c>
      <c r="V591" s="1" cm="1">
        <f t="array" aca="1" ref="V591" ca="1">INDIRECT(CONCATENATE("'",$A$550,"'!s",B591),1)</f>
        <v>0</v>
      </c>
      <c r="W591" s="1" cm="1">
        <f t="array" aca="1" ref="W591" ca="1">INDIRECT(CONCATENATE("'",$A$550,"'!t",B591),1)</f>
        <v>0</v>
      </c>
      <c r="X591" s="1" cm="1">
        <f t="array" aca="1" ref="X591" ca="1">INDIRECT(CONCATENATE("'",$A$550,"'!u",B591),1)</f>
        <v>0</v>
      </c>
      <c r="Y591" s="1" cm="1">
        <f t="array" aca="1" ref="Y591" ca="1">INDIRECT(CONCATENATE("'",$A$550,"'!v",B591),1)</f>
        <v>0</v>
      </c>
    </row>
    <row r="592" spans="1:25" ht="56.25" hidden="1" x14ac:dyDescent="0.25">
      <c r="A592" s="15"/>
      <c r="B592" s="24">
        <f t="shared" si="46"/>
        <v>44</v>
      </c>
      <c r="C592" s="1" t="str" cm="1">
        <f t="array" aca="1" ref="C592" ca="1">INDIRECT(CONCATENATE("'",$A$550,"'!A",B592),1)</f>
        <v>Основы автоматизированных информационных систем управления предприятием(установ.)</v>
      </c>
      <c r="D592" s="1" t="str" cm="1">
        <f t="array" aca="1" ref="D592" ca="1">INDIRECT(CONCATENATE("'",$A$550,"'!B",B592),1)</f>
        <v xml:space="preserve">09.03.01(09у) </v>
      </c>
      <c r="E592" s="1" t="str" cm="1">
        <f t="array" aca="1" ref="E592" ca="1">INDIRECT(CONCATENATE("'",$A$550,"'!c",B592),1)</f>
        <v>2092зу</v>
      </c>
      <c r="F592" s="1" cm="1">
        <f t="array" aca="1" ref="F592" ca="1">INDIRECT(CONCATENATE("'",$A$550,"'!d",B592),1)</f>
        <v>7</v>
      </c>
      <c r="G592" s="1" cm="1">
        <f t="array" aca="1" ref="G592" ca="1">INDIRECT(CONCATENATE("'",$A$550,"'!e",B592),1)</f>
        <v>1</v>
      </c>
      <c r="H592" s="1" cm="1">
        <f t="array" aca="1" ref="H592" ca="1">INDIRECT(CONCATENATE("'",$A$550,"'!f",B592),1)</f>
        <v>31</v>
      </c>
      <c r="I592" s="1" cm="1">
        <f t="array" aca="1" ref="I592" ca="1">INDIRECT(CONCATENATE("'",$A$550,"'!g",B592),1)</f>
        <v>0</v>
      </c>
      <c r="J592" s="1" cm="1">
        <f t="array" aca="1" ref="J592" ca="1">INDIRECT(CONCATENATE("'",$A$550,"'!h",B592),1)</f>
        <v>0</v>
      </c>
      <c r="K592" s="1" cm="1">
        <f t="array" aca="1" ref="K592" ca="1">INDIRECT(CONCATENATE("'",$A$550,"'!i",B592),1)</f>
        <v>2</v>
      </c>
      <c r="L592" s="1" cm="1">
        <f t="array" aca="1" ref="L592" ca="1">INDIRECT(CONCATENATE("'",$A$550,"'!j",B592),1)</f>
        <v>0</v>
      </c>
      <c r="M592" s="1" cm="1">
        <f t="array" aca="1" ref="M592" ca="1">INDIRECT(CONCATENATE("'",$A$550,"'!k",B592),1)</f>
        <v>0</v>
      </c>
      <c r="N592" s="1" t="str" cm="1">
        <f t="array" aca="1" ref="N592" ca="1">INDIRECT(CONCATENATE("'",$A$550,"'!l",B592),1)</f>
        <v>Соколова Г.Ю.</v>
      </c>
      <c r="O592" s="1" t="str" cm="1">
        <f t="array" aca="1" ref="O592" ca="1">INDIRECT(CONCATENATE("'",$A$550,"'!m",B592),1)</f>
        <v>лр2</v>
      </c>
      <c r="P592" s="1" cm="1">
        <f t="array" aca="1" ref="P592" ca="1">INDIRECT(CONCATENATE("'",$A$550,"'!n",B592),1)</f>
        <v>0</v>
      </c>
      <c r="Q592" s="1" cm="1">
        <f t="array" aca="1" ref="Q592" ca="1">INDIRECT(CONCATENATE("'",$A$550,"'!o",B592),1)</f>
        <v>0</v>
      </c>
      <c r="R592" s="1" cm="1">
        <f t="array" aca="1" ref="R592" ca="1">INDIRECT(CONCATENATE("'",$A$550,"'!p",B592),1)</f>
        <v>0</v>
      </c>
      <c r="S592" s="1">
        <f t="shared" ca="1" si="48"/>
        <v>0</v>
      </c>
      <c r="T592" s="1" t="str" cm="1">
        <f t="array" aca="1" ref="T592" ca="1">INDIRECT(CONCATENATE("'",$A$550,"'!q",B592),1)</f>
        <v>Соколова Г.Ю.</v>
      </c>
      <c r="U592" s="1" cm="1">
        <f t="array" aca="1" ref="U592" ca="1">INDIRECT(CONCATENATE("'",$A$550,"'!r",B592),1)</f>
        <v>2</v>
      </c>
      <c r="V592" s="1" cm="1">
        <f t="array" aca="1" ref="V592" ca="1">INDIRECT(CONCATENATE("'",$A$550,"'!s",B592),1)</f>
        <v>0</v>
      </c>
      <c r="W592" s="1" cm="1">
        <f t="array" aca="1" ref="W592" ca="1">INDIRECT(CONCATENATE("'",$A$550,"'!t",B592),1)</f>
        <v>0</v>
      </c>
      <c r="X592" s="1" cm="1">
        <f t="array" aca="1" ref="X592" ca="1">INDIRECT(CONCATENATE("'",$A$550,"'!u",B592),1)</f>
        <v>0</v>
      </c>
      <c r="Y592" s="1" cm="1">
        <f t="array" aca="1" ref="Y592" ca="1">INDIRECT(CONCATENATE("'",$A$550,"'!v",B592),1)</f>
        <v>0</v>
      </c>
    </row>
    <row r="593" spans="1:25" ht="33.75" hidden="1" x14ac:dyDescent="0.25">
      <c r="A593" s="15"/>
      <c r="B593" s="24">
        <f t="shared" si="46"/>
        <v>45</v>
      </c>
      <c r="C593" s="1" t="str" cm="1">
        <f t="array" aca="1" ref="C593" ca="1">INDIRECT(CONCATENATE("'",$A$550,"'!A",B593),1)</f>
        <v>Распознавание образов и обработка изображений(установ.)</v>
      </c>
      <c r="D593" s="1" t="str" cm="1">
        <f t="array" aca="1" ref="D593" ca="1">INDIRECT(CONCATENATE("'",$A$550,"'!B",B593),1)</f>
        <v xml:space="preserve">09.03.01(09у) </v>
      </c>
      <c r="E593" s="1" t="str" cm="1">
        <f t="array" aca="1" ref="E593" ca="1">INDIRECT(CONCATENATE("'",$A$550,"'!c",B593),1)</f>
        <v>2092зу</v>
      </c>
      <c r="F593" s="1" cm="1">
        <f t="array" aca="1" ref="F593" ca="1">INDIRECT(CONCATENATE("'",$A$550,"'!d",B593),1)</f>
        <v>7</v>
      </c>
      <c r="G593" s="1" cm="1">
        <f t="array" aca="1" ref="G593" ca="1">INDIRECT(CONCATENATE("'",$A$550,"'!e",B593),1)</f>
        <v>1</v>
      </c>
      <c r="H593" s="1" cm="1">
        <f t="array" aca="1" ref="H593" ca="1">INDIRECT(CONCATENATE("'",$A$550,"'!f",B593),1)</f>
        <v>31</v>
      </c>
      <c r="I593" s="1" cm="1">
        <f t="array" aca="1" ref="I593" ca="1">INDIRECT(CONCATENATE("'",$A$550,"'!g",B593),1)</f>
        <v>0</v>
      </c>
      <c r="J593" s="1" cm="1">
        <f t="array" aca="1" ref="J593" ca="1">INDIRECT(CONCATENATE("'",$A$550,"'!h",B593),1)</f>
        <v>0</v>
      </c>
      <c r="K593" s="1" cm="1">
        <f t="array" aca="1" ref="K593" ca="1">INDIRECT(CONCATENATE("'",$A$550,"'!i",B593),1)</f>
        <v>2</v>
      </c>
      <c r="L593" s="1" cm="1">
        <f t="array" aca="1" ref="L593" ca="1">INDIRECT(CONCATENATE("'",$A$550,"'!j",B593),1)</f>
        <v>0</v>
      </c>
      <c r="M593" s="1" cm="1">
        <f t="array" aca="1" ref="M593" ca="1">INDIRECT(CONCATENATE("'",$A$550,"'!k",B593),1)</f>
        <v>0</v>
      </c>
      <c r="N593" s="1" t="str" cm="1">
        <f t="array" aca="1" ref="N593" ca="1">INDIRECT(CONCATENATE("'",$A$550,"'!l",B593),1)</f>
        <v>Корнышев Н.П.</v>
      </c>
      <c r="O593" s="1" t="str" cm="1">
        <f t="array" aca="1" ref="O593" ca="1">INDIRECT(CONCATENATE("'",$A$550,"'!m",B593),1)</f>
        <v>лр2</v>
      </c>
      <c r="P593" s="1" cm="1">
        <f t="array" aca="1" ref="P593" ca="1">INDIRECT(CONCATENATE("'",$A$550,"'!n",B593),1)</f>
        <v>0</v>
      </c>
      <c r="Q593" s="1" cm="1">
        <f t="array" aca="1" ref="Q593" ca="1">INDIRECT(CONCATENATE("'",$A$550,"'!o",B593),1)</f>
        <v>0</v>
      </c>
      <c r="R593" s="1" cm="1">
        <f t="array" aca="1" ref="R593" ca="1">INDIRECT(CONCATENATE("'",$A$550,"'!p",B593),1)</f>
        <v>0</v>
      </c>
      <c r="S593" s="1">
        <f t="shared" ca="1" si="48"/>
        <v>0</v>
      </c>
      <c r="T593" s="1" t="str" cm="1">
        <f t="array" aca="1" ref="T593" ca="1">INDIRECT(CONCATENATE("'",$A$550,"'!q",B593),1)</f>
        <v>Корнышев Н.П.</v>
      </c>
      <c r="U593" s="1" cm="1">
        <f t="array" aca="1" ref="U593" ca="1">INDIRECT(CONCATENATE("'",$A$550,"'!r",B593),1)</f>
        <v>2</v>
      </c>
      <c r="V593" s="1" cm="1">
        <f t="array" aca="1" ref="V593" ca="1">INDIRECT(CONCATENATE("'",$A$550,"'!s",B593),1)</f>
        <v>0</v>
      </c>
      <c r="W593" s="1" cm="1">
        <f t="array" aca="1" ref="W593" ca="1">INDIRECT(CONCATENATE("'",$A$550,"'!t",B593),1)</f>
        <v>0</v>
      </c>
      <c r="X593" s="1" cm="1">
        <f t="array" aca="1" ref="X593" ca="1">INDIRECT(CONCATENATE("'",$A$550,"'!u",B593),1)</f>
        <v>0</v>
      </c>
      <c r="Y593" s="1" cm="1">
        <f t="array" aca="1" ref="Y593" ca="1">INDIRECT(CONCATENATE("'",$A$550,"'!v",B593),1)</f>
        <v>0</v>
      </c>
    </row>
    <row r="594" spans="1:25" ht="45" hidden="1" x14ac:dyDescent="0.25">
      <c r="A594" s="15"/>
      <c r="B594" s="24">
        <f t="shared" si="46"/>
        <v>46</v>
      </c>
      <c r="C594" s="1" t="str" cm="1">
        <f t="array" aca="1" ref="C594" ca="1">INDIRECT(CONCATENATE("'",$A$550,"'!A",B594),1)</f>
        <v>Практика производственная: Практика эксплуатационная</v>
      </c>
      <c r="D594" s="1" t="str" cm="1">
        <f t="array" aca="1" ref="D594" ca="1">INDIRECT(CONCATENATE("'",$A$550,"'!B",B594),1)</f>
        <v xml:space="preserve">09.03.01(09у) </v>
      </c>
      <c r="E594" s="1" cm="1">
        <f t="array" aca="1" ref="E594" ca="1">INDIRECT(CONCATENATE("'",$A$550,"'!c",B594),1)</f>
        <v>0</v>
      </c>
      <c r="F594" s="1" cm="1">
        <f t="array" aca="1" ref="F594" ca="1">INDIRECT(CONCATENATE("'",$A$550,"'!d",B594),1)</f>
        <v>0</v>
      </c>
      <c r="G594" s="1" cm="1">
        <f t="array" aca="1" ref="G594" ca="1">INDIRECT(CONCATENATE("'",$A$550,"'!e",B594),1)</f>
        <v>0</v>
      </c>
      <c r="H594" s="1" cm="1">
        <f t="array" aca="1" ref="H594" ca="1">INDIRECT(CONCATENATE("'",$A$550,"'!f",B594),1)</f>
        <v>0</v>
      </c>
      <c r="I594" s="1" t="str" cm="1">
        <f t="array" aca="1" ref="I594" ca="1">INDIRECT(CONCATENATE("'",$A$550,"'!g",B594),1)</f>
        <v>ДЗ</v>
      </c>
      <c r="J594" s="1" cm="1">
        <f t="array" aca="1" ref="J594" ca="1">INDIRECT(CONCATENATE("'",$A$550,"'!h",B594),1)</f>
        <v>3</v>
      </c>
      <c r="K594" s="1" cm="1">
        <f t="array" aca="1" ref="K594" ca="1">INDIRECT(CONCATENATE("'",$A$550,"'!i",B594),1)</f>
        <v>0</v>
      </c>
      <c r="L594" s="1" cm="1">
        <f t="array" aca="1" ref="L594" ca="1">INDIRECT(CONCATENATE("'",$A$550,"'!j",B594),1)</f>
        <v>2</v>
      </c>
      <c r="M594" s="1" cm="1">
        <f t="array" aca="1" ref="M594" ca="1">INDIRECT(CONCATENATE("'",$A$550,"'!k",B594),1)</f>
        <v>0</v>
      </c>
      <c r="N594" s="1" t="str" cm="1">
        <f t="array" aca="1" ref="N594" ca="1">INDIRECT(CONCATENATE("'",$A$550,"'!l",B594),1)</f>
        <v/>
      </c>
      <c r="O594" s="1" cm="1">
        <f t="array" aca="1" ref="O594" ca="1">INDIRECT(CONCATENATE("'",$A$550,"'!m",B594),1)</f>
        <v>0</v>
      </c>
      <c r="P594" s="1" cm="1">
        <f t="array" aca="1" ref="P594" ca="1">INDIRECT(CONCATENATE("'",$A$550,"'!n",B594),1)</f>
        <v>0</v>
      </c>
      <c r="Q594" s="1" cm="1">
        <f t="array" aca="1" ref="Q594" ca="1">INDIRECT(CONCATENATE("'",$A$550,"'!o",B594),1)</f>
        <v>27.9</v>
      </c>
      <c r="R594" s="1" cm="1">
        <f t="array" aca="1" ref="R594" ca="1">INDIRECT(CONCATENATE("'",$A$550,"'!p",B594),1)</f>
        <v>0</v>
      </c>
      <c r="S594" s="1">
        <f t="shared" ca="1" si="48"/>
        <v>0</v>
      </c>
      <c r="T594" s="1" cm="1">
        <f t="array" aca="1" ref="T594" ca="1">INDIRECT(CONCATENATE("'",$A$550,"'!q",B594),1)</f>
        <v>0</v>
      </c>
      <c r="U594" s="1" cm="1">
        <f t="array" aca="1" ref="U594" ca="1">INDIRECT(CONCATENATE("'",$A$550,"'!r",B594),1)</f>
        <v>0</v>
      </c>
      <c r="V594" s="1" cm="1">
        <f t="array" aca="1" ref="V594" ca="1">INDIRECT(CONCATENATE("'",$A$550,"'!s",B594),1)</f>
        <v>0</v>
      </c>
      <c r="W594" s="1" cm="1">
        <f t="array" aca="1" ref="W594" ca="1">INDIRECT(CONCATENATE("'",$A$550,"'!t",B594),1)</f>
        <v>0</v>
      </c>
      <c r="X594" s="1" cm="1">
        <f t="array" aca="1" ref="X594" ca="1">INDIRECT(CONCATENATE("'",$A$550,"'!u",B594),1)</f>
        <v>0</v>
      </c>
      <c r="Y594" s="1" cm="1">
        <f t="array" aca="1" ref="Y594" ca="1">INDIRECT(CONCATENATE("'",$A$550,"'!v",B594),1)</f>
        <v>0</v>
      </c>
    </row>
    <row r="595" spans="1:25" ht="45" hidden="1" x14ac:dyDescent="0.25">
      <c r="A595" s="15"/>
      <c r="B595" s="24">
        <f t="shared" si="46"/>
        <v>47</v>
      </c>
      <c r="C595" s="1" t="str" cm="1">
        <f t="array" aca="1" ref="C595" ca="1">INDIRECT(CONCATENATE("'",$A$550,"'!A",B595),1)</f>
        <v>Практика производственная: Практика эксплуатационная</v>
      </c>
      <c r="D595" s="1" t="str" cm="1">
        <f t="array" aca="1" ref="D595" ca="1">INDIRECT(CONCATENATE("'",$A$550,"'!B",B595),1)</f>
        <v xml:space="preserve">09.03.01(09у) </v>
      </c>
      <c r="E595" s="1" t="str" cm="1">
        <f t="array" aca="1" ref="E595" ca="1">INDIRECT(CONCATENATE("'",$A$550,"'!c",B595),1)</f>
        <v>2092зу</v>
      </c>
      <c r="F595" s="1" cm="1">
        <f t="array" aca="1" ref="F595" ca="1">INDIRECT(CONCATENATE("'",$A$550,"'!d",B595),1)</f>
        <v>7</v>
      </c>
      <c r="G595" s="1" cm="1">
        <f t="array" aca="1" ref="G595" ca="1">INDIRECT(CONCATENATE("'",$A$550,"'!e",B595),1)</f>
        <v>1</v>
      </c>
      <c r="H595" s="1" cm="1">
        <f t="array" aca="1" ref="H595" ca="1">INDIRECT(CONCATENATE("'",$A$550,"'!f",B595),1)</f>
        <v>31</v>
      </c>
      <c r="I595" s="1" t="str" cm="1">
        <f t="array" aca="1" ref="I595" ca="1">INDIRECT(CONCATENATE("'",$A$550,"'!g",B595),1)</f>
        <v>ДЗ</v>
      </c>
      <c r="J595" s="1" cm="1">
        <f t="array" aca="1" ref="J595" ca="1">INDIRECT(CONCATENATE("'",$A$550,"'!h",B595),1)</f>
        <v>3</v>
      </c>
      <c r="K595" s="1" cm="1">
        <f t="array" aca="1" ref="K595" ca="1">INDIRECT(CONCATENATE("'",$A$550,"'!i",B595),1)</f>
        <v>0</v>
      </c>
      <c r="L595" s="1" cm="1">
        <f t="array" aca="1" ref="L595" ca="1">INDIRECT(CONCATENATE("'",$A$550,"'!j",B595),1)</f>
        <v>2</v>
      </c>
      <c r="M595" s="1" cm="1">
        <f t="array" aca="1" ref="M595" ca="1">INDIRECT(CONCATENATE("'",$A$550,"'!k",B595),1)</f>
        <v>0</v>
      </c>
      <c r="N595" s="1" t="str" cm="1">
        <f t="array" aca="1" ref="N595" ca="1">INDIRECT(CONCATENATE("'",$A$550,"'!l",B595),1)</f>
        <v>Соколова Г.Ю.</v>
      </c>
      <c r="O595" s="1" cm="1">
        <f t="array" aca="1" ref="O595" ca="1">INDIRECT(CONCATENATE("'",$A$550,"'!m",B595),1)</f>
        <v>0</v>
      </c>
      <c r="P595" s="1" cm="1">
        <f t="array" aca="1" ref="P595" ca="1">INDIRECT(CONCATENATE("'",$A$550,"'!n",B595),1)</f>
        <v>0</v>
      </c>
      <c r="Q595" s="1" cm="1">
        <f t="array" aca="1" ref="Q595" ca="1">INDIRECT(CONCATENATE("'",$A$550,"'!o",B595),1)</f>
        <v>27.9</v>
      </c>
      <c r="R595" s="1" cm="1">
        <f t="array" aca="1" ref="R595" ca="1">INDIRECT(CONCATENATE("'",$A$550,"'!p",B595),1)</f>
        <v>0</v>
      </c>
      <c r="S595" s="1">
        <f t="shared" ca="1" si="48"/>
        <v>0</v>
      </c>
      <c r="T595" s="1" t="str" cm="1">
        <f t="array" aca="1" ref="T595" ca="1">INDIRECT(CONCATENATE("'",$A$550,"'!q",B595),1)</f>
        <v>Соколова Г.Ю.</v>
      </c>
      <c r="U595" s="1" cm="1">
        <f t="array" aca="1" ref="U595" ca="1">INDIRECT(CONCATENATE("'",$A$550,"'!r",B595),1)</f>
        <v>29.9</v>
      </c>
      <c r="V595" s="1" cm="1">
        <f t="array" aca="1" ref="V595" ca="1">INDIRECT(CONCATENATE("'",$A$550,"'!s",B595),1)</f>
        <v>0</v>
      </c>
      <c r="W595" s="1" cm="1">
        <f t="array" aca="1" ref="W595" ca="1">INDIRECT(CONCATENATE("'",$A$550,"'!t",B595),1)</f>
        <v>0</v>
      </c>
      <c r="X595" s="1" cm="1">
        <f t="array" aca="1" ref="X595" ca="1">INDIRECT(CONCATENATE("'",$A$550,"'!u",B595),1)</f>
        <v>0</v>
      </c>
      <c r="Y595" s="1" cm="1">
        <f t="array" aca="1" ref="Y595" ca="1">INDIRECT(CONCATENATE("'",$A$550,"'!v",B595),1)</f>
        <v>0</v>
      </c>
    </row>
    <row r="596" spans="1:25" ht="45" hidden="1" x14ac:dyDescent="0.25">
      <c r="A596" s="15"/>
      <c r="B596" s="24">
        <f t="shared" si="46"/>
        <v>48</v>
      </c>
      <c r="C596" s="1" t="str" cm="1">
        <f t="array" aca="1" ref="C596" ca="1">INDIRECT(CONCATENATE("'",$A$550,"'!A",B596),1)</f>
        <v>Практика производственная: Практика проектно-технологическая</v>
      </c>
      <c r="D596" s="1" t="str" cm="1">
        <f t="array" aca="1" ref="D596" ca="1">INDIRECT(CONCATENATE("'",$A$550,"'!B",B596),1)</f>
        <v xml:space="preserve">09.03.01(09у) </v>
      </c>
      <c r="E596" s="1" t="str" cm="1">
        <f t="array" aca="1" ref="E596" ca="1">INDIRECT(CONCATENATE("'",$A$550,"'!c",B596),1)</f>
        <v>2092зу</v>
      </c>
      <c r="F596" s="1" cm="1">
        <f t="array" aca="1" ref="F596" ca="1">INDIRECT(CONCATENATE("'",$A$550,"'!d",B596),1)</f>
        <v>7</v>
      </c>
      <c r="G596" s="1" cm="1">
        <f t="array" aca="1" ref="G596" ca="1">INDIRECT(CONCATENATE("'",$A$550,"'!e",B596),1)</f>
        <v>1</v>
      </c>
      <c r="H596" s="1" cm="1">
        <f t="array" aca="1" ref="H596" ca="1">INDIRECT(CONCATENATE("'",$A$550,"'!f",B596),1)</f>
        <v>31</v>
      </c>
      <c r="I596" s="1" t="str" cm="1">
        <f t="array" aca="1" ref="I596" ca="1">INDIRECT(CONCATENATE("'",$A$550,"'!g",B596),1)</f>
        <v>ДЗ</v>
      </c>
      <c r="J596" s="1" cm="1">
        <f t="array" aca="1" ref="J596" ca="1">INDIRECT(CONCATENATE("'",$A$550,"'!h",B596),1)</f>
        <v>3</v>
      </c>
      <c r="K596" s="1" cm="1">
        <f t="array" aca="1" ref="K596" ca="1">INDIRECT(CONCATENATE("'",$A$550,"'!i",B596),1)</f>
        <v>0</v>
      </c>
      <c r="L596" s="1" cm="1">
        <f t="array" aca="1" ref="L596" ca="1">INDIRECT(CONCATENATE("'",$A$550,"'!j",B596),1)</f>
        <v>2</v>
      </c>
      <c r="M596" s="1" cm="1">
        <f t="array" aca="1" ref="M596" ca="1">INDIRECT(CONCATENATE("'",$A$550,"'!k",B596),1)</f>
        <v>0</v>
      </c>
      <c r="N596" s="1" t="str" cm="1">
        <f t="array" aca="1" ref="N596" ca="1">INDIRECT(CONCATENATE("'",$A$550,"'!l",B596),1)</f>
        <v>Соколова Г.Ю.</v>
      </c>
      <c r="O596" s="1" cm="1">
        <f t="array" aca="1" ref="O596" ca="1">INDIRECT(CONCATENATE("'",$A$550,"'!m",B596),1)</f>
        <v>0</v>
      </c>
      <c r="P596" s="1" cm="1">
        <f t="array" aca="1" ref="P596" ca="1">INDIRECT(CONCATENATE("'",$A$550,"'!n",B596),1)</f>
        <v>0</v>
      </c>
      <c r="Q596" s="1" cm="1">
        <f t="array" aca="1" ref="Q596" ca="1">INDIRECT(CONCATENATE("'",$A$550,"'!o",B596),1)</f>
        <v>27.9</v>
      </c>
      <c r="R596" s="1" cm="1">
        <f t="array" aca="1" ref="R596" ca="1">INDIRECT(CONCATENATE("'",$A$550,"'!p",B596),1)</f>
        <v>0</v>
      </c>
      <c r="S596" s="1">
        <f t="shared" ca="1" si="48"/>
        <v>0</v>
      </c>
      <c r="T596" s="1" t="str" cm="1">
        <f t="array" aca="1" ref="T596" ca="1">INDIRECT(CONCATENATE("'",$A$550,"'!q",B596),1)</f>
        <v>Соколова Г.Ю.</v>
      </c>
      <c r="U596" s="1" cm="1">
        <f t="array" aca="1" ref="U596" ca="1">INDIRECT(CONCATENATE("'",$A$550,"'!r",B596),1)</f>
        <v>29.9</v>
      </c>
      <c r="V596" s="1" cm="1">
        <f t="array" aca="1" ref="V596" ca="1">INDIRECT(CONCATENATE("'",$A$550,"'!s",B596),1)</f>
        <v>0</v>
      </c>
      <c r="W596" s="1" cm="1">
        <f t="array" aca="1" ref="W596" ca="1">INDIRECT(CONCATENATE("'",$A$550,"'!t",B596),1)</f>
        <v>0</v>
      </c>
      <c r="X596" s="1" cm="1">
        <f t="array" aca="1" ref="X596" ca="1">INDIRECT(CONCATENATE("'",$A$550,"'!u",B596),1)</f>
        <v>0</v>
      </c>
      <c r="Y596" s="1" cm="1">
        <f t="array" aca="1" ref="Y596" ca="1">INDIRECT(CONCATENATE("'",$A$550,"'!v",B596),1)</f>
        <v>0</v>
      </c>
    </row>
    <row r="597" spans="1:25" ht="56.25" hidden="1" x14ac:dyDescent="0.25">
      <c r="A597" s="15"/>
      <c r="B597" s="24">
        <f t="shared" si="46"/>
        <v>49</v>
      </c>
      <c r="C597" s="1" t="str" cm="1">
        <f t="array" aca="1" ref="C597" ca="1">INDIRECT(CONCATENATE("'",$A$550,"'!A",B597),1)</f>
        <v>Практика производственная: Практика преддипломная(установ.)</v>
      </c>
      <c r="D597" s="1" t="str" cm="1">
        <f t="array" aca="1" ref="D597" ca="1">INDIRECT(CONCATENATE("'",$A$550,"'!B",B597),1)</f>
        <v xml:space="preserve">09.03.01(09у) </v>
      </c>
      <c r="E597" s="1" t="str" cm="1">
        <f t="array" aca="1" ref="E597" ca="1">INDIRECT(CONCATENATE("'",$A$550,"'!c",B597),1)</f>
        <v>2092зу</v>
      </c>
      <c r="F597" s="1" cm="1">
        <f t="array" aca="1" ref="F597" ca="1">INDIRECT(CONCATENATE("'",$A$550,"'!d",B597),1)</f>
        <v>7</v>
      </c>
      <c r="G597" s="1" cm="1">
        <f t="array" aca="1" ref="G597" ca="1">INDIRECT(CONCATENATE("'",$A$550,"'!e",B597),1)</f>
        <v>1</v>
      </c>
      <c r="H597" s="1" cm="1">
        <f t="array" aca="1" ref="H597" ca="1">INDIRECT(CONCATENATE("'",$A$550,"'!f",B597),1)</f>
        <v>31</v>
      </c>
      <c r="I597" s="1" cm="1">
        <f t="array" aca="1" ref="I597" ca="1">INDIRECT(CONCATENATE("'",$A$550,"'!g",B597),1)</f>
        <v>0</v>
      </c>
      <c r="J597" s="1" cm="1">
        <f t="array" aca="1" ref="J597" ca="1">INDIRECT(CONCATENATE("'",$A$550,"'!h",B597),1)</f>
        <v>0</v>
      </c>
      <c r="K597" s="1" cm="1">
        <f t="array" aca="1" ref="K597" ca="1">INDIRECT(CONCATENATE("'",$A$550,"'!i",B597),1)</f>
        <v>2</v>
      </c>
      <c r="L597" s="1" cm="1">
        <f t="array" aca="1" ref="L597" ca="1">INDIRECT(CONCATENATE("'",$A$550,"'!j",B597),1)</f>
        <v>0</v>
      </c>
      <c r="M597" s="1" cm="1">
        <f t="array" aca="1" ref="M597" ca="1">INDIRECT(CONCATENATE("'",$A$550,"'!k",B597),1)</f>
        <v>0</v>
      </c>
      <c r="N597" s="1" t="str" cm="1">
        <f t="array" aca="1" ref="N597" ca="1">INDIRECT(CONCATENATE("'",$A$550,"'!l",B597),1)</f>
        <v>Соколова Г.Ю.</v>
      </c>
      <c r="O597" s="1" t="str" cm="1">
        <f t="array" aca="1" ref="O597" ca="1">INDIRECT(CONCATENATE("'",$A$550,"'!m",B597),1)</f>
        <v>лр2</v>
      </c>
      <c r="P597" s="1" cm="1">
        <f t="array" aca="1" ref="P597" ca="1">INDIRECT(CONCATENATE("'",$A$550,"'!n",B597),1)</f>
        <v>0</v>
      </c>
      <c r="Q597" s="1" cm="1">
        <f t="array" aca="1" ref="Q597" ca="1">INDIRECT(CONCATENATE("'",$A$550,"'!o",B597),1)</f>
        <v>0</v>
      </c>
      <c r="R597" s="1" cm="1">
        <f t="array" aca="1" ref="R597" ca="1">INDIRECT(CONCATENATE("'",$A$550,"'!p",B597),1)</f>
        <v>0</v>
      </c>
      <c r="S597" s="1">
        <f t="shared" ca="1" si="48"/>
        <v>0</v>
      </c>
      <c r="T597" s="1" t="str" cm="1">
        <f t="array" aca="1" ref="T597" ca="1">INDIRECT(CONCATENATE("'",$A$550,"'!q",B597),1)</f>
        <v>Соколова Г.Ю.</v>
      </c>
      <c r="U597" s="1" cm="1">
        <f t="array" aca="1" ref="U597" ca="1">INDIRECT(CONCATENATE("'",$A$550,"'!r",B597),1)</f>
        <v>2</v>
      </c>
      <c r="V597" s="1" cm="1">
        <f t="array" aca="1" ref="V597" ca="1">INDIRECT(CONCATENATE("'",$A$550,"'!s",B597),1)</f>
        <v>0</v>
      </c>
      <c r="W597" s="1" cm="1">
        <f t="array" aca="1" ref="W597" ca="1">INDIRECT(CONCATENATE("'",$A$550,"'!t",B597),1)</f>
        <v>0</v>
      </c>
      <c r="X597" s="1" cm="1">
        <f t="array" aca="1" ref="X597" ca="1">INDIRECT(CONCATENATE("'",$A$550,"'!u",B597),1)</f>
        <v>0</v>
      </c>
      <c r="Y597" s="1" cm="1">
        <f t="array" aca="1" ref="Y597" ca="1">INDIRECT(CONCATENATE("'",$A$550,"'!v",B597),1)</f>
        <v>0</v>
      </c>
    </row>
    <row r="598" spans="1:25" hidden="1" x14ac:dyDescent="0.25">
      <c r="A598" s="15"/>
      <c r="B598" s="24">
        <f t="shared" si="46"/>
        <v>50</v>
      </c>
      <c r="C598" s="1" cm="1">
        <f t="array" aca="1" ref="C598" ca="1">INDIRECT(CONCATENATE("'",$A$550,"'!A",B598),1)</f>
        <v>0</v>
      </c>
      <c r="D598" s="1" cm="1">
        <f t="array" aca="1" ref="D598" ca="1">INDIRECT(CONCATENATE("'",$A$550,"'!B",B598),1)</f>
        <v>0</v>
      </c>
      <c r="E598" s="1" cm="1">
        <f t="array" aca="1" ref="E598" ca="1">INDIRECT(CONCATENATE("'",$A$550,"'!c",B598),1)</f>
        <v>0</v>
      </c>
      <c r="F598" s="1" cm="1">
        <f t="array" aca="1" ref="F598" ca="1">INDIRECT(CONCATENATE("'",$A$550,"'!d",B598),1)</f>
        <v>0</v>
      </c>
      <c r="G598" s="1" cm="1">
        <f t="array" aca="1" ref="G598" ca="1">INDIRECT(CONCATENATE("'",$A$550,"'!e",B598),1)</f>
        <v>0</v>
      </c>
      <c r="H598" s="1" cm="1">
        <f t="array" aca="1" ref="H598" ca="1">INDIRECT(CONCATENATE("'",$A$550,"'!f",B598),1)</f>
        <v>0</v>
      </c>
      <c r="I598" s="1" cm="1">
        <f t="array" aca="1" ref="I598" ca="1">INDIRECT(CONCATENATE("'",$A$550,"'!g",B598),1)</f>
        <v>0</v>
      </c>
      <c r="J598" s="1" cm="1">
        <f t="array" aca="1" ref="J598" ca="1">INDIRECT(CONCATENATE("'",$A$550,"'!h",B598),1)</f>
        <v>0</v>
      </c>
      <c r="K598" s="1" cm="1">
        <f t="array" aca="1" ref="K598" ca="1">INDIRECT(CONCATENATE("'",$A$550,"'!i",B598),1)</f>
        <v>0</v>
      </c>
      <c r="L598" s="1" cm="1">
        <f t="array" aca="1" ref="L598" ca="1">INDIRECT(CONCATENATE("'",$A$550,"'!j",B598),1)</f>
        <v>0</v>
      </c>
      <c r="M598" s="1" cm="1">
        <f t="array" aca="1" ref="M598" ca="1">INDIRECT(CONCATENATE("'",$A$550,"'!k",B598),1)</f>
        <v>0</v>
      </c>
      <c r="N598" s="1" t="str" cm="1">
        <f t="array" aca="1" ref="N598" ca="1">INDIRECT(CONCATENATE("'",$A$550,"'!l",B598),1)</f>
        <v/>
      </c>
      <c r="O598" s="1" cm="1">
        <f t="array" aca="1" ref="O598" ca="1">INDIRECT(CONCATENATE("'",$A$550,"'!m",B598),1)</f>
        <v>0</v>
      </c>
      <c r="P598" s="1" cm="1">
        <f t="array" aca="1" ref="P598" ca="1">INDIRECT(CONCATENATE("'",$A$550,"'!n",B598),1)</f>
        <v>0</v>
      </c>
      <c r="Q598" s="1" cm="1">
        <f t="array" aca="1" ref="Q598" ca="1">INDIRECT(CONCATENATE("'",$A$550,"'!o",B598),1)</f>
        <v>0</v>
      </c>
      <c r="R598" s="1" cm="1">
        <f t="array" aca="1" ref="R598" ca="1">INDIRECT(CONCATENATE("'",$A$550,"'!p",B598),1)</f>
        <v>0</v>
      </c>
      <c r="S598" s="1">
        <f t="shared" ca="1" si="48"/>
        <v>0</v>
      </c>
      <c r="T598" s="1" cm="1">
        <f t="array" aca="1" ref="T598" ca="1">INDIRECT(CONCATENATE("'",$A$550,"'!q",B598),1)</f>
        <v>0</v>
      </c>
      <c r="U598" s="1" cm="1">
        <f t="array" aca="1" ref="U598" ca="1">INDIRECT(CONCATENATE("'",$A$550,"'!r",B598),1)</f>
        <v>0</v>
      </c>
      <c r="V598" s="1" cm="1">
        <f t="array" aca="1" ref="V598" ca="1">INDIRECT(CONCATENATE("'",$A$550,"'!s",B598),1)</f>
        <v>0</v>
      </c>
      <c r="W598" s="1" cm="1">
        <f t="array" aca="1" ref="W598" ca="1">INDIRECT(CONCATENATE("'",$A$550,"'!t",B598),1)</f>
        <v>0</v>
      </c>
      <c r="X598" s="1" cm="1">
        <f t="array" aca="1" ref="X598" ca="1">INDIRECT(CONCATENATE("'",$A$550,"'!u",B598),1)</f>
        <v>0</v>
      </c>
      <c r="Y598" s="1" cm="1">
        <f t="array" aca="1" ref="Y598" ca="1">INDIRECT(CONCATENATE("'",$A$550,"'!v",B598),1)</f>
        <v>0</v>
      </c>
    </row>
    <row r="599" spans="1:25" ht="56.25" hidden="1" x14ac:dyDescent="0.25">
      <c r="A599" s="15"/>
      <c r="B599" s="24">
        <f t="shared" si="46"/>
        <v>51</v>
      </c>
      <c r="C599" s="1" t="str" cm="1">
        <f t="array" aca="1" ref="C599" ca="1">INDIRECT(CONCATENATE("'",$A$550,"'!A",B599),1)</f>
        <v>Основы автоматизированных информационных систем управления предприятием</v>
      </c>
      <c r="D599" s="1" t="str" cm="1">
        <f t="array" aca="1" ref="D599" ca="1">INDIRECT(CONCATENATE("'",$A$550,"'!B",B599),1)</f>
        <v xml:space="preserve">09.03.01(09у) </v>
      </c>
      <c r="E599" s="1" t="str" cm="1">
        <f t="array" aca="1" ref="E599" ca="1">INDIRECT(CONCATENATE("'",$A$550,"'!c",B599),1)</f>
        <v>2092зу</v>
      </c>
      <c r="F599" s="1" cm="1">
        <f t="array" aca="1" ref="F599" ca="1">INDIRECT(CONCATENATE("'",$A$550,"'!d",B599),1)</f>
        <v>8</v>
      </c>
      <c r="G599" s="1" cm="1">
        <f t="array" aca="1" ref="G599" ca="1">INDIRECT(CONCATENATE("'",$A$550,"'!e",B599),1)</f>
        <v>1</v>
      </c>
      <c r="H599" s="1" cm="1">
        <f t="array" aca="1" ref="H599" ca="1">INDIRECT(CONCATENATE("'",$A$550,"'!f",B599),1)</f>
        <v>31</v>
      </c>
      <c r="I599" s="1" t="str" cm="1">
        <f t="array" aca="1" ref="I599" ca="1">INDIRECT(CONCATENATE("'",$A$550,"'!g",B599),1)</f>
        <v>ЭКЗ</v>
      </c>
      <c r="J599" s="1" cm="1">
        <f t="array" aca="1" ref="J599" ca="1">INDIRECT(CONCATENATE("'",$A$550,"'!h",B599),1)</f>
        <v>6</v>
      </c>
      <c r="K599" s="1" cm="1">
        <f t="array" aca="1" ref="K599" ca="1">INDIRECT(CONCATENATE("'",$A$550,"'!i",B599),1)</f>
        <v>8</v>
      </c>
      <c r="L599" s="1" cm="1">
        <f t="array" aca="1" ref="L599" ca="1">INDIRECT(CONCATENATE("'",$A$550,"'!j",B599),1)</f>
        <v>0</v>
      </c>
      <c r="M599" s="1" cm="1">
        <f t="array" aca="1" ref="M599" ca="1">INDIRECT(CONCATENATE("'",$A$550,"'!k",B599),1)</f>
        <v>12</v>
      </c>
      <c r="N599" s="1" t="str" cm="1">
        <f t="array" aca="1" ref="N599" ca="1">INDIRECT(CONCATENATE("'",$A$550,"'!l",B599),1)</f>
        <v>Соколова Г.Ю.</v>
      </c>
      <c r="O599" s="1" cm="1">
        <f t="array" aca="1" ref="O599" ca="1">INDIRECT(CONCATENATE("'",$A$550,"'!m",B599),1)</f>
        <v>0</v>
      </c>
      <c r="P599" s="1" cm="1">
        <f t="array" aca="1" ref="P599" ca="1">INDIRECT(CONCATENATE("'",$A$550,"'!n",B599),1)</f>
        <v>0</v>
      </c>
      <c r="Q599" s="1" cm="1">
        <f t="array" aca="1" ref="Q599" ca="1">INDIRECT(CONCATENATE("'",$A$550,"'!o",B599),1)</f>
        <v>27.9</v>
      </c>
      <c r="R599" s="1" cm="1">
        <f t="array" aca="1" ref="R599" ca="1">INDIRECT(CONCATENATE("'",$A$550,"'!p",B599),1)</f>
        <v>18.600000000000001</v>
      </c>
      <c r="S599" s="1">
        <f t="shared" ca="1" si="48"/>
        <v>0</v>
      </c>
      <c r="T599" s="1" t="str" cm="1">
        <f t="array" aca="1" ref="T599" ca="1">INDIRECT(CONCATENATE("'",$A$550,"'!q",B599),1)</f>
        <v>Соколова Г.Ю.</v>
      </c>
      <c r="U599" s="1" cm="1">
        <f t="array" aca="1" ref="U599" ca="1">INDIRECT(CONCATENATE("'",$A$550,"'!r",B599),1)</f>
        <v>0</v>
      </c>
      <c r="V599" s="1" cm="1">
        <f t="array" aca="1" ref="V599" ca="1">INDIRECT(CONCATENATE("'",$A$550,"'!s",B599),1)</f>
        <v>0</v>
      </c>
      <c r="W599" s="1" cm="1">
        <f t="array" aca="1" ref="W599" ca="1">INDIRECT(CONCATENATE("'",$A$550,"'!t",B599),1)</f>
        <v>0</v>
      </c>
      <c r="X599" s="1" cm="1">
        <f t="array" aca="1" ref="X599" ca="1">INDIRECT(CONCATENATE("'",$A$550,"'!u",B599),1)</f>
        <v>0</v>
      </c>
      <c r="Y599" s="1" cm="1">
        <f t="array" aca="1" ref="Y599" ca="1">INDIRECT(CONCATENATE("'",$A$550,"'!v",B599),1)</f>
        <v>0</v>
      </c>
    </row>
    <row r="600" spans="1:25" ht="45" x14ac:dyDescent="0.25">
      <c r="A600" s="15"/>
      <c r="B600" s="24">
        <f t="shared" si="46"/>
        <v>52</v>
      </c>
      <c r="C600" s="1" t="str" cm="1">
        <f t="array" aca="1" ref="C600" ca="1">INDIRECT(CONCATENATE("'",$A$550,"'!A",B600),1)</f>
        <v>Проектный практикум</v>
      </c>
      <c r="D600" s="1" t="str" cm="1">
        <f t="array" aca="1" ref="D600" ca="1">INDIRECT(CONCATENATE("'",$A$550,"'!B",B600),1)</f>
        <v xml:space="preserve">09.03.01(09)-11 09.03.01(09у)-31 </v>
      </c>
      <c r="E600" s="1" t="str" cm="1">
        <f t="array" aca="1" ref="E600" ca="1">INDIRECT(CONCATENATE("'",$A$550,"'!c",B600),1)</f>
        <v>2091з
2092зу</v>
      </c>
      <c r="F600" s="1" cm="1">
        <f t="array" aca="1" ref="F600" ca="1">INDIRECT(CONCATENATE("'",$A$550,"'!d",B600),1)</f>
        <v>7</v>
      </c>
      <c r="G600" s="1" cm="1">
        <f t="array" aca="1" ref="G600" ca="1">INDIRECT(CONCATENATE("'",$A$550,"'!e",B600),1)</f>
        <v>2</v>
      </c>
      <c r="H600" s="1" cm="1">
        <f t="array" aca="1" ref="H600" ca="1">INDIRECT(CONCATENATE("'",$A$550,"'!f",B600),1)</f>
        <v>42</v>
      </c>
      <c r="I600" s="1" t="str" cm="1">
        <f t="array" aca="1" ref="I600" ca="1">INDIRECT(CONCATENATE("'",$A$550,"'!g",B600),1)</f>
        <v>ДЗ</v>
      </c>
      <c r="J600" s="1" cm="1">
        <f t="array" aca="1" ref="J600" ca="1">INDIRECT(CONCATENATE("'",$A$550,"'!h",B600),1)</f>
        <v>1</v>
      </c>
      <c r="K600" s="1" cm="1">
        <f t="array" aca="1" ref="K600" ca="1">INDIRECT(CONCATENATE("'",$A$550,"'!i",B600),1)</f>
        <v>0</v>
      </c>
      <c r="L600" s="1" cm="1">
        <f t="array" aca="1" ref="L600" ca="1">INDIRECT(CONCATENATE("'",$A$550,"'!j",B600),1)</f>
        <v>4</v>
      </c>
      <c r="M600" s="1" cm="1">
        <f t="array" aca="1" ref="M600" ca="1">INDIRECT(CONCATENATE("'",$A$550,"'!k",B600),1)</f>
        <v>0</v>
      </c>
      <c r="N600" s="1" t="str" cm="1">
        <f t="array" aca="1" ref="N600" ca="1">INDIRECT(CONCATENATE("'",$A$550,"'!l",B600),1)</f>
        <v>Савинова М.А.</v>
      </c>
      <c r="O600" s="1" cm="1">
        <f t="array" aca="1" ref="O600" ca="1">INDIRECT(CONCATENATE("'",$A$550,"'!m",B600),1)</f>
        <v>0</v>
      </c>
      <c r="P600" s="1" cm="1">
        <f t="array" aca="1" ref="P600" ca="1">INDIRECT(CONCATENATE("'",$A$550,"'!n",B600),1)</f>
        <v>0</v>
      </c>
      <c r="Q600" s="1" cm="1">
        <f t="array" aca="1" ref="Q600" ca="1">INDIRECT(CONCATENATE("'",$A$550,"'!o",B600),1)</f>
        <v>63</v>
      </c>
      <c r="R600" s="1" cm="1">
        <f t="array" aca="1" ref="R600" ca="1">INDIRECT(CONCATENATE("'",$A$550,"'!p",B600),1)</f>
        <v>0</v>
      </c>
      <c r="S600" s="1">
        <f t="shared" ca="1" si="48"/>
        <v>63</v>
      </c>
      <c r="T600" s="1" t="str" cm="1">
        <f t="array" aca="1" ref="T600" ca="1">INDIRECT(CONCATENATE("'",$A$550,"'!q",B600),1)</f>
        <v>Савинова М.А.</v>
      </c>
      <c r="U600" s="1" cm="1">
        <f t="array" aca="1" ref="U600" ca="1">INDIRECT(CONCATENATE("'",$A$550,"'!r",B600),1)</f>
        <v>63</v>
      </c>
      <c r="V600" s="1" cm="1">
        <f t="array" aca="1" ref="V600" ca="1">INDIRECT(CONCATENATE("'",$A$550,"'!s",B600),1)</f>
        <v>0</v>
      </c>
      <c r="W600" s="1" cm="1">
        <f t="array" aca="1" ref="W600" ca="1">INDIRECT(CONCATENATE("'",$A$550,"'!t",B600),1)</f>
        <v>0</v>
      </c>
      <c r="X600" s="1" cm="1">
        <f t="array" aca="1" ref="X600" ca="1">INDIRECT(CONCATENATE("'",$A$550,"'!u",B600),1)</f>
        <v>0</v>
      </c>
      <c r="Y600" s="1" cm="1">
        <f t="array" aca="1" ref="Y600" ca="1">INDIRECT(CONCATENATE("'",$A$550,"'!v",B600),1)</f>
        <v>0</v>
      </c>
    </row>
    <row r="601" spans="1:25" ht="56.25" hidden="1" x14ac:dyDescent="0.25">
      <c r="A601" s="15"/>
      <c r="B601" s="24">
        <f t="shared" si="46"/>
        <v>53</v>
      </c>
      <c r="C601" s="1" t="str" cm="1">
        <f t="array" aca="1" ref="C601" ca="1">INDIRECT(CONCATENATE("'",$A$550,"'!A",B601),1)</f>
        <v>Практика производственная: Практика преддипломная</v>
      </c>
      <c r="D601" s="1" t="str" cm="1">
        <f t="array" aca="1" ref="D601" ca="1">INDIRECT(CONCATENATE("'",$A$550,"'!B",B601),1)</f>
        <v xml:space="preserve">09.03.01(09у) </v>
      </c>
      <c r="E601" s="1" t="str" cm="1">
        <f t="array" aca="1" ref="E601" ca="1">INDIRECT(CONCATENATE("'",$A$550,"'!c",B601),1)</f>
        <v>2092зу</v>
      </c>
      <c r="F601" s="1" cm="1">
        <f t="array" aca="1" ref="F601" ca="1">INDIRECT(CONCATENATE("'",$A$550,"'!d",B601),1)</f>
        <v>8</v>
      </c>
      <c r="G601" s="1" cm="1">
        <f t="array" aca="1" ref="G601" ca="1">INDIRECT(CONCATENATE("'",$A$550,"'!e",B601),1)</f>
        <v>1</v>
      </c>
      <c r="H601" s="1" cm="1">
        <f t="array" aca="1" ref="H601" ca="1">INDIRECT(CONCATENATE("'",$A$550,"'!f",B601),1)</f>
        <v>31</v>
      </c>
      <c r="I601" s="1" t="str" cm="1">
        <f t="array" aca="1" ref="I601" ca="1">INDIRECT(CONCATENATE("'",$A$550,"'!g",B601),1)</f>
        <v>ДЗ</v>
      </c>
      <c r="J601" s="1" cm="1">
        <f t="array" aca="1" ref="J601" ca="1">INDIRECT(CONCATENATE("'",$A$550,"'!h",B601),1)</f>
        <v>18</v>
      </c>
      <c r="K601" s="1" cm="1">
        <f t="array" aca="1" ref="K601" ca="1">INDIRECT(CONCATENATE("'",$A$550,"'!i",B601),1)</f>
        <v>0</v>
      </c>
      <c r="L601" s="1" cm="1">
        <f t="array" aca="1" ref="L601" ca="1">INDIRECT(CONCATENATE("'",$A$550,"'!j",B601),1)</f>
        <v>2</v>
      </c>
      <c r="M601" s="1" cm="1">
        <f t="array" aca="1" ref="M601" ca="1">INDIRECT(CONCATENATE("'",$A$550,"'!k",B601),1)</f>
        <v>0</v>
      </c>
      <c r="N601" s="1" t="str" cm="1">
        <f t="array" aca="1" ref="N601" ca="1">INDIRECT(CONCATENATE("'",$A$550,"'!l",B601),1)</f>
        <v>Соколова Г.Ю.Архипова Г.А.Винник Л.И.</v>
      </c>
      <c r="O601" s="1" cm="1">
        <f t="array" aca="1" ref="O601" ca="1">INDIRECT(CONCATENATE("'",$A$550,"'!m",B601),1)</f>
        <v>3300</v>
      </c>
      <c r="P601" s="1" t="str" cm="1">
        <f t="array" aca="1" ref="P601" ca="1">INDIRECT(CONCATENATE("'",$A$550,"'!n",B601),1)</f>
        <v>сопровождение, защита отчётов, нормокортроль</v>
      </c>
      <c r="Q601" s="1" cm="1">
        <f t="array" aca="1" ref="Q601" ca="1">INDIRECT(CONCATENATE("'",$A$550,"'!o",B601),1)</f>
        <v>111.6</v>
      </c>
      <c r="R601" s="1" cm="1">
        <f t="array" aca="1" ref="R601" ca="1">INDIRECT(CONCATENATE("'",$A$550,"'!p",B601),1)</f>
        <v>0</v>
      </c>
      <c r="S601" s="1">
        <f t="shared" ca="1" si="48"/>
        <v>0</v>
      </c>
      <c r="T601" s="1" t="str" cm="1">
        <f t="array" aca="1" ref="T601" ca="1">INDIRECT(CONCATENATE("'",$A$550,"'!q",B601),1)</f>
        <v>Соколова Г.Ю.</v>
      </c>
      <c r="U601" s="1" cm="1">
        <f t="array" aca="1" ref="U601" ca="1">INDIRECT(CONCATENATE("'",$A$550,"'!r",B601),1)</f>
        <v>49.599999999999994</v>
      </c>
      <c r="V601" s="1" t="str" cm="1">
        <f t="array" aca="1" ref="V601" ca="1">INDIRECT(CONCATENATE("'",$A$550,"'!s",B601),1)</f>
        <v>Архипова Г.А.</v>
      </c>
      <c r="W601" s="1" cm="1">
        <f t="array" aca="1" ref="W601" ca="1">INDIRECT(CONCATENATE("'",$A$550,"'!t",B601),1)</f>
        <v>31</v>
      </c>
      <c r="X601" s="1" t="str" cm="1">
        <f t="array" aca="1" ref="X601" ca="1">INDIRECT(CONCATENATE("'",$A$550,"'!u",B601),1)</f>
        <v>Винник Л.И.</v>
      </c>
      <c r="Y601" s="1" cm="1">
        <f t="array" aca="1" ref="Y601" ca="1">INDIRECT(CONCATENATE("'",$A$550,"'!v",B601),1)</f>
        <v>31</v>
      </c>
    </row>
    <row r="602" spans="1:25" ht="45" hidden="1" x14ac:dyDescent="0.25">
      <c r="A602" s="15"/>
      <c r="B602" s="24">
        <f t="shared" si="46"/>
        <v>54</v>
      </c>
      <c r="C602" s="1" t="str" cm="1">
        <f t="array" aca="1" ref="C602" ca="1">INDIRECT(CONCATENATE("'",$A$550,"'!A",B602),1)</f>
        <v>Выполнение и защита выпускной квалификационной работы</v>
      </c>
      <c r="D602" s="1" t="str" cm="1">
        <f t="array" aca="1" ref="D602" ca="1">INDIRECT(CONCATENATE("'",$A$550,"'!B",B602),1)</f>
        <v xml:space="preserve">09.03.01(09у) </v>
      </c>
      <c r="E602" s="1" t="str" cm="1">
        <f t="array" aca="1" ref="E602" ca="1">INDIRECT(CONCATENATE("'",$A$550,"'!c",B602),1)</f>
        <v>2092зу</v>
      </c>
      <c r="F602" s="1" cm="1">
        <f t="array" aca="1" ref="F602" ca="1">INDIRECT(CONCATENATE("'",$A$550,"'!d",B602),1)</f>
        <v>8</v>
      </c>
      <c r="G602" s="1" cm="1">
        <f t="array" aca="1" ref="G602" ca="1">INDIRECT(CONCATENATE("'",$A$550,"'!e",B602),1)</f>
        <v>1</v>
      </c>
      <c r="H602" s="1" cm="1">
        <f t="array" aca="1" ref="H602" ca="1">INDIRECT(CONCATENATE("'",$A$550,"'!f",B602),1)</f>
        <v>31</v>
      </c>
      <c r="I602" s="1" t="str" cm="1">
        <f t="array" aca="1" ref="I602" ca="1">INDIRECT(CONCATENATE("'",$A$550,"'!g",B602),1)</f>
        <v>ДЗ</v>
      </c>
      <c r="J602" s="1" cm="1">
        <f t="array" aca="1" ref="J602" ca="1">INDIRECT(CONCATENATE("'",$A$550,"'!h",B602),1)</f>
        <v>9</v>
      </c>
      <c r="K602" s="1" cm="1">
        <f t="array" aca="1" ref="K602" ca="1">INDIRECT(CONCATENATE("'",$A$550,"'!i",B602),1)</f>
        <v>0</v>
      </c>
      <c r="L602" s="1" cm="1">
        <f t="array" aca="1" ref="L602" ca="1">INDIRECT(CONCATENATE("'",$A$550,"'!j",B602),1)</f>
        <v>2</v>
      </c>
      <c r="M602" s="1" cm="1">
        <f t="array" aca="1" ref="M602" ca="1">INDIRECT(CONCATENATE("'",$A$550,"'!k",B602),1)</f>
        <v>0</v>
      </c>
      <c r="N602" s="1" t="str" cm="1">
        <f t="array" aca="1" ref="N602" ca="1">INDIRECT(CONCATENATE("'",$A$550,"'!l",B602),1)</f>
        <v>Залилов Р.Ю.Соколова Г.Ю.Архипова Г.А.</v>
      </c>
      <c r="O602" s="1" cm="1">
        <f t="array" aca="1" ref="O602" ca="1">INDIRECT(CONCATENATE("'",$A$550,"'!m",B602),1)</f>
        <v>3300</v>
      </c>
      <c r="P602" s="1" t="str" cm="1">
        <f t="array" aca="1" ref="P602" ca="1">INDIRECT(CONCATENATE("'",$A$550,"'!n",B602),1)</f>
        <v>Предзащита</v>
      </c>
      <c r="Q602" s="1" cm="1">
        <f t="array" aca="1" ref="Q602" ca="1">INDIRECT(CONCATENATE("'",$A$550,"'!o",B602),1)</f>
        <v>316.2</v>
      </c>
      <c r="R602" s="1" cm="1">
        <f t="array" aca="1" ref="R602" ca="1">INDIRECT(CONCATENATE("'",$A$550,"'!p",B602),1)</f>
        <v>0</v>
      </c>
      <c r="S602" s="1">
        <f t="shared" ca="1" si="48"/>
        <v>0</v>
      </c>
      <c r="T602" s="1" t="str" cm="1">
        <f t="array" aca="1" ref="T602" ca="1">INDIRECT(CONCATENATE("'",$A$550,"'!q",B602),1)</f>
        <v>Залилов Р.Ю.</v>
      </c>
      <c r="U602" s="1" cm="1">
        <f t="array" aca="1" ref="U602" ca="1">INDIRECT(CONCATENATE("'",$A$550,"'!r",B602),1)</f>
        <v>4</v>
      </c>
      <c r="V602" s="1" t="str" cm="1">
        <f t="array" aca="1" ref="V602" ca="1">INDIRECT(CONCATENATE("'",$A$550,"'!s",B602),1)</f>
        <v>Соколова Г.Ю.</v>
      </c>
      <c r="W602" s="1" cm="1">
        <f t="array" aca="1" ref="W602" ca="1">INDIRECT(CONCATENATE("'",$A$550,"'!t",B602),1)</f>
        <v>4</v>
      </c>
      <c r="X602" s="1" t="str" cm="1">
        <f t="array" aca="1" ref="X602" ca="1">INDIRECT(CONCATENATE("'",$A$550,"'!u",B602),1)</f>
        <v>Архипова Г.А.</v>
      </c>
      <c r="Y602" s="1" cm="1">
        <f t="array" aca="1" ref="Y602" ca="1">INDIRECT(CONCATENATE("'",$A$550,"'!v",B602),1)</f>
        <v>4</v>
      </c>
    </row>
    <row r="603" spans="1:25" ht="45" hidden="1" x14ac:dyDescent="0.25">
      <c r="A603" s="15"/>
      <c r="B603" s="24">
        <f t="shared" si="46"/>
        <v>55</v>
      </c>
      <c r="C603" s="1" t="str" cm="1">
        <f t="array" aca="1" ref="C603" ca="1">INDIRECT(CONCATENATE("'",$A$550,"'!A",B603),1)</f>
        <v>Выполнение и защита выпускной квалификационной работы</v>
      </c>
      <c r="D603" s="1" t="str" cm="1">
        <f t="array" aca="1" ref="D603" ca="1">INDIRECT(CONCATENATE("'",$A$550,"'!B",B603),1)</f>
        <v xml:space="preserve">09.03.01(09у) </v>
      </c>
      <c r="E603" s="1" t="str" cm="1">
        <f t="array" aca="1" ref="E603" ca="1">INDIRECT(CONCATENATE("'",$A$550,"'!c",B603),1)</f>
        <v>2092зу</v>
      </c>
      <c r="F603" s="1" cm="1">
        <f t="array" aca="1" ref="F603" ca="1">INDIRECT(CONCATENATE("'",$A$550,"'!d",B603),1)</f>
        <v>8</v>
      </c>
      <c r="G603" s="1" cm="1">
        <f t="array" aca="1" ref="G603" ca="1">INDIRECT(CONCATENATE("'",$A$550,"'!e",B603),1)</f>
        <v>1</v>
      </c>
      <c r="H603" s="1" cm="1">
        <f t="array" aca="1" ref="H603" ca="1">INDIRECT(CONCATENATE("'",$A$550,"'!f",B603),1)</f>
        <v>31</v>
      </c>
      <c r="I603" s="1" t="str" cm="1">
        <f t="array" aca="1" ref="I603" ca="1">INDIRECT(CONCATENATE("'",$A$550,"'!g",B603),1)</f>
        <v>ДЗ</v>
      </c>
      <c r="J603" s="1" cm="1">
        <f t="array" aca="1" ref="J603" ca="1">INDIRECT(CONCATENATE("'",$A$550,"'!h",B603),1)</f>
        <v>9</v>
      </c>
      <c r="K603" s="1" cm="1">
        <f t="array" aca="1" ref="K603" ca="1">INDIRECT(CONCATENATE("'",$A$550,"'!i",B603),1)</f>
        <v>0</v>
      </c>
      <c r="L603" s="1" cm="1">
        <f t="array" aca="1" ref="L603" ca="1">INDIRECT(CONCATENATE("'",$A$550,"'!j",B603),1)</f>
        <v>2</v>
      </c>
      <c r="M603" s="1" cm="1">
        <f t="array" aca="1" ref="M603" ca="1">INDIRECT(CONCATENATE("'",$A$550,"'!k",B603),1)</f>
        <v>0</v>
      </c>
      <c r="N603" s="1" t="str" cm="1">
        <f t="array" aca="1" ref="N603" ca="1">INDIRECT(CONCATENATE("'",$A$550,"'!l",B603),1)</f>
        <v>ЧленКомиссииЧленКомиссииЧленКомиссии</v>
      </c>
      <c r="O603" s="1" cm="1">
        <f t="array" aca="1" ref="O603" ca="1">INDIRECT(CONCATENATE("'",$A$550,"'!m",B603),1)</f>
        <v>3300</v>
      </c>
      <c r="P603" s="1" t="str" cm="1">
        <f t="array" aca="1" ref="P603" ca="1">INDIRECT(CONCATENATE("'",$A$550,"'!n",B603),1)</f>
        <v>Защита</v>
      </c>
      <c r="Q603" s="1" cm="1">
        <f t="array" aca="1" ref="Q603" ca="1">INDIRECT(CONCATENATE("'",$A$550,"'!o",B603),1)</f>
        <v>316.2</v>
      </c>
      <c r="R603" s="1" cm="1">
        <f t="array" aca="1" ref="R603" ca="1">INDIRECT(CONCATENATE("'",$A$550,"'!p",B603),1)</f>
        <v>0</v>
      </c>
      <c r="S603" s="1">
        <f t="shared" ca="1" si="48"/>
        <v>0</v>
      </c>
      <c r="T603" s="1" t="str" cm="1">
        <f t="array" aca="1" ref="T603" ca="1">INDIRECT(CONCATENATE("'",$A$550,"'!q",B603),1)</f>
        <v>ЧленКомиссии</v>
      </c>
      <c r="U603" s="1" cm="1">
        <f t="array" aca="1" ref="U603" ca="1">INDIRECT(CONCATENATE("'",$A$550,"'!r",B603),1)</f>
        <v>6</v>
      </c>
      <c r="V603" s="1" t="str" cm="1">
        <f t="array" aca="1" ref="V603" ca="1">INDIRECT(CONCATENATE("'",$A$550,"'!s",B603),1)</f>
        <v>ЧленКомиссии</v>
      </c>
      <c r="W603" s="1" cm="1">
        <f t="array" aca="1" ref="W603" ca="1">INDIRECT(CONCATENATE("'",$A$550,"'!t",B603),1)</f>
        <v>6</v>
      </c>
      <c r="X603" s="1" t="str" cm="1">
        <f t="array" aca="1" ref="X603" ca="1">INDIRECT(CONCATENATE("'",$A$550,"'!u",B603),1)</f>
        <v>ЧленКомиссии</v>
      </c>
      <c r="Y603" s="1" cm="1">
        <f t="array" aca="1" ref="Y603" ca="1">INDIRECT(CONCATENATE("'",$A$550,"'!v",B603),1)</f>
        <v>6</v>
      </c>
    </row>
    <row r="604" spans="1:25" ht="45" hidden="1" x14ac:dyDescent="0.25">
      <c r="A604" s="15"/>
      <c r="B604" s="24">
        <f t="shared" si="46"/>
        <v>56</v>
      </c>
      <c r="C604" s="1" t="str" cm="1">
        <f t="array" aca="1" ref="C604" ca="1">INDIRECT(CONCATENATE("'",$A$550,"'!A",B604),1)</f>
        <v>Выполнение и защита выпускной квалификационной работы</v>
      </c>
      <c r="D604" s="1" t="str" cm="1">
        <f t="array" aca="1" ref="D604" ca="1">INDIRECT(CONCATENATE("'",$A$550,"'!B",B604),1)</f>
        <v xml:space="preserve">09.03.01(09у) </v>
      </c>
      <c r="E604" s="1" t="str" cm="1">
        <f t="array" aca="1" ref="E604" ca="1">INDIRECT(CONCATENATE("'",$A$550,"'!c",B604),1)</f>
        <v>2092зу</v>
      </c>
      <c r="F604" s="1" cm="1">
        <f t="array" aca="1" ref="F604" ca="1">INDIRECT(CONCATENATE("'",$A$550,"'!d",B604),1)</f>
        <v>8</v>
      </c>
      <c r="G604" s="1" cm="1">
        <f t="array" aca="1" ref="G604" ca="1">INDIRECT(CONCATENATE("'",$A$550,"'!e",B604),1)</f>
        <v>1</v>
      </c>
      <c r="H604" s="1" cm="1">
        <f t="array" aca="1" ref="H604" ca="1">INDIRECT(CONCATENATE("'",$A$550,"'!f",B604),1)</f>
        <v>31</v>
      </c>
      <c r="I604" s="1" t="str" cm="1">
        <f t="array" aca="1" ref="I604" ca="1">INDIRECT(CONCATENATE("'",$A$550,"'!g",B604),1)</f>
        <v>ДЗ</v>
      </c>
      <c r="J604" s="1" cm="1">
        <f t="array" aca="1" ref="J604" ca="1">INDIRECT(CONCATENATE("'",$A$550,"'!h",B604),1)</f>
        <v>9</v>
      </c>
      <c r="K604" s="1" cm="1">
        <f t="array" aca="1" ref="K604" ca="1">INDIRECT(CONCATENATE("'",$A$550,"'!i",B604),1)</f>
        <v>0</v>
      </c>
      <c r="L604" s="1" cm="1">
        <f t="array" aca="1" ref="L604" ca="1">INDIRECT(CONCATENATE("'",$A$550,"'!j",B604),1)</f>
        <v>2</v>
      </c>
      <c r="M604" s="1" cm="1">
        <f t="array" aca="1" ref="M604" ca="1">INDIRECT(CONCATENATE("'",$A$550,"'!k",B604),1)</f>
        <v>0</v>
      </c>
      <c r="N604" s="1" t="str" cm="1">
        <f t="array" aca="1" ref="N604" ca="1">INDIRECT(CONCATENATE("'",$A$550,"'!l",B604),1)</f>
        <v>Соколова Г.Ю.Соколова Г.Ю.</v>
      </c>
      <c r="O604" s="1" cm="1">
        <f t="array" aca="1" ref="O604" ca="1">INDIRECT(CONCATENATE("'",$A$550,"'!m",B604),1)</f>
        <v>3300</v>
      </c>
      <c r="P604" s="1" t="str" cm="1">
        <f t="array" aca="1" ref="P604" ca="1">INDIRECT(CONCATENATE("'",$A$550,"'!n",B604),1)</f>
        <v>Проверка на антиплагиат
защита</v>
      </c>
      <c r="Q604" s="1" cm="1">
        <f t="array" aca="1" ref="Q604" ca="1">INDIRECT(CONCATENATE("'",$A$550,"'!o",B604),1)</f>
        <v>34.200000000000003</v>
      </c>
      <c r="R604" s="1" cm="1">
        <f t="array" aca="1" ref="R604" ca="1">INDIRECT(CONCATENATE("'",$A$550,"'!p",B604),1)</f>
        <v>0</v>
      </c>
      <c r="S604" s="1">
        <f t="shared" ca="1" si="48"/>
        <v>0</v>
      </c>
      <c r="T604" s="1" t="str" cm="1">
        <f t="array" aca="1" ref="T604" ca="1">INDIRECT(CONCATENATE("'",$A$550,"'!q",B604),1)</f>
        <v>Соколова Г.Ю.</v>
      </c>
      <c r="U604" s="1" cm="1">
        <f t="array" aca="1" ref="U604" ca="1">INDIRECT(CONCATENATE("'",$A$550,"'!r",B604),1)</f>
        <v>31</v>
      </c>
      <c r="V604" s="1" t="str" cm="1">
        <f t="array" aca="1" ref="V604" ca="1">INDIRECT(CONCATENATE("'",$A$550,"'!s",B604),1)</f>
        <v>Соколова Г.Ю.</v>
      </c>
      <c r="W604" s="1" cm="1">
        <f t="array" aca="1" ref="W604" ca="1">INDIRECT(CONCATENATE("'",$A$550,"'!t",B604),1)</f>
        <v>3.2</v>
      </c>
      <c r="X604" s="1" cm="1">
        <f t="array" aca="1" ref="X604" ca="1">INDIRECT(CONCATENATE("'",$A$550,"'!u",B604),1)</f>
        <v>0</v>
      </c>
      <c r="Y604" s="1" cm="1">
        <f t="array" aca="1" ref="Y604" ca="1">INDIRECT(CONCATENATE("'",$A$550,"'!v",B604),1)</f>
        <v>0</v>
      </c>
    </row>
    <row r="605" spans="1:25" ht="45" hidden="1" x14ac:dyDescent="0.25">
      <c r="A605" s="15"/>
      <c r="B605" s="24">
        <f t="shared" si="46"/>
        <v>57</v>
      </c>
      <c r="C605" s="1" t="str" cm="1">
        <f t="array" aca="1" ref="C605" ca="1">INDIRECT(CONCATENATE("'",$A$550,"'!A",B605),1)</f>
        <v>Выполнение и защита выпускной квалификационной работы</v>
      </c>
      <c r="D605" s="1" t="str" cm="1">
        <f t="array" aca="1" ref="D605" ca="1">INDIRECT(CONCATENATE("'",$A$550,"'!B",B605),1)</f>
        <v xml:space="preserve">09.03.01(09у) </v>
      </c>
      <c r="E605" s="1" t="str" cm="1">
        <f t="array" aca="1" ref="E605" ca="1">INDIRECT(CONCATENATE("'",$A$550,"'!c",B605),1)</f>
        <v>2092зу</v>
      </c>
      <c r="F605" s="1" cm="1">
        <f t="array" aca="1" ref="F605" ca="1">INDIRECT(CONCATENATE("'",$A$550,"'!d",B605),1)</f>
        <v>8</v>
      </c>
      <c r="G605" s="1" cm="1">
        <f t="array" aca="1" ref="G605" ca="1">INDIRECT(CONCATENATE("'",$A$550,"'!e",B605),1)</f>
        <v>1</v>
      </c>
      <c r="H605" s="1" cm="1">
        <f t="array" aca="1" ref="H605" ca="1">INDIRECT(CONCATENATE("'",$A$550,"'!f",B605),1)</f>
        <v>31</v>
      </c>
      <c r="I605" s="1" t="str" cm="1">
        <f t="array" aca="1" ref="I605" ca="1">INDIRECT(CONCATENATE("'",$A$550,"'!g",B605),1)</f>
        <v>ДЗ</v>
      </c>
      <c r="J605" s="1" cm="1">
        <f t="array" aca="1" ref="J605" ca="1">INDIRECT(CONCATENATE("'",$A$550,"'!h",B605),1)</f>
        <v>9</v>
      </c>
      <c r="K605" s="1" cm="1">
        <f t="array" aca="1" ref="K605" ca="1">INDIRECT(CONCATENATE("'",$A$550,"'!i",B605),1)</f>
        <v>0</v>
      </c>
      <c r="L605" s="1" cm="1">
        <f t="array" aca="1" ref="L605" ca="1">INDIRECT(CONCATENATE("'",$A$550,"'!j",B605),1)</f>
        <v>0</v>
      </c>
      <c r="M605" s="1" cm="1">
        <f t="array" aca="1" ref="M605" ca="1">INDIRECT(CONCATENATE("'",$A$550,"'!k",B605),1)</f>
        <v>0</v>
      </c>
      <c r="N605" s="1" t="str" cm="1">
        <f t="array" aca="1" ref="N605" ca="1">INDIRECT(CONCATENATE("'",$A$550,"'!l",B605),1)</f>
        <v>Попов В.С.Петров Р.В.Телина И.С.</v>
      </c>
      <c r="O605" s="1" cm="1">
        <f t="array" aca="1" ref="O605" ca="1">INDIRECT(CONCATENATE("'",$A$550,"'!m",B605),1)</f>
        <v>3300</v>
      </c>
      <c r="P605" s="1" t="str" cm="1">
        <f t="array" aca="1" ref="P605" ca="1">INDIRECT(CONCATENATE("'",$A$550,"'!n",B605),1)</f>
        <v>руководство ДП 4 человека</v>
      </c>
      <c r="Q605" s="1" cm="1">
        <f t="array" aca="1" ref="Q605" ca="1">INDIRECT(CONCATENATE("'",$A$550,"'!o",B605),1)</f>
        <v>48</v>
      </c>
      <c r="R605" s="1" cm="1">
        <f t="array" aca="1" ref="R605" ca="1">INDIRECT(CONCATENATE("'",$A$550,"'!p",B605),1)</f>
        <v>0</v>
      </c>
      <c r="S605" s="1">
        <f t="shared" ca="1" si="48"/>
        <v>0</v>
      </c>
      <c r="T605" s="1" t="str" cm="1">
        <f t="array" aca="1" ref="T605" ca="1">INDIRECT(CONCATENATE("'",$A$550,"'!q",B605),1)</f>
        <v>Попов В.С.</v>
      </c>
      <c r="U605" s="1" cm="1">
        <f t="array" aca="1" ref="U605" ca="1">INDIRECT(CONCATENATE("'",$A$550,"'!r",B605),1)</f>
        <v>16</v>
      </c>
      <c r="V605" s="1" t="str" cm="1">
        <f t="array" aca="1" ref="V605" ca="1">INDIRECT(CONCATENATE("'",$A$550,"'!s",B605),1)</f>
        <v>Петров Р.В.</v>
      </c>
      <c r="W605" s="1" cm="1">
        <f t="array" aca="1" ref="W605" ca="1">INDIRECT(CONCATENATE("'",$A$550,"'!t",B605),1)</f>
        <v>16</v>
      </c>
      <c r="X605" s="1" t="str" cm="1">
        <f t="array" aca="1" ref="X605" ca="1">INDIRECT(CONCATENATE("'",$A$550,"'!u",B605),1)</f>
        <v>Телина И.С.</v>
      </c>
      <c r="Y605" s="1" cm="1">
        <f t="array" aca="1" ref="Y605" ca="1">INDIRECT(CONCATENATE("'",$A$550,"'!v",B605),1)</f>
        <v>16</v>
      </c>
    </row>
    <row r="606" spans="1:25" ht="32.1" customHeight="1" x14ac:dyDescent="0.25">
      <c r="A606" s="15"/>
      <c r="B606" s="24">
        <f t="shared" si="46"/>
        <v>58</v>
      </c>
      <c r="C606" s="1" t="str" cm="1">
        <f t="array" aca="1" ref="C606" ca="1">INDIRECT(CONCATENATE("'",$A$550,"'!A",B606),1)</f>
        <v>Выполнение и защита выпускной квалификационной работы</v>
      </c>
      <c r="D606" s="1" t="str" cm="1">
        <f t="array" aca="1" ref="D606" ca="1">INDIRECT(CONCATENATE("'",$A$550,"'!B",B606),1)</f>
        <v xml:space="preserve">09.03.01(09у) </v>
      </c>
      <c r="E606" s="1" t="str" cm="1">
        <f t="array" aca="1" ref="E606" ca="1">INDIRECT(CONCATENATE("'",$A$550,"'!c",B606),1)</f>
        <v>2092зу</v>
      </c>
      <c r="F606" s="1" cm="1">
        <f t="array" aca="1" ref="F606" ca="1">INDIRECT(CONCATENATE("'",$A$550,"'!d",B606),1)</f>
        <v>8</v>
      </c>
      <c r="G606" s="1" cm="1">
        <f t="array" aca="1" ref="G606" ca="1">INDIRECT(CONCATENATE("'",$A$550,"'!e",B606),1)</f>
        <v>1</v>
      </c>
      <c r="H606" s="1" cm="1">
        <f t="array" aca="1" ref="H606" ca="1">INDIRECT(CONCATENATE("'",$A$550,"'!f",B606),1)</f>
        <v>31</v>
      </c>
      <c r="I606" s="1" t="str" cm="1">
        <f t="array" aca="1" ref="I606" ca="1">INDIRECT(CONCATENATE("'",$A$550,"'!g",B606),1)</f>
        <v>ДЗ</v>
      </c>
      <c r="J606" s="1" cm="1">
        <f t="array" aca="1" ref="J606" ca="1">INDIRECT(CONCATENATE("'",$A$550,"'!h",B606),1)</f>
        <v>9</v>
      </c>
      <c r="K606" s="1" cm="1">
        <f t="array" aca="1" ref="K606" ca="1">INDIRECT(CONCATENATE("'",$A$550,"'!i",B606),1)</f>
        <v>0</v>
      </c>
      <c r="L606" s="1" cm="1">
        <f t="array" aca="1" ref="L606" ca="1">INDIRECT(CONCATENATE("'",$A$550,"'!j",B606),1)</f>
        <v>0</v>
      </c>
      <c r="M606" s="1" cm="1">
        <f t="array" aca="1" ref="M606" ca="1">INDIRECT(CONCATENATE("'",$A$550,"'!k",B606),1)</f>
        <v>0</v>
      </c>
      <c r="N606" s="1" t="str" cm="1">
        <f t="array" aca="1" ref="N606" ca="1">INDIRECT(CONCATENATE("'",$A$550,"'!l",B606),1)</f>
        <v>Довгалюк П.М.Савинова М.А.Иванов Д.Д.</v>
      </c>
      <c r="O606" s="1" cm="1">
        <f t="array" aca="1" ref="O606" ca="1">INDIRECT(CONCATENATE("'",$A$550,"'!m",B606),1)</f>
        <v>3300</v>
      </c>
      <c r="P606" s="1" t="str" cm="1">
        <f t="array" aca="1" ref="P606" ca="1">INDIRECT(CONCATENATE("'",$A$550,"'!n",B606),1)</f>
        <v>руководство ДП 3 человека</v>
      </c>
      <c r="Q606" s="1" cm="1">
        <f t="array" aca="1" ref="Q606" ca="1">INDIRECT(CONCATENATE("'",$A$550,"'!o",B606),1)</f>
        <v>36</v>
      </c>
      <c r="R606" s="1" cm="1">
        <f t="array" aca="1" ref="R606" ca="1">INDIRECT(CONCATENATE("'",$A$550,"'!p",B606),1)</f>
        <v>0</v>
      </c>
      <c r="S606" s="1">
        <f t="shared" ca="1" si="48"/>
        <v>12</v>
      </c>
      <c r="T606" s="1" t="str" cm="1">
        <f t="array" aca="1" ref="T606" ca="1">INDIRECT(CONCATENATE("'",$A$550,"'!q",B606),1)</f>
        <v>Довгалюк П.М.</v>
      </c>
      <c r="U606" s="1" cm="1">
        <f t="array" aca="1" ref="U606" ca="1">INDIRECT(CONCATENATE("'",$A$550,"'!r",B606),1)</f>
        <v>12</v>
      </c>
      <c r="V606" s="1" t="str" cm="1">
        <f t="array" aca="1" ref="V606" ca="1">INDIRECT(CONCATENATE("'",$A$550,"'!s",B606),1)</f>
        <v>Савинова М.А.</v>
      </c>
      <c r="W606" s="1" cm="1">
        <f t="array" aca="1" ref="W606" ca="1">INDIRECT(CONCATENATE("'",$A$550,"'!t",B606),1)</f>
        <v>12</v>
      </c>
      <c r="X606" s="1" t="str" cm="1">
        <f t="array" aca="1" ref="X606" ca="1">INDIRECT(CONCATENATE("'",$A$550,"'!u",B606),1)</f>
        <v>Иванов Д.Д.</v>
      </c>
      <c r="Y606" s="1" cm="1">
        <f t="array" aca="1" ref="Y606" ca="1">INDIRECT(CONCATENATE("'",$A$550,"'!v",B606),1)</f>
        <v>12</v>
      </c>
    </row>
    <row r="607" spans="1:25" ht="45" hidden="1" x14ac:dyDescent="0.25">
      <c r="A607" s="15"/>
      <c r="B607" s="24">
        <f t="shared" si="46"/>
        <v>59</v>
      </c>
      <c r="C607" s="1" t="str" cm="1">
        <f t="array" aca="1" ref="C607" ca="1">INDIRECT(CONCATENATE("'",$A$550,"'!A",B607),1)</f>
        <v>Выполнение и защита выпускной квалификационной работы</v>
      </c>
      <c r="D607" s="1" t="str" cm="1">
        <f t="array" aca="1" ref="D607" ca="1">INDIRECT(CONCATENATE("'",$A$550,"'!B",B607),1)</f>
        <v xml:space="preserve">09.03.01(09у) </v>
      </c>
      <c r="E607" s="1" t="str" cm="1">
        <f t="array" aca="1" ref="E607" ca="1">INDIRECT(CONCATENATE("'",$A$550,"'!c",B607),1)</f>
        <v>2092зу</v>
      </c>
      <c r="F607" s="1" cm="1">
        <f t="array" aca="1" ref="F607" ca="1">INDIRECT(CONCATENATE("'",$A$550,"'!d",B607),1)</f>
        <v>8</v>
      </c>
      <c r="G607" s="1" cm="1">
        <f t="array" aca="1" ref="G607" ca="1">INDIRECT(CONCATENATE("'",$A$550,"'!e",B607),1)</f>
        <v>1</v>
      </c>
      <c r="H607" s="1" cm="1">
        <f t="array" aca="1" ref="H607" ca="1">INDIRECT(CONCATENATE("'",$A$550,"'!f",B607),1)</f>
        <v>31</v>
      </c>
      <c r="I607" s="1" t="str" cm="1">
        <f t="array" aca="1" ref="I607" ca="1">INDIRECT(CONCATENATE("'",$A$550,"'!g",B607),1)</f>
        <v>ДЗ</v>
      </c>
      <c r="J607" s="1" cm="1">
        <f t="array" aca="1" ref="J607" ca="1">INDIRECT(CONCATENATE("'",$A$550,"'!h",B607),1)</f>
        <v>9</v>
      </c>
      <c r="K607" s="1" cm="1">
        <f t="array" aca="1" ref="K607" ca="1">INDIRECT(CONCATENATE("'",$A$550,"'!i",B607),1)</f>
        <v>0</v>
      </c>
      <c r="L607" s="1" cm="1">
        <f t="array" aca="1" ref="L607" ca="1">INDIRECT(CONCATENATE("'",$A$550,"'!j",B607),1)</f>
        <v>0</v>
      </c>
      <c r="M607" s="1" cm="1">
        <f t="array" aca="1" ref="M607" ca="1">INDIRECT(CONCATENATE("'",$A$550,"'!k",B607),1)</f>
        <v>0</v>
      </c>
      <c r="N607" s="1" t="str" cm="1">
        <f t="array" aca="1" ref="N607" ca="1">INDIRECT(CONCATENATE("'",$A$550,"'!l",B607),1)</f>
        <v>Журавлева М.П.Михайлов Д.В.Эрштейн Л.Б.</v>
      </c>
      <c r="O607" s="1" cm="1">
        <f t="array" aca="1" ref="O607" ca="1">INDIRECT(CONCATENATE("'",$A$550,"'!m",B607),1)</f>
        <v>3300</v>
      </c>
      <c r="P607" s="1" t="str" cm="1">
        <f t="array" aca="1" ref="P607" ca="1">INDIRECT(CONCATENATE("'",$A$550,"'!n",B607),1)</f>
        <v>руководство ДП 4 человека</v>
      </c>
      <c r="Q607" s="1" cm="1">
        <f t="array" aca="1" ref="Q607" ca="1">INDIRECT(CONCATENATE("'",$A$550,"'!o",B607),1)</f>
        <v>48</v>
      </c>
      <c r="R607" s="1" cm="1">
        <f t="array" aca="1" ref="R607" ca="1">INDIRECT(CONCATENATE("'",$A$550,"'!p",B607),1)</f>
        <v>0</v>
      </c>
      <c r="S607" s="1">
        <f t="shared" ca="1" si="48"/>
        <v>0</v>
      </c>
      <c r="T607" s="1" t="str" cm="1">
        <f t="array" aca="1" ref="T607" ca="1">INDIRECT(CONCATENATE("'",$A$550,"'!q",B607),1)</f>
        <v>Журавлева М.П.</v>
      </c>
      <c r="U607" s="1" cm="1">
        <f t="array" aca="1" ref="U607" ca="1">INDIRECT(CONCATENATE("'",$A$550,"'!r",B607),1)</f>
        <v>16</v>
      </c>
      <c r="V607" s="1" t="str" cm="1">
        <f t="array" aca="1" ref="V607" ca="1">INDIRECT(CONCATENATE("'",$A$550,"'!s",B607),1)</f>
        <v>Михайлов Д.В.</v>
      </c>
      <c r="W607" s="1" cm="1">
        <f t="array" aca="1" ref="W607" ca="1">INDIRECT(CONCATENATE("'",$A$550,"'!t",B607),1)</f>
        <v>16</v>
      </c>
      <c r="X607" s="1" t="str" cm="1">
        <f t="array" aca="1" ref="X607" ca="1">INDIRECT(CONCATENATE("'",$A$550,"'!u",B607),1)</f>
        <v>Эрштейн Л.Б.</v>
      </c>
      <c r="Y607" s="1" cm="1">
        <f t="array" aca="1" ref="Y607" ca="1">INDIRECT(CONCATENATE("'",$A$550,"'!v",B607),1)</f>
        <v>16</v>
      </c>
    </row>
    <row r="608" spans="1:25" ht="45" hidden="1" x14ac:dyDescent="0.25">
      <c r="A608" s="15"/>
      <c r="B608" s="24">
        <f t="shared" si="46"/>
        <v>60</v>
      </c>
      <c r="C608" s="1" t="str" cm="1">
        <f t="array" aca="1" ref="C608" ca="1">INDIRECT(CONCATENATE("'",$A$550,"'!A",B608),1)</f>
        <v>Выполнение и защита выпускной квалификационной работы</v>
      </c>
      <c r="D608" s="1" t="str" cm="1">
        <f t="array" aca="1" ref="D608" ca="1">INDIRECT(CONCATENATE("'",$A$550,"'!B",B608),1)</f>
        <v xml:space="preserve">09.03.01(09у) </v>
      </c>
      <c r="E608" s="1" t="str" cm="1">
        <f t="array" aca="1" ref="E608" ca="1">INDIRECT(CONCATENATE("'",$A$550,"'!c",B608),1)</f>
        <v>2092зу</v>
      </c>
      <c r="F608" s="1" cm="1">
        <f t="array" aca="1" ref="F608" ca="1">INDIRECT(CONCATENATE("'",$A$550,"'!d",B608),1)</f>
        <v>8</v>
      </c>
      <c r="G608" s="1" cm="1">
        <f t="array" aca="1" ref="G608" ca="1">INDIRECT(CONCATENATE("'",$A$550,"'!e",B608),1)</f>
        <v>1</v>
      </c>
      <c r="H608" s="1" cm="1">
        <f t="array" aca="1" ref="H608" ca="1">INDIRECT(CONCATENATE("'",$A$550,"'!f",B608),1)</f>
        <v>31</v>
      </c>
      <c r="I608" s="1" t="str" cm="1">
        <f t="array" aca="1" ref="I608" ca="1">INDIRECT(CONCATENATE("'",$A$550,"'!g",B608),1)</f>
        <v>ДЗ</v>
      </c>
      <c r="J608" s="1" cm="1">
        <f t="array" aca="1" ref="J608" ca="1">INDIRECT(CONCATENATE("'",$A$550,"'!h",B608),1)</f>
        <v>9</v>
      </c>
      <c r="K608" s="1" cm="1">
        <f t="array" aca="1" ref="K608" ca="1">INDIRECT(CONCATENATE("'",$A$550,"'!i",B608),1)</f>
        <v>0</v>
      </c>
      <c r="L608" s="1" cm="1">
        <f t="array" aca="1" ref="L608" ca="1">INDIRECT(CONCATENATE("'",$A$550,"'!j",B608),1)</f>
        <v>0</v>
      </c>
      <c r="M608" s="1" cm="1">
        <f t="array" aca="1" ref="M608" ca="1">INDIRECT(CONCATENATE("'",$A$550,"'!k",B608),1)</f>
        <v>0</v>
      </c>
      <c r="N608" s="1" t="str" cm="1">
        <f t="array" aca="1" ref="N608" ca="1">INDIRECT(CONCATENATE("'",$A$550,"'!l",B608),1)</f>
        <v>Цымбалюк А.Е.</v>
      </c>
      <c r="O608" s="1" cm="1">
        <f t="array" aca="1" ref="O608" ca="1">INDIRECT(CONCATENATE("'",$A$550,"'!m",B608),1)</f>
        <v>3300</v>
      </c>
      <c r="P608" s="1" t="str" cm="1">
        <f t="array" aca="1" ref="P608" ca="1">INDIRECT(CONCATENATE("'",$A$550,"'!n",B608),1)</f>
        <v>руководство ДП 9 человек</v>
      </c>
      <c r="Q608" s="1" cm="1">
        <f t="array" aca="1" ref="Q608" ca="1">INDIRECT(CONCATENATE("'",$A$550,"'!o",B608),1)</f>
        <v>36</v>
      </c>
      <c r="R608" s="1" cm="1">
        <f t="array" aca="1" ref="R608" ca="1">INDIRECT(CONCATENATE("'",$A$550,"'!p",B608),1)</f>
        <v>0</v>
      </c>
      <c r="S608" s="1">
        <f t="shared" ca="1" si="48"/>
        <v>0</v>
      </c>
      <c r="T608" s="1" cm="1">
        <f t="array" aca="1" ref="T608" ca="1">INDIRECT(CONCATENATE("'",$A$550,"'!q",B608),1)</f>
        <v>0</v>
      </c>
      <c r="U608" s="1" cm="1">
        <f t="array" aca="1" ref="U608" ca="1">INDIRECT(CONCATENATE("'",$A$550,"'!r",B608),1)</f>
        <v>0</v>
      </c>
      <c r="V608" s="1" t="str" cm="1">
        <f t="array" aca="1" ref="V608" ca="1">INDIRECT(CONCATENATE("'",$A$550,"'!s",B608),1)</f>
        <v>Цымбалюк А.Е.</v>
      </c>
      <c r="W608" s="1" cm="1">
        <f t="array" aca="1" ref="W608" ca="1">INDIRECT(CONCATENATE("'",$A$550,"'!t",B608),1)</f>
        <v>36</v>
      </c>
      <c r="X608" s="1" cm="1">
        <f t="array" aca="1" ref="X608" ca="1">INDIRECT(CONCATENATE("'",$A$550,"'!u",B608),1)</f>
        <v>0</v>
      </c>
      <c r="Y608" s="1" cm="1">
        <f t="array" aca="1" ref="Y608" ca="1">INDIRECT(CONCATENATE("'",$A$550,"'!v",B608),1)</f>
        <v>0</v>
      </c>
    </row>
    <row r="609" spans="1:25" ht="45" hidden="1" x14ac:dyDescent="0.25">
      <c r="A609" s="15"/>
      <c r="B609" s="24">
        <f t="shared" si="46"/>
        <v>61</v>
      </c>
      <c r="C609" s="1" t="str" cm="1">
        <f t="array" aca="1" ref="C609" ca="1">INDIRECT(CONCATENATE("'",$A$550,"'!A",B609),1)</f>
        <v>Выполнение и защита выпускной квалификационной работы</v>
      </c>
      <c r="D609" s="1" t="str" cm="1">
        <f t="array" aca="1" ref="D609" ca="1">INDIRECT(CONCATENATE("'",$A$550,"'!B",B609),1)</f>
        <v xml:space="preserve">09.03.01(09у) </v>
      </c>
      <c r="E609" s="1" t="str" cm="1">
        <f t="array" aca="1" ref="E609" ca="1">INDIRECT(CONCATENATE("'",$A$550,"'!c",B609),1)</f>
        <v>2092зу</v>
      </c>
      <c r="F609" s="1" cm="1">
        <f t="array" aca="1" ref="F609" ca="1">INDIRECT(CONCATENATE("'",$A$550,"'!d",B609),1)</f>
        <v>8</v>
      </c>
      <c r="G609" s="1" cm="1">
        <f t="array" aca="1" ref="G609" ca="1">INDIRECT(CONCATENATE("'",$A$550,"'!e",B609),1)</f>
        <v>1</v>
      </c>
      <c r="H609" s="1" cm="1">
        <f t="array" aca="1" ref="H609" ca="1">INDIRECT(CONCATENATE("'",$A$550,"'!f",B609),1)</f>
        <v>31</v>
      </c>
      <c r="I609" s="1" t="str" cm="1">
        <f t="array" aca="1" ref="I609" ca="1">INDIRECT(CONCATENATE("'",$A$550,"'!g",B609),1)</f>
        <v>ДЗ</v>
      </c>
      <c r="J609" s="1" cm="1">
        <f t="array" aca="1" ref="J609" ca="1">INDIRECT(CONCATENATE("'",$A$550,"'!h",B609),1)</f>
        <v>9</v>
      </c>
      <c r="K609" s="1" cm="1">
        <f t="array" aca="1" ref="K609" ca="1">INDIRECT(CONCATENATE("'",$A$550,"'!i",B609),1)</f>
        <v>0</v>
      </c>
      <c r="L609" s="1" cm="1">
        <f t="array" aca="1" ref="L609" ca="1">INDIRECT(CONCATENATE("'",$A$550,"'!j",B609),1)</f>
        <v>0</v>
      </c>
      <c r="M609" s="1" cm="1">
        <f t="array" aca="1" ref="M609" ca="1">INDIRECT(CONCATENATE("'",$A$550,"'!k",B609),1)</f>
        <v>0</v>
      </c>
      <c r="N609" s="1" t="str" cm="1">
        <f t="array" aca="1" ref="N609" ca="1">INDIRECT(CONCATENATE("'",$A$550,"'!l",B609),1)</f>
        <v>Залилов Р.Ю.Моркин С.А.Соколова Г.Ю.</v>
      </c>
      <c r="O609" s="1" cm="1">
        <f t="array" aca="1" ref="O609" ca="1">INDIRECT(CONCATENATE("'",$A$550,"'!m",B609),1)</f>
        <v>3300</v>
      </c>
      <c r="P609" s="1" t="str" cm="1">
        <f t="array" aca="1" ref="P609" ca="1">INDIRECT(CONCATENATE("'",$A$550,"'!n",B609),1)</f>
        <v>руководство ДП 4 человека</v>
      </c>
      <c r="Q609" s="1" cm="1">
        <f t="array" aca="1" ref="Q609" ca="1">INDIRECT(CONCATENATE("'",$A$550,"'!o",B609),1)</f>
        <v>48</v>
      </c>
      <c r="R609" s="1" cm="1">
        <f t="array" aca="1" ref="R609" ca="1">INDIRECT(CONCATENATE("'",$A$550,"'!p",B609),1)</f>
        <v>0</v>
      </c>
      <c r="S609" s="1">
        <f t="shared" ca="1" si="48"/>
        <v>0</v>
      </c>
      <c r="T609" s="1" t="str" cm="1">
        <f t="array" aca="1" ref="T609" ca="1">INDIRECT(CONCATENATE("'",$A$550,"'!q",B609),1)</f>
        <v>Залилов Р.Ю.</v>
      </c>
      <c r="U609" s="1" cm="1">
        <f t="array" aca="1" ref="U609" ca="1">INDIRECT(CONCATENATE("'",$A$550,"'!r",B609),1)</f>
        <v>16</v>
      </c>
      <c r="V609" s="1" t="str" cm="1">
        <f t="array" aca="1" ref="V609" ca="1">INDIRECT(CONCATENATE("'",$A$550,"'!s",B609),1)</f>
        <v>Моркин С.А.</v>
      </c>
      <c r="W609" s="1" cm="1">
        <f t="array" aca="1" ref="W609" ca="1">INDIRECT(CONCATENATE("'",$A$550,"'!t",B609),1)</f>
        <v>16</v>
      </c>
      <c r="X609" s="1" t="str" cm="1">
        <f t="array" aca="1" ref="X609" ca="1">INDIRECT(CONCATENATE("'",$A$550,"'!u",B609),1)</f>
        <v>Соколова Г.Ю.</v>
      </c>
      <c r="Y609" s="1" cm="1">
        <f t="array" aca="1" ref="Y609" ca="1">INDIRECT(CONCATENATE("'",$A$550,"'!v",B609),1)</f>
        <v>16</v>
      </c>
    </row>
    <row r="610" spans="1:25" ht="34.35" hidden="1" customHeight="1" x14ac:dyDescent="0.25">
      <c r="A610" s="15"/>
      <c r="B610" s="24">
        <f t="shared" si="46"/>
        <v>62</v>
      </c>
      <c r="C610" s="1" t="str" cm="1">
        <f t="array" aca="1" ref="C610" ca="1">INDIRECT(CONCATENATE("'",$A$550,"'!A",B610),1)</f>
        <v>Выполнение и защита выпускной квалификационной работы</v>
      </c>
      <c r="D610" s="1" t="str" cm="1">
        <f t="array" aca="1" ref="D610" ca="1">INDIRECT(CONCATENATE("'",$A$550,"'!B",B610),1)</f>
        <v xml:space="preserve">09.03.01(09у) </v>
      </c>
      <c r="E610" s="1" t="str" cm="1">
        <f t="array" aca="1" ref="E610" ca="1">INDIRECT(CONCATENATE("'",$A$550,"'!c",B610),1)</f>
        <v>2092зу</v>
      </c>
      <c r="F610" s="1" cm="1">
        <f t="array" aca="1" ref="F610" ca="1">INDIRECT(CONCATENATE("'",$A$550,"'!d",B610),1)</f>
        <v>8</v>
      </c>
      <c r="G610" s="1" cm="1">
        <f t="array" aca="1" ref="G610" ca="1">INDIRECT(CONCATENATE("'",$A$550,"'!e",B610),1)</f>
        <v>1</v>
      </c>
      <c r="H610" s="1" cm="1">
        <f t="array" aca="1" ref="H610" ca="1">INDIRECT(CONCATENATE("'",$A$550,"'!f",B610),1)</f>
        <v>31</v>
      </c>
      <c r="I610" s="1" t="str" cm="1">
        <f t="array" aca="1" ref="I610" ca="1">INDIRECT(CONCATENATE("'",$A$550,"'!g",B610),1)</f>
        <v>ДЗ</v>
      </c>
      <c r="J610" s="1" cm="1">
        <f t="array" aca="1" ref="J610" ca="1">INDIRECT(CONCATENATE("'",$A$550,"'!h",B610),1)</f>
        <v>9</v>
      </c>
      <c r="K610" s="1" cm="1">
        <f t="array" aca="1" ref="K610" ca="1">INDIRECT(CONCATENATE("'",$A$550,"'!i",B610),1)</f>
        <v>0</v>
      </c>
      <c r="L610" s="1" cm="1">
        <f t="array" aca="1" ref="L610" ca="1">INDIRECT(CONCATENATE("'",$A$550,"'!j",B610),1)</f>
        <v>0</v>
      </c>
      <c r="M610" s="1" cm="1">
        <f t="array" aca="1" ref="M610" ca="1">INDIRECT(CONCATENATE("'",$A$550,"'!k",B610),1)</f>
        <v>0</v>
      </c>
      <c r="N610" s="1" t="str" cm="1">
        <f t="array" aca="1" ref="N610" ca="1">INDIRECT(CONCATENATE("'",$A$550,"'!l",B610),1)</f>
        <v>Иванов И.Сазонова Н.В.Эминов С.И.</v>
      </c>
      <c r="O610" s="1" cm="1">
        <f t="array" aca="1" ref="O610" ca="1">INDIRECT(CONCATENATE("'",$A$550,"'!m",B610),1)</f>
        <v>3300</v>
      </c>
      <c r="P610" s="1" t="str" cm="1">
        <f t="array" aca="1" ref="P610" ca="1">INDIRECT(CONCATENATE("'",$A$550,"'!n",B610),1)</f>
        <v>руководство ДП 3 человека</v>
      </c>
      <c r="Q610" s="1" cm="1">
        <f t="array" aca="1" ref="Q610" ca="1">INDIRECT(CONCATENATE("'",$A$550,"'!o",B610),1)</f>
        <v>36</v>
      </c>
      <c r="R610" s="1" cm="1">
        <f t="array" aca="1" ref="R610" ca="1">INDIRECT(CONCATENATE("'",$A$550,"'!p",B610),1)</f>
        <v>0</v>
      </c>
      <c r="S610" s="1">
        <f t="shared" ca="1" si="48"/>
        <v>0</v>
      </c>
      <c r="T610" s="1" t="str" cm="1">
        <f t="array" aca="1" ref="T610" ca="1">INDIRECT(CONCATENATE("'",$A$550,"'!q",B610),1)</f>
        <v>Иванов И.</v>
      </c>
      <c r="U610" s="1" cm="1">
        <f t="array" aca="1" ref="U610" ca="1">INDIRECT(CONCATENATE("'",$A$550,"'!r",B610),1)</f>
        <v>12</v>
      </c>
      <c r="V610" s="1" t="str" cm="1">
        <f t="array" aca="1" ref="V610" ca="1">INDIRECT(CONCATENATE("'",$A$550,"'!s",B610),1)</f>
        <v>Сазонова Н.В.</v>
      </c>
      <c r="W610" s="1" cm="1">
        <f t="array" aca="1" ref="W610" ca="1">INDIRECT(CONCATENATE("'",$A$550,"'!t",B610),1)</f>
        <v>12</v>
      </c>
      <c r="X610" s="1" t="str" cm="1">
        <f t="array" aca="1" ref="X610" ca="1">INDIRECT(CONCATENATE("'",$A$550,"'!u",B610),1)</f>
        <v>Эминов С.И.</v>
      </c>
      <c r="Y610" s="1" cm="1">
        <f t="array" aca="1" ref="Y610" ca="1">INDIRECT(CONCATENATE("'",$A$550,"'!v",B610),1)</f>
        <v>12</v>
      </c>
    </row>
    <row r="611" spans="1:25" hidden="1" x14ac:dyDescent="0.25">
      <c r="A611" s="15"/>
      <c r="B611" s="24">
        <f t="shared" si="46"/>
        <v>63</v>
      </c>
      <c r="C611" s="1" cm="1">
        <f t="array" aca="1" ref="C611" ca="1">INDIRECT(CONCATENATE("'",$A$550,"'!A",B611),1)</f>
        <v>0</v>
      </c>
      <c r="D611" s="1" cm="1">
        <f t="array" aca="1" ref="D611" ca="1">INDIRECT(CONCATENATE("'",$A$550,"'!B",B611),1)</f>
        <v>0</v>
      </c>
      <c r="E611" s="1" cm="1">
        <f t="array" aca="1" ref="E611" ca="1">INDIRECT(CONCATENATE("'",$A$550,"'!c",B611),1)</f>
        <v>0</v>
      </c>
      <c r="F611" s="1" cm="1">
        <f t="array" aca="1" ref="F611" ca="1">INDIRECT(CONCATENATE("'",$A$550,"'!d",B611),1)</f>
        <v>0</v>
      </c>
      <c r="G611" s="1" cm="1">
        <f t="array" aca="1" ref="G611" ca="1">INDIRECT(CONCATENATE("'",$A$550,"'!e",B611),1)</f>
        <v>0</v>
      </c>
      <c r="H611" s="1" cm="1">
        <f t="array" aca="1" ref="H611" ca="1">INDIRECT(CONCATENATE("'",$A$550,"'!f",B611),1)</f>
        <v>0</v>
      </c>
      <c r="I611" s="1" cm="1">
        <f t="array" aca="1" ref="I611" ca="1">INDIRECT(CONCATENATE("'",$A$550,"'!g",B611),1)</f>
        <v>0</v>
      </c>
      <c r="J611" s="1" cm="1">
        <f t="array" aca="1" ref="J611" ca="1">INDIRECT(CONCATENATE("'",$A$550,"'!h",B611),1)</f>
        <v>0</v>
      </c>
      <c r="K611" s="1" cm="1">
        <f t="array" aca="1" ref="K611" ca="1">INDIRECT(CONCATENATE("'",$A$550,"'!i",B611),1)</f>
        <v>0</v>
      </c>
      <c r="L611" s="1" cm="1">
        <f t="array" aca="1" ref="L611" ca="1">INDIRECT(CONCATENATE("'",$A$550,"'!j",B611),1)</f>
        <v>0</v>
      </c>
      <c r="M611" s="1" cm="1">
        <f t="array" aca="1" ref="M611" ca="1">INDIRECT(CONCATENATE("'",$A$550,"'!k",B611),1)</f>
        <v>0</v>
      </c>
      <c r="N611" s="1" cm="1">
        <f t="array" aca="1" ref="N611" ca="1">INDIRECT(CONCATENATE("'",$A$550,"'!l",B611),1)</f>
        <v>0</v>
      </c>
      <c r="O611" s="1" cm="1">
        <f t="array" aca="1" ref="O611" ca="1">INDIRECT(CONCATENATE("'",$A$550,"'!m",B611),1)</f>
        <v>0</v>
      </c>
      <c r="P611" s="1" cm="1">
        <f t="array" aca="1" ref="P611" ca="1">INDIRECT(CONCATENATE("'",$A$550,"'!n",B611),1)</f>
        <v>0</v>
      </c>
      <c r="Q611" s="1" cm="1">
        <f t="array" aca="1" ref="Q611" ca="1">INDIRECT(CONCATENATE("'",$A$550,"'!o",B611),1)</f>
        <v>0</v>
      </c>
      <c r="R611" s="1" cm="1">
        <f t="array" aca="1" ref="R611" ca="1">INDIRECT(CONCATENATE("'",$A$550,"'!p",B611),1)</f>
        <v>0</v>
      </c>
      <c r="S611" s="1">
        <f t="shared" ca="1" si="48"/>
        <v>0</v>
      </c>
      <c r="T611" s="1" cm="1">
        <f t="array" aca="1" ref="T611" ca="1">INDIRECT(CONCATENATE("'",$A$550,"'!q",B611),1)</f>
        <v>0</v>
      </c>
      <c r="U611" s="1" cm="1">
        <f t="array" aca="1" ref="U611" ca="1">INDIRECT(CONCATENATE("'",$A$550,"'!r",B611),1)</f>
        <v>0</v>
      </c>
      <c r="V611" s="1" cm="1">
        <f t="array" aca="1" ref="V611" ca="1">INDIRECT(CONCATENATE("'",$A$550,"'!s",B611),1)</f>
        <v>0</v>
      </c>
      <c r="W611" s="1" cm="1">
        <f t="array" aca="1" ref="W611" ca="1">INDIRECT(CONCATENATE("'",$A$550,"'!t",B611),1)</f>
        <v>0</v>
      </c>
      <c r="X611" s="1" cm="1">
        <f t="array" aca="1" ref="X611" ca="1">INDIRECT(CONCATENATE("'",$A$550,"'!u",B611),1)</f>
        <v>0</v>
      </c>
      <c r="Y611" s="1" cm="1">
        <f t="array" aca="1" ref="Y611" ca="1">INDIRECT(CONCATENATE("'",$A$550,"'!v",B611),1)</f>
        <v>0</v>
      </c>
    </row>
    <row r="612" spans="1:25" hidden="1" x14ac:dyDescent="0.25">
      <c r="A612" s="15"/>
      <c r="B612" s="24">
        <f t="shared" si="46"/>
        <v>64</v>
      </c>
      <c r="C612" s="1" cm="1">
        <f t="array" aca="1" ref="C612" ca="1">INDIRECT(CONCATENATE("'",$A$550,"'!A",B612),1)</f>
        <v>0</v>
      </c>
      <c r="D612" s="1" cm="1">
        <f t="array" aca="1" ref="D612" ca="1">INDIRECT(CONCATENATE("'",$A$550,"'!B",B612),1)</f>
        <v>0</v>
      </c>
      <c r="E612" s="1" cm="1">
        <f t="array" aca="1" ref="E612" ca="1">INDIRECT(CONCATENATE("'",$A$550,"'!c",B612),1)</f>
        <v>0</v>
      </c>
      <c r="F612" s="1" cm="1">
        <f t="array" aca="1" ref="F612" ca="1">INDIRECT(CONCATENATE("'",$A$550,"'!d",B612),1)</f>
        <v>0</v>
      </c>
      <c r="G612" s="1" cm="1">
        <f t="array" aca="1" ref="G612" ca="1">INDIRECT(CONCATENATE("'",$A$550,"'!e",B612),1)</f>
        <v>0</v>
      </c>
      <c r="H612" s="1" cm="1">
        <f t="array" aca="1" ref="H612" ca="1">INDIRECT(CONCATENATE("'",$A$550,"'!f",B612),1)</f>
        <v>0</v>
      </c>
      <c r="I612" s="1" cm="1">
        <f t="array" aca="1" ref="I612" ca="1">INDIRECT(CONCATENATE("'",$A$550,"'!g",B612),1)</f>
        <v>0</v>
      </c>
      <c r="J612" s="1" cm="1">
        <f t="array" aca="1" ref="J612" ca="1">INDIRECT(CONCATENATE("'",$A$550,"'!h",B612),1)</f>
        <v>0</v>
      </c>
      <c r="K612" s="1" cm="1">
        <f t="array" aca="1" ref="K612" ca="1">INDIRECT(CONCATENATE("'",$A$550,"'!i",B612),1)</f>
        <v>0</v>
      </c>
      <c r="L612" s="1" cm="1">
        <f t="array" aca="1" ref="L612" ca="1">INDIRECT(CONCATENATE("'",$A$550,"'!j",B612),1)</f>
        <v>0</v>
      </c>
      <c r="M612" s="1" cm="1">
        <f t="array" aca="1" ref="M612" ca="1">INDIRECT(CONCATENATE("'",$A$550,"'!k",B612),1)</f>
        <v>0</v>
      </c>
      <c r="N612" s="1" cm="1">
        <f t="array" aca="1" ref="N612" ca="1">INDIRECT(CONCATENATE("'",$A$550,"'!l",B612),1)</f>
        <v>0</v>
      </c>
      <c r="O612" s="1" cm="1">
        <f t="array" aca="1" ref="O612" ca="1">INDIRECT(CONCATENATE("'",$A$550,"'!m",B612),1)</f>
        <v>0</v>
      </c>
      <c r="P612" s="1" cm="1">
        <f t="array" aca="1" ref="P612" ca="1">INDIRECT(CONCATENATE("'",$A$550,"'!n",B612),1)</f>
        <v>0</v>
      </c>
      <c r="Q612" s="1" cm="1">
        <f t="array" aca="1" ref="Q612" ca="1">INDIRECT(CONCATENATE("'",$A$550,"'!o",B612),1)</f>
        <v>0</v>
      </c>
      <c r="R612" s="1" cm="1">
        <f t="array" aca="1" ref="R612" ca="1">INDIRECT(CONCATENATE("'",$A$550,"'!p",B612),1)</f>
        <v>0</v>
      </c>
      <c r="S612" s="1">
        <f t="shared" ca="1" si="48"/>
        <v>0</v>
      </c>
      <c r="T612" s="1" cm="1">
        <f t="array" aca="1" ref="T612" ca="1">INDIRECT(CONCATENATE("'",$A$550,"'!q",B612),1)</f>
        <v>0</v>
      </c>
      <c r="U612" s="1" cm="1">
        <f t="array" aca="1" ref="U612" ca="1">INDIRECT(CONCATENATE("'",$A$550,"'!r",B612),1)</f>
        <v>0</v>
      </c>
      <c r="V612" s="1" cm="1">
        <f t="array" aca="1" ref="V612" ca="1">INDIRECT(CONCATENATE("'",$A$550,"'!s",B612),1)</f>
        <v>0</v>
      </c>
      <c r="W612" s="1" cm="1">
        <f t="array" aca="1" ref="W612" ca="1">INDIRECT(CONCATENATE("'",$A$550,"'!t",B612),1)</f>
        <v>0</v>
      </c>
      <c r="X612" s="1" cm="1">
        <f t="array" aca="1" ref="X612" ca="1">INDIRECT(CONCATENATE("'",$A$550,"'!u",B612),1)</f>
        <v>0</v>
      </c>
      <c r="Y612" s="1" cm="1">
        <f t="array" aca="1" ref="Y612" ca="1">INDIRECT(CONCATENATE("'",$A$550,"'!v",B612),1)</f>
        <v>0</v>
      </c>
    </row>
    <row r="613" spans="1:25" hidden="1" x14ac:dyDescent="0.25">
      <c r="A613" s="15"/>
      <c r="B613" s="24">
        <f t="shared" si="46"/>
        <v>65</v>
      </c>
      <c r="C613" s="1" cm="1">
        <f t="array" aca="1" ref="C613" ca="1">INDIRECT(CONCATENATE("'",$A$550,"'!A",B613),1)</f>
        <v>0</v>
      </c>
      <c r="D613" s="1" cm="1">
        <f t="array" aca="1" ref="D613" ca="1">INDIRECT(CONCATENATE("'",$A$550,"'!B",B613),1)</f>
        <v>0</v>
      </c>
      <c r="E613" s="1" cm="1">
        <f t="array" aca="1" ref="E613" ca="1">INDIRECT(CONCATENATE("'",$A$550,"'!c",B613),1)</f>
        <v>0</v>
      </c>
      <c r="F613" s="1" cm="1">
        <f t="array" aca="1" ref="F613" ca="1">INDIRECT(CONCATENATE("'",$A$550,"'!d",B613),1)</f>
        <v>0</v>
      </c>
      <c r="G613" s="1" cm="1">
        <f t="array" aca="1" ref="G613" ca="1">INDIRECT(CONCATENATE("'",$A$550,"'!e",B613),1)</f>
        <v>0</v>
      </c>
      <c r="H613" s="1" cm="1">
        <f t="array" aca="1" ref="H613" ca="1">INDIRECT(CONCATENATE("'",$A$550,"'!f",B613),1)</f>
        <v>0</v>
      </c>
      <c r="I613" s="1" cm="1">
        <f t="array" aca="1" ref="I613" ca="1">INDIRECT(CONCATENATE("'",$A$550,"'!g",B613),1)</f>
        <v>0</v>
      </c>
      <c r="J613" s="1" cm="1">
        <f t="array" aca="1" ref="J613" ca="1">INDIRECT(CONCATENATE("'",$A$550,"'!h",B613),1)</f>
        <v>0</v>
      </c>
      <c r="K613" s="1" cm="1">
        <f t="array" aca="1" ref="K613" ca="1">INDIRECT(CONCATENATE("'",$A$550,"'!i",B613),1)</f>
        <v>0</v>
      </c>
      <c r="L613" s="1" cm="1">
        <f t="array" aca="1" ref="L613" ca="1">INDIRECT(CONCATENATE("'",$A$550,"'!j",B613),1)</f>
        <v>0</v>
      </c>
      <c r="M613" s="1" cm="1">
        <f t="array" aca="1" ref="M613" ca="1">INDIRECT(CONCATENATE("'",$A$550,"'!k",B613),1)</f>
        <v>0</v>
      </c>
      <c r="N613" s="1" cm="1">
        <f t="array" aca="1" ref="N613" ca="1">INDIRECT(CONCATENATE("'",$A$550,"'!l",B613),1)</f>
        <v>0</v>
      </c>
      <c r="O613" s="1" cm="1">
        <f t="array" aca="1" ref="O613" ca="1">INDIRECT(CONCATENATE("'",$A$550,"'!m",B613),1)</f>
        <v>0</v>
      </c>
      <c r="P613" s="1" cm="1">
        <f t="array" aca="1" ref="P613" ca="1">INDIRECT(CONCATENATE("'",$A$550,"'!n",B613),1)</f>
        <v>0</v>
      </c>
      <c r="Q613" s="1" cm="1">
        <f t="array" aca="1" ref="Q613" ca="1">INDIRECT(CONCATENATE("'",$A$550,"'!o",B613),1)</f>
        <v>0</v>
      </c>
      <c r="R613" s="1" cm="1">
        <f t="array" aca="1" ref="R613" ca="1">INDIRECT(CONCATENATE("'",$A$550,"'!p",B613),1)</f>
        <v>0</v>
      </c>
      <c r="S613" s="1">
        <f t="shared" ca="1" si="48"/>
        <v>0</v>
      </c>
      <c r="T613" s="1" cm="1">
        <f t="array" aca="1" ref="T613" ca="1">INDIRECT(CONCATENATE("'",$A$550,"'!q",B613),1)</f>
        <v>0</v>
      </c>
      <c r="U613" s="1" cm="1">
        <f t="array" aca="1" ref="U613" ca="1">INDIRECT(CONCATENATE("'",$A$550,"'!r",B613),1)</f>
        <v>0</v>
      </c>
      <c r="V613" s="1" cm="1">
        <f t="array" aca="1" ref="V613" ca="1">INDIRECT(CONCATENATE("'",$A$550,"'!s",B613),1)</f>
        <v>0</v>
      </c>
      <c r="W613" s="1" cm="1">
        <f t="array" aca="1" ref="W613" ca="1">INDIRECT(CONCATENATE("'",$A$550,"'!t",B613),1)</f>
        <v>0</v>
      </c>
      <c r="X613" s="1" cm="1">
        <f t="array" aca="1" ref="X613" ca="1">INDIRECT(CONCATENATE("'",$A$550,"'!u",B613),1)</f>
        <v>0</v>
      </c>
      <c r="Y613" s="1" cm="1">
        <f t="array" aca="1" ref="Y613" ca="1">INDIRECT(CONCATENATE("'",$A$550,"'!v",B613),1)</f>
        <v>0</v>
      </c>
    </row>
    <row r="614" spans="1:25" hidden="1" x14ac:dyDescent="0.25">
      <c r="A614" s="15"/>
      <c r="B614" s="24">
        <f t="shared" si="46"/>
        <v>66</v>
      </c>
      <c r="C614" s="1" cm="1">
        <f t="array" aca="1" ref="C614" ca="1">INDIRECT(CONCATENATE("'",$A$550,"'!A",B614),1)</f>
        <v>0</v>
      </c>
      <c r="D614" s="1" cm="1">
        <f t="array" aca="1" ref="D614" ca="1">INDIRECT(CONCATENATE("'",$A$550,"'!B",B614),1)</f>
        <v>0</v>
      </c>
      <c r="E614" s="1" cm="1">
        <f t="array" aca="1" ref="E614" ca="1">INDIRECT(CONCATENATE("'",$A$550,"'!c",B614),1)</f>
        <v>0</v>
      </c>
      <c r="F614" s="1" cm="1">
        <f t="array" aca="1" ref="F614" ca="1">INDIRECT(CONCATENATE("'",$A$550,"'!d",B614),1)</f>
        <v>0</v>
      </c>
      <c r="G614" s="1" cm="1">
        <f t="array" aca="1" ref="G614" ca="1">INDIRECT(CONCATENATE("'",$A$550,"'!e",B614),1)</f>
        <v>0</v>
      </c>
      <c r="H614" s="1" cm="1">
        <f t="array" aca="1" ref="H614" ca="1">INDIRECT(CONCATENATE("'",$A$550,"'!f",B614),1)</f>
        <v>0</v>
      </c>
      <c r="I614" s="1" cm="1">
        <f t="array" aca="1" ref="I614" ca="1">INDIRECT(CONCATENATE("'",$A$550,"'!g",B614),1)</f>
        <v>0</v>
      </c>
      <c r="J614" s="1" cm="1">
        <f t="array" aca="1" ref="J614" ca="1">INDIRECT(CONCATENATE("'",$A$550,"'!h",B614),1)</f>
        <v>0</v>
      </c>
      <c r="K614" s="1" cm="1">
        <f t="array" aca="1" ref="K614" ca="1">INDIRECT(CONCATENATE("'",$A$550,"'!i",B614),1)</f>
        <v>0</v>
      </c>
      <c r="L614" s="1" cm="1">
        <f t="array" aca="1" ref="L614" ca="1">INDIRECT(CONCATENATE("'",$A$550,"'!j",B614),1)</f>
        <v>0</v>
      </c>
      <c r="M614" s="1" cm="1">
        <f t="array" aca="1" ref="M614" ca="1">INDIRECT(CONCATENATE("'",$A$550,"'!k",B614),1)</f>
        <v>0</v>
      </c>
      <c r="N614" s="1" cm="1">
        <f t="array" aca="1" ref="N614" ca="1">INDIRECT(CONCATENATE("'",$A$550,"'!l",B614),1)</f>
        <v>0</v>
      </c>
      <c r="O614" s="1" cm="1">
        <f t="array" aca="1" ref="O614" ca="1">INDIRECT(CONCATENATE("'",$A$550,"'!m",B614),1)</f>
        <v>0</v>
      </c>
      <c r="P614" s="1" cm="1">
        <f t="array" aca="1" ref="P614" ca="1">INDIRECT(CONCATENATE("'",$A$550,"'!n",B614),1)</f>
        <v>0</v>
      </c>
      <c r="Q614" s="1" cm="1">
        <f t="array" aca="1" ref="Q614" ca="1">INDIRECT(CONCATENATE("'",$A$550,"'!o",B614),1)</f>
        <v>0</v>
      </c>
      <c r="R614" s="1" cm="1">
        <f t="array" aca="1" ref="R614" ca="1">INDIRECT(CONCATENATE("'",$A$550,"'!p",B614),1)</f>
        <v>0</v>
      </c>
      <c r="S614" s="1">
        <f t="shared" ca="1" si="48"/>
        <v>0</v>
      </c>
      <c r="T614" s="1" cm="1">
        <f t="array" aca="1" ref="T614" ca="1">INDIRECT(CONCATENATE("'",$A$550,"'!q",B614),1)</f>
        <v>0</v>
      </c>
      <c r="U614" s="1" cm="1">
        <f t="array" aca="1" ref="U614" ca="1">INDIRECT(CONCATENATE("'",$A$550,"'!r",B614),1)</f>
        <v>0</v>
      </c>
      <c r="V614" s="1" cm="1">
        <f t="array" aca="1" ref="V614" ca="1">INDIRECT(CONCATENATE("'",$A$550,"'!s",B614),1)</f>
        <v>0</v>
      </c>
      <c r="W614" s="1" cm="1">
        <f t="array" aca="1" ref="W614" ca="1">INDIRECT(CONCATENATE("'",$A$550,"'!t",B614),1)</f>
        <v>0</v>
      </c>
      <c r="X614" s="1" cm="1">
        <f t="array" aca="1" ref="X614" ca="1">INDIRECT(CONCATENATE("'",$A$550,"'!u",B614),1)</f>
        <v>0</v>
      </c>
      <c r="Y614" s="1" cm="1">
        <f t="array" aca="1" ref="Y614" ca="1">INDIRECT(CONCATENATE("'",$A$550,"'!v",B614),1)</f>
        <v>0</v>
      </c>
    </row>
    <row r="615" spans="1:25" hidden="1" x14ac:dyDescent="0.25">
      <c r="A615" s="15"/>
      <c r="B615" s="24">
        <f t="shared" si="46"/>
        <v>67</v>
      </c>
      <c r="C615" s="1" cm="1">
        <f t="array" aca="1" ref="C615" ca="1">INDIRECT(CONCATENATE("'",$A$550,"'!A",B615),1)</f>
        <v>0</v>
      </c>
      <c r="D615" s="1" cm="1">
        <f t="array" aca="1" ref="D615" ca="1">INDIRECT(CONCATENATE("'",$A$550,"'!B",B615),1)</f>
        <v>0</v>
      </c>
      <c r="E615" s="1" cm="1">
        <f t="array" aca="1" ref="E615" ca="1">INDIRECT(CONCATENATE("'",$A$550,"'!c",B615),1)</f>
        <v>0</v>
      </c>
      <c r="F615" s="1" cm="1">
        <f t="array" aca="1" ref="F615" ca="1">INDIRECT(CONCATENATE("'",$A$550,"'!d",B615),1)</f>
        <v>0</v>
      </c>
      <c r="G615" s="1" cm="1">
        <f t="array" aca="1" ref="G615" ca="1">INDIRECT(CONCATENATE("'",$A$550,"'!e",B615),1)</f>
        <v>0</v>
      </c>
      <c r="H615" s="1" cm="1">
        <f t="array" aca="1" ref="H615" ca="1">INDIRECT(CONCATENATE("'",$A$550,"'!f",B615),1)</f>
        <v>0</v>
      </c>
      <c r="I615" s="1" cm="1">
        <f t="array" aca="1" ref="I615" ca="1">INDIRECT(CONCATENATE("'",$A$550,"'!g",B615),1)</f>
        <v>0</v>
      </c>
      <c r="J615" s="1" cm="1">
        <f t="array" aca="1" ref="J615" ca="1">INDIRECT(CONCATENATE("'",$A$550,"'!h",B615),1)</f>
        <v>0</v>
      </c>
      <c r="K615" s="1" cm="1">
        <f t="array" aca="1" ref="K615" ca="1">INDIRECT(CONCATENATE("'",$A$550,"'!i",B615),1)</f>
        <v>0</v>
      </c>
      <c r="L615" s="1" cm="1">
        <f t="array" aca="1" ref="L615" ca="1">INDIRECT(CONCATENATE("'",$A$550,"'!j",B615),1)</f>
        <v>0</v>
      </c>
      <c r="M615" s="1" cm="1">
        <f t="array" aca="1" ref="M615" ca="1">INDIRECT(CONCATENATE("'",$A$550,"'!k",B615),1)</f>
        <v>0</v>
      </c>
      <c r="N615" s="1" cm="1">
        <f t="array" aca="1" ref="N615" ca="1">INDIRECT(CONCATENATE("'",$A$550,"'!l",B615),1)</f>
        <v>0</v>
      </c>
      <c r="O615" s="1" cm="1">
        <f t="array" aca="1" ref="O615" ca="1">INDIRECT(CONCATENATE("'",$A$550,"'!m",B615),1)</f>
        <v>0</v>
      </c>
      <c r="P615" s="1" cm="1">
        <f t="array" aca="1" ref="P615" ca="1">INDIRECT(CONCATENATE("'",$A$550,"'!n",B615),1)</f>
        <v>0</v>
      </c>
      <c r="Q615" s="1" cm="1">
        <f t="array" aca="1" ref="Q615" ca="1">INDIRECT(CONCATENATE("'",$A$550,"'!o",B615),1)</f>
        <v>0</v>
      </c>
      <c r="R615" s="1" cm="1">
        <f t="array" aca="1" ref="R615" ca="1">INDIRECT(CONCATENATE("'",$A$550,"'!p",B615),1)</f>
        <v>0</v>
      </c>
      <c r="S615" s="1">
        <f t="shared" ca="1" si="48"/>
        <v>0</v>
      </c>
      <c r="T615" s="1" cm="1">
        <f t="array" aca="1" ref="T615" ca="1">INDIRECT(CONCATENATE("'",$A$550,"'!q",B615),1)</f>
        <v>0</v>
      </c>
      <c r="U615" s="1" cm="1">
        <f t="array" aca="1" ref="U615" ca="1">INDIRECT(CONCATENATE("'",$A$550,"'!r",B615),1)</f>
        <v>0</v>
      </c>
      <c r="V615" s="1" cm="1">
        <f t="array" aca="1" ref="V615" ca="1">INDIRECT(CONCATENATE("'",$A$550,"'!s",B615),1)</f>
        <v>0</v>
      </c>
      <c r="W615" s="1" cm="1">
        <f t="array" aca="1" ref="W615" ca="1">INDIRECT(CONCATENATE("'",$A$550,"'!t",B615),1)</f>
        <v>0</v>
      </c>
      <c r="X615" s="1" cm="1">
        <f t="array" aca="1" ref="X615" ca="1">INDIRECT(CONCATENATE("'",$A$550,"'!u",B615),1)</f>
        <v>0</v>
      </c>
      <c r="Y615" s="1" cm="1">
        <f t="array" aca="1" ref="Y615" ca="1">INDIRECT(CONCATENATE("'",$A$550,"'!v",B615),1)</f>
        <v>0</v>
      </c>
    </row>
    <row r="616" spans="1:25" hidden="1" x14ac:dyDescent="0.25">
      <c r="A616" s="15"/>
      <c r="B616" s="24">
        <f t="shared" ref="B616:B649" si="49">B615+1</f>
        <v>68</v>
      </c>
      <c r="C616" s="1" cm="1">
        <f t="array" aca="1" ref="C616" ca="1">INDIRECT(CONCATENATE("'",$A$550,"'!A",B616),1)</f>
        <v>0</v>
      </c>
      <c r="D616" s="1" cm="1">
        <f t="array" aca="1" ref="D616" ca="1">INDIRECT(CONCATENATE("'",$A$550,"'!B",B616),1)</f>
        <v>0</v>
      </c>
      <c r="E616" s="1" cm="1">
        <f t="array" aca="1" ref="E616" ca="1">INDIRECT(CONCATENATE("'",$A$550,"'!c",B616),1)</f>
        <v>0</v>
      </c>
      <c r="F616" s="1" cm="1">
        <f t="array" aca="1" ref="F616" ca="1">INDIRECT(CONCATENATE("'",$A$550,"'!d",B616),1)</f>
        <v>0</v>
      </c>
      <c r="G616" s="1" cm="1">
        <f t="array" aca="1" ref="G616" ca="1">INDIRECT(CONCATENATE("'",$A$550,"'!e",B616),1)</f>
        <v>0</v>
      </c>
      <c r="H616" s="1" cm="1">
        <f t="array" aca="1" ref="H616" ca="1">INDIRECT(CONCATENATE("'",$A$550,"'!f",B616),1)</f>
        <v>0</v>
      </c>
      <c r="I616" s="1" cm="1">
        <f t="array" aca="1" ref="I616" ca="1">INDIRECT(CONCATENATE("'",$A$550,"'!g",B616),1)</f>
        <v>0</v>
      </c>
      <c r="J616" s="1" cm="1">
        <f t="array" aca="1" ref="J616" ca="1">INDIRECT(CONCATENATE("'",$A$550,"'!h",B616),1)</f>
        <v>0</v>
      </c>
      <c r="K616" s="1" cm="1">
        <f t="array" aca="1" ref="K616" ca="1">INDIRECT(CONCATENATE("'",$A$550,"'!i",B616),1)</f>
        <v>0</v>
      </c>
      <c r="L616" s="1" cm="1">
        <f t="array" aca="1" ref="L616" ca="1">INDIRECT(CONCATENATE("'",$A$550,"'!j",B616),1)</f>
        <v>0</v>
      </c>
      <c r="M616" s="1" cm="1">
        <f t="array" aca="1" ref="M616" ca="1">INDIRECT(CONCATENATE("'",$A$550,"'!k",B616),1)</f>
        <v>0</v>
      </c>
      <c r="N616" s="1" cm="1">
        <f t="array" aca="1" ref="N616" ca="1">INDIRECT(CONCATENATE("'",$A$550,"'!l",B616),1)</f>
        <v>0</v>
      </c>
      <c r="O616" s="1" cm="1">
        <f t="array" aca="1" ref="O616" ca="1">INDIRECT(CONCATENATE("'",$A$550,"'!m",B616),1)</f>
        <v>0</v>
      </c>
      <c r="P616" s="1" cm="1">
        <f t="array" aca="1" ref="P616" ca="1">INDIRECT(CONCATENATE("'",$A$550,"'!n",B616),1)</f>
        <v>0</v>
      </c>
      <c r="Q616" s="1" cm="1">
        <f t="array" aca="1" ref="Q616" ca="1">INDIRECT(CONCATENATE("'",$A$550,"'!o",B616),1)</f>
        <v>0</v>
      </c>
      <c r="R616" s="1" cm="1">
        <f t="array" aca="1" ref="R616" ca="1">INDIRECT(CONCATENATE("'",$A$550,"'!p",B616),1)</f>
        <v>0</v>
      </c>
      <c r="S616" s="1">
        <f t="shared" ca="1" si="48"/>
        <v>0</v>
      </c>
      <c r="T616" s="1" cm="1">
        <f t="array" aca="1" ref="T616" ca="1">INDIRECT(CONCATENATE("'",$A$550,"'!q",B616),1)</f>
        <v>0</v>
      </c>
      <c r="U616" s="1" cm="1">
        <f t="array" aca="1" ref="U616" ca="1">INDIRECT(CONCATENATE("'",$A$550,"'!r",B616),1)</f>
        <v>0</v>
      </c>
      <c r="V616" s="1" cm="1">
        <f t="array" aca="1" ref="V616" ca="1">INDIRECT(CONCATENATE("'",$A$550,"'!s",B616),1)</f>
        <v>0</v>
      </c>
      <c r="W616" s="1" cm="1">
        <f t="array" aca="1" ref="W616" ca="1">INDIRECT(CONCATENATE("'",$A$550,"'!t",B616),1)</f>
        <v>0</v>
      </c>
      <c r="X616" s="1" cm="1">
        <f t="array" aca="1" ref="X616" ca="1">INDIRECT(CONCATENATE("'",$A$550,"'!u",B616),1)</f>
        <v>0</v>
      </c>
      <c r="Y616" s="1" cm="1">
        <f t="array" aca="1" ref="Y616" ca="1">INDIRECT(CONCATENATE("'",$A$550,"'!v",B616),1)</f>
        <v>0</v>
      </c>
    </row>
    <row r="617" spans="1:25" hidden="1" x14ac:dyDescent="0.25">
      <c r="A617" s="15"/>
      <c r="B617" s="24">
        <f t="shared" si="49"/>
        <v>69</v>
      </c>
      <c r="C617" s="1" cm="1">
        <f t="array" aca="1" ref="C617" ca="1">INDIRECT(CONCATENATE("'",$A$550,"'!A",B617),1)</f>
        <v>0</v>
      </c>
      <c r="D617" s="1" cm="1">
        <f t="array" aca="1" ref="D617" ca="1">INDIRECT(CONCATENATE("'",$A$550,"'!B",B617),1)</f>
        <v>0</v>
      </c>
      <c r="E617" s="1" cm="1">
        <f t="array" aca="1" ref="E617" ca="1">INDIRECT(CONCATENATE("'",$A$550,"'!c",B617),1)</f>
        <v>0</v>
      </c>
      <c r="F617" s="1" cm="1">
        <f t="array" aca="1" ref="F617" ca="1">INDIRECT(CONCATENATE("'",$A$550,"'!d",B617),1)</f>
        <v>0</v>
      </c>
      <c r="G617" s="1" cm="1">
        <f t="array" aca="1" ref="G617" ca="1">INDIRECT(CONCATENATE("'",$A$550,"'!e",B617),1)</f>
        <v>0</v>
      </c>
      <c r="H617" s="1" cm="1">
        <f t="array" aca="1" ref="H617" ca="1">INDIRECT(CONCATENATE("'",$A$550,"'!f",B617),1)</f>
        <v>0</v>
      </c>
      <c r="I617" s="1" cm="1">
        <f t="array" aca="1" ref="I617" ca="1">INDIRECT(CONCATENATE("'",$A$550,"'!g",B617),1)</f>
        <v>0</v>
      </c>
      <c r="J617" s="1" cm="1">
        <f t="array" aca="1" ref="J617" ca="1">INDIRECT(CONCATENATE("'",$A$550,"'!h",B617),1)</f>
        <v>0</v>
      </c>
      <c r="K617" s="1" cm="1">
        <f t="array" aca="1" ref="K617" ca="1">INDIRECT(CONCATENATE("'",$A$550,"'!i",B617),1)</f>
        <v>0</v>
      </c>
      <c r="L617" s="1" cm="1">
        <f t="array" aca="1" ref="L617" ca="1">INDIRECT(CONCATENATE("'",$A$550,"'!j",B617),1)</f>
        <v>0</v>
      </c>
      <c r="M617" s="1" cm="1">
        <f t="array" aca="1" ref="M617" ca="1">INDIRECT(CONCATENATE("'",$A$550,"'!k",B617),1)</f>
        <v>0</v>
      </c>
      <c r="N617" s="1" cm="1">
        <f t="array" aca="1" ref="N617" ca="1">INDIRECT(CONCATENATE("'",$A$550,"'!l",B617),1)</f>
        <v>0</v>
      </c>
      <c r="O617" s="1" cm="1">
        <f t="array" aca="1" ref="O617" ca="1">INDIRECT(CONCATENATE("'",$A$550,"'!m",B617),1)</f>
        <v>0</v>
      </c>
      <c r="P617" s="1" cm="1">
        <f t="array" aca="1" ref="P617" ca="1">INDIRECT(CONCATENATE("'",$A$550,"'!n",B617),1)</f>
        <v>0</v>
      </c>
      <c r="Q617" s="1" cm="1">
        <f t="array" aca="1" ref="Q617" ca="1">INDIRECT(CONCATENATE("'",$A$550,"'!o",B617),1)</f>
        <v>0</v>
      </c>
      <c r="R617" s="1" cm="1">
        <f t="array" aca="1" ref="R617" ca="1">INDIRECT(CONCATENATE("'",$A$550,"'!p",B617),1)</f>
        <v>0</v>
      </c>
      <c r="S617" s="1">
        <f t="shared" ca="1" si="48"/>
        <v>0</v>
      </c>
      <c r="T617" s="1" cm="1">
        <f t="array" aca="1" ref="T617" ca="1">INDIRECT(CONCATENATE("'",$A$550,"'!q",B617),1)</f>
        <v>0</v>
      </c>
      <c r="U617" s="1" cm="1">
        <f t="array" aca="1" ref="U617" ca="1">INDIRECT(CONCATENATE("'",$A$550,"'!r",B617),1)</f>
        <v>0</v>
      </c>
      <c r="V617" s="1" cm="1">
        <f t="array" aca="1" ref="V617" ca="1">INDIRECT(CONCATENATE("'",$A$550,"'!s",B617),1)</f>
        <v>0</v>
      </c>
      <c r="W617" s="1" cm="1">
        <f t="array" aca="1" ref="W617" ca="1">INDIRECT(CONCATENATE("'",$A$550,"'!t",B617),1)</f>
        <v>0</v>
      </c>
      <c r="X617" s="1" cm="1">
        <f t="array" aca="1" ref="X617" ca="1">INDIRECT(CONCATENATE("'",$A$550,"'!u",B617),1)</f>
        <v>0</v>
      </c>
      <c r="Y617" s="1" cm="1">
        <f t="array" aca="1" ref="Y617" ca="1">INDIRECT(CONCATENATE("'",$A$550,"'!v",B617),1)</f>
        <v>0</v>
      </c>
    </row>
    <row r="618" spans="1:25" hidden="1" x14ac:dyDescent="0.25">
      <c r="A618" s="15"/>
      <c r="B618" s="24">
        <f t="shared" si="49"/>
        <v>70</v>
      </c>
      <c r="C618" s="1" cm="1">
        <f t="array" aca="1" ref="C618" ca="1">INDIRECT(CONCATENATE("'",$A$550,"'!A",B618),1)</f>
        <v>0</v>
      </c>
      <c r="D618" s="1" cm="1">
        <f t="array" aca="1" ref="D618" ca="1">INDIRECT(CONCATENATE("'",$A$550,"'!B",B618),1)</f>
        <v>0</v>
      </c>
      <c r="E618" s="1" cm="1">
        <f t="array" aca="1" ref="E618" ca="1">INDIRECT(CONCATENATE("'",$A$550,"'!c",B618),1)</f>
        <v>0</v>
      </c>
      <c r="F618" s="1" cm="1">
        <f t="array" aca="1" ref="F618" ca="1">INDIRECT(CONCATENATE("'",$A$550,"'!d",B618),1)</f>
        <v>0</v>
      </c>
      <c r="G618" s="1" cm="1">
        <f t="array" aca="1" ref="G618" ca="1">INDIRECT(CONCATENATE("'",$A$550,"'!e",B618),1)</f>
        <v>0</v>
      </c>
      <c r="H618" s="1" cm="1">
        <f t="array" aca="1" ref="H618" ca="1">INDIRECT(CONCATENATE("'",$A$550,"'!f",B618),1)</f>
        <v>0</v>
      </c>
      <c r="I618" s="1" cm="1">
        <f t="array" aca="1" ref="I618" ca="1">INDIRECT(CONCATENATE("'",$A$550,"'!g",B618),1)</f>
        <v>0</v>
      </c>
      <c r="J618" s="1" cm="1">
        <f t="array" aca="1" ref="J618" ca="1">INDIRECT(CONCATENATE("'",$A$550,"'!h",B618),1)</f>
        <v>0</v>
      </c>
      <c r="K618" s="1" cm="1">
        <f t="array" aca="1" ref="K618" ca="1">INDIRECT(CONCATENATE("'",$A$550,"'!i",B618),1)</f>
        <v>0</v>
      </c>
      <c r="L618" s="1" cm="1">
        <f t="array" aca="1" ref="L618" ca="1">INDIRECT(CONCATENATE("'",$A$550,"'!j",B618),1)</f>
        <v>0</v>
      </c>
      <c r="M618" s="1" cm="1">
        <f t="array" aca="1" ref="M618" ca="1">INDIRECT(CONCATENATE("'",$A$550,"'!k",B618),1)</f>
        <v>0</v>
      </c>
      <c r="N618" s="1" cm="1">
        <f t="array" aca="1" ref="N618" ca="1">INDIRECT(CONCATENATE("'",$A$550,"'!l",B618),1)</f>
        <v>0</v>
      </c>
      <c r="O618" s="1" cm="1">
        <f t="array" aca="1" ref="O618" ca="1">INDIRECT(CONCATENATE("'",$A$550,"'!m",B618),1)</f>
        <v>0</v>
      </c>
      <c r="P618" s="1" cm="1">
        <f t="array" aca="1" ref="P618" ca="1">INDIRECT(CONCATENATE("'",$A$550,"'!n",B618),1)</f>
        <v>0</v>
      </c>
      <c r="Q618" s="1" cm="1">
        <f t="array" aca="1" ref="Q618" ca="1">INDIRECT(CONCATENATE("'",$A$550,"'!o",B618),1)</f>
        <v>0</v>
      </c>
      <c r="R618" s="1" cm="1">
        <f t="array" aca="1" ref="R618" ca="1">INDIRECT(CONCATENATE("'",$A$550,"'!p",B618),1)</f>
        <v>0</v>
      </c>
      <c r="S618" s="1">
        <f t="shared" ca="1" si="48"/>
        <v>0</v>
      </c>
      <c r="T618" s="1" cm="1">
        <f t="array" aca="1" ref="T618" ca="1">INDIRECT(CONCATENATE("'",$A$550,"'!q",B618),1)</f>
        <v>0</v>
      </c>
      <c r="U618" s="1" cm="1">
        <f t="array" aca="1" ref="U618" ca="1">INDIRECT(CONCATENATE("'",$A$550,"'!r",B618),1)</f>
        <v>0</v>
      </c>
      <c r="V618" s="1" cm="1">
        <f t="array" aca="1" ref="V618" ca="1">INDIRECT(CONCATENATE("'",$A$550,"'!s",B618),1)</f>
        <v>0</v>
      </c>
      <c r="W618" s="1" cm="1">
        <f t="array" aca="1" ref="W618" ca="1">INDIRECT(CONCATENATE("'",$A$550,"'!t",B618),1)</f>
        <v>0</v>
      </c>
      <c r="X618" s="1" cm="1">
        <f t="array" aca="1" ref="X618" ca="1">INDIRECT(CONCATENATE("'",$A$550,"'!u",B618),1)</f>
        <v>0</v>
      </c>
      <c r="Y618" s="1" cm="1">
        <f t="array" aca="1" ref="Y618" ca="1">INDIRECT(CONCATENATE("'",$A$550,"'!v",B618),1)</f>
        <v>0</v>
      </c>
    </row>
    <row r="619" spans="1:25" hidden="1" x14ac:dyDescent="0.25">
      <c r="A619" s="15"/>
      <c r="B619" s="24">
        <f t="shared" si="49"/>
        <v>71</v>
      </c>
      <c r="C619" s="1" cm="1">
        <f t="array" aca="1" ref="C619" ca="1">INDIRECT(CONCATENATE("'",$A$550,"'!A",B619),1)</f>
        <v>0</v>
      </c>
      <c r="D619" s="1" cm="1">
        <f t="array" aca="1" ref="D619" ca="1">INDIRECT(CONCATENATE("'",$A$550,"'!B",B619),1)</f>
        <v>0</v>
      </c>
      <c r="E619" s="1" cm="1">
        <f t="array" aca="1" ref="E619" ca="1">INDIRECT(CONCATENATE("'",$A$550,"'!c",B619),1)</f>
        <v>0</v>
      </c>
      <c r="F619" s="1" cm="1">
        <f t="array" aca="1" ref="F619" ca="1">INDIRECT(CONCATENATE("'",$A$550,"'!d",B619),1)</f>
        <v>0</v>
      </c>
      <c r="G619" s="1" cm="1">
        <f t="array" aca="1" ref="G619" ca="1">INDIRECT(CONCATENATE("'",$A$550,"'!e",B619),1)</f>
        <v>0</v>
      </c>
      <c r="H619" s="1" cm="1">
        <f t="array" aca="1" ref="H619" ca="1">INDIRECT(CONCATENATE("'",$A$550,"'!f",B619),1)</f>
        <v>0</v>
      </c>
      <c r="I619" s="1" cm="1">
        <f t="array" aca="1" ref="I619" ca="1">INDIRECT(CONCATENATE("'",$A$550,"'!g",B619),1)</f>
        <v>0</v>
      </c>
      <c r="J619" s="1" cm="1">
        <f t="array" aca="1" ref="J619" ca="1">INDIRECT(CONCATENATE("'",$A$550,"'!h",B619),1)</f>
        <v>0</v>
      </c>
      <c r="K619" s="1" cm="1">
        <f t="array" aca="1" ref="K619" ca="1">INDIRECT(CONCATENATE("'",$A$550,"'!i",B619),1)</f>
        <v>0</v>
      </c>
      <c r="L619" s="1" cm="1">
        <f t="array" aca="1" ref="L619" ca="1">INDIRECT(CONCATENATE("'",$A$550,"'!j",B619),1)</f>
        <v>0</v>
      </c>
      <c r="M619" s="1" cm="1">
        <f t="array" aca="1" ref="M619" ca="1">INDIRECT(CONCATENATE("'",$A$550,"'!k",B619),1)</f>
        <v>0</v>
      </c>
      <c r="N619" s="1" cm="1">
        <f t="array" aca="1" ref="N619" ca="1">INDIRECT(CONCATENATE("'",$A$550,"'!l",B619),1)</f>
        <v>0</v>
      </c>
      <c r="O619" s="1" cm="1">
        <f t="array" aca="1" ref="O619" ca="1">INDIRECT(CONCATENATE("'",$A$550,"'!m",B619),1)</f>
        <v>0</v>
      </c>
      <c r="P619" s="1" cm="1">
        <f t="array" aca="1" ref="P619" ca="1">INDIRECT(CONCATENATE("'",$A$550,"'!n",B619),1)</f>
        <v>0</v>
      </c>
      <c r="Q619" s="1" cm="1">
        <f t="array" aca="1" ref="Q619" ca="1">INDIRECT(CONCATENATE("'",$A$550,"'!o",B619),1)</f>
        <v>0</v>
      </c>
      <c r="R619" s="1" cm="1">
        <f t="array" aca="1" ref="R619" ca="1">INDIRECT(CONCATENATE("'",$A$550,"'!p",B619),1)</f>
        <v>0</v>
      </c>
      <c r="S619" s="1">
        <f t="shared" ca="1" si="48"/>
        <v>0</v>
      </c>
      <c r="T619" s="1" cm="1">
        <f t="array" aca="1" ref="T619" ca="1">INDIRECT(CONCATENATE("'",$A$550,"'!q",B619),1)</f>
        <v>0</v>
      </c>
      <c r="U619" s="1" cm="1">
        <f t="array" aca="1" ref="U619" ca="1">INDIRECT(CONCATENATE("'",$A$550,"'!r",B619),1)</f>
        <v>0</v>
      </c>
      <c r="V619" s="1" cm="1">
        <f t="array" aca="1" ref="V619" ca="1">INDIRECT(CONCATENATE("'",$A$550,"'!s",B619),1)</f>
        <v>0</v>
      </c>
      <c r="W619" s="1" cm="1">
        <f t="array" aca="1" ref="W619" ca="1">INDIRECT(CONCATENATE("'",$A$550,"'!t",B619),1)</f>
        <v>0</v>
      </c>
      <c r="X619" s="1" cm="1">
        <f t="array" aca="1" ref="X619" ca="1">INDIRECT(CONCATENATE("'",$A$550,"'!u",B619),1)</f>
        <v>0</v>
      </c>
      <c r="Y619" s="1" cm="1">
        <f t="array" aca="1" ref="Y619" ca="1">INDIRECT(CONCATENATE("'",$A$550,"'!v",B619),1)</f>
        <v>0</v>
      </c>
    </row>
    <row r="620" spans="1:25" hidden="1" x14ac:dyDescent="0.25">
      <c r="A620" s="15"/>
      <c r="B620" s="24">
        <f t="shared" si="49"/>
        <v>72</v>
      </c>
      <c r="C620" s="1" cm="1">
        <f t="array" aca="1" ref="C620" ca="1">INDIRECT(CONCATENATE("'",$A$550,"'!A",B620),1)</f>
        <v>0</v>
      </c>
      <c r="D620" s="1" cm="1">
        <f t="array" aca="1" ref="D620" ca="1">INDIRECT(CONCATENATE("'",$A$550,"'!B",B620),1)</f>
        <v>0</v>
      </c>
      <c r="E620" s="1" cm="1">
        <f t="array" aca="1" ref="E620" ca="1">INDIRECT(CONCATENATE("'",$A$550,"'!c",B620),1)</f>
        <v>0</v>
      </c>
      <c r="F620" s="1" cm="1">
        <f t="array" aca="1" ref="F620" ca="1">INDIRECT(CONCATENATE("'",$A$550,"'!d",B620),1)</f>
        <v>0</v>
      </c>
      <c r="G620" s="1" cm="1">
        <f t="array" aca="1" ref="G620" ca="1">INDIRECT(CONCATENATE("'",$A$550,"'!e",B620),1)</f>
        <v>0</v>
      </c>
      <c r="H620" s="1" cm="1">
        <f t="array" aca="1" ref="H620" ca="1">INDIRECT(CONCATENATE("'",$A$550,"'!f",B620),1)</f>
        <v>0</v>
      </c>
      <c r="I620" s="1" cm="1">
        <f t="array" aca="1" ref="I620" ca="1">INDIRECT(CONCATENATE("'",$A$550,"'!g",B620),1)</f>
        <v>0</v>
      </c>
      <c r="J620" s="1" cm="1">
        <f t="array" aca="1" ref="J620" ca="1">INDIRECT(CONCATENATE("'",$A$550,"'!h",B620),1)</f>
        <v>0</v>
      </c>
      <c r="K620" s="1" cm="1">
        <f t="array" aca="1" ref="K620" ca="1">INDIRECT(CONCATENATE("'",$A$550,"'!i",B620),1)</f>
        <v>0</v>
      </c>
      <c r="L620" s="1" cm="1">
        <f t="array" aca="1" ref="L620" ca="1">INDIRECT(CONCATENATE("'",$A$550,"'!j",B620),1)</f>
        <v>0</v>
      </c>
      <c r="M620" s="1" cm="1">
        <f t="array" aca="1" ref="M620" ca="1">INDIRECT(CONCATENATE("'",$A$550,"'!k",B620),1)</f>
        <v>0</v>
      </c>
      <c r="N620" s="1" cm="1">
        <f t="array" aca="1" ref="N620" ca="1">INDIRECT(CONCATENATE("'",$A$550,"'!l",B620),1)</f>
        <v>0</v>
      </c>
      <c r="O620" s="1" cm="1">
        <f t="array" aca="1" ref="O620" ca="1">INDIRECT(CONCATENATE("'",$A$550,"'!m",B620),1)</f>
        <v>0</v>
      </c>
      <c r="P620" s="1" cm="1">
        <f t="array" aca="1" ref="P620" ca="1">INDIRECT(CONCATENATE("'",$A$550,"'!n",B620),1)</f>
        <v>0</v>
      </c>
      <c r="Q620" s="1" cm="1">
        <f t="array" aca="1" ref="Q620" ca="1">INDIRECT(CONCATENATE("'",$A$550,"'!o",B620),1)</f>
        <v>0</v>
      </c>
      <c r="R620" s="1" cm="1">
        <f t="array" aca="1" ref="R620" ca="1">INDIRECT(CONCATENATE("'",$A$550,"'!p",B620),1)</f>
        <v>0</v>
      </c>
      <c r="S620" s="1">
        <f t="shared" ca="1" si="48"/>
        <v>0</v>
      </c>
      <c r="T620" s="1" cm="1">
        <f t="array" aca="1" ref="T620" ca="1">INDIRECT(CONCATENATE("'",$A$550,"'!q",B620),1)</f>
        <v>0</v>
      </c>
      <c r="U620" s="1" cm="1">
        <f t="array" aca="1" ref="U620" ca="1">INDIRECT(CONCATENATE("'",$A$550,"'!r",B620),1)</f>
        <v>0</v>
      </c>
      <c r="V620" s="1" cm="1">
        <f t="array" aca="1" ref="V620" ca="1">INDIRECT(CONCATENATE("'",$A$550,"'!s",B620),1)</f>
        <v>0</v>
      </c>
      <c r="W620" s="1" cm="1">
        <f t="array" aca="1" ref="W620" ca="1">INDIRECT(CONCATENATE("'",$A$550,"'!t",B620),1)</f>
        <v>0</v>
      </c>
      <c r="X620" s="1" cm="1">
        <f t="array" aca="1" ref="X620" ca="1">INDIRECT(CONCATENATE("'",$A$550,"'!u",B620),1)</f>
        <v>0</v>
      </c>
      <c r="Y620" s="1" cm="1">
        <f t="array" aca="1" ref="Y620" ca="1">INDIRECT(CONCATENATE("'",$A$550,"'!v",B620),1)</f>
        <v>0</v>
      </c>
    </row>
    <row r="621" spans="1:25" hidden="1" x14ac:dyDescent="0.25">
      <c r="A621" s="15"/>
      <c r="B621" s="24">
        <f t="shared" si="49"/>
        <v>73</v>
      </c>
      <c r="C621" s="1" cm="1">
        <f t="array" aca="1" ref="C621" ca="1">INDIRECT(CONCATENATE("'",$A$550,"'!A",B621),1)</f>
        <v>0</v>
      </c>
      <c r="D621" s="1" cm="1">
        <f t="array" aca="1" ref="D621" ca="1">INDIRECT(CONCATENATE("'",$A$550,"'!B",B621),1)</f>
        <v>0</v>
      </c>
      <c r="E621" s="1" cm="1">
        <f t="array" aca="1" ref="E621" ca="1">INDIRECT(CONCATENATE("'",$A$550,"'!c",B621),1)</f>
        <v>0</v>
      </c>
      <c r="F621" s="1" cm="1">
        <f t="array" aca="1" ref="F621" ca="1">INDIRECT(CONCATENATE("'",$A$550,"'!d",B621),1)</f>
        <v>0</v>
      </c>
      <c r="G621" s="1" cm="1">
        <f t="array" aca="1" ref="G621" ca="1">INDIRECT(CONCATENATE("'",$A$550,"'!e",B621),1)</f>
        <v>0</v>
      </c>
      <c r="H621" s="1" cm="1">
        <f t="array" aca="1" ref="H621" ca="1">INDIRECT(CONCATENATE("'",$A$550,"'!f",B621),1)</f>
        <v>0</v>
      </c>
      <c r="I621" s="1" cm="1">
        <f t="array" aca="1" ref="I621" ca="1">INDIRECT(CONCATENATE("'",$A$550,"'!g",B621),1)</f>
        <v>0</v>
      </c>
      <c r="J621" s="1" cm="1">
        <f t="array" aca="1" ref="J621" ca="1">INDIRECT(CONCATENATE("'",$A$550,"'!h",B621),1)</f>
        <v>0</v>
      </c>
      <c r="K621" s="1" cm="1">
        <f t="array" aca="1" ref="K621" ca="1">INDIRECT(CONCATENATE("'",$A$550,"'!i",B621),1)</f>
        <v>0</v>
      </c>
      <c r="L621" s="1" cm="1">
        <f t="array" aca="1" ref="L621" ca="1">INDIRECT(CONCATENATE("'",$A$550,"'!j",B621),1)</f>
        <v>0</v>
      </c>
      <c r="M621" s="1" cm="1">
        <f t="array" aca="1" ref="M621" ca="1">INDIRECT(CONCATENATE("'",$A$550,"'!k",B621),1)</f>
        <v>0</v>
      </c>
      <c r="N621" s="1" cm="1">
        <f t="array" aca="1" ref="N621" ca="1">INDIRECT(CONCATENATE("'",$A$550,"'!l",B621),1)</f>
        <v>0</v>
      </c>
      <c r="O621" s="1" cm="1">
        <f t="array" aca="1" ref="O621" ca="1">INDIRECT(CONCATENATE("'",$A$550,"'!m",B621),1)</f>
        <v>0</v>
      </c>
      <c r="P621" s="1" cm="1">
        <f t="array" aca="1" ref="P621" ca="1">INDIRECT(CONCATENATE("'",$A$550,"'!n",B621),1)</f>
        <v>0</v>
      </c>
      <c r="Q621" s="1" cm="1">
        <f t="array" aca="1" ref="Q621" ca="1">INDIRECT(CONCATENATE("'",$A$550,"'!o",B621),1)</f>
        <v>0</v>
      </c>
      <c r="R621" s="1" cm="1">
        <f t="array" aca="1" ref="R621" ca="1">INDIRECT(CONCATENATE("'",$A$550,"'!p",B621),1)</f>
        <v>0</v>
      </c>
      <c r="S621" s="1">
        <f t="shared" ca="1" si="48"/>
        <v>0</v>
      </c>
      <c r="T621" s="1" cm="1">
        <f t="array" aca="1" ref="T621" ca="1">INDIRECT(CONCATENATE("'",$A$550,"'!q",B621),1)</f>
        <v>0</v>
      </c>
      <c r="U621" s="1" cm="1">
        <f t="array" aca="1" ref="U621" ca="1">INDIRECT(CONCATENATE("'",$A$550,"'!r",B621),1)</f>
        <v>0</v>
      </c>
      <c r="V621" s="1" cm="1">
        <f t="array" aca="1" ref="V621" ca="1">INDIRECT(CONCATENATE("'",$A$550,"'!s",B621),1)</f>
        <v>0</v>
      </c>
      <c r="W621" s="1" cm="1">
        <f t="array" aca="1" ref="W621" ca="1">INDIRECT(CONCATENATE("'",$A$550,"'!t",B621),1)</f>
        <v>0</v>
      </c>
      <c r="X621" s="1" cm="1">
        <f t="array" aca="1" ref="X621" ca="1">INDIRECT(CONCATENATE("'",$A$550,"'!u",B621),1)</f>
        <v>0</v>
      </c>
      <c r="Y621" s="1" cm="1">
        <f t="array" aca="1" ref="Y621" ca="1">INDIRECT(CONCATENATE("'",$A$550,"'!v",B621),1)</f>
        <v>0</v>
      </c>
    </row>
    <row r="622" spans="1:25" hidden="1" x14ac:dyDescent="0.25">
      <c r="A622" s="15"/>
      <c r="B622" s="24">
        <f t="shared" si="49"/>
        <v>74</v>
      </c>
      <c r="C622" s="1" cm="1">
        <f t="array" aca="1" ref="C622" ca="1">INDIRECT(CONCATENATE("'",$A$550,"'!A",B622),1)</f>
        <v>0</v>
      </c>
      <c r="D622" s="1" cm="1">
        <f t="array" aca="1" ref="D622" ca="1">INDIRECT(CONCATENATE("'",$A$550,"'!B",B622),1)</f>
        <v>0</v>
      </c>
      <c r="E622" s="1" cm="1">
        <f t="array" aca="1" ref="E622" ca="1">INDIRECT(CONCATENATE("'",$A$550,"'!c",B622),1)</f>
        <v>0</v>
      </c>
      <c r="F622" s="1" cm="1">
        <f t="array" aca="1" ref="F622" ca="1">INDIRECT(CONCATENATE("'",$A$550,"'!d",B622),1)</f>
        <v>0</v>
      </c>
      <c r="G622" s="1" cm="1">
        <f t="array" aca="1" ref="G622" ca="1">INDIRECT(CONCATENATE("'",$A$550,"'!e",B622),1)</f>
        <v>0</v>
      </c>
      <c r="H622" s="1" cm="1">
        <f t="array" aca="1" ref="H622" ca="1">INDIRECT(CONCATENATE("'",$A$550,"'!f",B622),1)</f>
        <v>0</v>
      </c>
      <c r="I622" s="1" cm="1">
        <f t="array" aca="1" ref="I622" ca="1">INDIRECT(CONCATENATE("'",$A$550,"'!g",B622),1)</f>
        <v>0</v>
      </c>
      <c r="J622" s="1" cm="1">
        <f t="array" aca="1" ref="J622" ca="1">INDIRECT(CONCATENATE("'",$A$550,"'!h",B622),1)</f>
        <v>0</v>
      </c>
      <c r="K622" s="1" cm="1">
        <f t="array" aca="1" ref="K622" ca="1">INDIRECT(CONCATENATE("'",$A$550,"'!i",B622),1)</f>
        <v>0</v>
      </c>
      <c r="L622" s="1" cm="1">
        <f t="array" aca="1" ref="L622" ca="1">INDIRECT(CONCATENATE("'",$A$550,"'!j",B622),1)</f>
        <v>0</v>
      </c>
      <c r="M622" s="1" cm="1">
        <f t="array" aca="1" ref="M622" ca="1">INDIRECT(CONCATENATE("'",$A$550,"'!k",B622),1)</f>
        <v>0</v>
      </c>
      <c r="N622" s="1" cm="1">
        <f t="array" aca="1" ref="N622" ca="1">INDIRECT(CONCATENATE("'",$A$550,"'!l",B622),1)</f>
        <v>0</v>
      </c>
      <c r="O622" s="1" cm="1">
        <f t="array" aca="1" ref="O622" ca="1">INDIRECT(CONCATENATE("'",$A$550,"'!m",B622),1)</f>
        <v>0</v>
      </c>
      <c r="P622" s="1" cm="1">
        <f t="array" aca="1" ref="P622" ca="1">INDIRECT(CONCATENATE("'",$A$550,"'!n",B622),1)</f>
        <v>0</v>
      </c>
      <c r="Q622" s="1" cm="1">
        <f t="array" aca="1" ref="Q622" ca="1">INDIRECT(CONCATENATE("'",$A$550,"'!o",B622),1)</f>
        <v>0</v>
      </c>
      <c r="R622" s="1" cm="1">
        <f t="array" aca="1" ref="R622" ca="1">INDIRECT(CONCATENATE("'",$A$550,"'!p",B622),1)</f>
        <v>0</v>
      </c>
      <c r="S622" s="1">
        <f t="shared" ca="1" si="48"/>
        <v>0</v>
      </c>
      <c r="T622" s="1" cm="1">
        <f t="array" aca="1" ref="T622" ca="1">INDIRECT(CONCATENATE("'",$A$550,"'!q",B622),1)</f>
        <v>0</v>
      </c>
      <c r="U622" s="1" cm="1">
        <f t="array" aca="1" ref="U622" ca="1">INDIRECT(CONCATENATE("'",$A$550,"'!r",B622),1)</f>
        <v>0</v>
      </c>
      <c r="V622" s="1" cm="1">
        <f t="array" aca="1" ref="V622" ca="1">INDIRECT(CONCATENATE("'",$A$550,"'!s",B622),1)</f>
        <v>0</v>
      </c>
      <c r="W622" s="1" cm="1">
        <f t="array" aca="1" ref="W622" ca="1">INDIRECT(CONCATENATE("'",$A$550,"'!t",B622),1)</f>
        <v>0</v>
      </c>
      <c r="X622" s="1" cm="1">
        <f t="array" aca="1" ref="X622" ca="1">INDIRECT(CONCATENATE("'",$A$550,"'!u",B622),1)</f>
        <v>0</v>
      </c>
      <c r="Y622" s="1" cm="1">
        <f t="array" aca="1" ref="Y622" ca="1">INDIRECT(CONCATENATE("'",$A$550,"'!v",B622),1)</f>
        <v>0</v>
      </c>
    </row>
    <row r="623" spans="1:25" hidden="1" x14ac:dyDescent="0.25">
      <c r="A623" s="15"/>
      <c r="B623" s="24">
        <f t="shared" si="49"/>
        <v>75</v>
      </c>
      <c r="C623" s="1" cm="1">
        <f t="array" aca="1" ref="C623" ca="1">INDIRECT(CONCATENATE("'",$A$550,"'!A",B623),1)</f>
        <v>0</v>
      </c>
      <c r="D623" s="1" cm="1">
        <f t="array" aca="1" ref="D623" ca="1">INDIRECT(CONCATENATE("'",$A$550,"'!B",B623),1)</f>
        <v>0</v>
      </c>
      <c r="E623" s="1" cm="1">
        <f t="array" aca="1" ref="E623" ca="1">INDIRECT(CONCATENATE("'",$A$550,"'!c",B623),1)</f>
        <v>0</v>
      </c>
      <c r="F623" s="1" cm="1">
        <f t="array" aca="1" ref="F623" ca="1">INDIRECT(CONCATENATE("'",$A$550,"'!d",B623),1)</f>
        <v>0</v>
      </c>
      <c r="G623" s="1" cm="1">
        <f t="array" aca="1" ref="G623" ca="1">INDIRECT(CONCATENATE("'",$A$550,"'!e",B623),1)</f>
        <v>0</v>
      </c>
      <c r="H623" s="1" cm="1">
        <f t="array" aca="1" ref="H623" ca="1">INDIRECT(CONCATENATE("'",$A$550,"'!f",B623),1)</f>
        <v>0</v>
      </c>
      <c r="I623" s="1" cm="1">
        <f t="array" aca="1" ref="I623" ca="1">INDIRECT(CONCATENATE("'",$A$550,"'!g",B623),1)</f>
        <v>0</v>
      </c>
      <c r="J623" s="1" cm="1">
        <f t="array" aca="1" ref="J623" ca="1">INDIRECT(CONCATENATE("'",$A$550,"'!h",B623),1)</f>
        <v>0</v>
      </c>
      <c r="K623" s="1" cm="1">
        <f t="array" aca="1" ref="K623" ca="1">INDIRECT(CONCATENATE("'",$A$550,"'!i",B623),1)</f>
        <v>0</v>
      </c>
      <c r="L623" s="1" cm="1">
        <f t="array" aca="1" ref="L623" ca="1">INDIRECT(CONCATENATE("'",$A$550,"'!j",B623),1)</f>
        <v>0</v>
      </c>
      <c r="M623" s="1" cm="1">
        <f t="array" aca="1" ref="M623" ca="1">INDIRECT(CONCATENATE("'",$A$550,"'!k",B623),1)</f>
        <v>0</v>
      </c>
      <c r="N623" s="1" cm="1">
        <f t="array" aca="1" ref="N623" ca="1">INDIRECT(CONCATENATE("'",$A$550,"'!l",B623),1)</f>
        <v>0</v>
      </c>
      <c r="O623" s="1" cm="1">
        <f t="array" aca="1" ref="O623" ca="1">INDIRECT(CONCATENATE("'",$A$550,"'!m",B623),1)</f>
        <v>0</v>
      </c>
      <c r="P623" s="1" cm="1">
        <f t="array" aca="1" ref="P623" ca="1">INDIRECT(CONCATENATE("'",$A$550,"'!n",B623),1)</f>
        <v>0</v>
      </c>
      <c r="Q623" s="1" cm="1">
        <f t="array" aca="1" ref="Q623" ca="1">INDIRECT(CONCATENATE("'",$A$550,"'!o",B623),1)</f>
        <v>0</v>
      </c>
      <c r="R623" s="1" cm="1">
        <f t="array" aca="1" ref="R623" ca="1">INDIRECT(CONCATENATE("'",$A$550,"'!p",B623),1)</f>
        <v>0</v>
      </c>
      <c r="S623" s="1">
        <f t="shared" ca="1" si="48"/>
        <v>0</v>
      </c>
      <c r="T623" s="1" cm="1">
        <f t="array" aca="1" ref="T623" ca="1">INDIRECT(CONCATENATE("'",$A$550,"'!q",B623),1)</f>
        <v>0</v>
      </c>
      <c r="U623" s="1" cm="1">
        <f t="array" aca="1" ref="U623" ca="1">INDIRECT(CONCATENATE("'",$A$550,"'!r",B623),1)</f>
        <v>0</v>
      </c>
      <c r="V623" s="1" cm="1">
        <f t="array" aca="1" ref="V623" ca="1">INDIRECT(CONCATENATE("'",$A$550,"'!s",B623),1)</f>
        <v>0</v>
      </c>
      <c r="W623" s="1" cm="1">
        <f t="array" aca="1" ref="W623" ca="1">INDIRECT(CONCATENATE("'",$A$550,"'!t",B623),1)</f>
        <v>0</v>
      </c>
      <c r="X623" s="1" cm="1">
        <f t="array" aca="1" ref="X623" ca="1">INDIRECT(CONCATENATE("'",$A$550,"'!u",B623),1)</f>
        <v>0</v>
      </c>
      <c r="Y623" s="1" cm="1">
        <f t="array" aca="1" ref="Y623" ca="1">INDIRECT(CONCATENATE("'",$A$550,"'!v",B623),1)</f>
        <v>0</v>
      </c>
    </row>
    <row r="624" spans="1:25" hidden="1" x14ac:dyDescent="0.25">
      <c r="A624" s="15"/>
      <c r="B624" s="24">
        <f t="shared" si="49"/>
        <v>76</v>
      </c>
      <c r="C624" s="1" cm="1">
        <f t="array" aca="1" ref="C624" ca="1">INDIRECT(CONCATENATE("'",$A$550,"'!A",B624),1)</f>
        <v>0</v>
      </c>
      <c r="D624" s="1" cm="1">
        <f t="array" aca="1" ref="D624" ca="1">INDIRECT(CONCATENATE("'",$A$550,"'!B",B624),1)</f>
        <v>0</v>
      </c>
      <c r="E624" s="1" cm="1">
        <f t="array" aca="1" ref="E624" ca="1">INDIRECT(CONCATENATE("'",$A$550,"'!c",B624),1)</f>
        <v>0</v>
      </c>
      <c r="F624" s="1" cm="1">
        <f t="array" aca="1" ref="F624" ca="1">INDIRECT(CONCATENATE("'",$A$550,"'!d",B624),1)</f>
        <v>0</v>
      </c>
      <c r="G624" s="1" cm="1">
        <f t="array" aca="1" ref="G624" ca="1">INDIRECT(CONCATENATE("'",$A$550,"'!e",B624),1)</f>
        <v>0</v>
      </c>
      <c r="H624" s="1" cm="1">
        <f t="array" aca="1" ref="H624" ca="1">INDIRECT(CONCATENATE("'",$A$550,"'!f",B624),1)</f>
        <v>0</v>
      </c>
      <c r="I624" s="1" cm="1">
        <f t="array" aca="1" ref="I624" ca="1">INDIRECT(CONCATENATE("'",$A$550,"'!g",B624),1)</f>
        <v>0</v>
      </c>
      <c r="J624" s="1" cm="1">
        <f t="array" aca="1" ref="J624" ca="1">INDIRECT(CONCATENATE("'",$A$550,"'!h",B624),1)</f>
        <v>0</v>
      </c>
      <c r="K624" s="1" cm="1">
        <f t="array" aca="1" ref="K624" ca="1">INDIRECT(CONCATENATE("'",$A$550,"'!i",B624),1)</f>
        <v>0</v>
      </c>
      <c r="L624" s="1" cm="1">
        <f t="array" aca="1" ref="L624" ca="1">INDIRECT(CONCATENATE("'",$A$550,"'!j",B624),1)</f>
        <v>0</v>
      </c>
      <c r="M624" s="1" cm="1">
        <f t="array" aca="1" ref="M624" ca="1">INDIRECT(CONCATENATE("'",$A$550,"'!k",B624),1)</f>
        <v>0</v>
      </c>
      <c r="N624" s="1" cm="1">
        <f t="array" aca="1" ref="N624" ca="1">INDIRECT(CONCATENATE("'",$A$550,"'!l",B624),1)</f>
        <v>0</v>
      </c>
      <c r="O624" s="1" cm="1">
        <f t="array" aca="1" ref="O624" ca="1">INDIRECT(CONCATENATE("'",$A$550,"'!m",B624),1)</f>
        <v>0</v>
      </c>
      <c r="P624" s="1" cm="1">
        <f t="array" aca="1" ref="P624" ca="1">INDIRECT(CONCATENATE("'",$A$550,"'!n",B624),1)</f>
        <v>0</v>
      </c>
      <c r="Q624" s="1" cm="1">
        <f t="array" aca="1" ref="Q624" ca="1">INDIRECT(CONCATENATE("'",$A$550,"'!o",B624),1)</f>
        <v>0</v>
      </c>
      <c r="R624" s="1" cm="1">
        <f t="array" aca="1" ref="R624" ca="1">INDIRECT(CONCATENATE("'",$A$550,"'!p",B624),1)</f>
        <v>0</v>
      </c>
      <c r="S624" s="1">
        <f t="shared" ca="1" si="48"/>
        <v>0</v>
      </c>
      <c r="T624" s="1" cm="1">
        <f t="array" aca="1" ref="T624" ca="1">INDIRECT(CONCATENATE("'",$A$550,"'!q",B624),1)</f>
        <v>0</v>
      </c>
      <c r="U624" s="1" cm="1">
        <f t="array" aca="1" ref="U624" ca="1">INDIRECT(CONCATENATE("'",$A$550,"'!r",B624),1)</f>
        <v>0</v>
      </c>
      <c r="V624" s="1" cm="1">
        <f t="array" aca="1" ref="V624" ca="1">INDIRECT(CONCATENATE("'",$A$550,"'!s",B624),1)</f>
        <v>0</v>
      </c>
      <c r="W624" s="1" cm="1">
        <f t="array" aca="1" ref="W624" ca="1">INDIRECT(CONCATENATE("'",$A$550,"'!t",B624),1)</f>
        <v>0</v>
      </c>
      <c r="X624" s="1" cm="1">
        <f t="array" aca="1" ref="X624" ca="1">INDIRECT(CONCATENATE("'",$A$550,"'!u",B624),1)</f>
        <v>0</v>
      </c>
      <c r="Y624" s="1" cm="1">
        <f t="array" aca="1" ref="Y624" ca="1">INDIRECT(CONCATENATE("'",$A$550,"'!v",B624),1)</f>
        <v>0</v>
      </c>
    </row>
    <row r="625" spans="1:25" hidden="1" x14ac:dyDescent="0.25">
      <c r="A625" s="15"/>
      <c r="B625" s="24">
        <f t="shared" si="49"/>
        <v>77</v>
      </c>
      <c r="C625" s="1" cm="1">
        <f t="array" aca="1" ref="C625" ca="1">INDIRECT(CONCATENATE("'",$A$550,"'!A",B625),1)</f>
        <v>0</v>
      </c>
      <c r="D625" s="1" cm="1">
        <f t="array" aca="1" ref="D625" ca="1">INDIRECT(CONCATENATE("'",$A$550,"'!B",B625),1)</f>
        <v>0</v>
      </c>
      <c r="E625" s="1" cm="1">
        <f t="array" aca="1" ref="E625" ca="1">INDIRECT(CONCATENATE("'",$A$550,"'!c",B625),1)</f>
        <v>0</v>
      </c>
      <c r="F625" s="1" cm="1">
        <f t="array" aca="1" ref="F625" ca="1">INDIRECT(CONCATENATE("'",$A$550,"'!d",B625),1)</f>
        <v>0</v>
      </c>
      <c r="G625" s="1" cm="1">
        <f t="array" aca="1" ref="G625" ca="1">INDIRECT(CONCATENATE("'",$A$550,"'!e",B625),1)</f>
        <v>0</v>
      </c>
      <c r="H625" s="1" cm="1">
        <f t="array" aca="1" ref="H625" ca="1">INDIRECT(CONCATENATE("'",$A$550,"'!f",B625),1)</f>
        <v>0</v>
      </c>
      <c r="I625" s="1" cm="1">
        <f t="array" aca="1" ref="I625" ca="1">INDIRECT(CONCATENATE("'",$A$550,"'!g",B625),1)</f>
        <v>0</v>
      </c>
      <c r="J625" s="1" cm="1">
        <f t="array" aca="1" ref="J625" ca="1">INDIRECT(CONCATENATE("'",$A$550,"'!h",B625),1)</f>
        <v>0</v>
      </c>
      <c r="K625" s="1" cm="1">
        <f t="array" aca="1" ref="K625" ca="1">INDIRECT(CONCATENATE("'",$A$550,"'!i",B625),1)</f>
        <v>0</v>
      </c>
      <c r="L625" s="1" cm="1">
        <f t="array" aca="1" ref="L625" ca="1">INDIRECT(CONCATENATE("'",$A$550,"'!j",B625),1)</f>
        <v>0</v>
      </c>
      <c r="M625" s="1" cm="1">
        <f t="array" aca="1" ref="M625" ca="1">INDIRECT(CONCATENATE("'",$A$550,"'!k",B625),1)</f>
        <v>0</v>
      </c>
      <c r="N625" s="1" cm="1">
        <f t="array" aca="1" ref="N625" ca="1">INDIRECT(CONCATENATE("'",$A$550,"'!l",B625),1)</f>
        <v>0</v>
      </c>
      <c r="O625" s="1" cm="1">
        <f t="array" aca="1" ref="O625" ca="1">INDIRECT(CONCATENATE("'",$A$550,"'!m",B625),1)</f>
        <v>0</v>
      </c>
      <c r="P625" s="1" cm="1">
        <f t="array" aca="1" ref="P625" ca="1">INDIRECT(CONCATENATE("'",$A$550,"'!n",B625),1)</f>
        <v>0</v>
      </c>
      <c r="Q625" s="1" cm="1">
        <f t="array" aca="1" ref="Q625" ca="1">INDIRECT(CONCATENATE("'",$A$550,"'!o",B625),1)</f>
        <v>0</v>
      </c>
      <c r="R625" s="1" cm="1">
        <f t="array" aca="1" ref="R625" ca="1">INDIRECT(CONCATENATE("'",$A$550,"'!p",B625),1)</f>
        <v>0</v>
      </c>
      <c r="S625" s="1">
        <f t="shared" ca="1" si="48"/>
        <v>0</v>
      </c>
      <c r="T625" s="1" cm="1">
        <f t="array" aca="1" ref="T625" ca="1">INDIRECT(CONCATENATE("'",$A$550,"'!q",B625),1)</f>
        <v>0</v>
      </c>
      <c r="U625" s="1" cm="1">
        <f t="array" aca="1" ref="U625" ca="1">INDIRECT(CONCATENATE("'",$A$550,"'!r",B625),1)</f>
        <v>0</v>
      </c>
      <c r="V625" s="1" cm="1">
        <f t="array" aca="1" ref="V625" ca="1">INDIRECT(CONCATENATE("'",$A$550,"'!s",B625),1)</f>
        <v>0</v>
      </c>
      <c r="W625" s="1" cm="1">
        <f t="array" aca="1" ref="W625" ca="1">INDIRECT(CONCATENATE("'",$A$550,"'!t",B625),1)</f>
        <v>0</v>
      </c>
      <c r="X625" s="1" cm="1">
        <f t="array" aca="1" ref="X625" ca="1">INDIRECT(CONCATENATE("'",$A$550,"'!u",B625),1)</f>
        <v>0</v>
      </c>
      <c r="Y625" s="1" cm="1">
        <f t="array" aca="1" ref="Y625" ca="1">INDIRECT(CONCATENATE("'",$A$550,"'!v",B625),1)</f>
        <v>0</v>
      </c>
    </row>
    <row r="626" spans="1:25" hidden="1" x14ac:dyDescent="0.25">
      <c r="A626" s="15"/>
      <c r="B626" s="24">
        <f t="shared" si="49"/>
        <v>78</v>
      </c>
      <c r="C626" s="1" cm="1">
        <f t="array" aca="1" ref="C626" ca="1">INDIRECT(CONCATENATE("'",$A$550,"'!A",B626),1)</f>
        <v>0</v>
      </c>
      <c r="D626" s="1" cm="1">
        <f t="array" aca="1" ref="D626" ca="1">INDIRECT(CONCATENATE("'",$A$550,"'!B",B626),1)</f>
        <v>0</v>
      </c>
      <c r="E626" s="1" cm="1">
        <f t="array" aca="1" ref="E626" ca="1">INDIRECT(CONCATENATE("'",$A$550,"'!c",B626),1)</f>
        <v>0</v>
      </c>
      <c r="F626" s="1" cm="1">
        <f t="array" aca="1" ref="F626" ca="1">INDIRECT(CONCATENATE("'",$A$550,"'!d",B626),1)</f>
        <v>0</v>
      </c>
      <c r="G626" s="1" cm="1">
        <f t="array" aca="1" ref="G626" ca="1">INDIRECT(CONCATENATE("'",$A$550,"'!e",B626),1)</f>
        <v>0</v>
      </c>
      <c r="H626" s="1" cm="1">
        <f t="array" aca="1" ref="H626" ca="1">INDIRECT(CONCATENATE("'",$A$550,"'!f",B626),1)</f>
        <v>0</v>
      </c>
      <c r="I626" s="1" cm="1">
        <f t="array" aca="1" ref="I626" ca="1">INDIRECT(CONCATENATE("'",$A$550,"'!g",B626),1)</f>
        <v>0</v>
      </c>
      <c r="J626" s="1" cm="1">
        <f t="array" aca="1" ref="J626" ca="1">INDIRECT(CONCATENATE("'",$A$550,"'!h",B626),1)</f>
        <v>0</v>
      </c>
      <c r="K626" s="1" cm="1">
        <f t="array" aca="1" ref="K626" ca="1">INDIRECT(CONCATENATE("'",$A$550,"'!i",B626),1)</f>
        <v>0</v>
      </c>
      <c r="L626" s="1" cm="1">
        <f t="array" aca="1" ref="L626" ca="1">INDIRECT(CONCATENATE("'",$A$550,"'!j",B626),1)</f>
        <v>0</v>
      </c>
      <c r="M626" s="1" cm="1">
        <f t="array" aca="1" ref="M626" ca="1">INDIRECT(CONCATENATE("'",$A$550,"'!k",B626),1)</f>
        <v>0</v>
      </c>
      <c r="N626" s="1" cm="1">
        <f t="array" aca="1" ref="N626" ca="1">INDIRECT(CONCATENATE("'",$A$550,"'!l",B626),1)</f>
        <v>0</v>
      </c>
      <c r="O626" s="1" cm="1">
        <f t="array" aca="1" ref="O626" ca="1">INDIRECT(CONCATENATE("'",$A$550,"'!m",B626),1)</f>
        <v>0</v>
      </c>
      <c r="P626" s="1" cm="1">
        <f t="array" aca="1" ref="P626" ca="1">INDIRECT(CONCATENATE("'",$A$550,"'!n",B626),1)</f>
        <v>0</v>
      </c>
      <c r="Q626" s="1" cm="1">
        <f t="array" aca="1" ref="Q626" ca="1">INDIRECT(CONCATENATE("'",$A$550,"'!o",B626),1)</f>
        <v>0</v>
      </c>
      <c r="R626" s="1" cm="1">
        <f t="array" aca="1" ref="R626" ca="1">INDIRECT(CONCATENATE("'",$A$550,"'!p",B626),1)</f>
        <v>0</v>
      </c>
      <c r="S626" s="1">
        <f t="shared" ref="S626:S651" ca="1" si="50">SUMIFS(U626,T626,$N$1)+SUMIFS(W626,V626,$N$1)+SUMIFS(Y626,X626,$N$1)</f>
        <v>0</v>
      </c>
      <c r="T626" s="1" cm="1">
        <f t="array" aca="1" ref="T626" ca="1">INDIRECT(CONCATENATE("'",$A$550,"'!q",B626),1)</f>
        <v>0</v>
      </c>
      <c r="U626" s="1" cm="1">
        <f t="array" aca="1" ref="U626" ca="1">INDIRECT(CONCATENATE("'",$A$550,"'!r",B626),1)</f>
        <v>0</v>
      </c>
      <c r="V626" s="1" cm="1">
        <f t="array" aca="1" ref="V626" ca="1">INDIRECT(CONCATENATE("'",$A$550,"'!s",B626),1)</f>
        <v>0</v>
      </c>
      <c r="W626" s="1" cm="1">
        <f t="array" aca="1" ref="W626" ca="1">INDIRECT(CONCATENATE("'",$A$550,"'!t",B626),1)</f>
        <v>0</v>
      </c>
      <c r="X626" s="1" cm="1">
        <f t="array" aca="1" ref="X626" ca="1">INDIRECT(CONCATENATE("'",$A$550,"'!u",B626),1)</f>
        <v>0</v>
      </c>
      <c r="Y626" s="1" cm="1">
        <f t="array" aca="1" ref="Y626" ca="1">INDIRECT(CONCATENATE("'",$A$550,"'!v",B626),1)</f>
        <v>0</v>
      </c>
    </row>
    <row r="627" spans="1:25" hidden="1" x14ac:dyDescent="0.25">
      <c r="A627" s="15"/>
      <c r="B627" s="24">
        <f t="shared" si="49"/>
        <v>79</v>
      </c>
      <c r="C627" s="1" cm="1">
        <f t="array" aca="1" ref="C627" ca="1">INDIRECT(CONCATENATE("'",$A$550,"'!A",B627),1)</f>
        <v>0</v>
      </c>
      <c r="D627" s="1" cm="1">
        <f t="array" aca="1" ref="D627" ca="1">INDIRECT(CONCATENATE("'",$A$550,"'!B",B627),1)</f>
        <v>0</v>
      </c>
      <c r="E627" s="1" cm="1">
        <f t="array" aca="1" ref="E627" ca="1">INDIRECT(CONCATENATE("'",$A$550,"'!c",B627),1)</f>
        <v>0</v>
      </c>
      <c r="F627" s="1" cm="1">
        <f t="array" aca="1" ref="F627" ca="1">INDIRECT(CONCATENATE("'",$A$550,"'!d",B627),1)</f>
        <v>0</v>
      </c>
      <c r="G627" s="1" cm="1">
        <f t="array" aca="1" ref="G627" ca="1">INDIRECT(CONCATENATE("'",$A$550,"'!e",B627),1)</f>
        <v>0</v>
      </c>
      <c r="H627" s="1" cm="1">
        <f t="array" aca="1" ref="H627" ca="1">INDIRECT(CONCATENATE("'",$A$550,"'!f",B627),1)</f>
        <v>0</v>
      </c>
      <c r="I627" s="1" cm="1">
        <f t="array" aca="1" ref="I627" ca="1">INDIRECT(CONCATENATE("'",$A$550,"'!g",B627),1)</f>
        <v>0</v>
      </c>
      <c r="J627" s="1" cm="1">
        <f t="array" aca="1" ref="J627" ca="1">INDIRECT(CONCATENATE("'",$A$550,"'!h",B627),1)</f>
        <v>0</v>
      </c>
      <c r="K627" s="1" cm="1">
        <f t="array" aca="1" ref="K627" ca="1">INDIRECT(CONCATENATE("'",$A$550,"'!i",B627),1)</f>
        <v>0</v>
      </c>
      <c r="L627" s="1" cm="1">
        <f t="array" aca="1" ref="L627" ca="1">INDIRECT(CONCATENATE("'",$A$550,"'!j",B627),1)</f>
        <v>0</v>
      </c>
      <c r="M627" s="1" cm="1">
        <f t="array" aca="1" ref="M627" ca="1">INDIRECT(CONCATENATE("'",$A$550,"'!k",B627),1)</f>
        <v>0</v>
      </c>
      <c r="N627" s="1" cm="1">
        <f t="array" aca="1" ref="N627" ca="1">INDIRECT(CONCATENATE("'",$A$550,"'!l",B627),1)</f>
        <v>0</v>
      </c>
      <c r="O627" s="1" cm="1">
        <f t="array" aca="1" ref="O627" ca="1">INDIRECT(CONCATENATE("'",$A$550,"'!m",B627),1)</f>
        <v>0</v>
      </c>
      <c r="P627" s="1" cm="1">
        <f t="array" aca="1" ref="P627" ca="1">INDIRECT(CONCATENATE("'",$A$550,"'!n",B627),1)</f>
        <v>0</v>
      </c>
      <c r="Q627" s="1" cm="1">
        <f t="array" aca="1" ref="Q627" ca="1">INDIRECT(CONCATENATE("'",$A$550,"'!o",B627),1)</f>
        <v>0</v>
      </c>
      <c r="R627" s="1" cm="1">
        <f t="array" aca="1" ref="R627" ca="1">INDIRECT(CONCATENATE("'",$A$550,"'!p",B627),1)</f>
        <v>0</v>
      </c>
      <c r="S627" s="1">
        <f t="shared" ca="1" si="50"/>
        <v>0</v>
      </c>
      <c r="T627" s="1" cm="1">
        <f t="array" aca="1" ref="T627" ca="1">INDIRECT(CONCATENATE("'",$A$550,"'!q",B627),1)</f>
        <v>0</v>
      </c>
      <c r="U627" s="1" cm="1">
        <f t="array" aca="1" ref="U627" ca="1">INDIRECT(CONCATENATE("'",$A$550,"'!r",B627),1)</f>
        <v>0</v>
      </c>
      <c r="V627" s="1" cm="1">
        <f t="array" aca="1" ref="V627" ca="1">INDIRECT(CONCATENATE("'",$A$550,"'!s",B627),1)</f>
        <v>0</v>
      </c>
      <c r="W627" s="1" cm="1">
        <f t="array" aca="1" ref="W627" ca="1">INDIRECT(CONCATENATE("'",$A$550,"'!t",B627),1)</f>
        <v>0</v>
      </c>
      <c r="X627" s="1" cm="1">
        <f t="array" aca="1" ref="X627" ca="1">INDIRECT(CONCATENATE("'",$A$550,"'!u",B627),1)</f>
        <v>0</v>
      </c>
      <c r="Y627" s="1" cm="1">
        <f t="array" aca="1" ref="Y627" ca="1">INDIRECT(CONCATENATE("'",$A$550,"'!v",B627),1)</f>
        <v>0</v>
      </c>
    </row>
    <row r="628" spans="1:25" hidden="1" x14ac:dyDescent="0.25">
      <c r="A628" s="15"/>
      <c r="B628" s="24">
        <f t="shared" si="49"/>
        <v>80</v>
      </c>
      <c r="C628" s="1" cm="1">
        <f t="array" aca="1" ref="C628" ca="1">INDIRECT(CONCATENATE("'",$A$550,"'!A",B628),1)</f>
        <v>0</v>
      </c>
      <c r="D628" s="1" cm="1">
        <f t="array" aca="1" ref="D628" ca="1">INDIRECT(CONCATENATE("'",$A$550,"'!B",B628),1)</f>
        <v>0</v>
      </c>
      <c r="E628" s="1" cm="1">
        <f t="array" aca="1" ref="E628" ca="1">INDIRECT(CONCATENATE("'",$A$550,"'!c",B628),1)</f>
        <v>0</v>
      </c>
      <c r="F628" s="1" cm="1">
        <f t="array" aca="1" ref="F628" ca="1">INDIRECT(CONCATENATE("'",$A$550,"'!d",B628),1)</f>
        <v>0</v>
      </c>
      <c r="G628" s="1" cm="1">
        <f t="array" aca="1" ref="G628" ca="1">INDIRECT(CONCATENATE("'",$A$550,"'!e",B628),1)</f>
        <v>0</v>
      </c>
      <c r="H628" s="1" cm="1">
        <f t="array" aca="1" ref="H628" ca="1">INDIRECT(CONCATENATE("'",$A$550,"'!f",B628),1)</f>
        <v>0</v>
      </c>
      <c r="I628" s="1" cm="1">
        <f t="array" aca="1" ref="I628" ca="1">INDIRECT(CONCATENATE("'",$A$550,"'!g",B628),1)</f>
        <v>0</v>
      </c>
      <c r="J628" s="1" cm="1">
        <f t="array" aca="1" ref="J628" ca="1">INDIRECT(CONCATENATE("'",$A$550,"'!h",B628),1)</f>
        <v>0</v>
      </c>
      <c r="K628" s="1" cm="1">
        <f t="array" aca="1" ref="K628" ca="1">INDIRECT(CONCATENATE("'",$A$550,"'!i",B628),1)</f>
        <v>0</v>
      </c>
      <c r="L628" s="1" cm="1">
        <f t="array" aca="1" ref="L628" ca="1">INDIRECT(CONCATENATE("'",$A$550,"'!j",B628),1)</f>
        <v>0</v>
      </c>
      <c r="M628" s="1" cm="1">
        <f t="array" aca="1" ref="M628" ca="1">INDIRECT(CONCATENATE("'",$A$550,"'!k",B628),1)</f>
        <v>0</v>
      </c>
      <c r="N628" s="1" cm="1">
        <f t="array" aca="1" ref="N628" ca="1">INDIRECT(CONCATENATE("'",$A$550,"'!l",B628),1)</f>
        <v>0</v>
      </c>
      <c r="O628" s="1" cm="1">
        <f t="array" aca="1" ref="O628" ca="1">INDIRECT(CONCATENATE("'",$A$550,"'!m",B628),1)</f>
        <v>0</v>
      </c>
      <c r="P628" s="1" cm="1">
        <f t="array" aca="1" ref="P628" ca="1">INDIRECT(CONCATENATE("'",$A$550,"'!n",B628),1)</f>
        <v>0</v>
      </c>
      <c r="Q628" s="1" cm="1">
        <f t="array" aca="1" ref="Q628" ca="1">INDIRECT(CONCATENATE("'",$A$550,"'!o",B628),1)</f>
        <v>0</v>
      </c>
      <c r="R628" s="1" cm="1">
        <f t="array" aca="1" ref="R628" ca="1">INDIRECT(CONCATENATE("'",$A$550,"'!p",B628),1)</f>
        <v>0</v>
      </c>
      <c r="S628" s="1">
        <f t="shared" ca="1" si="50"/>
        <v>0</v>
      </c>
      <c r="T628" s="1" cm="1">
        <f t="array" aca="1" ref="T628" ca="1">INDIRECT(CONCATENATE("'",$A$550,"'!q",B628),1)</f>
        <v>0</v>
      </c>
      <c r="U628" s="1" cm="1">
        <f t="array" aca="1" ref="U628" ca="1">INDIRECT(CONCATENATE("'",$A$550,"'!r",B628),1)</f>
        <v>0</v>
      </c>
      <c r="V628" s="1" cm="1">
        <f t="array" aca="1" ref="V628" ca="1">INDIRECT(CONCATENATE("'",$A$550,"'!s",B628),1)</f>
        <v>0</v>
      </c>
      <c r="W628" s="1" cm="1">
        <f t="array" aca="1" ref="W628" ca="1">INDIRECT(CONCATENATE("'",$A$550,"'!t",B628),1)</f>
        <v>0</v>
      </c>
      <c r="X628" s="1" cm="1">
        <f t="array" aca="1" ref="X628" ca="1">INDIRECT(CONCATENATE("'",$A$550,"'!u",B628),1)</f>
        <v>0</v>
      </c>
      <c r="Y628" s="1" cm="1">
        <f t="array" aca="1" ref="Y628" ca="1">INDIRECT(CONCATENATE("'",$A$550,"'!v",B628),1)</f>
        <v>0</v>
      </c>
    </row>
    <row r="629" spans="1:25" hidden="1" x14ac:dyDescent="0.25">
      <c r="A629" s="15"/>
      <c r="B629" s="24">
        <f t="shared" si="49"/>
        <v>81</v>
      </c>
      <c r="C629" s="1" cm="1">
        <f t="array" aca="1" ref="C629" ca="1">INDIRECT(CONCATENATE("'",$A$550,"'!A",B629),1)</f>
        <v>0</v>
      </c>
      <c r="D629" s="1" cm="1">
        <f t="array" aca="1" ref="D629" ca="1">INDIRECT(CONCATENATE("'",$A$550,"'!B",B629),1)</f>
        <v>0</v>
      </c>
      <c r="E629" s="1" cm="1">
        <f t="array" aca="1" ref="E629" ca="1">INDIRECT(CONCATENATE("'",$A$550,"'!c",B629),1)</f>
        <v>0</v>
      </c>
      <c r="F629" s="1" cm="1">
        <f t="array" aca="1" ref="F629" ca="1">INDIRECT(CONCATENATE("'",$A$550,"'!d",B629),1)</f>
        <v>0</v>
      </c>
      <c r="G629" s="1" cm="1">
        <f t="array" aca="1" ref="G629" ca="1">INDIRECT(CONCATENATE("'",$A$550,"'!e",B629),1)</f>
        <v>0</v>
      </c>
      <c r="H629" s="1" cm="1">
        <f t="array" aca="1" ref="H629" ca="1">INDIRECT(CONCATENATE("'",$A$550,"'!f",B629),1)</f>
        <v>0</v>
      </c>
      <c r="I629" s="1" cm="1">
        <f t="array" aca="1" ref="I629" ca="1">INDIRECT(CONCATENATE("'",$A$550,"'!g",B629),1)</f>
        <v>0</v>
      </c>
      <c r="J629" s="1" cm="1">
        <f t="array" aca="1" ref="J629" ca="1">INDIRECT(CONCATENATE("'",$A$550,"'!h",B629),1)</f>
        <v>0</v>
      </c>
      <c r="K629" s="1" cm="1">
        <f t="array" aca="1" ref="K629" ca="1">INDIRECT(CONCATENATE("'",$A$550,"'!i",B629),1)</f>
        <v>0</v>
      </c>
      <c r="L629" s="1" cm="1">
        <f t="array" aca="1" ref="L629" ca="1">INDIRECT(CONCATENATE("'",$A$550,"'!j",B629),1)</f>
        <v>0</v>
      </c>
      <c r="M629" s="1" cm="1">
        <f t="array" aca="1" ref="M629" ca="1">INDIRECT(CONCATENATE("'",$A$550,"'!k",B629),1)</f>
        <v>0</v>
      </c>
      <c r="N629" s="1" cm="1">
        <f t="array" aca="1" ref="N629" ca="1">INDIRECT(CONCATENATE("'",$A$550,"'!l",B629),1)</f>
        <v>0</v>
      </c>
      <c r="O629" s="1" cm="1">
        <f t="array" aca="1" ref="O629" ca="1">INDIRECT(CONCATENATE("'",$A$550,"'!m",B629),1)</f>
        <v>0</v>
      </c>
      <c r="P629" s="1" cm="1">
        <f t="array" aca="1" ref="P629" ca="1">INDIRECT(CONCATENATE("'",$A$550,"'!n",B629),1)</f>
        <v>0</v>
      </c>
      <c r="Q629" s="1" cm="1">
        <f t="array" aca="1" ref="Q629" ca="1">INDIRECT(CONCATENATE("'",$A$550,"'!o",B629),1)</f>
        <v>0</v>
      </c>
      <c r="R629" s="1" cm="1">
        <f t="array" aca="1" ref="R629" ca="1">INDIRECT(CONCATENATE("'",$A$550,"'!p",B629),1)</f>
        <v>0</v>
      </c>
      <c r="S629" s="1">
        <f t="shared" ca="1" si="50"/>
        <v>0</v>
      </c>
      <c r="T629" s="1" cm="1">
        <f t="array" aca="1" ref="T629" ca="1">INDIRECT(CONCATENATE("'",$A$550,"'!q",B629),1)</f>
        <v>0</v>
      </c>
      <c r="U629" s="1" cm="1">
        <f t="array" aca="1" ref="U629" ca="1">INDIRECT(CONCATENATE("'",$A$550,"'!r",B629),1)</f>
        <v>0</v>
      </c>
      <c r="V629" s="1" cm="1">
        <f t="array" aca="1" ref="V629" ca="1">INDIRECT(CONCATENATE("'",$A$550,"'!s",B629),1)</f>
        <v>0</v>
      </c>
      <c r="W629" s="1" cm="1">
        <f t="array" aca="1" ref="W629" ca="1">INDIRECT(CONCATENATE("'",$A$550,"'!t",B629),1)</f>
        <v>0</v>
      </c>
      <c r="X629" s="1" cm="1">
        <f t="array" aca="1" ref="X629" ca="1">INDIRECT(CONCATENATE("'",$A$550,"'!u",B629),1)</f>
        <v>0</v>
      </c>
      <c r="Y629" s="1" cm="1">
        <f t="array" aca="1" ref="Y629" ca="1">INDIRECT(CONCATENATE("'",$A$550,"'!v",B629),1)</f>
        <v>0</v>
      </c>
    </row>
    <row r="630" spans="1:25" hidden="1" x14ac:dyDescent="0.25">
      <c r="A630" s="15"/>
      <c r="B630" s="24">
        <f t="shared" si="49"/>
        <v>82</v>
      </c>
      <c r="C630" s="1" cm="1">
        <f t="array" aca="1" ref="C630" ca="1">INDIRECT(CONCATENATE("'",$A$550,"'!A",B630),1)</f>
        <v>0</v>
      </c>
      <c r="D630" s="1" cm="1">
        <f t="array" aca="1" ref="D630" ca="1">INDIRECT(CONCATENATE("'",$A$550,"'!B",B630),1)</f>
        <v>0</v>
      </c>
      <c r="E630" s="1" cm="1">
        <f t="array" aca="1" ref="E630" ca="1">INDIRECT(CONCATENATE("'",$A$550,"'!c",B630),1)</f>
        <v>0</v>
      </c>
      <c r="F630" s="1" cm="1">
        <f t="array" aca="1" ref="F630" ca="1">INDIRECT(CONCATENATE("'",$A$550,"'!d",B630),1)</f>
        <v>0</v>
      </c>
      <c r="G630" s="1" cm="1">
        <f t="array" aca="1" ref="G630" ca="1">INDIRECT(CONCATENATE("'",$A$550,"'!e",B630),1)</f>
        <v>0</v>
      </c>
      <c r="H630" s="1" cm="1">
        <f t="array" aca="1" ref="H630" ca="1">INDIRECT(CONCATENATE("'",$A$550,"'!f",B630),1)</f>
        <v>0</v>
      </c>
      <c r="I630" s="1" cm="1">
        <f t="array" aca="1" ref="I630" ca="1">INDIRECT(CONCATENATE("'",$A$550,"'!g",B630),1)</f>
        <v>0</v>
      </c>
      <c r="J630" s="1" cm="1">
        <f t="array" aca="1" ref="J630" ca="1">INDIRECT(CONCATENATE("'",$A$550,"'!h",B630),1)</f>
        <v>0</v>
      </c>
      <c r="K630" s="1" cm="1">
        <f t="array" aca="1" ref="K630" ca="1">INDIRECT(CONCATENATE("'",$A$550,"'!i",B630),1)</f>
        <v>0</v>
      </c>
      <c r="L630" s="1" cm="1">
        <f t="array" aca="1" ref="L630" ca="1">INDIRECT(CONCATENATE("'",$A$550,"'!j",B630),1)</f>
        <v>0</v>
      </c>
      <c r="M630" s="1" cm="1">
        <f t="array" aca="1" ref="M630" ca="1">INDIRECT(CONCATENATE("'",$A$550,"'!k",B630),1)</f>
        <v>0</v>
      </c>
      <c r="N630" s="1" cm="1">
        <f t="array" aca="1" ref="N630" ca="1">INDIRECT(CONCATENATE("'",$A$550,"'!l",B630),1)</f>
        <v>0</v>
      </c>
      <c r="O630" s="1" cm="1">
        <f t="array" aca="1" ref="O630" ca="1">INDIRECT(CONCATENATE("'",$A$550,"'!m",B630),1)</f>
        <v>0</v>
      </c>
      <c r="P630" s="1" cm="1">
        <f t="array" aca="1" ref="P630" ca="1">INDIRECT(CONCATENATE("'",$A$550,"'!n",B630),1)</f>
        <v>0</v>
      </c>
      <c r="Q630" s="1" cm="1">
        <f t="array" aca="1" ref="Q630" ca="1">INDIRECT(CONCATENATE("'",$A$550,"'!o",B630),1)</f>
        <v>0</v>
      </c>
      <c r="R630" s="1" cm="1">
        <f t="array" aca="1" ref="R630" ca="1">INDIRECT(CONCATENATE("'",$A$550,"'!p",B630),1)</f>
        <v>0</v>
      </c>
      <c r="S630" s="1">
        <f t="shared" ca="1" si="50"/>
        <v>0</v>
      </c>
      <c r="T630" s="1" cm="1">
        <f t="array" aca="1" ref="T630" ca="1">INDIRECT(CONCATENATE("'",$A$550,"'!q",B630),1)</f>
        <v>0</v>
      </c>
      <c r="U630" s="1" cm="1">
        <f t="array" aca="1" ref="U630" ca="1">INDIRECT(CONCATENATE("'",$A$550,"'!r",B630),1)</f>
        <v>0</v>
      </c>
      <c r="V630" s="1" cm="1">
        <f t="array" aca="1" ref="V630" ca="1">INDIRECT(CONCATENATE("'",$A$550,"'!s",B630),1)</f>
        <v>0</v>
      </c>
      <c r="W630" s="1" cm="1">
        <f t="array" aca="1" ref="W630" ca="1">INDIRECT(CONCATENATE("'",$A$550,"'!t",B630),1)</f>
        <v>0</v>
      </c>
      <c r="X630" s="1" cm="1">
        <f t="array" aca="1" ref="X630" ca="1">INDIRECT(CONCATENATE("'",$A$550,"'!u",B630),1)</f>
        <v>0</v>
      </c>
      <c r="Y630" s="1" cm="1">
        <f t="array" aca="1" ref="Y630" ca="1">INDIRECT(CONCATENATE("'",$A$550,"'!v",B630),1)</f>
        <v>0</v>
      </c>
    </row>
    <row r="631" spans="1:25" hidden="1" x14ac:dyDescent="0.25">
      <c r="A631" s="15"/>
      <c r="B631" s="24">
        <f t="shared" si="49"/>
        <v>83</v>
      </c>
      <c r="C631" s="1" cm="1">
        <f t="array" aca="1" ref="C631" ca="1">INDIRECT(CONCATENATE("'",$A$550,"'!A",B631),1)</f>
        <v>0</v>
      </c>
      <c r="D631" s="1" cm="1">
        <f t="array" aca="1" ref="D631" ca="1">INDIRECT(CONCATENATE("'",$A$550,"'!B",B631),1)</f>
        <v>0</v>
      </c>
      <c r="E631" s="1" cm="1">
        <f t="array" aca="1" ref="E631" ca="1">INDIRECT(CONCATENATE("'",$A$550,"'!c",B631),1)</f>
        <v>0</v>
      </c>
      <c r="F631" s="1" cm="1">
        <f t="array" aca="1" ref="F631" ca="1">INDIRECT(CONCATENATE("'",$A$550,"'!d",B631),1)</f>
        <v>0</v>
      </c>
      <c r="G631" s="1" cm="1">
        <f t="array" aca="1" ref="G631" ca="1">INDIRECT(CONCATENATE("'",$A$550,"'!e",B631),1)</f>
        <v>0</v>
      </c>
      <c r="H631" s="1" cm="1">
        <f t="array" aca="1" ref="H631" ca="1">INDIRECT(CONCATENATE("'",$A$550,"'!f",B631),1)</f>
        <v>0</v>
      </c>
      <c r="I631" s="1" cm="1">
        <f t="array" aca="1" ref="I631" ca="1">INDIRECT(CONCATENATE("'",$A$550,"'!g",B631),1)</f>
        <v>0</v>
      </c>
      <c r="J631" s="1" cm="1">
        <f t="array" aca="1" ref="J631" ca="1">INDIRECT(CONCATENATE("'",$A$550,"'!h",B631),1)</f>
        <v>0</v>
      </c>
      <c r="K631" s="1" cm="1">
        <f t="array" aca="1" ref="K631" ca="1">INDIRECT(CONCATENATE("'",$A$550,"'!i",B631),1)</f>
        <v>0</v>
      </c>
      <c r="L631" s="1" cm="1">
        <f t="array" aca="1" ref="L631" ca="1">INDIRECT(CONCATENATE("'",$A$550,"'!j",B631),1)</f>
        <v>0</v>
      </c>
      <c r="M631" s="1" cm="1">
        <f t="array" aca="1" ref="M631" ca="1">INDIRECT(CONCATENATE("'",$A$550,"'!k",B631),1)</f>
        <v>0</v>
      </c>
      <c r="N631" s="1" cm="1">
        <f t="array" aca="1" ref="N631" ca="1">INDIRECT(CONCATENATE("'",$A$550,"'!l",B631),1)</f>
        <v>0</v>
      </c>
      <c r="O631" s="1" cm="1">
        <f t="array" aca="1" ref="O631" ca="1">INDIRECT(CONCATENATE("'",$A$550,"'!m",B631),1)</f>
        <v>0</v>
      </c>
      <c r="P631" s="1" cm="1">
        <f t="array" aca="1" ref="P631" ca="1">INDIRECT(CONCATENATE("'",$A$550,"'!n",B631),1)</f>
        <v>0</v>
      </c>
      <c r="Q631" s="1" cm="1">
        <f t="array" aca="1" ref="Q631" ca="1">INDIRECT(CONCATENATE("'",$A$550,"'!o",B631),1)</f>
        <v>0</v>
      </c>
      <c r="R631" s="1" cm="1">
        <f t="array" aca="1" ref="R631" ca="1">INDIRECT(CONCATENATE("'",$A$550,"'!p",B631),1)</f>
        <v>0</v>
      </c>
      <c r="S631" s="1">
        <f t="shared" ca="1" si="50"/>
        <v>0</v>
      </c>
      <c r="T631" s="1" cm="1">
        <f t="array" aca="1" ref="T631" ca="1">INDIRECT(CONCATENATE("'",$A$550,"'!q",B631),1)</f>
        <v>0</v>
      </c>
      <c r="U631" s="1" cm="1">
        <f t="array" aca="1" ref="U631" ca="1">INDIRECT(CONCATENATE("'",$A$550,"'!r",B631),1)</f>
        <v>0</v>
      </c>
      <c r="V631" s="1" cm="1">
        <f t="array" aca="1" ref="V631" ca="1">INDIRECT(CONCATENATE("'",$A$550,"'!s",B631),1)</f>
        <v>0</v>
      </c>
      <c r="W631" s="1" cm="1">
        <f t="array" aca="1" ref="W631" ca="1">INDIRECT(CONCATENATE("'",$A$550,"'!t",B631),1)</f>
        <v>0</v>
      </c>
      <c r="X631" s="1" cm="1">
        <f t="array" aca="1" ref="X631" ca="1">INDIRECT(CONCATENATE("'",$A$550,"'!u",B631),1)</f>
        <v>0</v>
      </c>
      <c r="Y631" s="1" cm="1">
        <f t="array" aca="1" ref="Y631" ca="1">INDIRECT(CONCATENATE("'",$A$550,"'!v",B631),1)</f>
        <v>0</v>
      </c>
    </row>
    <row r="632" spans="1:25" hidden="1" x14ac:dyDescent="0.25">
      <c r="A632" s="15"/>
      <c r="B632" s="24">
        <f t="shared" si="49"/>
        <v>84</v>
      </c>
      <c r="C632" s="1" cm="1">
        <f t="array" aca="1" ref="C632" ca="1">INDIRECT(CONCATENATE("'",$A$550,"'!A",B632),1)</f>
        <v>0</v>
      </c>
      <c r="D632" s="1" cm="1">
        <f t="array" aca="1" ref="D632" ca="1">INDIRECT(CONCATENATE("'",$A$550,"'!B",B632),1)</f>
        <v>0</v>
      </c>
      <c r="E632" s="1" cm="1">
        <f t="array" aca="1" ref="E632" ca="1">INDIRECT(CONCATENATE("'",$A$550,"'!c",B632),1)</f>
        <v>0</v>
      </c>
      <c r="F632" s="1" cm="1">
        <f t="array" aca="1" ref="F632" ca="1">INDIRECT(CONCATENATE("'",$A$550,"'!d",B632),1)</f>
        <v>0</v>
      </c>
      <c r="G632" s="1" cm="1">
        <f t="array" aca="1" ref="G632" ca="1">INDIRECT(CONCATENATE("'",$A$550,"'!e",B632),1)</f>
        <v>0</v>
      </c>
      <c r="H632" s="1" cm="1">
        <f t="array" aca="1" ref="H632" ca="1">INDIRECT(CONCATENATE("'",$A$550,"'!f",B632),1)</f>
        <v>0</v>
      </c>
      <c r="I632" s="1" cm="1">
        <f t="array" aca="1" ref="I632" ca="1">INDIRECT(CONCATENATE("'",$A$550,"'!g",B632),1)</f>
        <v>0</v>
      </c>
      <c r="J632" s="1" cm="1">
        <f t="array" aca="1" ref="J632" ca="1">INDIRECT(CONCATENATE("'",$A$550,"'!h",B632),1)</f>
        <v>0</v>
      </c>
      <c r="K632" s="1" cm="1">
        <f t="array" aca="1" ref="K632" ca="1">INDIRECT(CONCATENATE("'",$A$550,"'!i",B632),1)</f>
        <v>0</v>
      </c>
      <c r="L632" s="1" cm="1">
        <f t="array" aca="1" ref="L632" ca="1">INDIRECT(CONCATENATE("'",$A$550,"'!j",B632),1)</f>
        <v>0</v>
      </c>
      <c r="M632" s="1" cm="1">
        <f t="array" aca="1" ref="M632" ca="1">INDIRECT(CONCATENATE("'",$A$550,"'!k",B632),1)</f>
        <v>0</v>
      </c>
      <c r="N632" s="1" cm="1">
        <f t="array" aca="1" ref="N632" ca="1">INDIRECT(CONCATENATE("'",$A$550,"'!l",B632),1)</f>
        <v>0</v>
      </c>
      <c r="O632" s="1" cm="1">
        <f t="array" aca="1" ref="O632" ca="1">INDIRECT(CONCATENATE("'",$A$550,"'!m",B632),1)</f>
        <v>0</v>
      </c>
      <c r="P632" s="1" cm="1">
        <f t="array" aca="1" ref="P632" ca="1">INDIRECT(CONCATENATE("'",$A$550,"'!n",B632),1)</f>
        <v>0</v>
      </c>
      <c r="Q632" s="1" cm="1">
        <f t="array" aca="1" ref="Q632" ca="1">INDIRECT(CONCATENATE("'",$A$550,"'!o",B632),1)</f>
        <v>0</v>
      </c>
      <c r="R632" s="1" cm="1">
        <f t="array" aca="1" ref="R632" ca="1">INDIRECT(CONCATENATE("'",$A$550,"'!p",B632),1)</f>
        <v>0</v>
      </c>
      <c r="S632" s="1">
        <f t="shared" ca="1" si="50"/>
        <v>0</v>
      </c>
      <c r="T632" s="1" cm="1">
        <f t="array" aca="1" ref="T632" ca="1">INDIRECT(CONCATENATE("'",$A$550,"'!q",B632),1)</f>
        <v>0</v>
      </c>
      <c r="U632" s="1" cm="1">
        <f t="array" aca="1" ref="U632" ca="1">INDIRECT(CONCATENATE("'",$A$550,"'!r",B632),1)</f>
        <v>0</v>
      </c>
      <c r="V632" s="1" cm="1">
        <f t="array" aca="1" ref="V632" ca="1">INDIRECT(CONCATENATE("'",$A$550,"'!s",B632),1)</f>
        <v>0</v>
      </c>
      <c r="W632" s="1" cm="1">
        <f t="array" aca="1" ref="W632" ca="1">INDIRECT(CONCATENATE("'",$A$550,"'!t",B632),1)</f>
        <v>0</v>
      </c>
      <c r="X632" s="1" cm="1">
        <f t="array" aca="1" ref="X632" ca="1">INDIRECT(CONCATENATE("'",$A$550,"'!u",B632),1)</f>
        <v>0</v>
      </c>
      <c r="Y632" s="1" cm="1">
        <f t="array" aca="1" ref="Y632" ca="1">INDIRECT(CONCATENATE("'",$A$550,"'!v",B632),1)</f>
        <v>0</v>
      </c>
    </row>
    <row r="633" spans="1:25" hidden="1" x14ac:dyDescent="0.25">
      <c r="A633" s="15"/>
      <c r="B633" s="24">
        <f t="shared" si="49"/>
        <v>85</v>
      </c>
      <c r="C633" s="1" cm="1">
        <f t="array" aca="1" ref="C633" ca="1">INDIRECT(CONCATENATE("'",$A$550,"'!A",B633),1)</f>
        <v>0</v>
      </c>
      <c r="D633" s="1" cm="1">
        <f t="array" aca="1" ref="D633" ca="1">INDIRECT(CONCATENATE("'",$A$550,"'!B",B633),1)</f>
        <v>0</v>
      </c>
      <c r="E633" s="1" cm="1">
        <f t="array" aca="1" ref="E633" ca="1">INDIRECT(CONCATENATE("'",$A$550,"'!c",B633),1)</f>
        <v>0</v>
      </c>
      <c r="F633" s="1" cm="1">
        <f t="array" aca="1" ref="F633" ca="1">INDIRECT(CONCATENATE("'",$A$550,"'!d",B633),1)</f>
        <v>0</v>
      </c>
      <c r="G633" s="1" cm="1">
        <f t="array" aca="1" ref="G633" ca="1">INDIRECT(CONCATENATE("'",$A$550,"'!e",B633),1)</f>
        <v>0</v>
      </c>
      <c r="H633" s="1" cm="1">
        <f t="array" aca="1" ref="H633" ca="1">INDIRECT(CONCATENATE("'",$A$550,"'!f",B633),1)</f>
        <v>0</v>
      </c>
      <c r="I633" s="1" cm="1">
        <f t="array" aca="1" ref="I633" ca="1">INDIRECT(CONCATENATE("'",$A$550,"'!g",B633),1)</f>
        <v>0</v>
      </c>
      <c r="J633" s="1" cm="1">
        <f t="array" aca="1" ref="J633" ca="1">INDIRECT(CONCATENATE("'",$A$550,"'!h",B633),1)</f>
        <v>0</v>
      </c>
      <c r="K633" s="1" cm="1">
        <f t="array" aca="1" ref="K633" ca="1">INDIRECT(CONCATENATE("'",$A$550,"'!i",B633),1)</f>
        <v>0</v>
      </c>
      <c r="L633" s="1" cm="1">
        <f t="array" aca="1" ref="L633" ca="1">INDIRECT(CONCATENATE("'",$A$550,"'!j",B633),1)</f>
        <v>0</v>
      </c>
      <c r="M633" s="1" cm="1">
        <f t="array" aca="1" ref="M633" ca="1">INDIRECT(CONCATENATE("'",$A$550,"'!k",B633),1)</f>
        <v>0</v>
      </c>
      <c r="N633" s="1" cm="1">
        <f t="array" aca="1" ref="N633" ca="1">INDIRECT(CONCATENATE("'",$A$550,"'!l",B633),1)</f>
        <v>0</v>
      </c>
      <c r="O633" s="1" cm="1">
        <f t="array" aca="1" ref="O633" ca="1">INDIRECT(CONCATENATE("'",$A$550,"'!m",B633),1)</f>
        <v>0</v>
      </c>
      <c r="P633" s="1" cm="1">
        <f t="array" aca="1" ref="P633" ca="1">INDIRECT(CONCATENATE("'",$A$550,"'!n",B633),1)</f>
        <v>0</v>
      </c>
      <c r="Q633" s="1" cm="1">
        <f t="array" aca="1" ref="Q633" ca="1">INDIRECT(CONCATENATE("'",$A$550,"'!o",B633),1)</f>
        <v>0</v>
      </c>
      <c r="R633" s="1" cm="1">
        <f t="array" aca="1" ref="R633" ca="1">INDIRECT(CONCATENATE("'",$A$550,"'!p",B633),1)</f>
        <v>0</v>
      </c>
      <c r="S633" s="1">
        <f t="shared" ca="1" si="50"/>
        <v>0</v>
      </c>
      <c r="T633" s="1" cm="1">
        <f t="array" aca="1" ref="T633" ca="1">INDIRECT(CONCATENATE("'",$A$550,"'!q",B633),1)</f>
        <v>0</v>
      </c>
      <c r="U633" s="1" cm="1">
        <f t="array" aca="1" ref="U633" ca="1">INDIRECT(CONCATENATE("'",$A$550,"'!r",B633),1)</f>
        <v>0</v>
      </c>
      <c r="V633" s="1" cm="1">
        <f t="array" aca="1" ref="V633" ca="1">INDIRECT(CONCATENATE("'",$A$550,"'!s",B633),1)</f>
        <v>0</v>
      </c>
      <c r="W633" s="1" cm="1">
        <f t="array" aca="1" ref="W633" ca="1">INDIRECT(CONCATENATE("'",$A$550,"'!t",B633),1)</f>
        <v>0</v>
      </c>
      <c r="X633" s="1" cm="1">
        <f t="array" aca="1" ref="X633" ca="1">INDIRECT(CONCATENATE("'",$A$550,"'!u",B633),1)</f>
        <v>0</v>
      </c>
      <c r="Y633" s="1" cm="1">
        <f t="array" aca="1" ref="Y633" ca="1">INDIRECT(CONCATENATE("'",$A$550,"'!v",B633),1)</f>
        <v>0</v>
      </c>
    </row>
    <row r="634" spans="1:25" hidden="1" x14ac:dyDescent="0.25">
      <c r="A634" s="15"/>
      <c r="B634" s="24">
        <f t="shared" si="49"/>
        <v>86</v>
      </c>
      <c r="C634" s="1" cm="1">
        <f t="array" aca="1" ref="C634" ca="1">INDIRECT(CONCATENATE("'",$A$550,"'!A",B634),1)</f>
        <v>0</v>
      </c>
      <c r="D634" s="1" cm="1">
        <f t="array" aca="1" ref="D634" ca="1">INDIRECT(CONCATENATE("'",$A$550,"'!B",B634),1)</f>
        <v>0</v>
      </c>
      <c r="E634" s="1" cm="1">
        <f t="array" aca="1" ref="E634" ca="1">INDIRECT(CONCATENATE("'",$A$550,"'!c",B634),1)</f>
        <v>0</v>
      </c>
      <c r="F634" s="1" cm="1">
        <f t="array" aca="1" ref="F634" ca="1">INDIRECT(CONCATENATE("'",$A$550,"'!d",B634),1)</f>
        <v>0</v>
      </c>
      <c r="G634" s="1" cm="1">
        <f t="array" aca="1" ref="G634" ca="1">INDIRECT(CONCATENATE("'",$A$550,"'!e",B634),1)</f>
        <v>0</v>
      </c>
      <c r="H634" s="1" cm="1">
        <f t="array" aca="1" ref="H634" ca="1">INDIRECT(CONCATENATE("'",$A$550,"'!f",B634),1)</f>
        <v>0</v>
      </c>
      <c r="I634" s="1" cm="1">
        <f t="array" aca="1" ref="I634" ca="1">INDIRECT(CONCATENATE("'",$A$550,"'!g",B634),1)</f>
        <v>0</v>
      </c>
      <c r="J634" s="1" cm="1">
        <f t="array" aca="1" ref="J634" ca="1">INDIRECT(CONCATENATE("'",$A$550,"'!h",B634),1)</f>
        <v>0</v>
      </c>
      <c r="K634" s="1" cm="1">
        <f t="array" aca="1" ref="K634" ca="1">INDIRECT(CONCATENATE("'",$A$550,"'!i",B634),1)</f>
        <v>0</v>
      </c>
      <c r="L634" s="1" cm="1">
        <f t="array" aca="1" ref="L634" ca="1">INDIRECT(CONCATENATE("'",$A$550,"'!j",B634),1)</f>
        <v>0</v>
      </c>
      <c r="M634" s="1" cm="1">
        <f t="array" aca="1" ref="M634" ca="1">INDIRECT(CONCATENATE("'",$A$550,"'!k",B634),1)</f>
        <v>0</v>
      </c>
      <c r="N634" s="1" cm="1">
        <f t="array" aca="1" ref="N634" ca="1">INDIRECT(CONCATENATE("'",$A$550,"'!l",B634),1)</f>
        <v>0</v>
      </c>
      <c r="O634" s="1" cm="1">
        <f t="array" aca="1" ref="O634" ca="1">INDIRECT(CONCATENATE("'",$A$550,"'!m",B634),1)</f>
        <v>0</v>
      </c>
      <c r="P634" s="1" cm="1">
        <f t="array" aca="1" ref="P634" ca="1">INDIRECT(CONCATENATE("'",$A$550,"'!n",B634),1)</f>
        <v>0</v>
      </c>
      <c r="Q634" s="1" cm="1">
        <f t="array" aca="1" ref="Q634" ca="1">INDIRECT(CONCATENATE("'",$A$550,"'!o",B634),1)</f>
        <v>0</v>
      </c>
      <c r="R634" s="1" cm="1">
        <f t="array" aca="1" ref="R634" ca="1">INDIRECT(CONCATENATE("'",$A$550,"'!p",B634),1)</f>
        <v>0</v>
      </c>
      <c r="S634" s="1">
        <f t="shared" ca="1" si="50"/>
        <v>0</v>
      </c>
      <c r="T634" s="1" cm="1">
        <f t="array" aca="1" ref="T634" ca="1">INDIRECT(CONCATENATE("'",$A$550,"'!q",B634),1)</f>
        <v>0</v>
      </c>
      <c r="U634" s="1" cm="1">
        <f t="array" aca="1" ref="U634" ca="1">INDIRECT(CONCATENATE("'",$A$550,"'!r",B634),1)</f>
        <v>0</v>
      </c>
      <c r="V634" s="1" cm="1">
        <f t="array" aca="1" ref="V634" ca="1">INDIRECT(CONCATENATE("'",$A$550,"'!s",B634),1)</f>
        <v>0</v>
      </c>
      <c r="W634" s="1" cm="1">
        <f t="array" aca="1" ref="W634" ca="1">INDIRECT(CONCATENATE("'",$A$550,"'!t",B634),1)</f>
        <v>0</v>
      </c>
      <c r="X634" s="1" cm="1">
        <f t="array" aca="1" ref="X634" ca="1">INDIRECT(CONCATENATE("'",$A$550,"'!u",B634),1)</f>
        <v>0</v>
      </c>
      <c r="Y634" s="1" cm="1">
        <f t="array" aca="1" ref="Y634" ca="1">INDIRECT(CONCATENATE("'",$A$550,"'!v",B634),1)</f>
        <v>0</v>
      </c>
    </row>
    <row r="635" spans="1:25" hidden="1" x14ac:dyDescent="0.25">
      <c r="A635" s="15"/>
      <c r="B635" s="24">
        <f t="shared" si="49"/>
        <v>87</v>
      </c>
      <c r="C635" s="1" cm="1">
        <f t="array" aca="1" ref="C635" ca="1">INDIRECT(CONCATENATE("'",$A$550,"'!A",B635),1)</f>
        <v>0</v>
      </c>
      <c r="D635" s="1" cm="1">
        <f t="array" aca="1" ref="D635" ca="1">INDIRECT(CONCATENATE("'",$A$550,"'!B",B635),1)</f>
        <v>0</v>
      </c>
      <c r="E635" s="1" cm="1">
        <f t="array" aca="1" ref="E635" ca="1">INDIRECT(CONCATENATE("'",$A$550,"'!c",B635),1)</f>
        <v>0</v>
      </c>
      <c r="F635" s="1" cm="1">
        <f t="array" aca="1" ref="F635" ca="1">INDIRECT(CONCATENATE("'",$A$550,"'!d",B635),1)</f>
        <v>0</v>
      </c>
      <c r="G635" s="1" cm="1">
        <f t="array" aca="1" ref="G635" ca="1">INDIRECT(CONCATENATE("'",$A$550,"'!e",B635),1)</f>
        <v>0</v>
      </c>
      <c r="H635" s="1" cm="1">
        <f t="array" aca="1" ref="H635" ca="1">INDIRECT(CONCATENATE("'",$A$550,"'!f",B635),1)</f>
        <v>0</v>
      </c>
      <c r="I635" s="1" cm="1">
        <f t="array" aca="1" ref="I635" ca="1">INDIRECT(CONCATENATE("'",$A$550,"'!g",B635),1)</f>
        <v>0</v>
      </c>
      <c r="J635" s="1" cm="1">
        <f t="array" aca="1" ref="J635" ca="1">INDIRECT(CONCATENATE("'",$A$550,"'!h",B635),1)</f>
        <v>0</v>
      </c>
      <c r="K635" s="1" cm="1">
        <f t="array" aca="1" ref="K635" ca="1">INDIRECT(CONCATENATE("'",$A$550,"'!i",B635),1)</f>
        <v>0</v>
      </c>
      <c r="L635" s="1" cm="1">
        <f t="array" aca="1" ref="L635" ca="1">INDIRECT(CONCATENATE("'",$A$550,"'!j",B635),1)</f>
        <v>0</v>
      </c>
      <c r="M635" s="1" cm="1">
        <f t="array" aca="1" ref="M635" ca="1">INDIRECT(CONCATENATE("'",$A$550,"'!k",B635),1)</f>
        <v>0</v>
      </c>
      <c r="N635" s="1" cm="1">
        <f t="array" aca="1" ref="N635" ca="1">INDIRECT(CONCATENATE("'",$A$550,"'!l",B635),1)</f>
        <v>0</v>
      </c>
      <c r="O635" s="1" cm="1">
        <f t="array" aca="1" ref="O635" ca="1">INDIRECT(CONCATENATE("'",$A$550,"'!m",B635),1)</f>
        <v>0</v>
      </c>
      <c r="P635" s="1" cm="1">
        <f t="array" aca="1" ref="P635" ca="1">INDIRECT(CONCATENATE("'",$A$550,"'!n",B635),1)</f>
        <v>0</v>
      </c>
      <c r="Q635" s="1" cm="1">
        <f t="array" aca="1" ref="Q635" ca="1">INDIRECT(CONCATENATE("'",$A$550,"'!o",B635),1)</f>
        <v>0</v>
      </c>
      <c r="R635" s="1" cm="1">
        <f t="array" aca="1" ref="R635" ca="1">INDIRECT(CONCATENATE("'",$A$550,"'!p",B635),1)</f>
        <v>0</v>
      </c>
      <c r="S635" s="1">
        <f t="shared" ca="1" si="50"/>
        <v>0</v>
      </c>
      <c r="T635" s="1" cm="1">
        <f t="array" aca="1" ref="T635" ca="1">INDIRECT(CONCATENATE("'",$A$550,"'!q",B635),1)</f>
        <v>0</v>
      </c>
      <c r="U635" s="1" cm="1">
        <f t="array" aca="1" ref="U635" ca="1">INDIRECT(CONCATENATE("'",$A$550,"'!r",B635),1)</f>
        <v>0</v>
      </c>
      <c r="V635" s="1" cm="1">
        <f t="array" aca="1" ref="V635" ca="1">INDIRECT(CONCATENATE("'",$A$550,"'!s",B635),1)</f>
        <v>0</v>
      </c>
      <c r="W635" s="1" cm="1">
        <f t="array" aca="1" ref="W635" ca="1">INDIRECT(CONCATENATE("'",$A$550,"'!t",B635),1)</f>
        <v>0</v>
      </c>
      <c r="X635" s="1" cm="1">
        <f t="array" aca="1" ref="X635" ca="1">INDIRECT(CONCATENATE("'",$A$550,"'!u",B635),1)</f>
        <v>0</v>
      </c>
      <c r="Y635" s="1" cm="1">
        <f t="array" aca="1" ref="Y635" ca="1">INDIRECT(CONCATENATE("'",$A$550,"'!v",B635),1)</f>
        <v>0</v>
      </c>
    </row>
    <row r="636" spans="1:25" hidden="1" x14ac:dyDescent="0.25">
      <c r="A636" s="15"/>
      <c r="B636" s="24">
        <f t="shared" si="49"/>
        <v>88</v>
      </c>
      <c r="C636" s="1" cm="1">
        <f t="array" aca="1" ref="C636" ca="1">INDIRECT(CONCATENATE("'",$A$550,"'!A",B636),1)</f>
        <v>0</v>
      </c>
      <c r="D636" s="1" cm="1">
        <f t="array" aca="1" ref="D636" ca="1">INDIRECT(CONCATENATE("'",$A$550,"'!B",B636),1)</f>
        <v>0</v>
      </c>
      <c r="E636" s="1" cm="1">
        <f t="array" aca="1" ref="E636" ca="1">INDIRECT(CONCATENATE("'",$A$550,"'!c",B636),1)</f>
        <v>0</v>
      </c>
      <c r="F636" s="1" cm="1">
        <f t="array" aca="1" ref="F636" ca="1">INDIRECT(CONCATENATE("'",$A$550,"'!d",B636),1)</f>
        <v>0</v>
      </c>
      <c r="G636" s="1" cm="1">
        <f t="array" aca="1" ref="G636" ca="1">INDIRECT(CONCATENATE("'",$A$550,"'!e",B636),1)</f>
        <v>0</v>
      </c>
      <c r="H636" s="1" cm="1">
        <f t="array" aca="1" ref="H636" ca="1">INDIRECT(CONCATENATE("'",$A$550,"'!f",B636),1)</f>
        <v>0</v>
      </c>
      <c r="I636" s="1" cm="1">
        <f t="array" aca="1" ref="I636" ca="1">INDIRECT(CONCATENATE("'",$A$550,"'!g",B636),1)</f>
        <v>0</v>
      </c>
      <c r="J636" s="1" cm="1">
        <f t="array" aca="1" ref="J636" ca="1">INDIRECT(CONCATENATE("'",$A$550,"'!h",B636),1)</f>
        <v>0</v>
      </c>
      <c r="K636" s="1" cm="1">
        <f t="array" aca="1" ref="K636" ca="1">INDIRECT(CONCATENATE("'",$A$550,"'!i",B636),1)</f>
        <v>0</v>
      </c>
      <c r="L636" s="1" cm="1">
        <f t="array" aca="1" ref="L636" ca="1">INDIRECT(CONCATENATE("'",$A$550,"'!j",B636),1)</f>
        <v>0</v>
      </c>
      <c r="M636" s="1" cm="1">
        <f t="array" aca="1" ref="M636" ca="1">INDIRECT(CONCATENATE("'",$A$550,"'!k",B636),1)</f>
        <v>0</v>
      </c>
      <c r="N636" s="1" cm="1">
        <f t="array" aca="1" ref="N636" ca="1">INDIRECT(CONCATENATE("'",$A$550,"'!l",B636),1)</f>
        <v>0</v>
      </c>
      <c r="O636" s="1" cm="1">
        <f t="array" aca="1" ref="O636" ca="1">INDIRECT(CONCATENATE("'",$A$550,"'!m",B636),1)</f>
        <v>0</v>
      </c>
      <c r="P636" s="1" cm="1">
        <f t="array" aca="1" ref="P636" ca="1">INDIRECT(CONCATENATE("'",$A$550,"'!n",B636),1)</f>
        <v>0</v>
      </c>
      <c r="Q636" s="1" cm="1">
        <f t="array" aca="1" ref="Q636" ca="1">INDIRECT(CONCATENATE("'",$A$550,"'!o",B636),1)</f>
        <v>0</v>
      </c>
      <c r="R636" s="1" cm="1">
        <f t="array" aca="1" ref="R636" ca="1">INDIRECT(CONCATENATE("'",$A$550,"'!p",B636),1)</f>
        <v>0</v>
      </c>
      <c r="S636" s="1">
        <f t="shared" ca="1" si="50"/>
        <v>0</v>
      </c>
      <c r="T636" s="1" cm="1">
        <f t="array" aca="1" ref="T636" ca="1">INDIRECT(CONCATENATE("'",$A$550,"'!q",B636),1)</f>
        <v>0</v>
      </c>
      <c r="U636" s="1" cm="1">
        <f t="array" aca="1" ref="U636" ca="1">INDIRECT(CONCATENATE("'",$A$550,"'!r",B636),1)</f>
        <v>0</v>
      </c>
      <c r="V636" s="1" cm="1">
        <f t="array" aca="1" ref="V636" ca="1">INDIRECT(CONCATENATE("'",$A$550,"'!s",B636),1)</f>
        <v>0</v>
      </c>
      <c r="W636" s="1" cm="1">
        <f t="array" aca="1" ref="W636" ca="1">INDIRECT(CONCATENATE("'",$A$550,"'!t",B636),1)</f>
        <v>0</v>
      </c>
      <c r="X636" s="1" cm="1">
        <f t="array" aca="1" ref="X636" ca="1">INDIRECT(CONCATENATE("'",$A$550,"'!u",B636),1)</f>
        <v>0</v>
      </c>
      <c r="Y636" s="1" cm="1">
        <f t="array" aca="1" ref="Y636" ca="1">INDIRECT(CONCATENATE("'",$A$550,"'!v",B636),1)</f>
        <v>0</v>
      </c>
    </row>
    <row r="637" spans="1:25" hidden="1" x14ac:dyDescent="0.25">
      <c r="A637" s="15"/>
      <c r="B637" s="24">
        <f t="shared" si="49"/>
        <v>89</v>
      </c>
      <c r="C637" s="1" cm="1">
        <f t="array" aca="1" ref="C637" ca="1">INDIRECT(CONCATENATE("'",$A$550,"'!A",B637),1)</f>
        <v>0</v>
      </c>
      <c r="D637" s="1" cm="1">
        <f t="array" aca="1" ref="D637" ca="1">INDIRECT(CONCATENATE("'",$A$550,"'!B",B637),1)</f>
        <v>0</v>
      </c>
      <c r="E637" s="1" cm="1">
        <f t="array" aca="1" ref="E637" ca="1">INDIRECT(CONCATENATE("'",$A$550,"'!c",B637),1)</f>
        <v>0</v>
      </c>
      <c r="F637" s="1" cm="1">
        <f t="array" aca="1" ref="F637" ca="1">INDIRECT(CONCATENATE("'",$A$550,"'!d",B637),1)</f>
        <v>0</v>
      </c>
      <c r="G637" s="1" cm="1">
        <f t="array" aca="1" ref="G637" ca="1">INDIRECT(CONCATENATE("'",$A$550,"'!e",B637),1)</f>
        <v>0</v>
      </c>
      <c r="H637" s="1" cm="1">
        <f t="array" aca="1" ref="H637" ca="1">INDIRECT(CONCATENATE("'",$A$550,"'!f",B637),1)</f>
        <v>0</v>
      </c>
      <c r="I637" s="1" cm="1">
        <f t="array" aca="1" ref="I637" ca="1">INDIRECT(CONCATENATE("'",$A$550,"'!g",B637),1)</f>
        <v>0</v>
      </c>
      <c r="J637" s="1" cm="1">
        <f t="array" aca="1" ref="J637" ca="1">INDIRECT(CONCATENATE("'",$A$550,"'!h",B637),1)</f>
        <v>0</v>
      </c>
      <c r="K637" s="1" cm="1">
        <f t="array" aca="1" ref="K637" ca="1">INDIRECT(CONCATENATE("'",$A$550,"'!i",B637),1)</f>
        <v>0</v>
      </c>
      <c r="L637" s="1" cm="1">
        <f t="array" aca="1" ref="L637" ca="1">INDIRECT(CONCATENATE("'",$A$550,"'!j",B637),1)</f>
        <v>0</v>
      </c>
      <c r="M637" s="1" cm="1">
        <f t="array" aca="1" ref="M637" ca="1">INDIRECT(CONCATENATE("'",$A$550,"'!k",B637),1)</f>
        <v>0</v>
      </c>
      <c r="N637" s="1" cm="1">
        <f t="array" aca="1" ref="N637" ca="1">INDIRECT(CONCATENATE("'",$A$550,"'!l",B637),1)</f>
        <v>0</v>
      </c>
      <c r="O637" s="1" cm="1">
        <f t="array" aca="1" ref="O637" ca="1">INDIRECT(CONCATENATE("'",$A$550,"'!m",B637),1)</f>
        <v>0</v>
      </c>
      <c r="P637" s="1" cm="1">
        <f t="array" aca="1" ref="P637" ca="1">INDIRECT(CONCATENATE("'",$A$550,"'!n",B637),1)</f>
        <v>0</v>
      </c>
      <c r="Q637" s="1" cm="1">
        <f t="array" aca="1" ref="Q637" ca="1">INDIRECT(CONCATENATE("'",$A$550,"'!o",B637),1)</f>
        <v>0</v>
      </c>
      <c r="R637" s="1" cm="1">
        <f t="array" aca="1" ref="R637" ca="1">INDIRECT(CONCATENATE("'",$A$550,"'!p",B637),1)</f>
        <v>0</v>
      </c>
      <c r="S637" s="1">
        <f t="shared" ca="1" si="50"/>
        <v>0</v>
      </c>
      <c r="T637" s="1" cm="1">
        <f t="array" aca="1" ref="T637" ca="1">INDIRECT(CONCATENATE("'",$A$550,"'!q",B637),1)</f>
        <v>0</v>
      </c>
      <c r="U637" s="1" cm="1">
        <f t="array" aca="1" ref="U637" ca="1">INDIRECT(CONCATENATE("'",$A$550,"'!r",B637),1)</f>
        <v>0</v>
      </c>
      <c r="V637" s="1" cm="1">
        <f t="array" aca="1" ref="V637" ca="1">INDIRECT(CONCATENATE("'",$A$550,"'!s",B637),1)</f>
        <v>0</v>
      </c>
      <c r="W637" s="1" cm="1">
        <f t="array" aca="1" ref="W637" ca="1">INDIRECT(CONCATENATE("'",$A$550,"'!t",B637),1)</f>
        <v>0</v>
      </c>
      <c r="X637" s="1" cm="1">
        <f t="array" aca="1" ref="X637" ca="1">INDIRECT(CONCATENATE("'",$A$550,"'!u",B637),1)</f>
        <v>0</v>
      </c>
      <c r="Y637" s="1" cm="1">
        <f t="array" aca="1" ref="Y637" ca="1">INDIRECT(CONCATENATE("'",$A$550,"'!v",B637),1)</f>
        <v>0</v>
      </c>
    </row>
    <row r="638" spans="1:25" hidden="1" x14ac:dyDescent="0.25">
      <c r="A638" s="15"/>
      <c r="B638" s="24">
        <f t="shared" si="49"/>
        <v>90</v>
      </c>
      <c r="C638" s="1" cm="1">
        <f t="array" aca="1" ref="C638" ca="1">INDIRECT(CONCATENATE("'",$A$550,"'!A",B638),1)</f>
        <v>0</v>
      </c>
      <c r="D638" s="1" cm="1">
        <f t="array" aca="1" ref="D638" ca="1">INDIRECT(CONCATENATE("'",$A$550,"'!B",B638),1)</f>
        <v>0</v>
      </c>
      <c r="E638" s="1" cm="1">
        <f t="array" aca="1" ref="E638" ca="1">INDIRECT(CONCATENATE("'",$A$550,"'!c",B638),1)</f>
        <v>0</v>
      </c>
      <c r="F638" s="1" cm="1">
        <f t="array" aca="1" ref="F638" ca="1">INDIRECT(CONCATENATE("'",$A$550,"'!d",B638),1)</f>
        <v>0</v>
      </c>
      <c r="G638" s="1" cm="1">
        <f t="array" aca="1" ref="G638" ca="1">INDIRECT(CONCATENATE("'",$A$550,"'!e",B638),1)</f>
        <v>0</v>
      </c>
      <c r="H638" s="1" cm="1">
        <f t="array" aca="1" ref="H638" ca="1">INDIRECT(CONCATENATE("'",$A$550,"'!f",B638),1)</f>
        <v>0</v>
      </c>
      <c r="I638" s="1" cm="1">
        <f t="array" aca="1" ref="I638" ca="1">INDIRECT(CONCATENATE("'",$A$550,"'!g",B638),1)</f>
        <v>0</v>
      </c>
      <c r="J638" s="1" cm="1">
        <f t="array" aca="1" ref="J638" ca="1">INDIRECT(CONCATENATE("'",$A$550,"'!h",B638),1)</f>
        <v>0</v>
      </c>
      <c r="K638" s="1" cm="1">
        <f t="array" aca="1" ref="K638" ca="1">INDIRECT(CONCATENATE("'",$A$550,"'!i",B638),1)</f>
        <v>0</v>
      </c>
      <c r="L638" s="1" cm="1">
        <f t="array" aca="1" ref="L638" ca="1">INDIRECT(CONCATENATE("'",$A$550,"'!j",B638),1)</f>
        <v>0</v>
      </c>
      <c r="M638" s="1" cm="1">
        <f t="array" aca="1" ref="M638" ca="1">INDIRECT(CONCATENATE("'",$A$550,"'!k",B638),1)</f>
        <v>0</v>
      </c>
      <c r="N638" s="1" cm="1">
        <f t="array" aca="1" ref="N638" ca="1">INDIRECT(CONCATENATE("'",$A$550,"'!l",B638),1)</f>
        <v>0</v>
      </c>
      <c r="O638" s="1" cm="1">
        <f t="array" aca="1" ref="O638" ca="1">INDIRECT(CONCATENATE("'",$A$550,"'!m",B638),1)</f>
        <v>0</v>
      </c>
      <c r="P638" s="1" cm="1">
        <f t="array" aca="1" ref="P638" ca="1">INDIRECT(CONCATENATE("'",$A$550,"'!n",B638),1)</f>
        <v>0</v>
      </c>
      <c r="Q638" s="1" cm="1">
        <f t="array" aca="1" ref="Q638" ca="1">INDIRECT(CONCATENATE("'",$A$550,"'!o",B638),1)</f>
        <v>0</v>
      </c>
      <c r="R638" s="1" cm="1">
        <f t="array" aca="1" ref="R638" ca="1">INDIRECT(CONCATENATE("'",$A$550,"'!p",B638),1)</f>
        <v>0</v>
      </c>
      <c r="S638" s="1">
        <f t="shared" ca="1" si="50"/>
        <v>0</v>
      </c>
      <c r="T638" s="1" cm="1">
        <f t="array" aca="1" ref="T638" ca="1">INDIRECT(CONCATENATE("'",$A$550,"'!q",B638),1)</f>
        <v>0</v>
      </c>
      <c r="U638" s="1" cm="1">
        <f t="array" aca="1" ref="U638" ca="1">INDIRECT(CONCATENATE("'",$A$550,"'!r",B638),1)</f>
        <v>0</v>
      </c>
      <c r="V638" s="1" cm="1">
        <f t="array" aca="1" ref="V638" ca="1">INDIRECT(CONCATENATE("'",$A$550,"'!s",B638),1)</f>
        <v>0</v>
      </c>
      <c r="W638" s="1" cm="1">
        <f t="array" aca="1" ref="W638" ca="1">INDIRECT(CONCATENATE("'",$A$550,"'!t",B638),1)</f>
        <v>0</v>
      </c>
      <c r="X638" s="1" cm="1">
        <f t="array" aca="1" ref="X638" ca="1">INDIRECT(CONCATENATE("'",$A$550,"'!u",B638),1)</f>
        <v>0</v>
      </c>
      <c r="Y638" s="1" cm="1">
        <f t="array" aca="1" ref="Y638" ca="1">INDIRECT(CONCATENATE("'",$A$550,"'!v",B638),1)</f>
        <v>0</v>
      </c>
    </row>
    <row r="639" spans="1:25" hidden="1" x14ac:dyDescent="0.25">
      <c r="A639" s="15"/>
      <c r="B639" s="24">
        <f t="shared" si="49"/>
        <v>91</v>
      </c>
      <c r="C639" s="1" cm="1">
        <f t="array" aca="1" ref="C639" ca="1">INDIRECT(CONCATENATE("'",$A$550,"'!A",B639),1)</f>
        <v>0</v>
      </c>
      <c r="D639" s="1" cm="1">
        <f t="array" aca="1" ref="D639" ca="1">INDIRECT(CONCATENATE("'",$A$550,"'!B",B639),1)</f>
        <v>0</v>
      </c>
      <c r="E639" s="1" cm="1">
        <f t="array" aca="1" ref="E639" ca="1">INDIRECT(CONCATENATE("'",$A$550,"'!c",B639),1)</f>
        <v>0</v>
      </c>
      <c r="F639" s="1" cm="1">
        <f t="array" aca="1" ref="F639" ca="1">INDIRECT(CONCATENATE("'",$A$550,"'!d",B639),1)</f>
        <v>0</v>
      </c>
      <c r="G639" s="1" cm="1">
        <f t="array" aca="1" ref="G639" ca="1">INDIRECT(CONCATENATE("'",$A$550,"'!e",B639),1)</f>
        <v>0</v>
      </c>
      <c r="H639" s="1" cm="1">
        <f t="array" aca="1" ref="H639" ca="1">INDIRECT(CONCATENATE("'",$A$550,"'!f",B639),1)</f>
        <v>0</v>
      </c>
      <c r="I639" s="1" cm="1">
        <f t="array" aca="1" ref="I639" ca="1">INDIRECT(CONCATENATE("'",$A$550,"'!g",B639),1)</f>
        <v>0</v>
      </c>
      <c r="J639" s="1" cm="1">
        <f t="array" aca="1" ref="J639" ca="1">INDIRECT(CONCATENATE("'",$A$550,"'!h",B639),1)</f>
        <v>0</v>
      </c>
      <c r="K639" s="1" cm="1">
        <f t="array" aca="1" ref="K639" ca="1">INDIRECT(CONCATENATE("'",$A$550,"'!i",B639),1)</f>
        <v>0</v>
      </c>
      <c r="L639" s="1" cm="1">
        <f t="array" aca="1" ref="L639" ca="1">INDIRECT(CONCATENATE("'",$A$550,"'!j",B639),1)</f>
        <v>0</v>
      </c>
      <c r="M639" s="1" cm="1">
        <f t="array" aca="1" ref="M639" ca="1">INDIRECT(CONCATENATE("'",$A$550,"'!k",B639),1)</f>
        <v>0</v>
      </c>
      <c r="N639" s="1" cm="1">
        <f t="array" aca="1" ref="N639" ca="1">INDIRECT(CONCATENATE("'",$A$550,"'!l",B639),1)</f>
        <v>0</v>
      </c>
      <c r="O639" s="1" cm="1">
        <f t="array" aca="1" ref="O639" ca="1">INDIRECT(CONCATENATE("'",$A$550,"'!m",B639),1)</f>
        <v>0</v>
      </c>
      <c r="P639" s="1" cm="1">
        <f t="array" aca="1" ref="P639" ca="1">INDIRECT(CONCATENATE("'",$A$550,"'!n",B639),1)</f>
        <v>0</v>
      </c>
      <c r="Q639" s="1" cm="1">
        <f t="array" aca="1" ref="Q639" ca="1">INDIRECT(CONCATENATE("'",$A$550,"'!o",B639),1)</f>
        <v>0</v>
      </c>
      <c r="R639" s="1" cm="1">
        <f t="array" aca="1" ref="R639" ca="1">INDIRECT(CONCATENATE("'",$A$550,"'!p",B639),1)</f>
        <v>0</v>
      </c>
      <c r="S639" s="1">
        <f t="shared" ca="1" si="50"/>
        <v>0</v>
      </c>
      <c r="T639" s="1" cm="1">
        <f t="array" aca="1" ref="T639" ca="1">INDIRECT(CONCATENATE("'",$A$550,"'!q",B639),1)</f>
        <v>0</v>
      </c>
      <c r="U639" s="1" cm="1">
        <f t="array" aca="1" ref="U639" ca="1">INDIRECT(CONCATENATE("'",$A$550,"'!r",B639),1)</f>
        <v>0</v>
      </c>
      <c r="V639" s="1" cm="1">
        <f t="array" aca="1" ref="V639" ca="1">INDIRECT(CONCATENATE("'",$A$550,"'!s",B639),1)</f>
        <v>0</v>
      </c>
      <c r="W639" s="1" cm="1">
        <f t="array" aca="1" ref="W639" ca="1">INDIRECT(CONCATENATE("'",$A$550,"'!t",B639),1)</f>
        <v>0</v>
      </c>
      <c r="X639" s="1" cm="1">
        <f t="array" aca="1" ref="X639" ca="1">INDIRECT(CONCATENATE("'",$A$550,"'!u",B639),1)</f>
        <v>0</v>
      </c>
      <c r="Y639" s="1" cm="1">
        <f t="array" aca="1" ref="Y639" ca="1">INDIRECT(CONCATENATE("'",$A$550,"'!v",B639),1)</f>
        <v>0</v>
      </c>
    </row>
    <row r="640" spans="1:25" hidden="1" x14ac:dyDescent="0.25">
      <c r="A640" s="15"/>
      <c r="B640" s="24">
        <f t="shared" si="49"/>
        <v>92</v>
      </c>
      <c r="C640" s="1" cm="1">
        <f t="array" aca="1" ref="C640" ca="1">INDIRECT(CONCATENATE("'",$A$550,"'!A",B640),1)</f>
        <v>0</v>
      </c>
      <c r="D640" s="1" cm="1">
        <f t="array" aca="1" ref="D640" ca="1">INDIRECT(CONCATENATE("'",$A$550,"'!B",B640),1)</f>
        <v>0</v>
      </c>
      <c r="E640" s="1" cm="1">
        <f t="array" aca="1" ref="E640" ca="1">INDIRECT(CONCATENATE("'",$A$550,"'!c",B640),1)</f>
        <v>0</v>
      </c>
      <c r="F640" s="1" cm="1">
        <f t="array" aca="1" ref="F640" ca="1">INDIRECT(CONCATENATE("'",$A$550,"'!d",B640),1)</f>
        <v>0</v>
      </c>
      <c r="G640" s="1" cm="1">
        <f t="array" aca="1" ref="G640" ca="1">INDIRECT(CONCATENATE("'",$A$550,"'!e",B640),1)</f>
        <v>0</v>
      </c>
      <c r="H640" s="1" cm="1">
        <f t="array" aca="1" ref="H640" ca="1">INDIRECT(CONCATENATE("'",$A$550,"'!f",B640),1)</f>
        <v>0</v>
      </c>
      <c r="I640" s="1" cm="1">
        <f t="array" aca="1" ref="I640" ca="1">INDIRECT(CONCATENATE("'",$A$550,"'!g",B640),1)</f>
        <v>0</v>
      </c>
      <c r="J640" s="1" cm="1">
        <f t="array" aca="1" ref="J640" ca="1">INDIRECT(CONCATENATE("'",$A$550,"'!h",B640),1)</f>
        <v>0</v>
      </c>
      <c r="K640" s="1" cm="1">
        <f t="array" aca="1" ref="K640" ca="1">INDIRECT(CONCATENATE("'",$A$550,"'!i",B640),1)</f>
        <v>0</v>
      </c>
      <c r="L640" s="1" cm="1">
        <f t="array" aca="1" ref="L640" ca="1">INDIRECT(CONCATENATE("'",$A$550,"'!j",B640),1)</f>
        <v>0</v>
      </c>
      <c r="M640" s="1" cm="1">
        <f t="array" aca="1" ref="M640" ca="1">INDIRECT(CONCATENATE("'",$A$550,"'!k",B640),1)</f>
        <v>0</v>
      </c>
      <c r="N640" s="1" cm="1">
        <f t="array" aca="1" ref="N640" ca="1">INDIRECT(CONCATENATE("'",$A$550,"'!l",B640),1)</f>
        <v>0</v>
      </c>
      <c r="O640" s="1" cm="1">
        <f t="array" aca="1" ref="O640" ca="1">INDIRECT(CONCATENATE("'",$A$550,"'!m",B640),1)</f>
        <v>0</v>
      </c>
      <c r="P640" s="1" cm="1">
        <f t="array" aca="1" ref="P640" ca="1">INDIRECT(CONCATENATE("'",$A$550,"'!n",B640),1)</f>
        <v>0</v>
      </c>
      <c r="Q640" s="1" cm="1">
        <f t="array" aca="1" ref="Q640" ca="1">INDIRECT(CONCATENATE("'",$A$550,"'!o",B640),1)</f>
        <v>0</v>
      </c>
      <c r="R640" s="1" cm="1">
        <f t="array" aca="1" ref="R640" ca="1">INDIRECT(CONCATENATE("'",$A$550,"'!p",B640),1)</f>
        <v>0</v>
      </c>
      <c r="S640" s="1">
        <f t="shared" ca="1" si="50"/>
        <v>0</v>
      </c>
      <c r="T640" s="1" cm="1">
        <f t="array" aca="1" ref="T640" ca="1">INDIRECT(CONCATENATE("'",$A$550,"'!q",B640),1)</f>
        <v>0</v>
      </c>
      <c r="U640" s="1" cm="1">
        <f t="array" aca="1" ref="U640" ca="1">INDIRECT(CONCATENATE("'",$A$550,"'!r",B640),1)</f>
        <v>0</v>
      </c>
      <c r="V640" s="1" cm="1">
        <f t="array" aca="1" ref="V640" ca="1">INDIRECT(CONCATENATE("'",$A$550,"'!s",B640),1)</f>
        <v>0</v>
      </c>
      <c r="W640" s="1" cm="1">
        <f t="array" aca="1" ref="W640" ca="1">INDIRECT(CONCATENATE("'",$A$550,"'!t",B640),1)</f>
        <v>0</v>
      </c>
      <c r="X640" s="1" cm="1">
        <f t="array" aca="1" ref="X640" ca="1">INDIRECT(CONCATENATE("'",$A$550,"'!u",B640),1)</f>
        <v>0</v>
      </c>
      <c r="Y640" s="1" cm="1">
        <f t="array" aca="1" ref="Y640" ca="1">INDIRECT(CONCATENATE("'",$A$550,"'!v",B640),1)</f>
        <v>0</v>
      </c>
    </row>
    <row r="641" spans="1:25" hidden="1" x14ac:dyDescent="0.25">
      <c r="A641" s="15"/>
      <c r="B641" s="24">
        <f t="shared" si="49"/>
        <v>93</v>
      </c>
      <c r="C641" s="1" cm="1">
        <f t="array" aca="1" ref="C641" ca="1">INDIRECT(CONCATENATE("'",$A$550,"'!A",B641),1)</f>
        <v>0</v>
      </c>
      <c r="D641" s="1" cm="1">
        <f t="array" aca="1" ref="D641" ca="1">INDIRECT(CONCATENATE("'",$A$550,"'!B",B641),1)</f>
        <v>0</v>
      </c>
      <c r="E641" s="1" cm="1">
        <f t="array" aca="1" ref="E641" ca="1">INDIRECT(CONCATENATE("'",$A$550,"'!c",B641),1)</f>
        <v>0</v>
      </c>
      <c r="F641" s="1" cm="1">
        <f t="array" aca="1" ref="F641" ca="1">INDIRECT(CONCATENATE("'",$A$550,"'!d",B641),1)</f>
        <v>0</v>
      </c>
      <c r="G641" s="1" cm="1">
        <f t="array" aca="1" ref="G641" ca="1">INDIRECT(CONCATENATE("'",$A$550,"'!e",B641),1)</f>
        <v>0</v>
      </c>
      <c r="H641" s="1" cm="1">
        <f t="array" aca="1" ref="H641" ca="1">INDIRECT(CONCATENATE("'",$A$550,"'!f",B641),1)</f>
        <v>0</v>
      </c>
      <c r="I641" s="1" cm="1">
        <f t="array" aca="1" ref="I641" ca="1">INDIRECT(CONCATENATE("'",$A$550,"'!g",B641),1)</f>
        <v>0</v>
      </c>
      <c r="J641" s="1" cm="1">
        <f t="array" aca="1" ref="J641" ca="1">INDIRECT(CONCATENATE("'",$A$550,"'!h",B641),1)</f>
        <v>0</v>
      </c>
      <c r="K641" s="1" cm="1">
        <f t="array" aca="1" ref="K641" ca="1">INDIRECT(CONCATENATE("'",$A$550,"'!i",B641),1)</f>
        <v>0</v>
      </c>
      <c r="L641" s="1" cm="1">
        <f t="array" aca="1" ref="L641" ca="1">INDIRECT(CONCATENATE("'",$A$550,"'!j",B641),1)</f>
        <v>0</v>
      </c>
      <c r="M641" s="1" cm="1">
        <f t="array" aca="1" ref="M641" ca="1">INDIRECT(CONCATENATE("'",$A$550,"'!k",B641),1)</f>
        <v>0</v>
      </c>
      <c r="N641" s="1" cm="1">
        <f t="array" aca="1" ref="N641" ca="1">INDIRECT(CONCATENATE("'",$A$550,"'!l",B641),1)</f>
        <v>0</v>
      </c>
      <c r="O641" s="1" cm="1">
        <f t="array" aca="1" ref="O641" ca="1">INDIRECT(CONCATENATE("'",$A$550,"'!m",B641),1)</f>
        <v>0</v>
      </c>
      <c r="P641" s="1" cm="1">
        <f t="array" aca="1" ref="P641" ca="1">INDIRECT(CONCATENATE("'",$A$550,"'!n",B641),1)</f>
        <v>0</v>
      </c>
      <c r="Q641" s="1" cm="1">
        <f t="array" aca="1" ref="Q641" ca="1">INDIRECT(CONCATENATE("'",$A$550,"'!o",B641),1)</f>
        <v>0</v>
      </c>
      <c r="R641" s="1" cm="1">
        <f t="array" aca="1" ref="R641" ca="1">INDIRECT(CONCATENATE("'",$A$550,"'!p",B641),1)</f>
        <v>0</v>
      </c>
      <c r="S641" s="1">
        <f t="shared" ca="1" si="50"/>
        <v>0</v>
      </c>
      <c r="T641" s="1" cm="1">
        <f t="array" aca="1" ref="T641" ca="1">INDIRECT(CONCATENATE("'",$A$550,"'!q",B641),1)</f>
        <v>0</v>
      </c>
      <c r="U641" s="1" cm="1">
        <f t="array" aca="1" ref="U641" ca="1">INDIRECT(CONCATENATE("'",$A$550,"'!r",B641),1)</f>
        <v>0</v>
      </c>
      <c r="V641" s="1" cm="1">
        <f t="array" aca="1" ref="V641" ca="1">INDIRECT(CONCATENATE("'",$A$550,"'!s",B641),1)</f>
        <v>0</v>
      </c>
      <c r="W641" s="1" cm="1">
        <f t="array" aca="1" ref="W641" ca="1">INDIRECT(CONCATENATE("'",$A$550,"'!t",B641),1)</f>
        <v>0</v>
      </c>
      <c r="X641" s="1" cm="1">
        <f t="array" aca="1" ref="X641" ca="1">INDIRECT(CONCATENATE("'",$A$550,"'!u",B641),1)</f>
        <v>0</v>
      </c>
      <c r="Y641" s="1" cm="1">
        <f t="array" aca="1" ref="Y641" ca="1">INDIRECT(CONCATENATE("'",$A$550,"'!v",B641),1)</f>
        <v>0</v>
      </c>
    </row>
    <row r="642" spans="1:25" hidden="1" x14ac:dyDescent="0.25">
      <c r="A642" s="15"/>
      <c r="B642" s="24">
        <f t="shared" si="49"/>
        <v>94</v>
      </c>
      <c r="C642" s="1" cm="1">
        <f t="array" aca="1" ref="C642" ca="1">INDIRECT(CONCATENATE("'",$A$550,"'!A",B642),1)</f>
        <v>0</v>
      </c>
      <c r="D642" s="1" cm="1">
        <f t="array" aca="1" ref="D642" ca="1">INDIRECT(CONCATENATE("'",$A$550,"'!B",B642),1)</f>
        <v>0</v>
      </c>
      <c r="E642" s="1" cm="1">
        <f t="array" aca="1" ref="E642" ca="1">INDIRECT(CONCATENATE("'",$A$550,"'!c",B642),1)</f>
        <v>0</v>
      </c>
      <c r="F642" s="1" cm="1">
        <f t="array" aca="1" ref="F642" ca="1">INDIRECT(CONCATENATE("'",$A$550,"'!d",B642),1)</f>
        <v>0</v>
      </c>
      <c r="G642" s="1" cm="1">
        <f t="array" aca="1" ref="G642" ca="1">INDIRECT(CONCATENATE("'",$A$550,"'!e",B642),1)</f>
        <v>0</v>
      </c>
      <c r="H642" s="1" cm="1">
        <f t="array" aca="1" ref="H642" ca="1">INDIRECT(CONCATENATE("'",$A$550,"'!f",B642),1)</f>
        <v>0</v>
      </c>
      <c r="I642" s="1" cm="1">
        <f t="array" aca="1" ref="I642" ca="1">INDIRECT(CONCATENATE("'",$A$550,"'!g",B642),1)</f>
        <v>0</v>
      </c>
      <c r="J642" s="1" cm="1">
        <f t="array" aca="1" ref="J642" ca="1">INDIRECT(CONCATENATE("'",$A$550,"'!h",B642),1)</f>
        <v>0</v>
      </c>
      <c r="K642" s="1" cm="1">
        <f t="array" aca="1" ref="K642" ca="1">INDIRECT(CONCATENATE("'",$A$550,"'!i",B642),1)</f>
        <v>0</v>
      </c>
      <c r="L642" s="1" cm="1">
        <f t="array" aca="1" ref="L642" ca="1">INDIRECT(CONCATENATE("'",$A$550,"'!j",B642),1)</f>
        <v>0</v>
      </c>
      <c r="M642" s="1" cm="1">
        <f t="array" aca="1" ref="M642" ca="1">INDIRECT(CONCATENATE("'",$A$550,"'!k",B642),1)</f>
        <v>0</v>
      </c>
      <c r="N642" s="1" cm="1">
        <f t="array" aca="1" ref="N642" ca="1">INDIRECT(CONCATENATE("'",$A$550,"'!l",B642),1)</f>
        <v>0</v>
      </c>
      <c r="O642" s="1" cm="1">
        <f t="array" aca="1" ref="O642" ca="1">INDIRECT(CONCATENATE("'",$A$550,"'!m",B642),1)</f>
        <v>0</v>
      </c>
      <c r="P642" s="1" cm="1">
        <f t="array" aca="1" ref="P642" ca="1">INDIRECT(CONCATENATE("'",$A$550,"'!n",B642),1)</f>
        <v>0</v>
      </c>
      <c r="Q642" s="1" cm="1">
        <f t="array" aca="1" ref="Q642" ca="1">INDIRECT(CONCATENATE("'",$A$550,"'!o",B642),1)</f>
        <v>0</v>
      </c>
      <c r="R642" s="1" cm="1">
        <f t="array" aca="1" ref="R642" ca="1">INDIRECT(CONCATENATE("'",$A$550,"'!p",B642),1)</f>
        <v>0</v>
      </c>
      <c r="S642" s="1">
        <f t="shared" ca="1" si="50"/>
        <v>0</v>
      </c>
      <c r="T642" s="1" cm="1">
        <f t="array" aca="1" ref="T642" ca="1">INDIRECT(CONCATENATE("'",$A$550,"'!q",B642),1)</f>
        <v>0</v>
      </c>
      <c r="U642" s="1" cm="1">
        <f t="array" aca="1" ref="U642" ca="1">INDIRECT(CONCATENATE("'",$A$550,"'!r",B642),1)</f>
        <v>0</v>
      </c>
      <c r="V642" s="1" cm="1">
        <f t="array" aca="1" ref="V642" ca="1">INDIRECT(CONCATENATE("'",$A$550,"'!s",B642),1)</f>
        <v>0</v>
      </c>
      <c r="W642" s="1" cm="1">
        <f t="array" aca="1" ref="W642" ca="1">INDIRECT(CONCATENATE("'",$A$550,"'!t",B642),1)</f>
        <v>0</v>
      </c>
      <c r="X642" s="1" cm="1">
        <f t="array" aca="1" ref="X642" ca="1">INDIRECT(CONCATENATE("'",$A$550,"'!u",B642),1)</f>
        <v>0</v>
      </c>
      <c r="Y642" s="1" cm="1">
        <f t="array" aca="1" ref="Y642" ca="1">INDIRECT(CONCATENATE("'",$A$550,"'!v",B642),1)</f>
        <v>0</v>
      </c>
    </row>
    <row r="643" spans="1:25" hidden="1" x14ac:dyDescent="0.25">
      <c r="A643" s="15"/>
      <c r="B643" s="24">
        <f t="shared" si="49"/>
        <v>95</v>
      </c>
      <c r="C643" s="1" cm="1">
        <f t="array" aca="1" ref="C643" ca="1">INDIRECT(CONCATENATE("'",$A$550,"'!A",B643),1)</f>
        <v>0</v>
      </c>
      <c r="D643" s="1" cm="1">
        <f t="array" aca="1" ref="D643" ca="1">INDIRECT(CONCATENATE("'",$A$550,"'!B",B643),1)</f>
        <v>0</v>
      </c>
      <c r="E643" s="1" cm="1">
        <f t="array" aca="1" ref="E643" ca="1">INDIRECT(CONCATENATE("'",$A$550,"'!c",B643),1)</f>
        <v>0</v>
      </c>
      <c r="F643" s="1" cm="1">
        <f t="array" aca="1" ref="F643" ca="1">INDIRECT(CONCATENATE("'",$A$550,"'!d",B643),1)</f>
        <v>0</v>
      </c>
      <c r="G643" s="1" cm="1">
        <f t="array" aca="1" ref="G643" ca="1">INDIRECT(CONCATENATE("'",$A$550,"'!e",B643),1)</f>
        <v>0</v>
      </c>
      <c r="H643" s="1" cm="1">
        <f t="array" aca="1" ref="H643" ca="1">INDIRECT(CONCATENATE("'",$A$550,"'!f",B643),1)</f>
        <v>0</v>
      </c>
      <c r="I643" s="1" cm="1">
        <f t="array" aca="1" ref="I643" ca="1">INDIRECT(CONCATENATE("'",$A$550,"'!g",B643),1)</f>
        <v>0</v>
      </c>
      <c r="J643" s="1" cm="1">
        <f t="array" aca="1" ref="J643" ca="1">INDIRECT(CONCATENATE("'",$A$550,"'!h",B643),1)</f>
        <v>0</v>
      </c>
      <c r="K643" s="1" cm="1">
        <f t="array" aca="1" ref="K643" ca="1">INDIRECT(CONCATENATE("'",$A$550,"'!i",B643),1)</f>
        <v>0</v>
      </c>
      <c r="L643" s="1" cm="1">
        <f t="array" aca="1" ref="L643" ca="1">INDIRECT(CONCATENATE("'",$A$550,"'!j",B643),1)</f>
        <v>0</v>
      </c>
      <c r="M643" s="1" cm="1">
        <f t="array" aca="1" ref="M643" ca="1">INDIRECT(CONCATENATE("'",$A$550,"'!k",B643),1)</f>
        <v>0</v>
      </c>
      <c r="N643" s="1" cm="1">
        <f t="array" aca="1" ref="N643" ca="1">INDIRECT(CONCATENATE("'",$A$550,"'!l",B643),1)</f>
        <v>0</v>
      </c>
      <c r="O643" s="1" cm="1">
        <f t="array" aca="1" ref="O643" ca="1">INDIRECT(CONCATENATE("'",$A$550,"'!m",B643),1)</f>
        <v>0</v>
      </c>
      <c r="P643" s="1" cm="1">
        <f t="array" aca="1" ref="P643" ca="1">INDIRECT(CONCATENATE("'",$A$550,"'!n",B643),1)</f>
        <v>0</v>
      </c>
      <c r="Q643" s="1" cm="1">
        <f t="array" aca="1" ref="Q643" ca="1">INDIRECT(CONCATENATE("'",$A$550,"'!o",B643),1)</f>
        <v>0</v>
      </c>
      <c r="R643" s="1" cm="1">
        <f t="array" aca="1" ref="R643" ca="1">INDIRECT(CONCATENATE("'",$A$550,"'!p",B643),1)</f>
        <v>0</v>
      </c>
      <c r="S643" s="1">
        <f t="shared" ca="1" si="50"/>
        <v>0</v>
      </c>
      <c r="T643" s="1" cm="1">
        <f t="array" aca="1" ref="T643" ca="1">INDIRECT(CONCATENATE("'",$A$550,"'!q",B643),1)</f>
        <v>0</v>
      </c>
      <c r="U643" s="1" cm="1">
        <f t="array" aca="1" ref="U643" ca="1">INDIRECT(CONCATENATE("'",$A$550,"'!r",B643),1)</f>
        <v>0</v>
      </c>
      <c r="V643" s="1" cm="1">
        <f t="array" aca="1" ref="V643" ca="1">INDIRECT(CONCATENATE("'",$A$550,"'!s",B643),1)</f>
        <v>0</v>
      </c>
      <c r="W643" s="1" cm="1">
        <f t="array" aca="1" ref="W643" ca="1">INDIRECT(CONCATENATE("'",$A$550,"'!t",B643),1)</f>
        <v>0</v>
      </c>
      <c r="X643" s="1" cm="1">
        <f t="array" aca="1" ref="X643" ca="1">INDIRECT(CONCATENATE("'",$A$550,"'!u",B643),1)</f>
        <v>0</v>
      </c>
      <c r="Y643" s="1" cm="1">
        <f t="array" aca="1" ref="Y643" ca="1">INDIRECT(CONCATENATE("'",$A$550,"'!v",B643),1)</f>
        <v>0</v>
      </c>
    </row>
    <row r="644" spans="1:25" hidden="1" x14ac:dyDescent="0.25">
      <c r="A644" s="15"/>
      <c r="B644" s="24">
        <f t="shared" si="49"/>
        <v>96</v>
      </c>
      <c r="C644" s="1" cm="1">
        <f t="array" aca="1" ref="C644" ca="1">INDIRECT(CONCATENATE("'",$A$550,"'!A",B644),1)</f>
        <v>0</v>
      </c>
      <c r="D644" s="1" cm="1">
        <f t="array" aca="1" ref="D644" ca="1">INDIRECT(CONCATENATE("'",$A$550,"'!B",B644),1)</f>
        <v>0</v>
      </c>
      <c r="E644" s="1" cm="1">
        <f t="array" aca="1" ref="E644" ca="1">INDIRECT(CONCATENATE("'",$A$550,"'!c",B644),1)</f>
        <v>0</v>
      </c>
      <c r="F644" s="1" cm="1">
        <f t="array" aca="1" ref="F644" ca="1">INDIRECT(CONCATENATE("'",$A$550,"'!d",B644),1)</f>
        <v>0</v>
      </c>
      <c r="G644" s="1" cm="1">
        <f t="array" aca="1" ref="G644" ca="1">INDIRECT(CONCATENATE("'",$A$550,"'!e",B644),1)</f>
        <v>0</v>
      </c>
      <c r="H644" s="1" cm="1">
        <f t="array" aca="1" ref="H644" ca="1">INDIRECT(CONCATENATE("'",$A$550,"'!f",B644),1)</f>
        <v>0</v>
      </c>
      <c r="I644" s="1" cm="1">
        <f t="array" aca="1" ref="I644" ca="1">INDIRECT(CONCATENATE("'",$A$550,"'!g",B644),1)</f>
        <v>0</v>
      </c>
      <c r="J644" s="1" cm="1">
        <f t="array" aca="1" ref="J644" ca="1">INDIRECT(CONCATENATE("'",$A$550,"'!h",B644),1)</f>
        <v>0</v>
      </c>
      <c r="K644" s="1" cm="1">
        <f t="array" aca="1" ref="K644" ca="1">INDIRECT(CONCATENATE("'",$A$550,"'!i",B644),1)</f>
        <v>0</v>
      </c>
      <c r="L644" s="1" cm="1">
        <f t="array" aca="1" ref="L644" ca="1">INDIRECT(CONCATENATE("'",$A$550,"'!j",B644),1)</f>
        <v>0</v>
      </c>
      <c r="M644" s="1" cm="1">
        <f t="array" aca="1" ref="M644" ca="1">INDIRECT(CONCATENATE("'",$A$550,"'!k",B644),1)</f>
        <v>0</v>
      </c>
      <c r="N644" s="1" cm="1">
        <f t="array" aca="1" ref="N644" ca="1">INDIRECT(CONCATENATE("'",$A$550,"'!l",B644),1)</f>
        <v>0</v>
      </c>
      <c r="O644" s="1" cm="1">
        <f t="array" aca="1" ref="O644" ca="1">INDIRECT(CONCATENATE("'",$A$550,"'!m",B644),1)</f>
        <v>0</v>
      </c>
      <c r="P644" s="1" cm="1">
        <f t="array" aca="1" ref="P644" ca="1">INDIRECT(CONCATENATE("'",$A$550,"'!n",B644),1)</f>
        <v>0</v>
      </c>
      <c r="Q644" s="1" cm="1">
        <f t="array" aca="1" ref="Q644" ca="1">INDIRECT(CONCATENATE("'",$A$550,"'!o",B644),1)</f>
        <v>0</v>
      </c>
      <c r="R644" s="1" cm="1">
        <f t="array" aca="1" ref="R644" ca="1">INDIRECT(CONCATENATE("'",$A$550,"'!p",B644),1)</f>
        <v>0</v>
      </c>
      <c r="S644" s="1">
        <f t="shared" ca="1" si="50"/>
        <v>0</v>
      </c>
      <c r="T644" s="1" cm="1">
        <f t="array" aca="1" ref="T644" ca="1">INDIRECT(CONCATENATE("'",$A$550,"'!q",B644),1)</f>
        <v>0</v>
      </c>
      <c r="U644" s="1" cm="1">
        <f t="array" aca="1" ref="U644" ca="1">INDIRECT(CONCATENATE("'",$A$550,"'!r",B644),1)</f>
        <v>0</v>
      </c>
      <c r="V644" s="1" cm="1">
        <f t="array" aca="1" ref="V644" ca="1">INDIRECT(CONCATENATE("'",$A$550,"'!s",B644),1)</f>
        <v>0</v>
      </c>
      <c r="W644" s="1" cm="1">
        <f t="array" aca="1" ref="W644" ca="1">INDIRECT(CONCATENATE("'",$A$550,"'!t",B644),1)</f>
        <v>0</v>
      </c>
      <c r="X644" s="1" cm="1">
        <f t="array" aca="1" ref="X644" ca="1">INDIRECT(CONCATENATE("'",$A$550,"'!u",B644),1)</f>
        <v>0</v>
      </c>
      <c r="Y644" s="1" cm="1">
        <f t="array" aca="1" ref="Y644" ca="1">INDIRECT(CONCATENATE("'",$A$550,"'!v",B644),1)</f>
        <v>0</v>
      </c>
    </row>
    <row r="645" spans="1:25" hidden="1" x14ac:dyDescent="0.25">
      <c r="A645" s="15"/>
      <c r="B645" s="24">
        <f t="shared" si="49"/>
        <v>97</v>
      </c>
      <c r="C645" s="1" cm="1">
        <f t="array" aca="1" ref="C645" ca="1">INDIRECT(CONCATENATE("'",$A$550,"'!A",B645),1)</f>
        <v>0</v>
      </c>
      <c r="D645" s="1" cm="1">
        <f t="array" aca="1" ref="D645" ca="1">INDIRECT(CONCATENATE("'",$A$550,"'!B",B645),1)</f>
        <v>0</v>
      </c>
      <c r="E645" s="1" cm="1">
        <f t="array" aca="1" ref="E645" ca="1">INDIRECT(CONCATENATE("'",$A$550,"'!c",B645),1)</f>
        <v>0</v>
      </c>
      <c r="F645" s="1" cm="1">
        <f t="array" aca="1" ref="F645" ca="1">INDIRECT(CONCATENATE("'",$A$550,"'!d",B645),1)</f>
        <v>0</v>
      </c>
      <c r="G645" s="1" cm="1">
        <f t="array" aca="1" ref="G645" ca="1">INDIRECT(CONCATENATE("'",$A$550,"'!e",B645),1)</f>
        <v>0</v>
      </c>
      <c r="H645" s="1" cm="1">
        <f t="array" aca="1" ref="H645" ca="1">INDIRECT(CONCATENATE("'",$A$550,"'!f",B645),1)</f>
        <v>0</v>
      </c>
      <c r="I645" s="1" cm="1">
        <f t="array" aca="1" ref="I645" ca="1">INDIRECT(CONCATENATE("'",$A$550,"'!g",B645),1)</f>
        <v>0</v>
      </c>
      <c r="J645" s="1" cm="1">
        <f t="array" aca="1" ref="J645" ca="1">INDIRECT(CONCATENATE("'",$A$550,"'!h",B645),1)</f>
        <v>0</v>
      </c>
      <c r="K645" s="1" cm="1">
        <f t="array" aca="1" ref="K645" ca="1">INDIRECT(CONCATENATE("'",$A$550,"'!i",B645),1)</f>
        <v>0</v>
      </c>
      <c r="L645" s="1" cm="1">
        <f t="array" aca="1" ref="L645" ca="1">INDIRECT(CONCATENATE("'",$A$550,"'!j",B645),1)</f>
        <v>0</v>
      </c>
      <c r="M645" s="1" cm="1">
        <f t="array" aca="1" ref="M645" ca="1">INDIRECT(CONCATENATE("'",$A$550,"'!k",B645),1)</f>
        <v>0</v>
      </c>
      <c r="N645" s="1" cm="1">
        <f t="array" aca="1" ref="N645" ca="1">INDIRECT(CONCATENATE("'",$A$550,"'!l",B645),1)</f>
        <v>0</v>
      </c>
      <c r="O645" s="1" cm="1">
        <f t="array" aca="1" ref="O645" ca="1">INDIRECT(CONCATENATE("'",$A$550,"'!m",B645),1)</f>
        <v>0</v>
      </c>
      <c r="P645" s="1" cm="1">
        <f t="array" aca="1" ref="P645" ca="1">INDIRECT(CONCATENATE("'",$A$550,"'!n",B645),1)</f>
        <v>0</v>
      </c>
      <c r="Q645" s="1" cm="1">
        <f t="array" aca="1" ref="Q645" ca="1">INDIRECT(CONCATENATE("'",$A$550,"'!o",B645),1)</f>
        <v>0</v>
      </c>
      <c r="R645" s="1" cm="1">
        <f t="array" aca="1" ref="R645" ca="1">INDIRECT(CONCATENATE("'",$A$550,"'!p",B645),1)</f>
        <v>0</v>
      </c>
      <c r="S645" s="1">
        <f t="shared" ca="1" si="50"/>
        <v>0</v>
      </c>
      <c r="T645" s="1" cm="1">
        <f t="array" aca="1" ref="T645" ca="1">INDIRECT(CONCATENATE("'",$A$550,"'!q",B645),1)</f>
        <v>0</v>
      </c>
      <c r="U645" s="1" cm="1">
        <f t="array" aca="1" ref="U645" ca="1">INDIRECT(CONCATENATE("'",$A$550,"'!r",B645),1)</f>
        <v>0</v>
      </c>
      <c r="V645" s="1" cm="1">
        <f t="array" aca="1" ref="V645" ca="1">INDIRECT(CONCATENATE("'",$A$550,"'!s",B645),1)</f>
        <v>0</v>
      </c>
      <c r="W645" s="1" cm="1">
        <f t="array" aca="1" ref="W645" ca="1">INDIRECT(CONCATENATE("'",$A$550,"'!t",B645),1)</f>
        <v>0</v>
      </c>
      <c r="X645" s="1" cm="1">
        <f t="array" aca="1" ref="X645" ca="1">INDIRECT(CONCATENATE("'",$A$550,"'!u",B645),1)</f>
        <v>0</v>
      </c>
      <c r="Y645" s="1" cm="1">
        <f t="array" aca="1" ref="Y645" ca="1">INDIRECT(CONCATENATE("'",$A$550,"'!v",B645),1)</f>
        <v>0</v>
      </c>
    </row>
    <row r="646" spans="1:25" hidden="1" x14ac:dyDescent="0.25">
      <c r="A646" s="15"/>
      <c r="B646" s="24">
        <f t="shared" si="49"/>
        <v>98</v>
      </c>
      <c r="C646" s="1" cm="1">
        <f t="array" aca="1" ref="C646" ca="1">INDIRECT(CONCATENATE("'",$A$550,"'!A",B646),1)</f>
        <v>0</v>
      </c>
      <c r="D646" s="1" cm="1">
        <f t="array" aca="1" ref="D646" ca="1">INDIRECT(CONCATENATE("'",$A$550,"'!B",B646),1)</f>
        <v>0</v>
      </c>
      <c r="E646" s="1" cm="1">
        <f t="array" aca="1" ref="E646" ca="1">INDIRECT(CONCATENATE("'",$A$550,"'!c",B646),1)</f>
        <v>0</v>
      </c>
      <c r="F646" s="1" cm="1">
        <f t="array" aca="1" ref="F646" ca="1">INDIRECT(CONCATENATE("'",$A$550,"'!d",B646),1)</f>
        <v>0</v>
      </c>
      <c r="G646" s="1" cm="1">
        <f t="array" aca="1" ref="G646" ca="1">INDIRECT(CONCATENATE("'",$A$550,"'!e",B646),1)</f>
        <v>0</v>
      </c>
      <c r="H646" s="1" cm="1">
        <f t="array" aca="1" ref="H646" ca="1">INDIRECT(CONCATENATE("'",$A$550,"'!f",B646),1)</f>
        <v>0</v>
      </c>
      <c r="I646" s="1" cm="1">
        <f t="array" aca="1" ref="I646" ca="1">INDIRECT(CONCATENATE("'",$A$550,"'!g",B646),1)</f>
        <v>0</v>
      </c>
      <c r="J646" s="1" cm="1">
        <f t="array" aca="1" ref="J646" ca="1">INDIRECT(CONCATENATE("'",$A$550,"'!h",B646),1)</f>
        <v>0</v>
      </c>
      <c r="K646" s="1" cm="1">
        <f t="array" aca="1" ref="K646" ca="1">INDIRECT(CONCATENATE("'",$A$550,"'!i",B646),1)</f>
        <v>0</v>
      </c>
      <c r="L646" s="1" cm="1">
        <f t="array" aca="1" ref="L646" ca="1">INDIRECT(CONCATENATE("'",$A$550,"'!j",B646),1)</f>
        <v>0</v>
      </c>
      <c r="M646" s="1" cm="1">
        <f t="array" aca="1" ref="M646" ca="1">INDIRECT(CONCATENATE("'",$A$550,"'!k",B646),1)</f>
        <v>0</v>
      </c>
      <c r="N646" s="1" cm="1">
        <f t="array" aca="1" ref="N646" ca="1">INDIRECT(CONCATENATE("'",$A$550,"'!l",B646),1)</f>
        <v>0</v>
      </c>
      <c r="O646" s="1" cm="1">
        <f t="array" aca="1" ref="O646" ca="1">INDIRECT(CONCATENATE("'",$A$550,"'!m",B646),1)</f>
        <v>0</v>
      </c>
      <c r="P646" s="1" cm="1">
        <f t="array" aca="1" ref="P646" ca="1">INDIRECT(CONCATENATE("'",$A$550,"'!n",B646),1)</f>
        <v>0</v>
      </c>
      <c r="Q646" s="1" cm="1">
        <f t="array" aca="1" ref="Q646" ca="1">INDIRECT(CONCATENATE("'",$A$550,"'!o",B646),1)</f>
        <v>0</v>
      </c>
      <c r="R646" s="1" cm="1">
        <f t="array" aca="1" ref="R646" ca="1">INDIRECT(CONCATENATE("'",$A$550,"'!p",B646),1)</f>
        <v>0</v>
      </c>
      <c r="S646" s="1">
        <f t="shared" ca="1" si="50"/>
        <v>0</v>
      </c>
      <c r="T646" s="1" cm="1">
        <f t="array" aca="1" ref="T646" ca="1">INDIRECT(CONCATENATE("'",$A$550,"'!q",B646),1)</f>
        <v>0</v>
      </c>
      <c r="U646" s="1" cm="1">
        <f t="array" aca="1" ref="U646" ca="1">INDIRECT(CONCATENATE("'",$A$550,"'!r",B646),1)</f>
        <v>0</v>
      </c>
      <c r="V646" s="1" cm="1">
        <f t="array" aca="1" ref="V646" ca="1">INDIRECT(CONCATENATE("'",$A$550,"'!s",B646),1)</f>
        <v>0</v>
      </c>
      <c r="W646" s="1" cm="1">
        <f t="array" aca="1" ref="W646" ca="1">INDIRECT(CONCATENATE("'",$A$550,"'!t",B646),1)</f>
        <v>0</v>
      </c>
      <c r="X646" s="1" cm="1">
        <f t="array" aca="1" ref="X646" ca="1">INDIRECT(CONCATENATE("'",$A$550,"'!u",B646),1)</f>
        <v>0</v>
      </c>
      <c r="Y646" s="1" cm="1">
        <f t="array" aca="1" ref="Y646" ca="1">INDIRECT(CONCATENATE("'",$A$550,"'!v",B646),1)</f>
        <v>0</v>
      </c>
    </row>
    <row r="647" spans="1:25" hidden="1" x14ac:dyDescent="0.25">
      <c r="A647" s="15"/>
      <c r="B647" s="24">
        <f t="shared" si="49"/>
        <v>99</v>
      </c>
      <c r="C647" s="1" cm="1">
        <f t="array" aca="1" ref="C647" ca="1">INDIRECT(CONCATENATE("'",$A$550,"'!A",B647),1)</f>
        <v>0</v>
      </c>
      <c r="D647" s="1" cm="1">
        <f t="array" aca="1" ref="D647" ca="1">INDIRECT(CONCATENATE("'",$A$550,"'!B",B647),1)</f>
        <v>0</v>
      </c>
      <c r="E647" s="1" cm="1">
        <f t="array" aca="1" ref="E647" ca="1">INDIRECT(CONCATENATE("'",$A$550,"'!c",B647),1)</f>
        <v>0</v>
      </c>
      <c r="F647" s="1" cm="1">
        <f t="array" aca="1" ref="F647" ca="1">INDIRECT(CONCATENATE("'",$A$550,"'!d",B647),1)</f>
        <v>0</v>
      </c>
      <c r="G647" s="1" cm="1">
        <f t="array" aca="1" ref="G647" ca="1">INDIRECT(CONCATENATE("'",$A$550,"'!e",B647),1)</f>
        <v>0</v>
      </c>
      <c r="H647" s="1" cm="1">
        <f t="array" aca="1" ref="H647" ca="1">INDIRECT(CONCATENATE("'",$A$550,"'!f",B647),1)</f>
        <v>0</v>
      </c>
      <c r="I647" s="1" cm="1">
        <f t="array" aca="1" ref="I647" ca="1">INDIRECT(CONCATENATE("'",$A$550,"'!g",B647),1)</f>
        <v>0</v>
      </c>
      <c r="J647" s="1" cm="1">
        <f t="array" aca="1" ref="J647" ca="1">INDIRECT(CONCATENATE("'",$A$550,"'!h",B647),1)</f>
        <v>0</v>
      </c>
      <c r="K647" s="1" cm="1">
        <f t="array" aca="1" ref="K647" ca="1">INDIRECT(CONCATENATE("'",$A$550,"'!i",B647),1)</f>
        <v>0</v>
      </c>
      <c r="L647" s="1" cm="1">
        <f t="array" aca="1" ref="L647" ca="1">INDIRECT(CONCATENATE("'",$A$550,"'!j",B647),1)</f>
        <v>0</v>
      </c>
      <c r="M647" s="1" cm="1">
        <f t="array" aca="1" ref="M647" ca="1">INDIRECT(CONCATENATE("'",$A$550,"'!k",B647),1)</f>
        <v>0</v>
      </c>
      <c r="N647" s="1" cm="1">
        <f t="array" aca="1" ref="N647" ca="1">INDIRECT(CONCATENATE("'",$A$550,"'!l",B647),1)</f>
        <v>0</v>
      </c>
      <c r="O647" s="1" cm="1">
        <f t="array" aca="1" ref="O647" ca="1">INDIRECT(CONCATENATE("'",$A$550,"'!m",B647),1)</f>
        <v>0</v>
      </c>
      <c r="P647" s="1" cm="1">
        <f t="array" aca="1" ref="P647" ca="1">INDIRECT(CONCATENATE("'",$A$550,"'!n",B647),1)</f>
        <v>0</v>
      </c>
      <c r="Q647" s="1" cm="1">
        <f t="array" aca="1" ref="Q647" ca="1">INDIRECT(CONCATENATE("'",$A$550,"'!o",B647),1)</f>
        <v>0</v>
      </c>
      <c r="R647" s="1" cm="1">
        <f t="array" aca="1" ref="R647" ca="1">INDIRECT(CONCATENATE("'",$A$550,"'!p",B647),1)</f>
        <v>0</v>
      </c>
      <c r="S647" s="1">
        <f t="shared" ca="1" si="50"/>
        <v>0</v>
      </c>
      <c r="T647" s="1" cm="1">
        <f t="array" aca="1" ref="T647" ca="1">INDIRECT(CONCATENATE("'",$A$550,"'!q",B647),1)</f>
        <v>0</v>
      </c>
      <c r="U647" s="1" cm="1">
        <f t="array" aca="1" ref="U647" ca="1">INDIRECT(CONCATENATE("'",$A$550,"'!r",B647),1)</f>
        <v>0</v>
      </c>
      <c r="V647" s="1" cm="1">
        <f t="array" aca="1" ref="V647" ca="1">INDIRECT(CONCATENATE("'",$A$550,"'!s",B647),1)</f>
        <v>0</v>
      </c>
      <c r="W647" s="1" cm="1">
        <f t="array" aca="1" ref="W647" ca="1">INDIRECT(CONCATENATE("'",$A$550,"'!t",B647),1)</f>
        <v>0</v>
      </c>
      <c r="X647" s="1" cm="1">
        <f t="array" aca="1" ref="X647" ca="1">INDIRECT(CONCATENATE("'",$A$550,"'!u",B647),1)</f>
        <v>0</v>
      </c>
      <c r="Y647" s="1" cm="1">
        <f t="array" aca="1" ref="Y647" ca="1">INDIRECT(CONCATENATE("'",$A$550,"'!v",B647),1)</f>
        <v>0</v>
      </c>
    </row>
    <row r="648" spans="1:25" hidden="1" x14ac:dyDescent="0.25">
      <c r="A648" s="15"/>
      <c r="B648" s="24">
        <f t="shared" si="49"/>
        <v>100</v>
      </c>
      <c r="C648" s="1" cm="1">
        <f t="array" aca="1" ref="C648" ca="1">INDIRECT(CONCATENATE("'",$A$550,"'!A",B648),1)</f>
        <v>0</v>
      </c>
      <c r="D648" s="1" cm="1">
        <f t="array" aca="1" ref="D648" ca="1">INDIRECT(CONCATENATE("'",$A$550,"'!B",B648),1)</f>
        <v>0</v>
      </c>
      <c r="E648" s="1" cm="1">
        <f t="array" aca="1" ref="E648" ca="1">INDIRECT(CONCATENATE("'",$A$550,"'!c",B648),1)</f>
        <v>0</v>
      </c>
      <c r="F648" s="1" cm="1">
        <f t="array" aca="1" ref="F648" ca="1">INDIRECT(CONCATENATE("'",$A$550,"'!d",B648),1)</f>
        <v>0</v>
      </c>
      <c r="G648" s="1" cm="1">
        <f t="array" aca="1" ref="G648" ca="1">INDIRECT(CONCATENATE("'",$A$550,"'!e",B648),1)</f>
        <v>0</v>
      </c>
      <c r="H648" s="1" cm="1">
        <f t="array" aca="1" ref="H648" ca="1">INDIRECT(CONCATENATE("'",$A$550,"'!f",B648),1)</f>
        <v>0</v>
      </c>
      <c r="I648" s="1" cm="1">
        <f t="array" aca="1" ref="I648" ca="1">INDIRECT(CONCATENATE("'",$A$550,"'!g",B648),1)</f>
        <v>0</v>
      </c>
      <c r="J648" s="1" cm="1">
        <f t="array" aca="1" ref="J648" ca="1">INDIRECT(CONCATENATE("'",$A$550,"'!h",B648),1)</f>
        <v>0</v>
      </c>
      <c r="K648" s="1" cm="1">
        <f t="array" aca="1" ref="K648" ca="1">INDIRECT(CONCATENATE("'",$A$550,"'!i",B648),1)</f>
        <v>0</v>
      </c>
      <c r="L648" s="1" cm="1">
        <f t="array" aca="1" ref="L648" ca="1">INDIRECT(CONCATENATE("'",$A$550,"'!j",B648),1)</f>
        <v>0</v>
      </c>
      <c r="M648" s="1" cm="1">
        <f t="array" aca="1" ref="M648" ca="1">INDIRECT(CONCATENATE("'",$A$550,"'!k",B648),1)</f>
        <v>0</v>
      </c>
      <c r="N648" s="1" cm="1">
        <f t="array" aca="1" ref="N648" ca="1">INDIRECT(CONCATENATE("'",$A$550,"'!l",B648),1)</f>
        <v>0</v>
      </c>
      <c r="O648" s="1" cm="1">
        <f t="array" aca="1" ref="O648" ca="1">INDIRECT(CONCATENATE("'",$A$550,"'!m",B648),1)</f>
        <v>0</v>
      </c>
      <c r="P648" s="1" cm="1">
        <f t="array" aca="1" ref="P648" ca="1">INDIRECT(CONCATENATE("'",$A$550,"'!n",B648),1)</f>
        <v>0</v>
      </c>
      <c r="Q648" s="1" cm="1">
        <f t="array" aca="1" ref="Q648" ca="1">INDIRECT(CONCATENATE("'",$A$550,"'!o",B648),1)</f>
        <v>0</v>
      </c>
      <c r="R648" s="1" cm="1">
        <f t="array" aca="1" ref="R648" ca="1">INDIRECT(CONCATENATE("'",$A$550,"'!p",B648),1)</f>
        <v>0</v>
      </c>
      <c r="S648" s="1">
        <f t="shared" ca="1" si="50"/>
        <v>0</v>
      </c>
      <c r="T648" s="1" cm="1">
        <f t="array" aca="1" ref="T648" ca="1">INDIRECT(CONCATENATE("'",$A$550,"'!q",B648),1)</f>
        <v>0</v>
      </c>
      <c r="U648" s="1" cm="1">
        <f t="array" aca="1" ref="U648" ca="1">INDIRECT(CONCATENATE("'",$A$550,"'!r",B648),1)</f>
        <v>0</v>
      </c>
      <c r="V648" s="1" cm="1">
        <f t="array" aca="1" ref="V648" ca="1">INDIRECT(CONCATENATE("'",$A$550,"'!s",B648),1)</f>
        <v>0</v>
      </c>
      <c r="W648" s="1" cm="1">
        <f t="array" aca="1" ref="W648" ca="1">INDIRECT(CONCATENATE("'",$A$550,"'!t",B648),1)</f>
        <v>0</v>
      </c>
      <c r="X648" s="1" cm="1">
        <f t="array" aca="1" ref="X648" ca="1">INDIRECT(CONCATENATE("'",$A$550,"'!u",B648),1)</f>
        <v>0</v>
      </c>
      <c r="Y648" s="1" cm="1">
        <f t="array" aca="1" ref="Y648" ca="1">INDIRECT(CONCATENATE("'",$A$550,"'!v",B648),1)</f>
        <v>0</v>
      </c>
    </row>
    <row r="649" spans="1:25" hidden="1" x14ac:dyDescent="0.25">
      <c r="A649" s="15"/>
      <c r="B649" s="24">
        <f t="shared" si="49"/>
        <v>101</v>
      </c>
      <c r="C649" s="1" cm="1">
        <f t="array" aca="1" ref="C649" ca="1">INDIRECT(CONCATENATE("'",$A$550,"'!A",B649),1)</f>
        <v>0</v>
      </c>
      <c r="D649" s="1" cm="1">
        <f t="array" aca="1" ref="D649" ca="1">INDIRECT(CONCATENATE("'",$A$550,"'!B",B649),1)</f>
        <v>0</v>
      </c>
      <c r="E649" s="1" cm="1">
        <f t="array" aca="1" ref="E649" ca="1">INDIRECT(CONCATENATE("'",$A$550,"'!c",B649),1)</f>
        <v>0</v>
      </c>
      <c r="F649" s="1" cm="1">
        <f t="array" aca="1" ref="F649" ca="1">INDIRECT(CONCATENATE("'",$A$550,"'!d",B649),1)</f>
        <v>0</v>
      </c>
      <c r="G649" s="1" cm="1">
        <f t="array" aca="1" ref="G649" ca="1">INDIRECT(CONCATENATE("'",$A$550,"'!e",B649),1)</f>
        <v>0</v>
      </c>
      <c r="H649" s="1" cm="1">
        <f t="array" aca="1" ref="H649" ca="1">INDIRECT(CONCATENATE("'",$A$550,"'!f",B649),1)</f>
        <v>0</v>
      </c>
      <c r="I649" s="1" cm="1">
        <f t="array" aca="1" ref="I649" ca="1">INDIRECT(CONCATENATE("'",$A$550,"'!g",B649),1)</f>
        <v>0</v>
      </c>
      <c r="J649" s="1" cm="1">
        <f t="array" aca="1" ref="J649" ca="1">INDIRECT(CONCATENATE("'",$A$550,"'!h",B649),1)</f>
        <v>0</v>
      </c>
      <c r="K649" s="1" cm="1">
        <f t="array" aca="1" ref="K649" ca="1">INDIRECT(CONCATENATE("'",$A$550,"'!i",B649),1)</f>
        <v>0</v>
      </c>
      <c r="L649" s="1" cm="1">
        <f t="array" aca="1" ref="L649" ca="1">INDIRECT(CONCATENATE("'",$A$550,"'!j",B649),1)</f>
        <v>0</v>
      </c>
      <c r="M649" s="1" cm="1">
        <f t="array" aca="1" ref="M649" ca="1">INDIRECT(CONCATENATE("'",$A$550,"'!k",B649),1)</f>
        <v>0</v>
      </c>
      <c r="N649" s="1" cm="1">
        <f t="array" aca="1" ref="N649" ca="1">INDIRECT(CONCATENATE("'",$A$550,"'!l",B649),1)</f>
        <v>0</v>
      </c>
      <c r="O649" s="1" cm="1">
        <f t="array" aca="1" ref="O649" ca="1">INDIRECT(CONCATENATE("'",$A$550,"'!m",B649),1)</f>
        <v>0</v>
      </c>
      <c r="P649" s="1" cm="1">
        <f t="array" aca="1" ref="P649" ca="1">INDIRECT(CONCATENATE("'",$A$550,"'!n",B649),1)</f>
        <v>0</v>
      </c>
      <c r="Q649" s="1" cm="1">
        <f t="array" aca="1" ref="Q649" ca="1">INDIRECT(CONCATENATE("'",$A$550,"'!o",B649),1)</f>
        <v>0</v>
      </c>
      <c r="R649" s="1" cm="1">
        <f t="array" aca="1" ref="R649" ca="1">INDIRECT(CONCATENATE("'",$A$550,"'!p",B649),1)</f>
        <v>0</v>
      </c>
      <c r="S649" s="1">
        <f t="shared" ca="1" si="50"/>
        <v>0</v>
      </c>
      <c r="T649" s="1" cm="1">
        <f t="array" aca="1" ref="T649" ca="1">INDIRECT(CONCATENATE("'",$A$550,"'!q",B649),1)</f>
        <v>0</v>
      </c>
      <c r="U649" s="1" cm="1">
        <f t="array" aca="1" ref="U649" ca="1">INDIRECT(CONCATENATE("'",$A$550,"'!r",B649),1)</f>
        <v>0</v>
      </c>
      <c r="V649" s="1" cm="1">
        <f t="array" aca="1" ref="V649" ca="1">INDIRECT(CONCATENATE("'",$A$550,"'!s",B649),1)</f>
        <v>0</v>
      </c>
      <c r="W649" s="1" cm="1">
        <f t="array" aca="1" ref="W649" ca="1">INDIRECT(CONCATENATE("'",$A$550,"'!t",B649),1)</f>
        <v>0</v>
      </c>
      <c r="X649" s="1" cm="1">
        <f t="array" aca="1" ref="X649" ca="1">INDIRECT(CONCATENATE("'",$A$550,"'!u",B649),1)</f>
        <v>0</v>
      </c>
      <c r="Y649" s="1" cm="1">
        <f t="array" aca="1" ref="Y649" ca="1">INDIRECT(CONCATENATE("'",$A$550,"'!v",B649),1)</f>
        <v>0</v>
      </c>
    </row>
    <row r="650" spans="1:25" hidden="1" x14ac:dyDescent="0.25">
      <c r="A650" s="24" t="s">
        <v>303</v>
      </c>
      <c r="B650" s="24">
        <v>2</v>
      </c>
      <c r="C650" s="1" cm="1">
        <f t="array" aca="1" ref="C650" ca="1">INDIRECT(CONCATENATE("'",$A$650,"'!A",B650),1)</f>
        <v>0</v>
      </c>
      <c r="D650" s="1" cm="1">
        <f t="array" aca="1" ref="D650" ca="1">INDIRECT(CONCATENATE("'",$A$650,"'!B",B650),1)</f>
        <v>0</v>
      </c>
      <c r="E650" s="1" cm="1">
        <f t="array" aca="1" ref="E650" ca="1">INDIRECT(CONCATENATE("'",$A$650,"'!c",B650),1)</f>
        <v>0</v>
      </c>
      <c r="F650" s="1" cm="1">
        <f t="array" aca="1" ref="F650" ca="1">INDIRECT(CONCATENATE("'",$A$650,"'!d",B650),1)</f>
        <v>0</v>
      </c>
      <c r="G650" s="1" cm="1">
        <f t="array" aca="1" ref="G650" ca="1">INDIRECT(CONCATENATE("'",$A$650,"'!e",B650),1)</f>
        <v>0</v>
      </c>
      <c r="H650" s="1" cm="1">
        <f t="array" aca="1" ref="H650" ca="1">INDIRECT(CONCATENATE("'",$A$650,"'!f",B650),1)</f>
        <v>0</v>
      </c>
      <c r="I650" s="1" cm="1">
        <f t="array" aca="1" ref="I650" ca="1">INDIRECT(CONCATENATE("'",$A$650,"'!g",B650),1)</f>
        <v>0</v>
      </c>
      <c r="J650" s="1" cm="1">
        <f t="array" aca="1" ref="J650" ca="1">INDIRECT(CONCATENATE("'",$A$650,"'!h",B650),1)</f>
        <v>0</v>
      </c>
      <c r="K650" s="1" cm="1">
        <f t="array" aca="1" ref="K650" ca="1">INDIRECT(CONCATENATE("'",$A$650,"'!i",B650),1)</f>
        <v>0</v>
      </c>
      <c r="L650" s="1" cm="1">
        <f t="array" aca="1" ref="L650" ca="1">INDIRECT(CONCATENATE("'",$A$650,"'!j",B650),1)</f>
        <v>0</v>
      </c>
      <c r="M650" s="1" cm="1">
        <f t="array" aca="1" ref="M650" ca="1">INDIRECT(CONCATENATE("'",$A$650,"'!k",B650),1)</f>
        <v>0</v>
      </c>
      <c r="N650" s="1" cm="1">
        <f t="array" aca="1" ref="N650" ca="1">INDIRECT(CONCATENATE("'",$A$650,"'!l",B650),1)</f>
        <v>0</v>
      </c>
      <c r="O650" s="1" cm="1">
        <f t="array" aca="1" ref="O650" ca="1">INDIRECT(CONCATENATE("'",$A$650,"'!m",B650),1)</f>
        <v>0</v>
      </c>
      <c r="P650" s="1" cm="1">
        <f t="array" aca="1" ref="P650" ca="1">INDIRECT(CONCATENATE("'",$A$650,"'!n",B650),1)</f>
        <v>0</v>
      </c>
      <c r="Q650" s="1" cm="1">
        <f t="array" aca="1" ref="Q650" ca="1">INDIRECT(CONCATENATE("'",$A$650,"'!o",B650),1)</f>
        <v>0</v>
      </c>
      <c r="R650" s="1" cm="1">
        <f t="array" aca="1" ref="R650" ca="1">INDIRECT(CONCATENATE("'",$A$650,"'!p",B650),1)</f>
        <v>0</v>
      </c>
      <c r="S650" s="1">
        <f t="shared" ca="1" si="50"/>
        <v>0</v>
      </c>
      <c r="T650" s="1" cm="1">
        <f t="array" aca="1" ref="T650" ca="1">INDIRECT(CONCATENATE("'",$A$650,"'!q",B650),1)</f>
        <v>0</v>
      </c>
      <c r="U650" s="1" cm="1">
        <f t="array" aca="1" ref="U650" ca="1">INDIRECT(CONCATENATE("'",$A$650,"'!r",B650),1)</f>
        <v>0</v>
      </c>
      <c r="V650" s="1" cm="1">
        <f t="array" aca="1" ref="V650" ca="1">INDIRECT(CONCATENATE("'",$A$650,"'!s",B650),1)</f>
        <v>0</v>
      </c>
      <c r="W650" s="1" cm="1">
        <f t="array" aca="1" ref="W650" ca="1">INDIRECT(CONCATENATE("'",$A$650,"'!t",B650),1)</f>
        <v>0</v>
      </c>
      <c r="X650" s="1" cm="1">
        <f t="array" aca="1" ref="X650" ca="1">INDIRECT(CONCATENATE("'",$A$650,"'!u",B650),1)</f>
        <v>0</v>
      </c>
      <c r="Y650" s="1" cm="1">
        <f t="array" aca="1" ref="Y650" ca="1">INDIRECT(CONCATENATE("'",$A$650,"'!v",B650),1)</f>
        <v>0</v>
      </c>
    </row>
    <row r="651" spans="1:25" customFormat="1" hidden="1" x14ac:dyDescent="0.25">
      <c r="A651" s="15"/>
      <c r="B651" s="24">
        <f>B650+1</f>
        <v>3</v>
      </c>
      <c r="C651" s="1" cm="1">
        <f t="array" aca="1" ref="C651" ca="1">INDIRECT(CONCATENATE("'",$A$650,"'!A",B651),1)</f>
        <v>0</v>
      </c>
      <c r="D651" s="1" cm="1">
        <f t="array" aca="1" ref="D651" ca="1">INDIRECT(CONCATENATE("'",$A$650,"'!B",B651),1)</f>
        <v>0</v>
      </c>
      <c r="E651" s="1" cm="1">
        <f t="array" aca="1" ref="E651" ca="1">INDIRECT(CONCATENATE("'",$A$650,"'!c",B651),1)</f>
        <v>0</v>
      </c>
      <c r="F651" s="1" cm="1">
        <f t="array" aca="1" ref="F651" ca="1">INDIRECT(CONCATENATE("'",$A$650,"'!d",B651),1)</f>
        <v>0</v>
      </c>
      <c r="G651" s="1" cm="1">
        <f t="array" aca="1" ref="G651" ca="1">INDIRECT(CONCATENATE("'",$A$650,"'!e",B651),1)</f>
        <v>0</v>
      </c>
      <c r="H651" s="1" cm="1">
        <f t="array" aca="1" ref="H651" ca="1">INDIRECT(CONCATENATE("'",$A$650,"'!f",B651),1)</f>
        <v>0</v>
      </c>
      <c r="I651" s="1" cm="1">
        <f t="array" aca="1" ref="I651" ca="1">INDIRECT(CONCATENATE("'",$A$650,"'!g",B651),1)</f>
        <v>0</v>
      </c>
      <c r="J651" s="1" cm="1">
        <f t="array" aca="1" ref="J651" ca="1">INDIRECT(CONCATENATE("'",$A$650,"'!h",B651),1)</f>
        <v>0</v>
      </c>
      <c r="K651" s="1" cm="1">
        <f t="array" aca="1" ref="K651" ca="1">INDIRECT(CONCATENATE("'",$A$650,"'!i",B651),1)</f>
        <v>0</v>
      </c>
      <c r="L651" s="1" cm="1">
        <f t="array" aca="1" ref="L651" ca="1">INDIRECT(CONCATENATE("'",$A$650,"'!j",B651),1)</f>
        <v>0</v>
      </c>
      <c r="M651" s="1" cm="1">
        <f t="array" aca="1" ref="M651" ca="1">INDIRECT(CONCATENATE("'",$A$650,"'!k",B651),1)</f>
        <v>0</v>
      </c>
      <c r="N651" s="1" cm="1">
        <f t="array" aca="1" ref="N651" ca="1">INDIRECT(CONCATENATE("'",$A$650,"'!l",B651),1)</f>
        <v>0</v>
      </c>
      <c r="O651" s="1" cm="1">
        <f t="array" aca="1" ref="O651" ca="1">INDIRECT(CONCATENATE("'",$A$650,"'!m",B651),1)</f>
        <v>0</v>
      </c>
      <c r="P651" s="1" cm="1">
        <f t="array" aca="1" ref="P651" ca="1">INDIRECT(CONCATENATE("'",$A$650,"'!n",B651),1)</f>
        <v>0</v>
      </c>
      <c r="Q651" s="1" cm="1">
        <f t="array" aca="1" ref="Q651" ca="1">INDIRECT(CONCATENATE("'",$A$650,"'!o",B651),1)</f>
        <v>0</v>
      </c>
      <c r="R651" s="1" cm="1">
        <f t="array" aca="1" ref="R651" ca="1">INDIRECT(CONCATENATE("'",$A$650,"'!p",B651),1)</f>
        <v>0</v>
      </c>
      <c r="S651" s="1">
        <f t="shared" ca="1" si="50"/>
        <v>0</v>
      </c>
      <c r="T651" s="1" cm="1">
        <f t="array" aca="1" ref="T651" ca="1">INDIRECT(CONCATENATE("'",$A$650,"'!q",B651),1)</f>
        <v>0</v>
      </c>
      <c r="U651" s="1" cm="1">
        <f t="array" aca="1" ref="U651" ca="1">INDIRECT(CONCATENATE("'",$A$650,"'!r",B651),1)</f>
        <v>0</v>
      </c>
      <c r="V651" s="1" cm="1">
        <f t="array" aca="1" ref="V651" ca="1">INDIRECT(CONCATENATE("'",$A$650,"'!s",B651),1)</f>
        <v>0</v>
      </c>
      <c r="W651" s="1" cm="1">
        <f t="array" aca="1" ref="W651" ca="1">INDIRECT(CONCATENATE("'",$A$650,"'!t",B651),1)</f>
        <v>0</v>
      </c>
      <c r="X651" s="1" cm="1">
        <f t="array" aca="1" ref="X651" ca="1">INDIRECT(CONCATENATE("'",$A$650,"'!u",B651),1)</f>
        <v>0</v>
      </c>
      <c r="Y651" s="1" cm="1">
        <f t="array" aca="1" ref="Y651" ca="1">INDIRECT(CONCATENATE("'",$A$650,"'!v",B651),1)</f>
        <v>0</v>
      </c>
    </row>
    <row r="652" spans="1:25" ht="33.75" hidden="1" x14ac:dyDescent="0.25">
      <c r="A652" s="15"/>
      <c r="B652" s="24">
        <f t="shared" ref="B652:B715" si="51">B651+1</f>
        <v>4</v>
      </c>
      <c r="C652" s="1" t="str" cm="1">
        <f t="array" aca="1" ref="C652" ca="1">INDIRECT(CONCATENATE("'",$A$650,"'!A",B652),1)</f>
        <v xml:space="preserve">Современные концепции и методы управления ИТ-проектами </v>
      </c>
      <c r="D652" s="1" t="str" cm="1">
        <f t="array" aca="1" ref="D652" ca="1">INDIRECT(CONCATENATE("'",$A$650,"'!B",B652),1)</f>
        <v xml:space="preserve">09.04.01(09) </v>
      </c>
      <c r="E652" s="1" t="str" cm="1">
        <f t="array" aca="1" ref="E652" ca="1">INDIRECT(CONCATENATE("'",$A$650,"'!c",B652),1)</f>
        <v>4095з</v>
      </c>
      <c r="F652" s="1" cm="1">
        <f t="array" aca="1" ref="F652" ca="1">INDIRECT(CONCATENATE("'",$A$650,"'!d",B652),1)</f>
        <v>3</v>
      </c>
      <c r="G652" s="1" cm="1">
        <f t="array" aca="1" ref="G652" ca="1">INDIRECT(CONCATENATE("'",$A$650,"'!e",B652),1)</f>
        <v>1</v>
      </c>
      <c r="H652" s="1" cm="1">
        <f t="array" aca="1" ref="H652" ca="1">INDIRECT(CONCATENATE("'",$A$650,"'!f",B652),1)</f>
        <v>13</v>
      </c>
      <c r="I652" s="1" t="str" cm="1">
        <f t="array" aca="1" ref="I652" ca="1">INDIRECT(CONCATENATE("'",$A$650,"'!g",B652),1)</f>
        <v>ЭКЗ</v>
      </c>
      <c r="J652" s="1" cm="1">
        <f t="array" aca="1" ref="J652" ca="1">INDIRECT(CONCATENATE("'",$A$650,"'!h",B652),1)</f>
        <v>0</v>
      </c>
      <c r="K652" s="1" cm="1">
        <f t="array" aca="1" ref="K652" ca="1">INDIRECT(CONCATENATE("'",$A$650,"'!i",B652),1)</f>
        <v>2</v>
      </c>
      <c r="L652" s="1" cm="1">
        <f t="array" aca="1" ref="L652" ca="1">INDIRECT(CONCATENATE("'",$A$650,"'!j",B652),1)</f>
        <v>0</v>
      </c>
      <c r="M652" s="1" cm="1">
        <f t="array" aca="1" ref="M652" ca="1">INDIRECT(CONCATENATE("'",$A$650,"'!k",B652),1)</f>
        <v>0</v>
      </c>
      <c r="N652" s="1" t="str" cm="1">
        <f t="array" aca="1" ref="N652" ca="1">INDIRECT(CONCATENATE("'",$A$650,"'!l",B652),1)</f>
        <v>Макевич П.В.</v>
      </c>
      <c r="O652" s="1" cm="1">
        <f t="array" aca="1" ref="O652" ca="1">INDIRECT(CONCATENATE("'",$A$650,"'!m",B652),1)</f>
        <v>0</v>
      </c>
      <c r="P652" s="1" t="str" cm="1">
        <f t="array" aca="1" ref="P652" ca="1">INDIRECT(CONCATENATE("'",$A$650,"'!n",B652),1)</f>
        <v>1п</v>
      </c>
      <c r="Q652" s="1" cm="1">
        <f t="array" aca="1" ref="Q652" ca="1">INDIRECT(CONCATENATE("'",$A$650,"'!o",B652),1)</f>
        <v>0</v>
      </c>
      <c r="R652" s="1" cm="1">
        <f t="array" aca="1" ref="R652" ca="1">INDIRECT(CONCATENATE("'",$A$650,"'!p",B652),1)</f>
        <v>0</v>
      </c>
      <c r="S652" s="1">
        <f t="shared" ref="S652:S715" ca="1" si="52">SUMIFS(U652,T652,$N$1)+SUMIFS(W652,V652,$N$1)+SUMIFS(Y652,X652,$N$1)</f>
        <v>0</v>
      </c>
      <c r="T652" s="1" t="str" cm="1">
        <f t="array" aca="1" ref="T652" ca="1">INDIRECT(CONCATENATE("'",$A$650,"'!q",B652),1)</f>
        <v>Макевич П.В.</v>
      </c>
      <c r="U652" s="1" cm="1">
        <f t="array" aca="1" ref="U652" ca="1">INDIRECT(CONCATENATE("'",$A$650,"'!r",B652),1)</f>
        <v>0</v>
      </c>
      <c r="V652" s="1" cm="1">
        <f t="array" aca="1" ref="V652" ca="1">INDIRECT(CONCATENATE("'",$A$650,"'!s",B652),1)</f>
        <v>0</v>
      </c>
      <c r="W652" s="1" cm="1">
        <f t="array" aca="1" ref="W652" ca="1">INDIRECT(CONCATENATE("'",$A$650,"'!t",B652),1)</f>
        <v>0</v>
      </c>
      <c r="X652" s="1" cm="1">
        <f t="array" aca="1" ref="X652" ca="1">INDIRECT(CONCATENATE("'",$A$650,"'!u",B652),1)</f>
        <v>0</v>
      </c>
      <c r="Y652" s="1" cm="1">
        <f t="array" aca="1" ref="Y652" ca="1">INDIRECT(CONCATENATE("'",$A$650,"'!v",B652),1)</f>
        <v>0</v>
      </c>
    </row>
    <row r="653" spans="1:25" ht="33.75" hidden="1" x14ac:dyDescent="0.25">
      <c r="A653" s="15"/>
      <c r="B653" s="24">
        <f t="shared" si="51"/>
        <v>5</v>
      </c>
      <c r="C653" s="1" t="str" cm="1">
        <f t="array" aca="1" ref="C653" ca="1">INDIRECT(CONCATENATE("'",$A$650,"'!A",B653),1)</f>
        <v>Искусственный интелект. Методы принятия решений</v>
      </c>
      <c r="D653" s="1" t="str" cm="1">
        <f t="array" aca="1" ref="D653" ca="1">INDIRECT(CONCATENATE("'",$A$650,"'!B",B653),1)</f>
        <v xml:space="preserve">09.04.01(09) </v>
      </c>
      <c r="E653" s="1" t="str" cm="1">
        <f t="array" aca="1" ref="E653" ca="1">INDIRECT(CONCATENATE("'",$A$650,"'!c",B653),1)</f>
        <v>4095з</v>
      </c>
      <c r="F653" s="1" cm="1">
        <f t="array" aca="1" ref="F653" ca="1">INDIRECT(CONCATENATE("'",$A$650,"'!d",B653),1)</f>
        <v>3</v>
      </c>
      <c r="G653" s="1" cm="1">
        <f t="array" aca="1" ref="G653" ca="1">INDIRECT(CONCATENATE("'",$A$650,"'!e",B653),1)</f>
        <v>1</v>
      </c>
      <c r="H653" s="1" cm="1">
        <f t="array" aca="1" ref="H653" ca="1">INDIRECT(CONCATENATE("'",$A$650,"'!f",B653),1)</f>
        <v>13</v>
      </c>
      <c r="I653" s="1" t="str" cm="1">
        <f t="array" aca="1" ref="I653" ca="1">INDIRECT(CONCATENATE("'",$A$650,"'!g",B653),1)</f>
        <v>ЭКЗ</v>
      </c>
      <c r="J653" s="1" cm="1">
        <f t="array" aca="1" ref="J653" ca="1">INDIRECT(CONCATENATE("'",$A$650,"'!h",B653),1)</f>
        <v>5</v>
      </c>
      <c r="K653" s="1" cm="1">
        <f t="array" aca="1" ref="K653" ca="1">INDIRECT(CONCATENATE("'",$A$650,"'!i",B653),1)</f>
        <v>8</v>
      </c>
      <c r="L653" s="1" cm="1">
        <f t="array" aca="1" ref="L653" ca="1">INDIRECT(CONCATENATE("'",$A$650,"'!j",B653),1)</f>
        <v>0</v>
      </c>
      <c r="M653" s="1" cm="1">
        <f t="array" aca="1" ref="M653" ca="1">INDIRECT(CONCATENATE("'",$A$650,"'!k",B653),1)</f>
        <v>8</v>
      </c>
      <c r="N653" s="1" t="str" cm="1">
        <f t="array" aca="1" ref="N653" ca="1">INDIRECT(CONCATENATE("'",$A$650,"'!l",B653),1)</f>
        <v>Эминов С.И.</v>
      </c>
      <c r="O653" s="1" cm="1">
        <f t="array" aca="1" ref="O653" ca="1">INDIRECT(CONCATENATE("'",$A$650,"'!m",B653),1)</f>
        <v>0</v>
      </c>
      <c r="P653" s="1" t="str" cm="1">
        <f t="array" aca="1" ref="P653" ca="1">INDIRECT(CONCATENATE("'",$A$650,"'!n",B653),1)</f>
        <v>1п</v>
      </c>
      <c r="Q653" s="1" cm="1">
        <f t="array" aca="1" ref="Q653" ca="1">INDIRECT(CONCATENATE("'",$A$650,"'!o",B653),1)</f>
        <v>9.8000000000000007</v>
      </c>
      <c r="R653" s="1" cm="1">
        <f t="array" aca="1" ref="R653" ca="1">INDIRECT(CONCATENATE("'",$A$650,"'!p",B653),1)</f>
        <v>6.5</v>
      </c>
      <c r="S653" s="1">
        <f t="shared" ref="S653:S704" ca="1" si="53">SUMIFS(U653,T653,$N$1)+SUMIFS(W653,V653,$N$1)+SUMIFS(Y653,X653,$N$1)</f>
        <v>0</v>
      </c>
      <c r="T653" s="1" t="str" cm="1">
        <f t="array" aca="1" ref="T653" ca="1">INDIRECT(CONCATENATE("'",$A$650,"'!q",B653),1)</f>
        <v>Эминов С.И.</v>
      </c>
      <c r="U653" s="1" cm="1">
        <f t="array" aca="1" ref="U653" ca="1">INDIRECT(CONCATENATE("'",$A$650,"'!r",B653),1)</f>
        <v>32.299999999999997</v>
      </c>
      <c r="V653" s="1" cm="1">
        <f t="array" aca="1" ref="V653" ca="1">INDIRECT(CONCATENATE("'",$A$650,"'!s",B653),1)</f>
        <v>0</v>
      </c>
      <c r="W653" s="1" cm="1">
        <f t="array" aca="1" ref="W653" ca="1">INDIRECT(CONCATENATE("'",$A$650,"'!t",B653),1)</f>
        <v>0</v>
      </c>
      <c r="X653" s="1" cm="1">
        <f t="array" aca="1" ref="X653" ca="1">INDIRECT(CONCATENATE("'",$A$650,"'!u",B653),1)</f>
        <v>0</v>
      </c>
      <c r="Y653" s="1" cm="1">
        <f t="array" aca="1" ref="Y653" ca="1">INDIRECT(CONCATENATE("'",$A$650,"'!v",B653),1)</f>
        <v>0</v>
      </c>
    </row>
    <row r="654" spans="1:25" ht="45" hidden="1" x14ac:dyDescent="0.25">
      <c r="A654" s="15"/>
      <c r="B654" s="24">
        <f t="shared" si="51"/>
        <v>6</v>
      </c>
      <c r="C654" s="1" t="str" cm="1">
        <f t="array" aca="1" ref="C654" ca="1">INDIRECT(CONCATENATE("'",$A$650,"'!A",B654),1)</f>
        <v>Искусственный интелект. Машиннное обучение и анализ данных</v>
      </c>
      <c r="D654" s="1" t="str" cm="1">
        <f t="array" aca="1" ref="D654" ca="1">INDIRECT(CONCATENATE("'",$A$650,"'!B",B654),1)</f>
        <v xml:space="preserve">09.04.01(09) </v>
      </c>
      <c r="E654" s="1" t="str" cm="1">
        <f t="array" aca="1" ref="E654" ca="1">INDIRECT(CONCATENATE("'",$A$650,"'!c",B654),1)</f>
        <v>4095з</v>
      </c>
      <c r="F654" s="1" cm="1">
        <f t="array" aca="1" ref="F654" ca="1">INDIRECT(CONCATENATE("'",$A$650,"'!d",B654),1)</f>
        <v>3</v>
      </c>
      <c r="G654" s="1" cm="1">
        <f t="array" aca="1" ref="G654" ca="1">INDIRECT(CONCATENATE("'",$A$650,"'!e",B654),1)</f>
        <v>1</v>
      </c>
      <c r="H654" s="1" cm="1">
        <f t="array" aca="1" ref="H654" ca="1">INDIRECT(CONCATENATE("'",$A$650,"'!f",B654),1)</f>
        <v>13</v>
      </c>
      <c r="I654" s="1" t="str" cm="1">
        <f t="array" aca="1" ref="I654" ca="1">INDIRECT(CONCATENATE("'",$A$650,"'!g",B654),1)</f>
        <v>ЭКЗ</v>
      </c>
      <c r="J654" s="1" cm="1">
        <f t="array" aca="1" ref="J654" ca="1">INDIRECT(CONCATENATE("'",$A$650,"'!h",B654),1)</f>
        <v>6</v>
      </c>
      <c r="K654" s="1" cm="1">
        <f t="array" aca="1" ref="K654" ca="1">INDIRECT(CONCATENATE("'",$A$650,"'!i",B654),1)</f>
        <v>10</v>
      </c>
      <c r="L654" s="1" cm="1">
        <f t="array" aca="1" ref="L654" ca="1">INDIRECT(CONCATENATE("'",$A$650,"'!j",B654),1)</f>
        <v>0</v>
      </c>
      <c r="M654" s="1" cm="1">
        <f t="array" aca="1" ref="M654" ca="1">INDIRECT(CONCATENATE("'",$A$650,"'!k",B654),1)</f>
        <v>10</v>
      </c>
      <c r="N654" s="1" t="str" cm="1">
        <f t="array" aca="1" ref="N654" ca="1">INDIRECT(CONCATENATE("'",$A$650,"'!l",B654),1)</f>
        <v>Телина И.С.</v>
      </c>
      <c r="O654" s="1" cm="1">
        <f t="array" aca="1" ref="O654" ca="1">INDIRECT(CONCATENATE("'",$A$650,"'!m",B654),1)</f>
        <v>0</v>
      </c>
      <c r="P654" s="1" t="str" cm="1">
        <f t="array" aca="1" ref="P654" ca="1">INDIRECT(CONCATENATE("'",$A$650,"'!n",B654),1)</f>
        <v>1п</v>
      </c>
      <c r="Q654" s="1" cm="1">
        <f t="array" aca="1" ref="Q654" ca="1">INDIRECT(CONCATENATE("'",$A$650,"'!o",B654),1)</f>
        <v>11.7</v>
      </c>
      <c r="R654" s="1" cm="1">
        <f t="array" aca="1" ref="R654" ca="1">INDIRECT(CONCATENATE("'",$A$650,"'!p",B654),1)</f>
        <v>7.8</v>
      </c>
      <c r="S654" s="1">
        <f t="shared" ca="1" si="53"/>
        <v>0</v>
      </c>
      <c r="T654" s="1" t="str" cm="1">
        <f t="array" aca="1" ref="T654" ca="1">INDIRECT(CONCATENATE("'",$A$650,"'!q",B654),1)</f>
        <v>Телина И.С.</v>
      </c>
      <c r="U654" s="1" cm="1">
        <f t="array" aca="1" ref="U654" ca="1">INDIRECT(CONCATENATE("'",$A$650,"'!r",B654),1)</f>
        <v>39.5</v>
      </c>
      <c r="V654" s="1" cm="1">
        <f t="array" aca="1" ref="V654" ca="1">INDIRECT(CONCATENATE("'",$A$650,"'!s",B654),1)</f>
        <v>0</v>
      </c>
      <c r="W654" s="1" cm="1">
        <f t="array" aca="1" ref="W654" ca="1">INDIRECT(CONCATENATE("'",$A$650,"'!t",B654),1)</f>
        <v>0</v>
      </c>
      <c r="X654" s="1" cm="1">
        <f t="array" aca="1" ref="X654" ca="1">INDIRECT(CONCATENATE("'",$A$650,"'!u",B654),1)</f>
        <v>0</v>
      </c>
      <c r="Y654" s="1" cm="1">
        <f t="array" aca="1" ref="Y654" ca="1">INDIRECT(CONCATENATE("'",$A$650,"'!v",B654),1)</f>
        <v>0</v>
      </c>
    </row>
    <row r="655" spans="1:25" ht="45" hidden="1" x14ac:dyDescent="0.25">
      <c r="A655" s="15"/>
      <c r="B655" s="24">
        <f t="shared" si="51"/>
        <v>7</v>
      </c>
      <c r="C655" s="1" t="str" cm="1">
        <f t="array" aca="1" ref="C655" ca="1">INDIRECT(CONCATENATE("'",$A$650,"'!A",B655),1)</f>
        <v>Искусственный интелект. Машиннное обучение и анализ данных</v>
      </c>
      <c r="D655" s="1" t="str" cm="1">
        <f t="array" aca="1" ref="D655" ca="1">INDIRECT(CONCATENATE("'",$A$650,"'!B",B655),1)</f>
        <v xml:space="preserve">09.04.01(09) </v>
      </c>
      <c r="E655" s="1" t="str" cm="1">
        <f t="array" aca="1" ref="E655" ca="1">INDIRECT(CONCATENATE("'",$A$650,"'!c",B655),1)</f>
        <v>4095з</v>
      </c>
      <c r="F655" s="1" cm="1">
        <f t="array" aca="1" ref="F655" ca="1">INDIRECT(CONCATENATE("'",$A$650,"'!d",B655),1)</f>
        <v>3</v>
      </c>
      <c r="G655" s="1" cm="1">
        <f t="array" aca="1" ref="G655" ca="1">INDIRECT(CONCATENATE("'",$A$650,"'!e",B655),1)</f>
        <v>1</v>
      </c>
      <c r="H655" s="1" cm="1">
        <f t="array" aca="1" ref="H655" ca="1">INDIRECT(CONCATENATE("'",$A$650,"'!f",B655),1)</f>
        <v>13</v>
      </c>
      <c r="I655" s="1" t="str" cm="1">
        <f t="array" aca="1" ref="I655" ca="1">INDIRECT(CONCATENATE("'",$A$650,"'!g",B655),1)</f>
        <v>КР</v>
      </c>
      <c r="J655" s="1" cm="1">
        <f t="array" aca="1" ref="J655" ca="1">INDIRECT(CONCATENATE("'",$A$650,"'!h",B655),1)</f>
        <v>1</v>
      </c>
      <c r="K655" s="1" cm="1">
        <f t="array" aca="1" ref="K655" ca="1">INDIRECT(CONCATENATE("'",$A$650,"'!i",B655),1)</f>
        <v>0</v>
      </c>
      <c r="L655" s="1" cm="1">
        <f t="array" aca="1" ref="L655" ca="1">INDIRECT(CONCATENATE("'",$A$650,"'!j",B655),1)</f>
        <v>0</v>
      </c>
      <c r="M655" s="1" cm="1">
        <f t="array" aca="1" ref="M655" ca="1">INDIRECT(CONCATENATE("'",$A$650,"'!k",B655),1)</f>
        <v>0</v>
      </c>
      <c r="N655" s="1" t="str" cm="1">
        <f t="array" aca="1" ref="N655" ca="1">INDIRECT(CONCATENATE("'",$A$650,"'!l",B655),1)</f>
        <v>Телина И.С.</v>
      </c>
      <c r="O655" s="1" cm="1">
        <f t="array" aca="1" ref="O655" ca="1">INDIRECT(CONCATENATE("'",$A$650,"'!m",B655),1)</f>
        <v>0</v>
      </c>
      <c r="P655" s="1" t="str" cm="1">
        <f t="array" aca="1" ref="P655" ca="1">INDIRECT(CONCATENATE("'",$A$650,"'!n",B655),1)</f>
        <v>1п</v>
      </c>
      <c r="Q655" s="1" cm="1">
        <f t="array" aca="1" ref="Q655" ca="1">INDIRECT(CONCATENATE("'",$A$650,"'!o",B655),1)</f>
        <v>19.5</v>
      </c>
      <c r="R655" s="1" cm="1">
        <f t="array" aca="1" ref="R655" ca="1">INDIRECT(CONCATENATE("'",$A$650,"'!p",B655),1)</f>
        <v>0</v>
      </c>
      <c r="S655" s="1">
        <f t="shared" ca="1" si="53"/>
        <v>0</v>
      </c>
      <c r="T655" s="1" t="str" cm="1">
        <f t="array" aca="1" ref="T655" ca="1">INDIRECT(CONCATENATE("'",$A$650,"'!q",B655),1)</f>
        <v>Телина И.С.</v>
      </c>
      <c r="U655" s="1" cm="1">
        <f t="array" aca="1" ref="U655" ca="1">INDIRECT(CONCATENATE("'",$A$650,"'!r",B655),1)</f>
        <v>19.5</v>
      </c>
      <c r="V655" s="1" cm="1">
        <f t="array" aca="1" ref="V655" ca="1">INDIRECT(CONCATENATE("'",$A$650,"'!s",B655),1)</f>
        <v>0</v>
      </c>
      <c r="W655" s="1" cm="1">
        <f t="array" aca="1" ref="W655" ca="1">INDIRECT(CONCATENATE("'",$A$650,"'!t",B655),1)</f>
        <v>0</v>
      </c>
      <c r="X655" s="1" cm="1">
        <f t="array" aca="1" ref="X655" ca="1">INDIRECT(CONCATENATE("'",$A$650,"'!u",B655),1)</f>
        <v>0</v>
      </c>
      <c r="Y655" s="1" cm="1">
        <f t="array" aca="1" ref="Y655" ca="1">INDIRECT(CONCATENATE("'",$A$650,"'!v",B655),1)</f>
        <v>0</v>
      </c>
    </row>
    <row r="656" spans="1:25" ht="45" hidden="1" x14ac:dyDescent="0.25">
      <c r="A656" s="15"/>
      <c r="B656" s="24">
        <f t="shared" si="51"/>
        <v>8</v>
      </c>
      <c r="C656" s="1" t="str" cm="1">
        <f t="array" aca="1" ref="C656" ca="1">INDIRECT(CONCATENATE("'",$A$650,"'!A",B656),1)</f>
        <v>Искусственный интелект. Прикладные аспекты искусственного интеллекта</v>
      </c>
      <c r="D656" s="1" t="str" cm="1">
        <f t="array" aca="1" ref="D656" ca="1">INDIRECT(CONCATENATE("'",$A$650,"'!B",B656),1)</f>
        <v xml:space="preserve">09.04.01(09) </v>
      </c>
      <c r="E656" s="1" t="str" cm="1">
        <f t="array" aca="1" ref="E656" ca="1">INDIRECT(CONCATENATE("'",$A$650,"'!c",B656),1)</f>
        <v>4095з</v>
      </c>
      <c r="F656" s="1" cm="1">
        <f t="array" aca="1" ref="F656" ca="1">INDIRECT(CONCATENATE("'",$A$650,"'!d",B656),1)</f>
        <v>3</v>
      </c>
      <c r="G656" s="1" cm="1">
        <f t="array" aca="1" ref="G656" ca="1">INDIRECT(CONCATENATE("'",$A$650,"'!e",B656),1)</f>
        <v>1</v>
      </c>
      <c r="H656" s="1" cm="1">
        <f t="array" aca="1" ref="H656" ca="1">INDIRECT(CONCATENATE("'",$A$650,"'!f",B656),1)</f>
        <v>13</v>
      </c>
      <c r="I656" s="1" t="str" cm="1">
        <f t="array" aca="1" ref="I656" ca="1">INDIRECT(CONCATENATE("'",$A$650,"'!g",B656),1)</f>
        <v>ЗАЧ</v>
      </c>
      <c r="J656" s="1" cm="1">
        <f t="array" aca="1" ref="J656" ca="1">INDIRECT(CONCATENATE("'",$A$650,"'!h",B656),1)</f>
        <v>3</v>
      </c>
      <c r="K656" s="1" cm="1">
        <f t="array" aca="1" ref="K656" ca="1">INDIRECT(CONCATENATE("'",$A$650,"'!i",B656),1)</f>
        <v>6</v>
      </c>
      <c r="L656" s="1" cm="1">
        <f t="array" aca="1" ref="L656" ca="1">INDIRECT(CONCATENATE("'",$A$650,"'!j",B656),1)</f>
        <v>0</v>
      </c>
      <c r="M656" s="1" cm="1">
        <f t="array" aca="1" ref="M656" ca="1">INDIRECT(CONCATENATE("'",$A$650,"'!k",B656),1)</f>
        <v>6</v>
      </c>
      <c r="N656" s="1" t="str" cm="1">
        <f t="array" aca="1" ref="N656" ca="1">INDIRECT(CONCATENATE("'",$A$650,"'!l",B656),1)</f>
        <v>Михайлов Д.В.</v>
      </c>
      <c r="O656" s="1" cm="1">
        <f t="array" aca="1" ref="O656" ca="1">INDIRECT(CONCATENATE("'",$A$650,"'!m",B656),1)</f>
        <v>0</v>
      </c>
      <c r="P656" s="1" t="str" cm="1">
        <f t="array" aca="1" ref="P656" ca="1">INDIRECT(CONCATENATE("'",$A$650,"'!n",B656),1)</f>
        <v>1п</v>
      </c>
      <c r="Q656" s="1" cm="1">
        <f t="array" aca="1" ref="Q656" ca="1">INDIRECT(CONCATENATE("'",$A$650,"'!o",B656),1)</f>
        <v>5.9</v>
      </c>
      <c r="R656" s="1" cm="1">
        <f t="array" aca="1" ref="R656" ca="1">INDIRECT(CONCATENATE("'",$A$650,"'!p",B656),1)</f>
        <v>0</v>
      </c>
      <c r="S656" s="1">
        <f t="shared" ca="1" si="53"/>
        <v>0</v>
      </c>
      <c r="T656" s="1" t="str" cm="1">
        <f t="array" aca="1" ref="T656" ca="1">INDIRECT(CONCATENATE("'",$A$650,"'!q",B656),1)</f>
        <v>Михайлов Д.В.</v>
      </c>
      <c r="U656" s="1" cm="1">
        <f t="array" aca="1" ref="U656" ca="1">INDIRECT(CONCATENATE("'",$A$650,"'!r",B656),1)</f>
        <v>17.899999999999999</v>
      </c>
      <c r="V656" s="1" cm="1">
        <f t="array" aca="1" ref="V656" ca="1">INDIRECT(CONCATENATE("'",$A$650,"'!s",B656),1)</f>
        <v>0</v>
      </c>
      <c r="W656" s="1" cm="1">
        <f t="array" aca="1" ref="W656" ca="1">INDIRECT(CONCATENATE("'",$A$650,"'!t",B656),1)</f>
        <v>0</v>
      </c>
      <c r="X656" s="1" cm="1">
        <f t="array" aca="1" ref="X656" ca="1">INDIRECT(CONCATENATE("'",$A$650,"'!u",B656),1)</f>
        <v>0</v>
      </c>
      <c r="Y656" s="1" cm="1">
        <f t="array" aca="1" ref="Y656" ca="1">INDIRECT(CONCATENATE("'",$A$650,"'!v",B656),1)</f>
        <v>0</v>
      </c>
    </row>
    <row r="657" spans="1:25" ht="28.5" hidden="1" customHeight="1" x14ac:dyDescent="0.25">
      <c r="A657" s="15"/>
      <c r="B657" s="24">
        <f t="shared" si="51"/>
        <v>9</v>
      </c>
      <c r="C657" s="1" t="str" cm="1">
        <f t="array" aca="1" ref="C657" ca="1">INDIRECT(CONCATENATE("'",$A$650,"'!A",B657),1)</f>
        <v>Системы разработки программного обеспечения</v>
      </c>
      <c r="D657" s="1" t="str" cm="1">
        <f t="array" aca="1" ref="D657" ca="1">INDIRECT(CONCATENATE("'",$A$650,"'!B",B657),1)</f>
        <v xml:space="preserve">09.04.01(09) </v>
      </c>
      <c r="E657" s="1" t="str" cm="1">
        <f t="array" aca="1" ref="E657" ca="1">INDIRECT(CONCATENATE("'",$A$650,"'!c",B657),1)</f>
        <v>4095з</v>
      </c>
      <c r="F657" s="1" cm="1">
        <f t="array" aca="1" ref="F657" ca="1">INDIRECT(CONCATENATE("'",$A$650,"'!d",B657),1)</f>
        <v>3</v>
      </c>
      <c r="G657" s="1" cm="1">
        <f t="array" aca="1" ref="G657" ca="1">INDIRECT(CONCATENATE("'",$A$650,"'!e",B657),1)</f>
        <v>1</v>
      </c>
      <c r="H657" s="1" cm="1">
        <f t="array" aca="1" ref="H657" ca="1">INDIRECT(CONCATENATE("'",$A$650,"'!f",B657),1)</f>
        <v>13</v>
      </c>
      <c r="I657" s="1" t="str" cm="1">
        <f t="array" aca="1" ref="I657" ca="1">INDIRECT(CONCATENATE("'",$A$650,"'!g",B657),1)</f>
        <v>ЗАЧ</v>
      </c>
      <c r="J657" s="1" cm="1">
        <f t="array" aca="1" ref="J657" ca="1">INDIRECT(CONCATENATE("'",$A$650,"'!h",B657),1)</f>
        <v>4</v>
      </c>
      <c r="K657" s="1" cm="1">
        <f t="array" aca="1" ref="K657" ca="1">INDIRECT(CONCATENATE("'",$A$650,"'!i",B657),1)</f>
        <v>6</v>
      </c>
      <c r="L657" s="1" cm="1">
        <f t="array" aca="1" ref="L657" ca="1">INDIRECT(CONCATENATE("'",$A$650,"'!j",B657),1)</f>
        <v>0</v>
      </c>
      <c r="M657" s="1" cm="1">
        <f t="array" aca="1" ref="M657" ca="1">INDIRECT(CONCATENATE("'",$A$650,"'!k",B657),1)</f>
        <v>10</v>
      </c>
      <c r="N657" s="1" t="str" cm="1">
        <f t="array" aca="1" ref="N657" ca="1">INDIRECT(CONCATENATE("'",$A$650,"'!l",B657),1)</f>
        <v>Попов В.С.</v>
      </c>
      <c r="O657" s="1" cm="1">
        <f t="array" aca="1" ref="O657" ca="1">INDIRECT(CONCATENATE("'",$A$650,"'!m",B657),1)</f>
        <v>0</v>
      </c>
      <c r="P657" s="1" t="str" cm="1">
        <f t="array" aca="1" ref="P657" ca="1">INDIRECT(CONCATENATE("'",$A$650,"'!n",B657),1)</f>
        <v>1п</v>
      </c>
      <c r="Q657" s="1" cm="1">
        <f t="array" aca="1" ref="Q657" ca="1">INDIRECT(CONCATENATE("'",$A$650,"'!o",B657),1)</f>
        <v>7.8</v>
      </c>
      <c r="R657" s="1" cm="1">
        <f t="array" aca="1" ref="R657" ca="1">INDIRECT(CONCATENATE("'",$A$650,"'!p",B657),1)</f>
        <v>0</v>
      </c>
      <c r="S657" s="1">
        <f t="shared" ca="1" si="53"/>
        <v>0</v>
      </c>
      <c r="T657" s="1" t="str" cm="1">
        <f t="array" aca="1" ref="T657" ca="1">INDIRECT(CONCATENATE("'",$A$650,"'!q",B657),1)</f>
        <v>Попов В.С.</v>
      </c>
      <c r="U657" s="1" cm="1">
        <f t="array" aca="1" ref="U657" ca="1">INDIRECT(CONCATENATE("'",$A$650,"'!r",B657),1)</f>
        <v>23.8</v>
      </c>
      <c r="V657" s="1" cm="1">
        <f t="array" aca="1" ref="V657" ca="1">INDIRECT(CONCATENATE("'",$A$650,"'!s",B657),1)</f>
        <v>0</v>
      </c>
      <c r="W657" s="1" cm="1">
        <f t="array" aca="1" ref="W657" ca="1">INDIRECT(CONCATENATE("'",$A$650,"'!t",B657),1)</f>
        <v>0</v>
      </c>
      <c r="X657" s="1" cm="1">
        <f t="array" aca="1" ref="X657" ca="1">INDIRECT(CONCATENATE("'",$A$650,"'!u",B657),1)</f>
        <v>0</v>
      </c>
      <c r="Y657" s="1" cm="1">
        <f t="array" aca="1" ref="Y657" ca="1">INDIRECT(CONCATENATE("'",$A$650,"'!v",B657),1)</f>
        <v>0</v>
      </c>
    </row>
    <row r="658" spans="1:25" ht="33.75" hidden="1" x14ac:dyDescent="0.25">
      <c r="A658" s="15"/>
      <c r="B658" s="24">
        <f t="shared" si="51"/>
        <v>10</v>
      </c>
      <c r="C658" s="1" t="str" cm="1">
        <f t="array" aca="1" ref="C658" ca="1">INDIRECT(CONCATENATE("'",$A$650,"'!A",B658),1)</f>
        <v>Проектирование баз данных и работа с ними(установ.)</v>
      </c>
      <c r="D658" s="1" t="str" cm="1">
        <f t="array" aca="1" ref="D658" ca="1">INDIRECT(CONCATENATE("'",$A$650,"'!B",B658),1)</f>
        <v xml:space="preserve">09.04.01(09) </v>
      </c>
      <c r="E658" s="1" t="str" cm="1">
        <f t="array" aca="1" ref="E658" ca="1">INDIRECT(CONCATENATE("'",$A$650,"'!c",B658),1)</f>
        <v>4095з</v>
      </c>
      <c r="F658" s="1" cm="1">
        <f t="array" aca="1" ref="F658" ca="1">INDIRECT(CONCATENATE("'",$A$650,"'!d",B658),1)</f>
        <v>3</v>
      </c>
      <c r="G658" s="1" cm="1">
        <f t="array" aca="1" ref="G658" ca="1">INDIRECT(CONCATENATE("'",$A$650,"'!e",B658),1)</f>
        <v>1</v>
      </c>
      <c r="H658" s="1" cm="1">
        <f t="array" aca="1" ref="H658" ca="1">INDIRECT(CONCATENATE("'",$A$650,"'!f",B658),1)</f>
        <v>13</v>
      </c>
      <c r="I658" s="1" t="str" cm="1">
        <f t="array" aca="1" ref="I658" ca="1">INDIRECT(CONCATENATE("'",$A$650,"'!g",B658),1)</f>
        <v>ЭКЗ</v>
      </c>
      <c r="J658" s="1" cm="1">
        <f t="array" aca="1" ref="J658" ca="1">INDIRECT(CONCATENATE("'",$A$650,"'!h",B658),1)</f>
        <v>0</v>
      </c>
      <c r="K658" s="1" cm="1">
        <f t="array" aca="1" ref="K658" ca="1">INDIRECT(CONCATENATE("'",$A$650,"'!i",B658),1)</f>
        <v>1</v>
      </c>
      <c r="L658" s="1" cm="1">
        <f t="array" aca="1" ref="L658" ca="1">INDIRECT(CONCATENATE("'",$A$650,"'!j",B658),1)</f>
        <v>0</v>
      </c>
      <c r="M658" s="1" cm="1">
        <f t="array" aca="1" ref="M658" ca="1">INDIRECT(CONCATENATE("'",$A$650,"'!k",B658),1)</f>
        <v>0</v>
      </c>
      <c r="N658" s="1" t="str" cm="1">
        <f t="array" aca="1" ref="N658" ca="1">INDIRECT(CONCATENATE("'",$A$650,"'!l",B658),1)</f>
        <v>Цымбалюк Л.Н.</v>
      </c>
      <c r="O658" s="1" cm="1">
        <f t="array" aca="1" ref="O658" ca="1">INDIRECT(CONCATENATE("'",$A$650,"'!m",B658),1)</f>
        <v>0</v>
      </c>
      <c r="P658" s="1" t="str" cm="1">
        <f t="array" aca="1" ref="P658" ca="1">INDIRECT(CONCATENATE("'",$A$650,"'!n",B658),1)</f>
        <v>уст.</v>
      </c>
      <c r="Q658" s="1" cm="1">
        <f t="array" aca="1" ref="Q658" ca="1">INDIRECT(CONCATENATE("'",$A$650,"'!o",B658),1)</f>
        <v>0</v>
      </c>
      <c r="R658" s="1" cm="1">
        <f t="array" aca="1" ref="R658" ca="1">INDIRECT(CONCATENATE("'",$A$650,"'!p",B658),1)</f>
        <v>0</v>
      </c>
      <c r="S658" s="1">
        <f t="shared" ca="1" si="53"/>
        <v>0</v>
      </c>
      <c r="T658" s="1" t="str" cm="1">
        <f t="array" aca="1" ref="T658" ca="1">INDIRECT(CONCATENATE("'",$A$650,"'!q",B658),1)</f>
        <v>Цымбалюк Л.Н.</v>
      </c>
      <c r="U658" s="1" cm="1">
        <f t="array" aca="1" ref="U658" ca="1">INDIRECT(CONCATENATE("'",$A$650,"'!r",B658),1)</f>
        <v>0</v>
      </c>
      <c r="V658" s="1" cm="1">
        <f t="array" aca="1" ref="V658" ca="1">INDIRECT(CONCATENATE("'",$A$650,"'!s",B658),1)</f>
        <v>0</v>
      </c>
      <c r="W658" s="1" cm="1">
        <f t="array" aca="1" ref="W658" ca="1">INDIRECT(CONCATENATE("'",$A$650,"'!t",B658),1)</f>
        <v>0</v>
      </c>
      <c r="X658" s="1" cm="1">
        <f t="array" aca="1" ref="X658" ca="1">INDIRECT(CONCATENATE("'",$A$650,"'!u",B658),1)</f>
        <v>0</v>
      </c>
      <c r="Y658" s="1" cm="1">
        <f t="array" aca="1" ref="Y658" ca="1">INDIRECT(CONCATENATE("'",$A$650,"'!v",B658),1)</f>
        <v>0</v>
      </c>
    </row>
    <row r="659" spans="1:25" ht="45" hidden="1" x14ac:dyDescent="0.25">
      <c r="A659" s="15"/>
      <c r="B659" s="24">
        <f t="shared" si="51"/>
        <v>11</v>
      </c>
      <c r="C659" s="1" t="str" cm="1">
        <f t="array" aca="1" ref="C659" ca="1">INDIRECT(CONCATENATE("'",$A$650,"'!A",B659),1)</f>
        <v>Программные средства для искусственного интеллекта на языке Python (устан)</v>
      </c>
      <c r="D659" s="1" t="str" cm="1">
        <f t="array" aca="1" ref="D659" ca="1">INDIRECT(CONCATENATE("'",$A$650,"'!B",B659),1)</f>
        <v xml:space="preserve">09.04.01(09) </v>
      </c>
      <c r="E659" s="1" t="str" cm="1">
        <f t="array" aca="1" ref="E659" ca="1">INDIRECT(CONCATENATE("'",$A$650,"'!c",B659),1)</f>
        <v>4095з</v>
      </c>
      <c r="F659" s="1" cm="1">
        <f t="array" aca="1" ref="F659" ca="1">INDIRECT(CONCATENATE("'",$A$650,"'!d",B659),1)</f>
        <v>3</v>
      </c>
      <c r="G659" s="1" cm="1">
        <f t="array" aca="1" ref="G659" ca="1">INDIRECT(CONCATENATE("'",$A$650,"'!e",B659),1)</f>
        <v>1</v>
      </c>
      <c r="H659" s="1" cm="1">
        <f t="array" aca="1" ref="H659" ca="1">INDIRECT(CONCATENATE("'",$A$650,"'!f",B659),1)</f>
        <v>13</v>
      </c>
      <c r="I659" s="1" t="str" cm="1">
        <f t="array" aca="1" ref="I659" ca="1">INDIRECT(CONCATENATE("'",$A$650,"'!g",B659),1)</f>
        <v>ЗАЧ</v>
      </c>
      <c r="J659" s="1" cm="1">
        <f t="array" aca="1" ref="J659" ca="1">INDIRECT(CONCATENATE("'",$A$650,"'!h",B659),1)</f>
        <v>0</v>
      </c>
      <c r="K659" s="1" cm="1">
        <f t="array" aca="1" ref="K659" ca="1">INDIRECT(CONCATENATE("'",$A$650,"'!i",B659),1)</f>
        <v>1</v>
      </c>
      <c r="L659" s="1" cm="1">
        <f t="array" aca="1" ref="L659" ca="1">INDIRECT(CONCATENATE("'",$A$650,"'!j",B659),1)</f>
        <v>0</v>
      </c>
      <c r="M659" s="1" cm="1">
        <f t="array" aca="1" ref="M659" ca="1">INDIRECT(CONCATENATE("'",$A$650,"'!k",B659),1)</f>
        <v>0</v>
      </c>
      <c r="N659" s="1" t="str" cm="1">
        <f t="array" aca="1" ref="N659" ca="1">INDIRECT(CONCATENATE("'",$A$650,"'!l",B659),1)</f>
        <v>Яковлев Н.С.</v>
      </c>
      <c r="O659" s="1" cm="1">
        <f t="array" aca="1" ref="O659" ca="1">INDIRECT(CONCATENATE("'",$A$650,"'!m",B659),1)</f>
        <v>0</v>
      </c>
      <c r="P659" s="1" t="str" cm="1">
        <f t="array" aca="1" ref="P659" ca="1">INDIRECT(CONCATENATE("'",$A$650,"'!n",B659),1)</f>
        <v>уст.</v>
      </c>
      <c r="Q659" s="1" cm="1">
        <f t="array" aca="1" ref="Q659" ca="1">INDIRECT(CONCATENATE("'",$A$650,"'!o",B659),1)</f>
        <v>0</v>
      </c>
      <c r="R659" s="1" cm="1">
        <f t="array" aca="1" ref="R659" ca="1">INDIRECT(CONCATENATE("'",$A$650,"'!p",B659),1)</f>
        <v>0</v>
      </c>
      <c r="S659" s="1">
        <f t="shared" ca="1" si="53"/>
        <v>0</v>
      </c>
      <c r="T659" s="1" t="str" cm="1">
        <f t="array" aca="1" ref="T659" ca="1">INDIRECT(CONCATENATE("'",$A$650,"'!q",B659),1)</f>
        <v>Яковлев Н.С.</v>
      </c>
      <c r="U659" s="1" cm="1">
        <f t="array" aca="1" ref="U659" ca="1">INDIRECT(CONCATENATE("'",$A$650,"'!r",B659),1)</f>
        <v>0</v>
      </c>
      <c r="V659" s="1" cm="1">
        <f t="array" aca="1" ref="V659" ca="1">INDIRECT(CONCATENATE("'",$A$650,"'!s",B659),1)</f>
        <v>0</v>
      </c>
      <c r="W659" s="1" cm="1">
        <f t="array" aca="1" ref="W659" ca="1">INDIRECT(CONCATENATE("'",$A$650,"'!t",B659),1)</f>
        <v>0</v>
      </c>
      <c r="X659" s="1" cm="1">
        <f t="array" aca="1" ref="X659" ca="1">INDIRECT(CONCATENATE("'",$A$650,"'!u",B659),1)</f>
        <v>0</v>
      </c>
      <c r="Y659" s="1" cm="1">
        <f t="array" aca="1" ref="Y659" ca="1">INDIRECT(CONCATENATE("'",$A$650,"'!v",B659),1)</f>
        <v>0</v>
      </c>
    </row>
    <row r="660" spans="1:25" ht="22.5" hidden="1" x14ac:dyDescent="0.25">
      <c r="A660" s="15"/>
      <c r="B660" s="24">
        <f t="shared" si="51"/>
        <v>12</v>
      </c>
      <c r="C660" s="1" t="str" cm="1">
        <f t="array" aca="1" ref="C660" ca="1">INDIRECT(CONCATENATE("'",$A$650,"'!A",B660),1)</f>
        <v>Язык R и базовая статистика (устан)</v>
      </c>
      <c r="D660" s="1" t="str" cm="1">
        <f t="array" aca="1" ref="D660" ca="1">INDIRECT(CONCATENATE("'",$A$650,"'!B",B660),1)</f>
        <v xml:space="preserve">09.04.01(09) </v>
      </c>
      <c r="E660" s="1" t="str" cm="1">
        <f t="array" aca="1" ref="E660" ca="1">INDIRECT(CONCATENATE("'",$A$650,"'!c",B660),1)</f>
        <v>4095з</v>
      </c>
      <c r="F660" s="1" cm="1">
        <f t="array" aca="1" ref="F660" ca="1">INDIRECT(CONCATENATE("'",$A$650,"'!d",B660),1)</f>
        <v>3</v>
      </c>
      <c r="G660" s="1" cm="1">
        <f t="array" aca="1" ref="G660" ca="1">INDIRECT(CONCATENATE("'",$A$650,"'!e",B660),1)</f>
        <v>1</v>
      </c>
      <c r="H660" s="1" cm="1">
        <f t="array" aca="1" ref="H660" ca="1">INDIRECT(CONCATENATE("'",$A$650,"'!f",B660),1)</f>
        <v>13</v>
      </c>
      <c r="I660" s="1" t="str" cm="1">
        <f t="array" aca="1" ref="I660" ca="1">INDIRECT(CONCATENATE("'",$A$650,"'!g",B660),1)</f>
        <v>ЗАЧ</v>
      </c>
      <c r="J660" s="1" cm="1">
        <f t="array" aca="1" ref="J660" ca="1">INDIRECT(CONCATENATE("'",$A$650,"'!h",B660),1)</f>
        <v>0</v>
      </c>
      <c r="K660" s="1" cm="1">
        <f t="array" aca="1" ref="K660" ca="1">INDIRECT(CONCATENATE("'",$A$650,"'!i",B660),1)</f>
        <v>1</v>
      </c>
      <c r="L660" s="1" cm="1">
        <f t="array" aca="1" ref="L660" ca="1">INDIRECT(CONCATENATE("'",$A$650,"'!j",B660),1)</f>
        <v>0</v>
      </c>
      <c r="M660" s="1" cm="1">
        <f t="array" aca="1" ref="M660" ca="1">INDIRECT(CONCATENATE("'",$A$650,"'!k",B660),1)</f>
        <v>0</v>
      </c>
      <c r="N660" s="1" t="str" cm="1">
        <f t="array" aca="1" ref="N660" ca="1">INDIRECT(CONCATENATE("'",$A$650,"'!l",B660),1)</f>
        <v>Телина И.С.</v>
      </c>
      <c r="O660" s="1" cm="1">
        <f t="array" aca="1" ref="O660" ca="1">INDIRECT(CONCATENATE("'",$A$650,"'!m",B660),1)</f>
        <v>0</v>
      </c>
      <c r="P660" s="1" t="str" cm="1">
        <f t="array" aca="1" ref="P660" ca="1">INDIRECT(CONCATENATE("'",$A$650,"'!n",B660),1)</f>
        <v>уст.</v>
      </c>
      <c r="Q660" s="1" cm="1">
        <f t="array" aca="1" ref="Q660" ca="1">INDIRECT(CONCATENATE("'",$A$650,"'!o",B660),1)</f>
        <v>0</v>
      </c>
      <c r="R660" s="1" cm="1">
        <f t="array" aca="1" ref="R660" ca="1">INDIRECT(CONCATENATE("'",$A$650,"'!p",B660),1)</f>
        <v>0</v>
      </c>
      <c r="S660" s="1">
        <f t="shared" ca="1" si="53"/>
        <v>0</v>
      </c>
      <c r="T660" s="1" t="str" cm="1">
        <f t="array" aca="1" ref="T660" ca="1">INDIRECT(CONCATENATE("'",$A$650,"'!q",B660),1)</f>
        <v>Телина И.С.</v>
      </c>
      <c r="U660" s="1" cm="1">
        <f t="array" aca="1" ref="U660" ca="1">INDIRECT(CONCATENATE("'",$A$650,"'!r",B660),1)</f>
        <v>0</v>
      </c>
      <c r="V660" s="1" cm="1">
        <f t="array" aca="1" ref="V660" ca="1">INDIRECT(CONCATENATE("'",$A$650,"'!s",B660),1)</f>
        <v>0</v>
      </c>
      <c r="W660" s="1" cm="1">
        <f t="array" aca="1" ref="W660" ca="1">INDIRECT(CONCATENATE("'",$A$650,"'!t",B660),1)</f>
        <v>0</v>
      </c>
      <c r="X660" s="1" cm="1">
        <f t="array" aca="1" ref="X660" ca="1">INDIRECT(CONCATENATE("'",$A$650,"'!u",B660),1)</f>
        <v>0</v>
      </c>
      <c r="Y660" s="1" cm="1">
        <f t="array" aca="1" ref="Y660" ca="1">INDIRECT(CONCATENATE("'",$A$650,"'!v",B660),1)</f>
        <v>0</v>
      </c>
    </row>
    <row r="661" spans="1:25" ht="45" hidden="1" x14ac:dyDescent="0.25">
      <c r="A661" s="15"/>
      <c r="B661" s="24">
        <f t="shared" si="51"/>
        <v>13</v>
      </c>
      <c r="C661" s="1" t="str" cm="1">
        <f t="array" aca="1" ref="C661" ca="1">INDIRECT(CONCATENATE("'",$A$650,"'!A",B661),1)</f>
        <v>Технологии работы с естественным языком Natural Language Processing (устан)</v>
      </c>
      <c r="D661" s="1" t="str" cm="1">
        <f t="array" aca="1" ref="D661" ca="1">INDIRECT(CONCATENATE("'",$A$650,"'!B",B661),1)</f>
        <v xml:space="preserve">09.04.01(09) </v>
      </c>
      <c r="E661" s="1" t="str" cm="1">
        <f t="array" aca="1" ref="E661" ca="1">INDIRECT(CONCATENATE("'",$A$650,"'!c",B661),1)</f>
        <v>4095з</v>
      </c>
      <c r="F661" s="1" cm="1">
        <f t="array" aca="1" ref="F661" ca="1">INDIRECT(CONCATENATE("'",$A$650,"'!d",B661),1)</f>
        <v>3</v>
      </c>
      <c r="G661" s="1" cm="1">
        <f t="array" aca="1" ref="G661" ca="1">INDIRECT(CONCATENATE("'",$A$650,"'!e",B661),1)</f>
        <v>1</v>
      </c>
      <c r="H661" s="1" cm="1">
        <f t="array" aca="1" ref="H661" ca="1">INDIRECT(CONCATENATE("'",$A$650,"'!f",B661),1)</f>
        <v>13</v>
      </c>
      <c r="I661" s="1" t="str" cm="1">
        <f t="array" aca="1" ref="I661" ca="1">INDIRECT(CONCATENATE("'",$A$650,"'!g",B661),1)</f>
        <v>ЗАЧ</v>
      </c>
      <c r="J661" s="1" cm="1">
        <f t="array" aca="1" ref="J661" ca="1">INDIRECT(CONCATENATE("'",$A$650,"'!h",B661),1)</f>
        <v>0</v>
      </c>
      <c r="K661" s="1" cm="1">
        <f t="array" aca="1" ref="K661" ca="1">INDIRECT(CONCATENATE("'",$A$650,"'!i",B661),1)</f>
        <v>1</v>
      </c>
      <c r="L661" s="1" cm="1">
        <f t="array" aca="1" ref="L661" ca="1">INDIRECT(CONCATENATE("'",$A$650,"'!j",B661),1)</f>
        <v>0</v>
      </c>
      <c r="M661" s="1" cm="1">
        <f t="array" aca="1" ref="M661" ca="1">INDIRECT(CONCATENATE("'",$A$650,"'!k",B661),1)</f>
        <v>0</v>
      </c>
      <c r="N661" s="1" t="str" cm="1">
        <f t="array" aca="1" ref="N661" ca="1">INDIRECT(CONCATENATE("'",$A$650,"'!l",B661),1)</f>
        <v>Фуфин М.Н.</v>
      </c>
      <c r="O661" s="1" cm="1">
        <f t="array" aca="1" ref="O661" ca="1">INDIRECT(CONCATENATE("'",$A$650,"'!m",B661),1)</f>
        <v>0</v>
      </c>
      <c r="P661" s="1" t="str" cm="1">
        <f t="array" aca="1" ref="P661" ca="1">INDIRECT(CONCATENATE("'",$A$650,"'!n",B661),1)</f>
        <v>уст.</v>
      </c>
      <c r="Q661" s="1" cm="1">
        <f t="array" aca="1" ref="Q661" ca="1">INDIRECT(CONCATENATE("'",$A$650,"'!o",B661),1)</f>
        <v>0</v>
      </c>
      <c r="R661" s="1" cm="1">
        <f t="array" aca="1" ref="R661" ca="1">INDIRECT(CONCATENATE("'",$A$650,"'!p",B661),1)</f>
        <v>0</v>
      </c>
      <c r="S661" s="1">
        <f t="shared" ca="1" si="53"/>
        <v>0</v>
      </c>
      <c r="T661" s="1" t="str" cm="1">
        <f t="array" aca="1" ref="T661" ca="1">INDIRECT(CONCATENATE("'",$A$650,"'!q",B661),1)</f>
        <v>Фуфин М.Н.</v>
      </c>
      <c r="U661" s="1" cm="1">
        <f t="array" aca="1" ref="U661" ca="1">INDIRECT(CONCATENATE("'",$A$650,"'!r",B661),1)</f>
        <v>0</v>
      </c>
      <c r="V661" s="1" cm="1">
        <f t="array" aca="1" ref="V661" ca="1">INDIRECT(CONCATENATE("'",$A$650,"'!s",B661),1)</f>
        <v>0</v>
      </c>
      <c r="W661" s="1" cm="1">
        <f t="array" aca="1" ref="W661" ca="1">INDIRECT(CONCATENATE("'",$A$650,"'!t",B661),1)</f>
        <v>0</v>
      </c>
      <c r="X661" s="1" cm="1">
        <f t="array" aca="1" ref="X661" ca="1">INDIRECT(CONCATENATE("'",$A$650,"'!u",B661),1)</f>
        <v>0</v>
      </c>
      <c r="Y661" s="1" cm="1">
        <f t="array" aca="1" ref="Y661" ca="1">INDIRECT(CONCATENATE("'",$A$650,"'!v",B661),1)</f>
        <v>0</v>
      </c>
    </row>
    <row r="662" spans="1:25" ht="45" hidden="1" x14ac:dyDescent="0.25">
      <c r="A662" s="15"/>
      <c r="B662" s="24">
        <f t="shared" si="51"/>
        <v>14</v>
      </c>
      <c r="C662" s="1" t="str" cm="1">
        <f t="array" aca="1" ref="C662" ca="1">INDIRECT(CONCATENATE("'",$A$650,"'!A",B662),1)</f>
        <v>Практика учебная : Практика проектная</v>
      </c>
      <c r="D662" s="1" t="str" cm="1">
        <f t="array" aca="1" ref="D662" ca="1">INDIRECT(CONCATENATE("'",$A$650,"'!B",B662),1)</f>
        <v xml:space="preserve">09.04.01(09) </v>
      </c>
      <c r="E662" s="1" t="str" cm="1">
        <f t="array" aca="1" ref="E662" ca="1">INDIRECT(CONCATENATE("'",$A$650,"'!c",B662),1)</f>
        <v>4095з</v>
      </c>
      <c r="F662" s="1" cm="1">
        <f t="array" aca="1" ref="F662" ca="1">INDIRECT(CONCATENATE("'",$A$650,"'!d",B662),1)</f>
        <v>3</v>
      </c>
      <c r="G662" s="1" cm="1">
        <f t="array" aca="1" ref="G662" ca="1">INDIRECT(CONCATENATE("'",$A$650,"'!e",B662),1)</f>
        <v>1</v>
      </c>
      <c r="H662" s="1" cm="1">
        <f t="array" aca="1" ref="H662" ca="1">INDIRECT(CONCATENATE("'",$A$650,"'!f",B662),1)</f>
        <v>13</v>
      </c>
      <c r="I662" s="1" t="str" cm="1">
        <f t="array" aca="1" ref="I662" ca="1">INDIRECT(CONCATENATE("'",$A$650,"'!g",B662),1)</f>
        <v>ДЗ</v>
      </c>
      <c r="J662" s="1" cm="1">
        <f t="array" aca="1" ref="J662" ca="1">INDIRECT(CONCATENATE("'",$A$650,"'!h",B662),1)</f>
        <v>3</v>
      </c>
      <c r="K662" s="1" cm="1">
        <f t="array" aca="1" ref="K662" ca="1">INDIRECT(CONCATENATE("'",$A$650,"'!i",B662),1)</f>
        <v>0</v>
      </c>
      <c r="L662" s="1" cm="1">
        <f t="array" aca="1" ref="L662" ca="1">INDIRECT(CONCATENATE("'",$A$650,"'!j",B662),1)</f>
        <v>2</v>
      </c>
      <c r="M662" s="1" cm="1">
        <f t="array" aca="1" ref="M662" ca="1">INDIRECT(CONCATENATE("'",$A$650,"'!k",B662),1)</f>
        <v>0</v>
      </c>
      <c r="N662" s="1" t="str" cm="1">
        <f t="array" aca="1" ref="N662" ca="1">INDIRECT(CONCATENATE("'",$A$650,"'!l",B662),1)</f>
        <v>Кулаков И.Ю.Архипова Г.А.</v>
      </c>
      <c r="O662" s="1" cm="1">
        <f t="array" aca="1" ref="O662" ca="1">INDIRECT(CONCATENATE("'",$A$650,"'!m",B662),1)</f>
        <v>0</v>
      </c>
      <c r="P662" s="1" cm="1">
        <f t="array" aca="1" ref="P662" ca="1">INDIRECT(CONCATENATE("'",$A$650,"'!n",B662),1)</f>
        <v>0</v>
      </c>
      <c r="Q662" s="1" cm="1">
        <f t="array" aca="1" ref="Q662" ca="1">INDIRECT(CONCATENATE("'",$A$650,"'!o",B662),1)</f>
        <v>11.7</v>
      </c>
      <c r="R662" s="1" cm="1">
        <f t="array" aca="1" ref="R662" ca="1">INDIRECT(CONCATENATE("'",$A$650,"'!p",B662),1)</f>
        <v>0</v>
      </c>
      <c r="S662" s="1">
        <f t="shared" ca="1" si="53"/>
        <v>0</v>
      </c>
      <c r="T662" s="1" t="str" cm="1">
        <f t="array" aca="1" ref="T662" ca="1">INDIRECT(CONCATENATE("'",$A$650,"'!q",B662),1)</f>
        <v>Кулаков И.Ю.</v>
      </c>
      <c r="U662" s="1" cm="1">
        <f t="array" aca="1" ref="U662" ca="1">INDIRECT(CONCATENATE("'",$A$650,"'!r",B662),1)</f>
        <v>9.6999999999999993</v>
      </c>
      <c r="V662" s="1" t="str" cm="1">
        <f t="array" aca="1" ref="V662" ca="1">INDIRECT(CONCATENATE("'",$A$650,"'!s",B662),1)</f>
        <v>Архипова Г.А.</v>
      </c>
      <c r="W662" s="1" cm="1">
        <f t="array" aca="1" ref="W662" ca="1">INDIRECT(CONCATENATE("'",$A$650,"'!t",B662),1)</f>
        <v>2</v>
      </c>
      <c r="X662" s="1" cm="1">
        <f t="array" aca="1" ref="X662" ca="1">INDIRECT(CONCATENATE("'",$A$650,"'!u",B662),1)</f>
        <v>0</v>
      </c>
      <c r="Y662" s="1" cm="1">
        <f t="array" aca="1" ref="Y662" ca="1">INDIRECT(CONCATENATE("'",$A$650,"'!v",B662),1)</f>
        <v>0</v>
      </c>
    </row>
    <row r="663" spans="1:25" ht="33.75" hidden="1" x14ac:dyDescent="0.25">
      <c r="A663" s="15"/>
      <c r="B663" s="24">
        <f t="shared" si="51"/>
        <v>15</v>
      </c>
      <c r="C663" s="1" t="str" cm="1">
        <f t="array" aca="1" ref="C663" ca="1">INDIRECT(CONCATENATE("'",$A$650,"'!A",B663),1)</f>
        <v>Практика учебная : Практика проектная (устан.)</v>
      </c>
      <c r="D663" s="1" t="str" cm="1">
        <f t="array" aca="1" ref="D663" ca="1">INDIRECT(CONCATENATE("'",$A$650,"'!B",B663),1)</f>
        <v xml:space="preserve">09.04.01(09) </v>
      </c>
      <c r="E663" s="1" t="str" cm="1">
        <f t="array" aca="1" ref="E663" ca="1">INDIRECT(CONCATENATE("'",$A$650,"'!c",B663),1)</f>
        <v>4095з</v>
      </c>
      <c r="F663" s="1" cm="1">
        <f t="array" aca="1" ref="F663" ca="1">INDIRECT(CONCATENATE("'",$A$650,"'!d",B663),1)</f>
        <v>3</v>
      </c>
      <c r="G663" s="1" cm="1">
        <f t="array" aca="1" ref="G663" ca="1">INDIRECT(CONCATENATE("'",$A$650,"'!e",B663),1)</f>
        <v>1</v>
      </c>
      <c r="H663" s="1" cm="1">
        <f t="array" aca="1" ref="H663" ca="1">INDIRECT(CONCATENATE("'",$A$650,"'!f",B663),1)</f>
        <v>13</v>
      </c>
      <c r="I663" s="1" cm="1">
        <f t="array" aca="1" ref="I663" ca="1">INDIRECT(CONCATENATE("'",$A$650,"'!g",B663),1)</f>
        <v>0</v>
      </c>
      <c r="J663" s="1" cm="1">
        <f t="array" aca="1" ref="J663" ca="1">INDIRECT(CONCATENATE("'",$A$650,"'!h",B663),1)</f>
        <v>0</v>
      </c>
      <c r="K663" s="1" cm="1">
        <f t="array" aca="1" ref="K663" ca="1">INDIRECT(CONCATENATE("'",$A$650,"'!i",B663),1)</f>
        <v>0</v>
      </c>
      <c r="L663" s="1" cm="1">
        <f t="array" aca="1" ref="L663" ca="1">INDIRECT(CONCATENATE("'",$A$650,"'!j",B663),1)</f>
        <v>1</v>
      </c>
      <c r="M663" s="1" cm="1">
        <f t="array" aca="1" ref="M663" ca="1">INDIRECT(CONCATENATE("'",$A$650,"'!k",B663),1)</f>
        <v>0</v>
      </c>
      <c r="N663" s="1" t="str" cm="1">
        <f t="array" aca="1" ref="N663" ca="1">INDIRECT(CONCATENATE("'",$A$650,"'!l",B663),1)</f>
        <v>Кулаков И.Ю.</v>
      </c>
      <c r="O663" s="1" cm="1">
        <f t="array" aca="1" ref="O663" ca="1">INDIRECT(CONCATENATE("'",$A$650,"'!m",B663),1)</f>
        <v>0</v>
      </c>
      <c r="P663" s="1" t="str" cm="1">
        <f t="array" aca="1" ref="P663" ca="1">INDIRECT(CONCATENATE("'",$A$650,"'!n",B663),1)</f>
        <v>уст.</v>
      </c>
      <c r="Q663" s="1" cm="1">
        <f t="array" aca="1" ref="Q663" ca="1">INDIRECT(CONCATENATE("'",$A$650,"'!o",B663),1)</f>
        <v>0</v>
      </c>
      <c r="R663" s="1" cm="1">
        <f t="array" aca="1" ref="R663" ca="1">INDIRECT(CONCATENATE("'",$A$650,"'!p",B663),1)</f>
        <v>0</v>
      </c>
      <c r="S663" s="1">
        <f t="shared" ca="1" si="53"/>
        <v>0</v>
      </c>
      <c r="T663" s="1" t="str" cm="1">
        <f t="array" aca="1" ref="T663" ca="1">INDIRECT(CONCATENATE("'",$A$650,"'!q",B663),1)</f>
        <v>Кулаков И.Ю.</v>
      </c>
      <c r="U663" s="1" cm="1">
        <f t="array" aca="1" ref="U663" ca="1">INDIRECT(CONCATENATE("'",$A$650,"'!r",B663),1)</f>
        <v>0</v>
      </c>
      <c r="V663" s="1" cm="1">
        <f t="array" aca="1" ref="V663" ca="1">INDIRECT(CONCATENATE("'",$A$650,"'!s",B663),1)</f>
        <v>0</v>
      </c>
      <c r="W663" s="1" cm="1">
        <f t="array" aca="1" ref="W663" ca="1">INDIRECT(CONCATENATE("'",$A$650,"'!t",B663),1)</f>
        <v>0</v>
      </c>
      <c r="X663" s="1" cm="1">
        <f t="array" aca="1" ref="X663" ca="1">INDIRECT(CONCATENATE("'",$A$650,"'!u",B663),1)</f>
        <v>0</v>
      </c>
      <c r="Y663" s="1" cm="1">
        <f t="array" aca="1" ref="Y663" ca="1">INDIRECT(CONCATENATE("'",$A$650,"'!v",B663),1)</f>
        <v>0</v>
      </c>
    </row>
    <row r="664" spans="1:25" ht="56.25" hidden="1" x14ac:dyDescent="0.25">
      <c r="A664" s="15"/>
      <c r="B664" s="24">
        <f t="shared" si="51"/>
        <v>16</v>
      </c>
      <c r="C664" s="1" t="str" cm="1">
        <f t="array" aca="1" ref="C664" ca="1">INDIRECT(CONCATENATE("'",$A$650,"'!A",B664),1)</f>
        <v>Практика производственная: Научно-исследовательская работа(установ.)</v>
      </c>
      <c r="D664" s="1" t="str" cm="1">
        <f t="array" aca="1" ref="D664" ca="1">INDIRECT(CONCATENATE("'",$A$650,"'!B",B664),1)</f>
        <v xml:space="preserve">09.04.01(09) </v>
      </c>
      <c r="E664" s="1" t="str" cm="1">
        <f t="array" aca="1" ref="E664" ca="1">INDIRECT(CONCATENATE("'",$A$650,"'!c",B664),1)</f>
        <v>4095з</v>
      </c>
      <c r="F664" s="1" cm="1">
        <f t="array" aca="1" ref="F664" ca="1">INDIRECT(CONCATENATE("'",$A$650,"'!d",B664),1)</f>
        <v>3</v>
      </c>
      <c r="G664" s="1" cm="1">
        <f t="array" aca="1" ref="G664" ca="1">INDIRECT(CONCATENATE("'",$A$650,"'!e",B664),1)</f>
        <v>1</v>
      </c>
      <c r="H664" s="1" cm="1">
        <f t="array" aca="1" ref="H664" ca="1">INDIRECT(CONCATENATE("'",$A$650,"'!f",B664),1)</f>
        <v>13</v>
      </c>
      <c r="I664" s="1" t="str" cm="1">
        <f t="array" aca="1" ref="I664" ca="1">INDIRECT(CONCATENATE("'",$A$650,"'!g",B664),1)</f>
        <v>ЭКЗ</v>
      </c>
      <c r="J664" s="1" cm="1">
        <f t="array" aca="1" ref="J664" ca="1">INDIRECT(CONCATENATE("'",$A$650,"'!h",B664),1)</f>
        <v>0</v>
      </c>
      <c r="K664" s="1" cm="1">
        <f t="array" aca="1" ref="K664" ca="1">INDIRECT(CONCATENATE("'",$A$650,"'!i",B664),1)</f>
        <v>2</v>
      </c>
      <c r="L664" s="1" cm="1">
        <f t="array" aca="1" ref="L664" ca="1">INDIRECT(CONCATENATE("'",$A$650,"'!j",B664),1)</f>
        <v>0</v>
      </c>
      <c r="M664" s="1" cm="1">
        <f t="array" aca="1" ref="M664" ca="1">INDIRECT(CONCATENATE("'",$A$650,"'!k",B664),1)</f>
        <v>0</v>
      </c>
      <c r="N664" s="1" t="str" cm="1">
        <f t="array" aca="1" ref="N664" ca="1">INDIRECT(CONCATENATE("'",$A$650,"'!l",B664),1)</f>
        <v>Макевич П.В.</v>
      </c>
      <c r="O664" s="1" cm="1">
        <f t="array" aca="1" ref="O664" ca="1">INDIRECT(CONCATENATE("'",$A$650,"'!m",B664),1)</f>
        <v>0</v>
      </c>
      <c r="P664" s="1" t="str" cm="1">
        <f t="array" aca="1" ref="P664" ca="1">INDIRECT(CONCATENATE("'",$A$650,"'!n",B664),1)</f>
        <v>практика</v>
      </c>
      <c r="Q664" s="1" cm="1">
        <f t="array" aca="1" ref="Q664" ca="1">INDIRECT(CONCATENATE("'",$A$650,"'!o",B664),1)</f>
        <v>0</v>
      </c>
      <c r="R664" s="1" cm="1">
        <f t="array" aca="1" ref="R664" ca="1">INDIRECT(CONCATENATE("'",$A$650,"'!p",B664),1)</f>
        <v>0</v>
      </c>
      <c r="S664" s="1">
        <f t="shared" ca="1" si="53"/>
        <v>0</v>
      </c>
      <c r="T664" s="1" t="str" cm="1">
        <f t="array" aca="1" ref="T664" ca="1">INDIRECT(CONCATENATE("'",$A$650,"'!q",B664),1)</f>
        <v>Макевич П.В.</v>
      </c>
      <c r="U664" s="1" cm="1">
        <f t="array" aca="1" ref="U664" ca="1">INDIRECT(CONCATENATE("'",$A$650,"'!r",B664),1)</f>
        <v>0</v>
      </c>
      <c r="V664" s="1" cm="1">
        <f t="array" aca="1" ref="V664" ca="1">INDIRECT(CONCATENATE("'",$A$650,"'!s",B664),1)</f>
        <v>0</v>
      </c>
      <c r="W664" s="1" cm="1">
        <f t="array" aca="1" ref="W664" ca="1">INDIRECT(CONCATENATE("'",$A$650,"'!t",B664),1)</f>
        <v>0</v>
      </c>
      <c r="X664" s="1" cm="1">
        <f t="array" aca="1" ref="X664" ca="1">INDIRECT(CONCATENATE("'",$A$650,"'!u",B664),1)</f>
        <v>0</v>
      </c>
      <c r="Y664" s="1" cm="1">
        <f t="array" aca="1" ref="Y664" ca="1">INDIRECT(CONCATENATE("'",$A$650,"'!v",B664),1)</f>
        <v>0</v>
      </c>
    </row>
    <row r="665" spans="1:25" hidden="1" x14ac:dyDescent="0.25">
      <c r="A665" s="15"/>
      <c r="B665" s="24">
        <f t="shared" si="51"/>
        <v>17</v>
      </c>
      <c r="C665" s="1" cm="1">
        <f t="array" aca="1" ref="C665" ca="1">INDIRECT(CONCATENATE("'",$A$650,"'!A",B665),1)</f>
        <v>0</v>
      </c>
      <c r="D665" s="1" cm="1">
        <f t="array" aca="1" ref="D665" ca="1">INDIRECT(CONCATENATE("'",$A$650,"'!B",B665),1)</f>
        <v>0</v>
      </c>
      <c r="E665" s="1" cm="1">
        <f t="array" aca="1" ref="E665" ca="1">INDIRECT(CONCATENATE("'",$A$650,"'!c",B665),1)</f>
        <v>0</v>
      </c>
      <c r="F665" s="1" cm="1">
        <f t="array" aca="1" ref="F665" ca="1">INDIRECT(CONCATENATE("'",$A$650,"'!d",B665),1)</f>
        <v>0</v>
      </c>
      <c r="G665" s="1" cm="1">
        <f t="array" aca="1" ref="G665" ca="1">INDIRECT(CONCATENATE("'",$A$650,"'!e",B665),1)</f>
        <v>0</v>
      </c>
      <c r="H665" s="1" cm="1">
        <f t="array" aca="1" ref="H665" ca="1">INDIRECT(CONCATENATE("'",$A$650,"'!f",B665),1)</f>
        <v>0</v>
      </c>
      <c r="I665" s="1" cm="1">
        <f t="array" aca="1" ref="I665" ca="1">INDIRECT(CONCATENATE("'",$A$650,"'!g",B665),1)</f>
        <v>0</v>
      </c>
      <c r="J665" s="1" cm="1">
        <f t="array" aca="1" ref="J665" ca="1">INDIRECT(CONCATENATE("'",$A$650,"'!h",B665),1)</f>
        <v>0</v>
      </c>
      <c r="K665" s="1" cm="1">
        <f t="array" aca="1" ref="K665" ca="1">INDIRECT(CONCATENATE("'",$A$650,"'!i",B665),1)</f>
        <v>0</v>
      </c>
      <c r="L665" s="1" cm="1">
        <f t="array" aca="1" ref="L665" ca="1">INDIRECT(CONCATENATE("'",$A$650,"'!j",B665),1)</f>
        <v>0</v>
      </c>
      <c r="M665" s="1" cm="1">
        <f t="array" aca="1" ref="M665" ca="1">INDIRECT(CONCATENATE("'",$A$650,"'!k",B665),1)</f>
        <v>0</v>
      </c>
      <c r="N665" s="1" t="str" cm="1">
        <f t="array" aca="1" ref="N665" ca="1">INDIRECT(CONCATENATE("'",$A$650,"'!l",B665),1)</f>
        <v/>
      </c>
      <c r="O665" s="1" cm="1">
        <f t="array" aca="1" ref="O665" ca="1">INDIRECT(CONCATENATE("'",$A$650,"'!m",B665),1)</f>
        <v>0</v>
      </c>
      <c r="P665" s="1" cm="1">
        <f t="array" aca="1" ref="P665" ca="1">INDIRECT(CONCATENATE("'",$A$650,"'!n",B665),1)</f>
        <v>0</v>
      </c>
      <c r="Q665" s="1" cm="1">
        <f t="array" aca="1" ref="Q665" ca="1">INDIRECT(CONCATENATE("'",$A$650,"'!o",B665),1)</f>
        <v>0</v>
      </c>
      <c r="R665" s="1" cm="1">
        <f t="array" aca="1" ref="R665" ca="1">INDIRECT(CONCATENATE("'",$A$650,"'!p",B665),1)</f>
        <v>0</v>
      </c>
      <c r="S665" s="1">
        <f t="shared" ca="1" si="53"/>
        <v>0</v>
      </c>
      <c r="T665" s="1" cm="1">
        <f t="array" aca="1" ref="T665" ca="1">INDIRECT(CONCATENATE("'",$A$650,"'!q",B665),1)</f>
        <v>0</v>
      </c>
      <c r="U665" s="1" cm="1">
        <f t="array" aca="1" ref="U665" ca="1">INDIRECT(CONCATENATE("'",$A$650,"'!r",B665),1)</f>
        <v>0</v>
      </c>
      <c r="V665" s="1" cm="1">
        <f t="array" aca="1" ref="V665" ca="1">INDIRECT(CONCATENATE("'",$A$650,"'!s",B665),1)</f>
        <v>0</v>
      </c>
      <c r="W665" s="1" cm="1">
        <f t="array" aca="1" ref="W665" ca="1">INDIRECT(CONCATENATE("'",$A$650,"'!t",B665),1)</f>
        <v>0</v>
      </c>
      <c r="X665" s="1" cm="1">
        <f t="array" aca="1" ref="X665" ca="1">INDIRECT(CONCATENATE("'",$A$650,"'!u",B665),1)</f>
        <v>0</v>
      </c>
      <c r="Y665" s="1" cm="1">
        <f t="array" aca="1" ref="Y665" ca="1">INDIRECT(CONCATENATE("'",$A$650,"'!v",B665),1)</f>
        <v>0</v>
      </c>
    </row>
    <row r="666" spans="1:25" ht="33.75" hidden="1" x14ac:dyDescent="0.25">
      <c r="A666" s="15"/>
      <c r="B666" s="24">
        <f t="shared" si="51"/>
        <v>18</v>
      </c>
      <c r="C666" s="1" t="str" cm="1">
        <f t="array" aca="1" ref="C666" ca="1">INDIRECT(CONCATENATE("'",$A$650,"'!A",B666),1)</f>
        <v xml:space="preserve">Современные концепции и методы управления ИТ-проектами </v>
      </c>
      <c r="D666" s="1" t="str" cm="1">
        <f t="array" aca="1" ref="D666" ca="1">INDIRECT(CONCATENATE("'",$A$650,"'!B",B666),1)</f>
        <v xml:space="preserve">09.04.01(09) </v>
      </c>
      <c r="E666" s="1" t="str" cm="1">
        <f t="array" aca="1" ref="E666" ca="1">INDIRECT(CONCATENATE("'",$A$650,"'!c",B666),1)</f>
        <v>4095з</v>
      </c>
      <c r="F666" s="1" cm="1">
        <f t="array" aca="1" ref="F666" ca="1">INDIRECT(CONCATENATE("'",$A$650,"'!d",B666),1)</f>
        <v>4</v>
      </c>
      <c r="G666" s="1" cm="1">
        <f t="array" aca="1" ref="G666" ca="1">INDIRECT(CONCATENATE("'",$A$650,"'!e",B666),1)</f>
        <v>1</v>
      </c>
      <c r="H666" s="1" cm="1">
        <f t="array" aca="1" ref="H666" ca="1">INDIRECT(CONCATENATE("'",$A$650,"'!f",B666),1)</f>
        <v>13</v>
      </c>
      <c r="I666" s="1" t="str" cm="1">
        <f t="array" aca="1" ref="I666" ca="1">INDIRECT(CONCATENATE("'",$A$650,"'!g",B666),1)</f>
        <v>ЭКЗ</v>
      </c>
      <c r="J666" s="1" cm="1">
        <f t="array" aca="1" ref="J666" ca="1">INDIRECT(CONCATENATE("'",$A$650,"'!h",B666),1)</f>
        <v>4</v>
      </c>
      <c r="K666" s="1" cm="1">
        <f t="array" aca="1" ref="K666" ca="1">INDIRECT(CONCATENATE("'",$A$650,"'!i",B666),1)</f>
        <v>10</v>
      </c>
      <c r="L666" s="1" cm="1">
        <f t="array" aca="1" ref="L666" ca="1">INDIRECT(CONCATENATE("'",$A$650,"'!j",B666),1)</f>
        <v>0</v>
      </c>
      <c r="M666" s="1" cm="1">
        <f t="array" aca="1" ref="M666" ca="1">INDIRECT(CONCATENATE("'",$A$650,"'!k",B666),1)</f>
        <v>10</v>
      </c>
      <c r="N666" s="1" t="str" cm="1">
        <f t="array" aca="1" ref="N666" ca="1">INDIRECT(CONCATENATE("'",$A$650,"'!l",B666),1)</f>
        <v>Макевич П.В.</v>
      </c>
      <c r="O666" s="1" cm="1">
        <f t="array" aca="1" ref="O666" ca="1">INDIRECT(CONCATENATE("'",$A$650,"'!m",B666),1)</f>
        <v>0</v>
      </c>
      <c r="P666" s="1" t="str" cm="1">
        <f t="array" aca="1" ref="P666" ca="1">INDIRECT(CONCATENATE("'",$A$650,"'!n",B666),1)</f>
        <v>1п</v>
      </c>
      <c r="Q666" s="1" cm="1">
        <f t="array" aca="1" ref="Q666" ca="1">INDIRECT(CONCATENATE("'",$A$650,"'!o",B666),1)</f>
        <v>11.7</v>
      </c>
      <c r="R666" s="1" cm="1">
        <f t="array" aca="1" ref="R666" ca="1">INDIRECT(CONCATENATE("'",$A$650,"'!p",B666),1)</f>
        <v>7.8</v>
      </c>
      <c r="S666" s="1">
        <f t="shared" ca="1" si="53"/>
        <v>0</v>
      </c>
      <c r="T666" s="1" t="str" cm="1">
        <f t="array" aca="1" ref="T666" ca="1">INDIRECT(CONCATENATE("'",$A$650,"'!q",B666),1)</f>
        <v>Макевич П.В.</v>
      </c>
      <c r="U666" s="1" cm="1">
        <f t="array" aca="1" ref="U666" ca="1">INDIRECT(CONCATENATE("'",$A$650,"'!r",B666),1)</f>
        <v>39.5</v>
      </c>
      <c r="V666" s="1" cm="1">
        <f t="array" aca="1" ref="V666" ca="1">INDIRECT(CONCATENATE("'",$A$650,"'!s",B666),1)</f>
        <v>0</v>
      </c>
      <c r="W666" s="1" cm="1">
        <f t="array" aca="1" ref="W666" ca="1">INDIRECT(CONCATENATE("'",$A$650,"'!t",B666),1)</f>
        <v>0</v>
      </c>
      <c r="X666" s="1" cm="1">
        <f t="array" aca="1" ref="X666" ca="1">INDIRECT(CONCATENATE("'",$A$650,"'!u",B666),1)</f>
        <v>0</v>
      </c>
      <c r="Y666" s="1" cm="1">
        <f t="array" aca="1" ref="Y666" ca="1">INDIRECT(CONCATENATE("'",$A$650,"'!v",B666),1)</f>
        <v>0</v>
      </c>
    </row>
    <row r="667" spans="1:25" ht="33.75" hidden="1" x14ac:dyDescent="0.25">
      <c r="A667" s="15"/>
      <c r="B667" s="24">
        <f t="shared" si="51"/>
        <v>19</v>
      </c>
      <c r="C667" s="1" t="str" cm="1">
        <f t="array" aca="1" ref="C667" ca="1">INDIRECT(CONCATENATE("'",$A$650,"'!A",B667),1)</f>
        <v xml:space="preserve">Современные концепции и методы управления ИТ-проектами </v>
      </c>
      <c r="D667" s="1" t="str" cm="1">
        <f t="array" aca="1" ref="D667" ca="1">INDIRECT(CONCATENATE("'",$A$650,"'!B",B667),1)</f>
        <v xml:space="preserve">09.04.01(09) </v>
      </c>
      <c r="E667" s="1" t="str" cm="1">
        <f t="array" aca="1" ref="E667" ca="1">INDIRECT(CONCATENATE("'",$A$650,"'!c",B667),1)</f>
        <v>4095з</v>
      </c>
      <c r="F667" s="1" cm="1">
        <f t="array" aca="1" ref="F667" ca="1">INDIRECT(CONCATENATE("'",$A$650,"'!d",B667),1)</f>
        <v>4</v>
      </c>
      <c r="G667" s="1" cm="1">
        <f t="array" aca="1" ref="G667" ca="1">INDIRECT(CONCATENATE("'",$A$650,"'!e",B667),1)</f>
        <v>1</v>
      </c>
      <c r="H667" s="1" cm="1">
        <f t="array" aca="1" ref="H667" ca="1">INDIRECT(CONCATENATE("'",$A$650,"'!f",B667),1)</f>
        <v>13</v>
      </c>
      <c r="I667" s="1" t="str" cm="1">
        <f t="array" aca="1" ref="I667" ca="1">INDIRECT(CONCATENATE("'",$A$650,"'!g",B667),1)</f>
        <v>КР</v>
      </c>
      <c r="J667" s="1" cm="1">
        <f t="array" aca="1" ref="J667" ca="1">INDIRECT(CONCATENATE("'",$A$650,"'!h",B667),1)</f>
        <v>1</v>
      </c>
      <c r="K667" s="1" cm="1">
        <f t="array" aca="1" ref="K667" ca="1">INDIRECT(CONCATENATE("'",$A$650,"'!i",B667),1)</f>
        <v>0</v>
      </c>
      <c r="L667" s="1" cm="1">
        <f t="array" aca="1" ref="L667" ca="1">INDIRECT(CONCATENATE("'",$A$650,"'!j",B667),1)</f>
        <v>0</v>
      </c>
      <c r="M667" s="1" cm="1">
        <f t="array" aca="1" ref="M667" ca="1">INDIRECT(CONCATENATE("'",$A$650,"'!k",B667),1)</f>
        <v>0</v>
      </c>
      <c r="N667" s="1" t="str" cm="1">
        <f t="array" aca="1" ref="N667" ca="1">INDIRECT(CONCATENATE("'",$A$650,"'!l",B667),1)</f>
        <v>Макевич П.В.</v>
      </c>
      <c r="O667" s="1" cm="1">
        <f t="array" aca="1" ref="O667" ca="1">INDIRECT(CONCATENATE("'",$A$650,"'!m",B667),1)</f>
        <v>0</v>
      </c>
      <c r="P667" s="1" t="str" cm="1">
        <f t="array" aca="1" ref="P667" ca="1">INDIRECT(CONCATENATE("'",$A$650,"'!n",B667),1)</f>
        <v>кр</v>
      </c>
      <c r="Q667" s="1" cm="1">
        <f t="array" aca="1" ref="Q667" ca="1">INDIRECT(CONCATENATE("'",$A$650,"'!o",B667),1)</f>
        <v>19.5</v>
      </c>
      <c r="R667" s="1" cm="1">
        <f t="array" aca="1" ref="R667" ca="1">INDIRECT(CONCATENATE("'",$A$650,"'!p",B667),1)</f>
        <v>0</v>
      </c>
      <c r="S667" s="1">
        <f t="shared" ca="1" si="53"/>
        <v>0</v>
      </c>
      <c r="T667" s="1" t="str" cm="1">
        <f t="array" aca="1" ref="T667" ca="1">INDIRECT(CONCATENATE("'",$A$650,"'!q",B667),1)</f>
        <v>Макевич П.В.</v>
      </c>
      <c r="U667" s="1" cm="1">
        <f t="array" aca="1" ref="U667" ca="1">INDIRECT(CONCATENATE("'",$A$650,"'!r",B667),1)</f>
        <v>19.5</v>
      </c>
      <c r="V667" s="1" cm="1">
        <f t="array" aca="1" ref="V667" ca="1">INDIRECT(CONCATENATE("'",$A$650,"'!s",B667),1)</f>
        <v>0</v>
      </c>
      <c r="W667" s="1" cm="1">
        <f t="array" aca="1" ref="W667" ca="1">INDIRECT(CONCATENATE("'",$A$650,"'!t",B667),1)</f>
        <v>0</v>
      </c>
      <c r="X667" s="1" cm="1">
        <f t="array" aca="1" ref="X667" ca="1">INDIRECT(CONCATENATE("'",$A$650,"'!u",B667),1)</f>
        <v>0</v>
      </c>
      <c r="Y667" s="1" cm="1">
        <f t="array" aca="1" ref="Y667" ca="1">INDIRECT(CONCATENATE("'",$A$650,"'!v",B667),1)</f>
        <v>0</v>
      </c>
    </row>
    <row r="668" spans="1:25" ht="22.5" hidden="1" x14ac:dyDescent="0.25">
      <c r="A668" s="15"/>
      <c r="B668" s="24">
        <f t="shared" si="51"/>
        <v>20</v>
      </c>
      <c r="C668" s="1" t="str" cm="1">
        <f t="array" aca="1" ref="C668" ca="1">INDIRECT(CONCATENATE("'",$A$650,"'!A",B668),1)</f>
        <v>Проектирование баз данных и работа с ними</v>
      </c>
      <c r="D668" s="1" t="str" cm="1">
        <f t="array" aca="1" ref="D668" ca="1">INDIRECT(CONCATENATE("'",$A$650,"'!B",B668),1)</f>
        <v xml:space="preserve">09.04.01(09) </v>
      </c>
      <c r="E668" s="1" t="str" cm="1">
        <f t="array" aca="1" ref="E668" ca="1">INDIRECT(CONCATENATE("'",$A$650,"'!c",B668),1)</f>
        <v>4095з</v>
      </c>
      <c r="F668" s="1" cm="1">
        <f t="array" aca="1" ref="F668" ca="1">INDIRECT(CONCATENATE("'",$A$650,"'!d",B668),1)</f>
        <v>4</v>
      </c>
      <c r="G668" s="1" cm="1">
        <f t="array" aca="1" ref="G668" ca="1">INDIRECT(CONCATENATE("'",$A$650,"'!e",B668),1)</f>
        <v>1</v>
      </c>
      <c r="H668" s="1" cm="1">
        <f t="array" aca="1" ref="H668" ca="1">INDIRECT(CONCATENATE("'",$A$650,"'!f",B668),1)</f>
        <v>13</v>
      </c>
      <c r="I668" s="1" t="str" cm="1">
        <f t="array" aca="1" ref="I668" ca="1">INDIRECT(CONCATENATE("'",$A$650,"'!g",B668),1)</f>
        <v>КР</v>
      </c>
      <c r="J668" s="1" cm="1">
        <f t="array" aca="1" ref="J668" ca="1">INDIRECT(CONCATENATE("'",$A$650,"'!h",B668),1)</f>
        <v>1</v>
      </c>
      <c r="K668" s="1" cm="1">
        <f t="array" aca="1" ref="K668" ca="1">INDIRECT(CONCATENATE("'",$A$650,"'!i",B668),1)</f>
        <v>0</v>
      </c>
      <c r="L668" s="1" cm="1">
        <f t="array" aca="1" ref="L668" ca="1">INDIRECT(CONCATENATE("'",$A$650,"'!j",B668),1)</f>
        <v>0</v>
      </c>
      <c r="M668" s="1" cm="1">
        <f t="array" aca="1" ref="M668" ca="1">INDIRECT(CONCATENATE("'",$A$650,"'!k",B668),1)</f>
        <v>0</v>
      </c>
      <c r="N668" s="1" t="str" cm="1">
        <f t="array" aca="1" ref="N668" ca="1">INDIRECT(CONCATENATE("'",$A$650,"'!l",B668),1)</f>
        <v>Цымбалюк Л.Н.</v>
      </c>
      <c r="O668" s="1" cm="1">
        <f t="array" aca="1" ref="O668" ca="1">INDIRECT(CONCATENATE("'",$A$650,"'!m",B668),1)</f>
        <v>0</v>
      </c>
      <c r="P668" s="1" t="str" cm="1">
        <f t="array" aca="1" ref="P668" ca="1">INDIRECT(CONCATENATE("'",$A$650,"'!n",B668),1)</f>
        <v>кр</v>
      </c>
      <c r="Q668" s="1" cm="1">
        <f t="array" aca="1" ref="Q668" ca="1">INDIRECT(CONCATENATE("'",$A$650,"'!o",B668),1)</f>
        <v>19.5</v>
      </c>
      <c r="R668" s="1" cm="1">
        <f t="array" aca="1" ref="R668" ca="1">INDIRECT(CONCATENATE("'",$A$650,"'!p",B668),1)</f>
        <v>0</v>
      </c>
      <c r="S668" s="1">
        <f t="shared" ca="1" si="53"/>
        <v>0</v>
      </c>
      <c r="T668" s="1" t="str" cm="1">
        <f t="array" aca="1" ref="T668" ca="1">INDIRECT(CONCATENATE("'",$A$650,"'!q",B668),1)</f>
        <v>Цымбалюк Л.Н.</v>
      </c>
      <c r="U668" s="1" cm="1">
        <f t="array" aca="1" ref="U668" ca="1">INDIRECT(CONCATENATE("'",$A$650,"'!r",B668),1)</f>
        <v>19.5</v>
      </c>
      <c r="V668" s="1" cm="1">
        <f t="array" aca="1" ref="V668" ca="1">INDIRECT(CONCATENATE("'",$A$650,"'!s",B668),1)</f>
        <v>0</v>
      </c>
      <c r="W668" s="1" cm="1">
        <f t="array" aca="1" ref="W668" ca="1">INDIRECT(CONCATENATE("'",$A$650,"'!t",B668),1)</f>
        <v>0</v>
      </c>
      <c r="X668" s="1" cm="1">
        <f t="array" aca="1" ref="X668" ca="1">INDIRECT(CONCATENATE("'",$A$650,"'!u",B668),1)</f>
        <v>0</v>
      </c>
      <c r="Y668" s="1" cm="1">
        <f t="array" aca="1" ref="Y668" ca="1">INDIRECT(CONCATENATE("'",$A$650,"'!v",B668),1)</f>
        <v>0</v>
      </c>
    </row>
    <row r="669" spans="1:25" ht="22.5" hidden="1" x14ac:dyDescent="0.25">
      <c r="A669" s="15"/>
      <c r="B669" s="24">
        <f t="shared" si="51"/>
        <v>21</v>
      </c>
      <c r="C669" s="1" t="str" cm="1">
        <f t="array" aca="1" ref="C669" ca="1">INDIRECT(CONCATENATE("'",$A$650,"'!A",B669),1)</f>
        <v>Проектирование баз данных и работа с ними</v>
      </c>
      <c r="D669" s="1" t="str" cm="1">
        <f t="array" aca="1" ref="D669" ca="1">INDIRECT(CONCATENATE("'",$A$650,"'!B",B669),1)</f>
        <v xml:space="preserve">09.04.01(09) </v>
      </c>
      <c r="E669" s="1" t="str" cm="1">
        <f t="array" aca="1" ref="E669" ca="1">INDIRECT(CONCATENATE("'",$A$650,"'!c",B669),1)</f>
        <v>4095з</v>
      </c>
      <c r="F669" s="1" cm="1">
        <f t="array" aca="1" ref="F669" ca="1">INDIRECT(CONCATENATE("'",$A$650,"'!d",B669),1)</f>
        <v>4</v>
      </c>
      <c r="G669" s="1" cm="1">
        <f t="array" aca="1" ref="G669" ca="1">INDIRECT(CONCATENATE("'",$A$650,"'!e",B669),1)</f>
        <v>1</v>
      </c>
      <c r="H669" s="1" cm="1">
        <f t="array" aca="1" ref="H669" ca="1">INDIRECT(CONCATENATE("'",$A$650,"'!f",B669),1)</f>
        <v>13</v>
      </c>
      <c r="I669" s="1" t="str" cm="1">
        <f t="array" aca="1" ref="I669" ca="1">INDIRECT(CONCATENATE("'",$A$650,"'!g",B669),1)</f>
        <v>ЗАЧ</v>
      </c>
      <c r="J669" s="1" cm="1">
        <f t="array" aca="1" ref="J669" ca="1">INDIRECT(CONCATENATE("'",$A$650,"'!h",B669),1)</f>
        <v>4</v>
      </c>
      <c r="K669" s="1" cm="1">
        <f t="array" aca="1" ref="K669" ca="1">INDIRECT(CONCATENATE("'",$A$650,"'!i",B669),1)</f>
        <v>6</v>
      </c>
      <c r="L669" s="1" cm="1">
        <f t="array" aca="1" ref="L669" ca="1">INDIRECT(CONCATENATE("'",$A$650,"'!j",B669),1)</f>
        <v>0</v>
      </c>
      <c r="M669" s="1" cm="1">
        <f t="array" aca="1" ref="M669" ca="1">INDIRECT(CONCATENATE("'",$A$650,"'!k",B669),1)</f>
        <v>10</v>
      </c>
      <c r="N669" s="1" t="str" cm="1">
        <f t="array" aca="1" ref="N669" ca="1">INDIRECT(CONCATENATE("'",$A$650,"'!l",B669),1)</f>
        <v>Цымбалюк Л.Н.</v>
      </c>
      <c r="O669" s="1" cm="1">
        <f t="array" aca="1" ref="O669" ca="1">INDIRECT(CONCATENATE("'",$A$650,"'!m",B669),1)</f>
        <v>0</v>
      </c>
      <c r="P669" s="1" t="str" cm="1">
        <f t="array" aca="1" ref="P669" ca="1">INDIRECT(CONCATENATE("'",$A$650,"'!n",B669),1)</f>
        <v>1п</v>
      </c>
      <c r="Q669" s="1" cm="1">
        <f t="array" aca="1" ref="Q669" ca="1">INDIRECT(CONCATENATE("'",$A$650,"'!o",B669),1)</f>
        <v>7.8</v>
      </c>
      <c r="R669" s="1" cm="1">
        <f t="array" aca="1" ref="R669" ca="1">INDIRECT(CONCATENATE("'",$A$650,"'!p",B669),1)</f>
        <v>0</v>
      </c>
      <c r="S669" s="1">
        <f t="shared" ca="1" si="53"/>
        <v>0</v>
      </c>
      <c r="T669" s="1" t="str" cm="1">
        <f t="array" aca="1" ref="T669" ca="1">INDIRECT(CONCATENATE("'",$A$650,"'!q",B669),1)</f>
        <v>Цымбалюк Л.Н.</v>
      </c>
      <c r="U669" s="1" cm="1">
        <f t="array" aca="1" ref="U669" ca="1">INDIRECT(CONCATENATE("'",$A$650,"'!r",B669),1)</f>
        <v>23.8</v>
      </c>
      <c r="V669" s="1" cm="1">
        <f t="array" aca="1" ref="V669" ca="1">INDIRECT(CONCATENATE("'",$A$650,"'!s",B669),1)</f>
        <v>0</v>
      </c>
      <c r="W669" s="1" cm="1">
        <f t="array" aca="1" ref="W669" ca="1">INDIRECT(CONCATENATE("'",$A$650,"'!t",B669),1)</f>
        <v>0</v>
      </c>
      <c r="X669" s="1" cm="1">
        <f t="array" aca="1" ref="X669" ca="1">INDIRECT(CONCATENATE("'",$A$650,"'!u",B669),1)</f>
        <v>0</v>
      </c>
      <c r="Y669" s="1" cm="1">
        <f t="array" aca="1" ref="Y669" ca="1">INDIRECT(CONCATENATE("'",$A$650,"'!v",B669),1)</f>
        <v>0</v>
      </c>
    </row>
    <row r="670" spans="1:25" ht="45" hidden="1" x14ac:dyDescent="0.25">
      <c r="A670" s="15"/>
      <c r="B670" s="24">
        <f t="shared" si="51"/>
        <v>22</v>
      </c>
      <c r="C670" s="1" t="str" cm="1">
        <f t="array" aca="1" ref="C670" ca="1">INDIRECT(CONCATENATE("'",$A$650,"'!A",B670),1)</f>
        <v>Программные средства для искусственного интеллекта на языке Python</v>
      </c>
      <c r="D670" s="1" t="str" cm="1">
        <f t="array" aca="1" ref="D670" ca="1">INDIRECT(CONCATENATE("'",$A$650,"'!B",B670),1)</f>
        <v xml:space="preserve">09.04.01(09) </v>
      </c>
      <c r="E670" s="1" t="str" cm="1">
        <f t="array" aca="1" ref="E670" ca="1">INDIRECT(CONCATENATE("'",$A$650,"'!c",B670),1)</f>
        <v>4095з</v>
      </c>
      <c r="F670" s="1" cm="1">
        <f t="array" aca="1" ref="F670" ca="1">INDIRECT(CONCATENATE("'",$A$650,"'!d",B670),1)</f>
        <v>4</v>
      </c>
      <c r="G670" s="1" cm="1">
        <f t="array" aca="1" ref="G670" ca="1">INDIRECT(CONCATENATE("'",$A$650,"'!e",B670),1)</f>
        <v>1</v>
      </c>
      <c r="H670" s="1" cm="1">
        <f t="array" aca="1" ref="H670" ca="1">INDIRECT(CONCATENATE("'",$A$650,"'!f",B670),1)</f>
        <v>13</v>
      </c>
      <c r="I670" s="1" t="str" cm="1">
        <f t="array" aca="1" ref="I670" ca="1">INDIRECT(CONCATENATE("'",$A$650,"'!g",B670),1)</f>
        <v>ЗАЧ</v>
      </c>
      <c r="J670" s="1" cm="1">
        <f t="array" aca="1" ref="J670" ca="1">INDIRECT(CONCATENATE("'",$A$650,"'!h",B670),1)</f>
        <v>4</v>
      </c>
      <c r="K670" s="1" cm="1">
        <f t="array" aca="1" ref="K670" ca="1">INDIRECT(CONCATENATE("'",$A$650,"'!i",B670),1)</f>
        <v>6</v>
      </c>
      <c r="L670" s="1" cm="1">
        <f t="array" aca="1" ref="L670" ca="1">INDIRECT(CONCATENATE("'",$A$650,"'!j",B670),1)</f>
        <v>0</v>
      </c>
      <c r="M670" s="1" cm="1">
        <f t="array" aca="1" ref="M670" ca="1">INDIRECT(CONCATENATE("'",$A$650,"'!k",B670),1)</f>
        <v>10</v>
      </c>
      <c r="N670" s="1" t="str" cm="1">
        <f t="array" aca="1" ref="N670" ca="1">INDIRECT(CONCATENATE("'",$A$650,"'!l",B670),1)</f>
        <v>Телина И.С.</v>
      </c>
      <c r="O670" s="1" cm="1">
        <f t="array" aca="1" ref="O670" ca="1">INDIRECT(CONCATENATE("'",$A$650,"'!m",B670),1)</f>
        <v>0</v>
      </c>
      <c r="P670" s="1" t="str" cm="1">
        <f t="array" aca="1" ref="P670" ca="1">INDIRECT(CONCATENATE("'",$A$650,"'!n",B670),1)</f>
        <v>1п</v>
      </c>
      <c r="Q670" s="1" cm="1">
        <f t="array" aca="1" ref="Q670" ca="1">INDIRECT(CONCATENATE("'",$A$650,"'!o",B670),1)</f>
        <v>7.8</v>
      </c>
      <c r="R670" s="1" cm="1">
        <f t="array" aca="1" ref="R670" ca="1">INDIRECT(CONCATENATE("'",$A$650,"'!p",B670),1)</f>
        <v>0</v>
      </c>
      <c r="S670" s="1">
        <f t="shared" ca="1" si="53"/>
        <v>0</v>
      </c>
      <c r="T670" s="1" t="str" cm="1">
        <f t="array" aca="1" ref="T670" ca="1">INDIRECT(CONCATENATE("'",$A$650,"'!q",B670),1)</f>
        <v>Телина И.С.</v>
      </c>
      <c r="U670" s="1" cm="1">
        <f t="array" aca="1" ref="U670" ca="1">INDIRECT(CONCATENATE("'",$A$650,"'!r",B670),1)</f>
        <v>23.8</v>
      </c>
      <c r="V670" s="1" cm="1">
        <f t="array" aca="1" ref="V670" ca="1">INDIRECT(CONCATENATE("'",$A$650,"'!s",B670),1)</f>
        <v>0</v>
      </c>
      <c r="W670" s="1" cm="1">
        <f t="array" aca="1" ref="W670" ca="1">INDIRECT(CONCATENATE("'",$A$650,"'!t",B670),1)</f>
        <v>0</v>
      </c>
      <c r="X670" s="1" cm="1">
        <f t="array" aca="1" ref="X670" ca="1">INDIRECT(CONCATENATE("'",$A$650,"'!u",B670),1)</f>
        <v>0</v>
      </c>
      <c r="Y670" s="1" cm="1">
        <f t="array" aca="1" ref="Y670" ca="1">INDIRECT(CONCATENATE("'",$A$650,"'!v",B670),1)</f>
        <v>0</v>
      </c>
    </row>
    <row r="671" spans="1:25" ht="22.5" hidden="1" x14ac:dyDescent="0.25">
      <c r="A671" s="15"/>
      <c r="B671" s="24">
        <f t="shared" si="51"/>
        <v>23</v>
      </c>
      <c r="C671" s="1" t="str" cm="1">
        <f t="array" aca="1" ref="C671" ca="1">INDIRECT(CONCATENATE("'",$A$650,"'!A",B671),1)</f>
        <v>Язык R и базовая статистика</v>
      </c>
      <c r="D671" s="1" t="str" cm="1">
        <f t="array" aca="1" ref="D671" ca="1">INDIRECT(CONCATENATE("'",$A$650,"'!B",B671),1)</f>
        <v xml:space="preserve">09.04.01(09) </v>
      </c>
      <c r="E671" s="1" t="str" cm="1">
        <f t="array" aca="1" ref="E671" ca="1">INDIRECT(CONCATENATE("'",$A$650,"'!c",B671),1)</f>
        <v>4095з</v>
      </c>
      <c r="F671" s="1" cm="1">
        <f t="array" aca="1" ref="F671" ca="1">INDIRECT(CONCATENATE("'",$A$650,"'!d",B671),1)</f>
        <v>4</v>
      </c>
      <c r="G671" s="1" cm="1">
        <f t="array" aca="1" ref="G671" ca="1">INDIRECT(CONCATENATE("'",$A$650,"'!e",B671),1)</f>
        <v>1</v>
      </c>
      <c r="H671" s="1" cm="1">
        <f t="array" aca="1" ref="H671" ca="1">INDIRECT(CONCATENATE("'",$A$650,"'!f",B671),1)</f>
        <v>13</v>
      </c>
      <c r="I671" s="1" t="str" cm="1">
        <f t="array" aca="1" ref="I671" ca="1">INDIRECT(CONCATENATE("'",$A$650,"'!g",B671),1)</f>
        <v>ЗАЧ</v>
      </c>
      <c r="J671" s="1" cm="1">
        <f t="array" aca="1" ref="J671" ca="1">INDIRECT(CONCATENATE("'",$A$650,"'!h",B671),1)</f>
        <v>3</v>
      </c>
      <c r="K671" s="1" cm="1">
        <f t="array" aca="1" ref="K671" ca="1">INDIRECT(CONCATENATE("'",$A$650,"'!i",B671),1)</f>
        <v>6</v>
      </c>
      <c r="L671" s="1" cm="1">
        <f t="array" aca="1" ref="L671" ca="1">INDIRECT(CONCATENATE("'",$A$650,"'!j",B671),1)</f>
        <v>0</v>
      </c>
      <c r="M671" s="1" cm="1">
        <f t="array" aca="1" ref="M671" ca="1">INDIRECT(CONCATENATE("'",$A$650,"'!k",B671),1)</f>
        <v>6</v>
      </c>
      <c r="N671" s="1" t="str" cm="1">
        <f t="array" aca="1" ref="N671" ca="1">INDIRECT(CONCATENATE("'",$A$650,"'!l",B671),1)</f>
        <v>Телина И.С.</v>
      </c>
      <c r="O671" s="1" cm="1">
        <f t="array" aca="1" ref="O671" ca="1">INDIRECT(CONCATENATE("'",$A$650,"'!m",B671),1)</f>
        <v>0</v>
      </c>
      <c r="P671" s="1" t="str" cm="1">
        <f t="array" aca="1" ref="P671" ca="1">INDIRECT(CONCATENATE("'",$A$650,"'!n",B671),1)</f>
        <v>1п</v>
      </c>
      <c r="Q671" s="1" cm="1">
        <f t="array" aca="1" ref="Q671" ca="1">INDIRECT(CONCATENATE("'",$A$650,"'!o",B671),1)</f>
        <v>5.9</v>
      </c>
      <c r="R671" s="1" cm="1">
        <f t="array" aca="1" ref="R671" ca="1">INDIRECT(CONCATENATE("'",$A$650,"'!p",B671),1)</f>
        <v>0</v>
      </c>
      <c r="S671" s="1">
        <f t="shared" ca="1" si="53"/>
        <v>0</v>
      </c>
      <c r="T671" s="1" t="str" cm="1">
        <f t="array" aca="1" ref="T671" ca="1">INDIRECT(CONCATENATE("'",$A$650,"'!q",B671),1)</f>
        <v>Телина И.С.</v>
      </c>
      <c r="U671" s="1" cm="1">
        <f t="array" aca="1" ref="U671" ca="1">INDIRECT(CONCATENATE("'",$A$650,"'!r",B671),1)</f>
        <v>17.899999999999999</v>
      </c>
      <c r="V671" s="1" cm="1">
        <f t="array" aca="1" ref="V671" ca="1">INDIRECT(CONCATENATE("'",$A$650,"'!s",B671),1)</f>
        <v>0</v>
      </c>
      <c r="W671" s="1" cm="1">
        <f t="array" aca="1" ref="W671" ca="1">INDIRECT(CONCATENATE("'",$A$650,"'!t",B671),1)</f>
        <v>0</v>
      </c>
      <c r="X671" s="1" cm="1">
        <f t="array" aca="1" ref="X671" ca="1">INDIRECT(CONCATENATE("'",$A$650,"'!u",B671),1)</f>
        <v>0</v>
      </c>
      <c r="Y671" s="1" cm="1">
        <f t="array" aca="1" ref="Y671" ca="1">INDIRECT(CONCATENATE("'",$A$650,"'!v",B671),1)</f>
        <v>0</v>
      </c>
    </row>
    <row r="672" spans="1:25" ht="45" hidden="1" x14ac:dyDescent="0.25">
      <c r="A672" s="15"/>
      <c r="B672" s="24">
        <f t="shared" si="51"/>
        <v>24</v>
      </c>
      <c r="C672" s="1" t="str" cm="1">
        <f t="array" aca="1" ref="C672" ca="1">INDIRECT(CONCATENATE("'",$A$650,"'!A",B672),1)</f>
        <v>Технологии работы с естественным языком Natural Language Processing</v>
      </c>
      <c r="D672" s="1" t="str" cm="1">
        <f t="array" aca="1" ref="D672" ca="1">INDIRECT(CONCATENATE("'",$A$650,"'!B",B672),1)</f>
        <v xml:space="preserve">09.04.01(09) </v>
      </c>
      <c r="E672" s="1" t="str" cm="1">
        <f t="array" aca="1" ref="E672" ca="1">INDIRECT(CONCATENATE("'",$A$650,"'!c",B672),1)</f>
        <v>4095з</v>
      </c>
      <c r="F672" s="1" cm="1">
        <f t="array" aca="1" ref="F672" ca="1">INDIRECT(CONCATENATE("'",$A$650,"'!d",B672),1)</f>
        <v>4</v>
      </c>
      <c r="G672" s="1" cm="1">
        <f t="array" aca="1" ref="G672" ca="1">INDIRECT(CONCATENATE("'",$A$650,"'!e",B672),1)</f>
        <v>1</v>
      </c>
      <c r="H672" s="1" cm="1">
        <f t="array" aca="1" ref="H672" ca="1">INDIRECT(CONCATENATE("'",$A$650,"'!f",B672),1)</f>
        <v>13</v>
      </c>
      <c r="I672" s="1" t="str" cm="1">
        <f t="array" aca="1" ref="I672" ca="1">INDIRECT(CONCATENATE("'",$A$650,"'!g",B672),1)</f>
        <v>ЗАЧ</v>
      </c>
      <c r="J672" s="1" cm="1">
        <f t="array" aca="1" ref="J672" ca="1">INDIRECT(CONCATENATE("'",$A$650,"'!h",B672),1)</f>
        <v>3</v>
      </c>
      <c r="K672" s="1" cm="1">
        <f t="array" aca="1" ref="K672" ca="1">INDIRECT(CONCATENATE("'",$A$650,"'!i",B672),1)</f>
        <v>6</v>
      </c>
      <c r="L672" s="1" cm="1">
        <f t="array" aca="1" ref="L672" ca="1">INDIRECT(CONCATENATE("'",$A$650,"'!j",B672),1)</f>
        <v>0</v>
      </c>
      <c r="M672" s="1" cm="1">
        <f t="array" aca="1" ref="M672" ca="1">INDIRECT(CONCATENATE("'",$A$650,"'!k",B672),1)</f>
        <v>6</v>
      </c>
      <c r="N672" s="1" t="str" cm="1">
        <f t="array" aca="1" ref="N672" ca="1">INDIRECT(CONCATENATE("'",$A$650,"'!l",B672),1)</f>
        <v>Яковлев Н.С.</v>
      </c>
      <c r="O672" s="1" cm="1">
        <f t="array" aca="1" ref="O672" ca="1">INDIRECT(CONCATENATE("'",$A$650,"'!m",B672),1)</f>
        <v>0</v>
      </c>
      <c r="P672" s="1" t="str" cm="1">
        <f t="array" aca="1" ref="P672" ca="1">INDIRECT(CONCATENATE("'",$A$650,"'!n",B672),1)</f>
        <v>1п</v>
      </c>
      <c r="Q672" s="1" cm="1">
        <f t="array" aca="1" ref="Q672" ca="1">INDIRECT(CONCATENATE("'",$A$650,"'!o",B672),1)</f>
        <v>5.9</v>
      </c>
      <c r="R672" s="1" cm="1">
        <f t="array" aca="1" ref="R672" ca="1">INDIRECT(CONCATENATE("'",$A$650,"'!p",B672),1)</f>
        <v>0</v>
      </c>
      <c r="S672" s="1">
        <f t="shared" ca="1" si="53"/>
        <v>0</v>
      </c>
      <c r="T672" s="1" t="str" cm="1">
        <f t="array" aca="1" ref="T672" ca="1">INDIRECT(CONCATENATE("'",$A$650,"'!q",B672),1)</f>
        <v>Яковлев Н.С.</v>
      </c>
      <c r="U672" s="1" cm="1">
        <f t="array" aca="1" ref="U672" ca="1">INDIRECT(CONCATENATE("'",$A$650,"'!r",B672),1)</f>
        <v>17.899999999999999</v>
      </c>
      <c r="V672" s="1" cm="1">
        <f t="array" aca="1" ref="V672" ca="1">INDIRECT(CONCATENATE("'",$A$650,"'!s",B672),1)</f>
        <v>0</v>
      </c>
      <c r="W672" s="1" cm="1">
        <f t="array" aca="1" ref="W672" ca="1">INDIRECT(CONCATENATE("'",$A$650,"'!t",B672),1)</f>
        <v>0</v>
      </c>
      <c r="X672" s="1" cm="1">
        <f t="array" aca="1" ref="X672" ca="1">INDIRECT(CONCATENATE("'",$A$650,"'!u",B672),1)</f>
        <v>0</v>
      </c>
      <c r="Y672" s="1" cm="1">
        <f t="array" aca="1" ref="Y672" ca="1">INDIRECT(CONCATENATE("'",$A$650,"'!v",B672),1)</f>
        <v>0</v>
      </c>
    </row>
    <row r="673" spans="1:25" ht="45" hidden="1" x14ac:dyDescent="0.25">
      <c r="A673" s="15"/>
      <c r="B673" s="24">
        <f t="shared" si="51"/>
        <v>25</v>
      </c>
      <c r="C673" s="1" t="str" cm="1">
        <f t="array" aca="1" ref="C673" ca="1">INDIRECT(CONCATENATE("'",$A$650,"'!A",B673),1)</f>
        <v>Практика учебная : Практика проектная</v>
      </c>
      <c r="D673" s="1" t="str" cm="1">
        <f t="array" aca="1" ref="D673" ca="1">INDIRECT(CONCATENATE("'",$A$650,"'!B",B673),1)</f>
        <v xml:space="preserve">09.04.01(09) </v>
      </c>
      <c r="E673" s="1" t="str" cm="1">
        <f t="array" aca="1" ref="E673" ca="1">INDIRECT(CONCATENATE("'",$A$650,"'!c",B673),1)</f>
        <v>4095з</v>
      </c>
      <c r="F673" s="1" cm="1">
        <f t="array" aca="1" ref="F673" ca="1">INDIRECT(CONCATENATE("'",$A$650,"'!d",B673),1)</f>
        <v>4</v>
      </c>
      <c r="G673" s="1" cm="1">
        <f t="array" aca="1" ref="G673" ca="1">INDIRECT(CONCATENATE("'",$A$650,"'!e",B673),1)</f>
        <v>1</v>
      </c>
      <c r="H673" s="1" cm="1">
        <f t="array" aca="1" ref="H673" ca="1">INDIRECT(CONCATENATE("'",$A$650,"'!f",B673),1)</f>
        <v>13</v>
      </c>
      <c r="I673" s="1" t="str" cm="1">
        <f t="array" aca="1" ref="I673" ca="1">INDIRECT(CONCATENATE("'",$A$650,"'!g",B673),1)</f>
        <v>ДЗ</v>
      </c>
      <c r="J673" s="1" cm="1">
        <f t="array" aca="1" ref="J673" ca="1">INDIRECT(CONCATENATE("'",$A$650,"'!h",B673),1)</f>
        <v>3</v>
      </c>
      <c r="K673" s="1" cm="1">
        <f t="array" aca="1" ref="K673" ca="1">INDIRECT(CONCATENATE("'",$A$650,"'!i",B673),1)</f>
        <v>0</v>
      </c>
      <c r="L673" s="1" cm="1">
        <f t="array" aca="1" ref="L673" ca="1">INDIRECT(CONCATENATE("'",$A$650,"'!j",B673),1)</f>
        <v>2</v>
      </c>
      <c r="M673" s="1" cm="1">
        <f t="array" aca="1" ref="M673" ca="1">INDIRECT(CONCATENATE("'",$A$650,"'!k",B673),1)</f>
        <v>0</v>
      </c>
      <c r="N673" s="1" t="str" cm="1">
        <f t="array" aca="1" ref="N673" ca="1">INDIRECT(CONCATENATE("'",$A$650,"'!l",B673),1)</f>
        <v>Кулаков И.Ю.Архипова Г.А.</v>
      </c>
      <c r="O673" s="1" cm="1">
        <f t="array" aca="1" ref="O673" ca="1">INDIRECT(CONCATENATE("'",$A$650,"'!m",B673),1)</f>
        <v>0</v>
      </c>
      <c r="P673" s="1" cm="1">
        <f t="array" aca="1" ref="P673" ca="1">INDIRECT(CONCATENATE("'",$A$650,"'!n",B673),1)</f>
        <v>0</v>
      </c>
      <c r="Q673" s="1" cm="1">
        <f t="array" aca="1" ref="Q673" ca="1">INDIRECT(CONCATENATE("'",$A$650,"'!o",B673),1)</f>
        <v>11.7</v>
      </c>
      <c r="R673" s="1" cm="1">
        <f t="array" aca="1" ref="R673" ca="1">INDIRECT(CONCATENATE("'",$A$650,"'!p",B673),1)</f>
        <v>0</v>
      </c>
      <c r="S673" s="1">
        <f t="shared" ca="1" si="53"/>
        <v>0</v>
      </c>
      <c r="T673" s="1" t="str" cm="1">
        <f t="array" aca="1" ref="T673" ca="1">INDIRECT(CONCATENATE("'",$A$650,"'!q",B673),1)</f>
        <v>Кулаков И.Ю.</v>
      </c>
      <c r="U673" s="1" cm="1">
        <f t="array" aca="1" ref="U673" ca="1">INDIRECT(CONCATENATE("'",$A$650,"'!r",B673),1)</f>
        <v>9.6999999999999993</v>
      </c>
      <c r="V673" s="1" t="str" cm="1">
        <f t="array" aca="1" ref="V673" ca="1">INDIRECT(CONCATENATE("'",$A$650,"'!s",B673),1)</f>
        <v>Архипова Г.А.</v>
      </c>
      <c r="W673" s="1" cm="1">
        <f t="array" aca="1" ref="W673" ca="1">INDIRECT(CONCATENATE("'",$A$650,"'!t",B673),1)</f>
        <v>2</v>
      </c>
      <c r="X673" s="1" cm="1">
        <f t="array" aca="1" ref="X673" ca="1">INDIRECT(CONCATENATE("'",$A$650,"'!u",B673),1)</f>
        <v>0</v>
      </c>
      <c r="Y673" s="1" cm="1">
        <f t="array" aca="1" ref="Y673" ca="1">INDIRECT(CONCATENATE("'",$A$650,"'!v",B673),1)</f>
        <v>0</v>
      </c>
    </row>
    <row r="674" spans="1:25" ht="56.25" hidden="1" x14ac:dyDescent="0.25">
      <c r="A674" s="15"/>
      <c r="B674" s="24">
        <f t="shared" si="51"/>
        <v>26</v>
      </c>
      <c r="C674" s="1" t="str" cm="1">
        <f t="array" aca="1" ref="C674" ca="1">INDIRECT(CONCATENATE("'",$A$650,"'!A",B674),1)</f>
        <v>Практика производственная: Научно-исследовательская работа</v>
      </c>
      <c r="D674" s="1" t="str" cm="1">
        <f t="array" aca="1" ref="D674" ca="1">INDIRECT(CONCATENATE("'",$A$650,"'!B",B674),1)</f>
        <v xml:space="preserve">09.04.01(09) </v>
      </c>
      <c r="E674" s="1" t="str" cm="1">
        <f t="array" aca="1" ref="E674" ca="1">INDIRECT(CONCATENATE("'",$A$650,"'!c",B674),1)</f>
        <v>4095з</v>
      </c>
      <c r="F674" s="1" cm="1">
        <f t="array" aca="1" ref="F674" ca="1">INDIRECT(CONCATENATE("'",$A$650,"'!d",B674),1)</f>
        <v>4</v>
      </c>
      <c r="G674" s="1" cm="1">
        <f t="array" aca="1" ref="G674" ca="1">INDIRECT(CONCATENATE("'",$A$650,"'!e",B674),1)</f>
        <v>1</v>
      </c>
      <c r="H674" s="1" cm="1">
        <f t="array" aca="1" ref="H674" ca="1">INDIRECT(CONCATENATE("'",$A$650,"'!f",B674),1)</f>
        <v>13</v>
      </c>
      <c r="I674" s="1" t="str" cm="1">
        <f t="array" aca="1" ref="I674" ca="1">INDIRECT(CONCATENATE("'",$A$650,"'!g",B674),1)</f>
        <v>ДЗ</v>
      </c>
      <c r="J674" s="1" cm="1">
        <f t="array" aca="1" ref="J674" ca="1">INDIRECT(CONCATENATE("'",$A$650,"'!h",B674),1)</f>
        <v>6</v>
      </c>
      <c r="K674" s="1" cm="1">
        <f t="array" aca="1" ref="K674" ca="1">INDIRECT(CONCATENATE("'",$A$650,"'!i",B674),1)</f>
        <v>0</v>
      </c>
      <c r="L674" s="1" cm="1">
        <f t="array" aca="1" ref="L674" ca="1">INDIRECT(CONCATENATE("'",$A$650,"'!j",B674),1)</f>
        <v>2</v>
      </c>
      <c r="M674" s="1" cm="1">
        <f t="array" aca="1" ref="M674" ca="1">INDIRECT(CONCATENATE("'",$A$650,"'!k",B674),1)</f>
        <v>0</v>
      </c>
      <c r="N674" s="1" t="str" cm="1">
        <f t="array" aca="1" ref="N674" ca="1">INDIRECT(CONCATENATE("'",$A$650,"'!l",B674),1)</f>
        <v>Макевич П.В.Архипова Г.А.</v>
      </c>
      <c r="O674" s="1" cm="1">
        <f t="array" aca="1" ref="O674" ca="1">INDIRECT(CONCATENATE("'",$A$650,"'!m",B674),1)</f>
        <v>0</v>
      </c>
      <c r="P674" s="1" t="str" cm="1">
        <f t="array" aca="1" ref="P674" ca="1">INDIRECT(CONCATENATE("'",$A$650,"'!n",B674),1)</f>
        <v>практика, НИР</v>
      </c>
      <c r="Q674" s="1" cm="1">
        <f t="array" aca="1" ref="Q674" ca="1">INDIRECT(CONCATENATE("'",$A$650,"'!o",B674),1)</f>
        <v>11.7</v>
      </c>
      <c r="R674" s="1" cm="1">
        <f t="array" aca="1" ref="R674" ca="1">INDIRECT(CONCATENATE("'",$A$650,"'!p",B674),1)</f>
        <v>0</v>
      </c>
      <c r="S674" s="1">
        <f t="shared" ca="1" si="53"/>
        <v>0</v>
      </c>
      <c r="T674" s="1" t="str" cm="1">
        <f t="array" aca="1" ref="T674" ca="1">INDIRECT(CONCATENATE("'",$A$650,"'!q",B674),1)</f>
        <v>Макевич П.В.</v>
      </c>
      <c r="U674" s="1" cm="1">
        <f t="array" aca="1" ref="U674" ca="1">INDIRECT(CONCATENATE("'",$A$650,"'!r",B674),1)</f>
        <v>9.6999999999999993</v>
      </c>
      <c r="V674" s="1" t="str" cm="1">
        <f t="array" aca="1" ref="V674" ca="1">INDIRECT(CONCATENATE("'",$A$650,"'!s",B674),1)</f>
        <v>Архипова Г.А.</v>
      </c>
      <c r="W674" s="1" cm="1">
        <f t="array" aca="1" ref="W674" ca="1">INDIRECT(CONCATENATE("'",$A$650,"'!t",B674),1)</f>
        <v>2</v>
      </c>
      <c r="X674" s="1" cm="1">
        <f t="array" aca="1" ref="X674" ca="1">INDIRECT(CONCATENATE("'",$A$650,"'!u",B674),1)</f>
        <v>0</v>
      </c>
      <c r="Y674" s="1" cm="1">
        <f t="array" aca="1" ref="Y674" ca="1">INDIRECT(CONCATENATE("'",$A$650,"'!v",B674),1)</f>
        <v>0</v>
      </c>
    </row>
    <row r="675" spans="1:25" ht="56.25" hidden="1" x14ac:dyDescent="0.25">
      <c r="A675" s="15"/>
      <c r="B675" s="24">
        <f t="shared" si="51"/>
        <v>27</v>
      </c>
      <c r="C675" s="1" t="str" cm="1">
        <f t="array" aca="1" ref="C675" ca="1">INDIRECT(CONCATENATE("'",$A$650,"'!A",B675),1)</f>
        <v>Практика производственная: Практика преддипломная(установ.)</v>
      </c>
      <c r="D675" s="1" t="str" cm="1">
        <f t="array" aca="1" ref="D675" ca="1">INDIRECT(CONCATENATE("'",$A$650,"'!B",B675),1)</f>
        <v xml:space="preserve">09.04.01(09) </v>
      </c>
      <c r="E675" s="1" t="str" cm="1">
        <f t="array" aca="1" ref="E675" ca="1">INDIRECT(CONCATENATE("'",$A$650,"'!c",B675),1)</f>
        <v>4095з</v>
      </c>
      <c r="F675" s="1" cm="1">
        <f t="array" aca="1" ref="F675" ca="1">INDIRECT(CONCATENATE("'",$A$650,"'!d",B675),1)</f>
        <v>4</v>
      </c>
      <c r="G675" s="1" cm="1">
        <f t="array" aca="1" ref="G675" ca="1">INDIRECT(CONCATENATE("'",$A$650,"'!e",B675),1)</f>
        <v>1</v>
      </c>
      <c r="H675" s="1" cm="1">
        <f t="array" aca="1" ref="H675" ca="1">INDIRECT(CONCATENATE("'",$A$650,"'!f",B675),1)</f>
        <v>13</v>
      </c>
      <c r="I675" s="1" cm="1">
        <f t="array" aca="1" ref="I675" ca="1">INDIRECT(CONCATENATE("'",$A$650,"'!g",B675),1)</f>
        <v>0</v>
      </c>
      <c r="J675" s="1" cm="1">
        <f t="array" aca="1" ref="J675" ca="1">INDIRECT(CONCATENATE("'",$A$650,"'!h",B675),1)</f>
        <v>0</v>
      </c>
      <c r="K675" s="1" cm="1">
        <f t="array" aca="1" ref="K675" ca="1">INDIRECT(CONCATENATE("'",$A$650,"'!i",B675),1)</f>
        <v>0</v>
      </c>
      <c r="L675" s="1" cm="1">
        <f t="array" aca="1" ref="L675" ca="1">INDIRECT(CONCATENATE("'",$A$650,"'!j",B675),1)</f>
        <v>1</v>
      </c>
      <c r="M675" s="1" cm="1">
        <f t="array" aca="1" ref="M675" ca="1">INDIRECT(CONCATENATE("'",$A$650,"'!k",B675),1)</f>
        <v>0</v>
      </c>
      <c r="N675" s="1" t="str" cm="1">
        <f t="array" aca="1" ref="N675" ca="1">INDIRECT(CONCATENATE("'",$A$650,"'!l",B675),1)</f>
        <v>Соколова Г.Ю.</v>
      </c>
      <c r="O675" s="1" cm="1">
        <f t="array" aca="1" ref="O675" ca="1">INDIRECT(CONCATENATE("'",$A$650,"'!m",B675),1)</f>
        <v>0</v>
      </c>
      <c r="P675" s="1" t="str" cm="1">
        <f t="array" aca="1" ref="P675" ca="1">INDIRECT(CONCATENATE("'",$A$650,"'!n",B675),1)</f>
        <v>уст.</v>
      </c>
      <c r="Q675" s="1" cm="1">
        <f t="array" aca="1" ref="Q675" ca="1">INDIRECT(CONCATENATE("'",$A$650,"'!o",B675),1)</f>
        <v>0</v>
      </c>
      <c r="R675" s="1" cm="1">
        <f t="array" aca="1" ref="R675" ca="1">INDIRECT(CONCATENATE("'",$A$650,"'!p",B675),1)</f>
        <v>0</v>
      </c>
      <c r="S675" s="1">
        <f t="shared" ca="1" si="53"/>
        <v>0</v>
      </c>
      <c r="T675" s="1" t="str" cm="1">
        <f t="array" aca="1" ref="T675" ca="1">INDIRECT(CONCATENATE("'",$A$650,"'!q",B675),1)</f>
        <v>Соколова Г.Ю.</v>
      </c>
      <c r="U675" s="1" cm="1">
        <f t="array" aca="1" ref="U675" ca="1">INDIRECT(CONCATENATE("'",$A$650,"'!r",B675),1)</f>
        <v>0</v>
      </c>
      <c r="V675" s="1" cm="1">
        <f t="array" aca="1" ref="V675" ca="1">INDIRECT(CONCATENATE("'",$A$650,"'!s",B675),1)</f>
        <v>0</v>
      </c>
      <c r="W675" s="1" cm="1">
        <f t="array" aca="1" ref="W675" ca="1">INDIRECT(CONCATENATE("'",$A$650,"'!t",B675),1)</f>
        <v>0</v>
      </c>
      <c r="X675" s="1" cm="1">
        <f t="array" aca="1" ref="X675" ca="1">INDIRECT(CONCATENATE("'",$A$650,"'!u",B675),1)</f>
        <v>0</v>
      </c>
      <c r="Y675" s="1" cm="1">
        <f t="array" aca="1" ref="Y675" ca="1">INDIRECT(CONCATENATE("'",$A$650,"'!v",B675),1)</f>
        <v>0</v>
      </c>
    </row>
    <row r="676" spans="1:25" hidden="1" x14ac:dyDescent="0.25">
      <c r="A676" s="15"/>
      <c r="B676" s="24">
        <f t="shared" si="51"/>
        <v>28</v>
      </c>
      <c r="C676" s="1" cm="1">
        <f t="array" aca="1" ref="C676" ca="1">INDIRECT(CONCATENATE("'",$A$650,"'!A",B676),1)</f>
        <v>0</v>
      </c>
      <c r="D676" s="1" cm="1">
        <f t="array" aca="1" ref="D676" ca="1">INDIRECT(CONCATENATE("'",$A$650,"'!B",B676),1)</f>
        <v>0</v>
      </c>
      <c r="E676" s="1" cm="1">
        <f t="array" aca="1" ref="E676" ca="1">INDIRECT(CONCATENATE("'",$A$650,"'!c",B676),1)</f>
        <v>0</v>
      </c>
      <c r="F676" s="1" cm="1">
        <f t="array" aca="1" ref="F676" ca="1">INDIRECT(CONCATENATE("'",$A$650,"'!d",B676),1)</f>
        <v>0</v>
      </c>
      <c r="G676" s="1" cm="1">
        <f t="array" aca="1" ref="G676" ca="1">INDIRECT(CONCATENATE("'",$A$650,"'!e",B676),1)</f>
        <v>0</v>
      </c>
      <c r="H676" s="1" cm="1">
        <f t="array" aca="1" ref="H676" ca="1">INDIRECT(CONCATENATE("'",$A$650,"'!f",B676),1)</f>
        <v>0</v>
      </c>
      <c r="I676" s="1" cm="1">
        <f t="array" aca="1" ref="I676" ca="1">INDIRECT(CONCATENATE("'",$A$650,"'!g",B676),1)</f>
        <v>0</v>
      </c>
      <c r="J676" s="1" cm="1">
        <f t="array" aca="1" ref="J676" ca="1">INDIRECT(CONCATENATE("'",$A$650,"'!h",B676),1)</f>
        <v>0</v>
      </c>
      <c r="K676" s="1" cm="1">
        <f t="array" aca="1" ref="K676" ca="1">INDIRECT(CONCATENATE("'",$A$650,"'!i",B676),1)</f>
        <v>0</v>
      </c>
      <c r="L676" s="1" cm="1">
        <f t="array" aca="1" ref="L676" ca="1">INDIRECT(CONCATENATE("'",$A$650,"'!j",B676),1)</f>
        <v>0</v>
      </c>
      <c r="M676" s="1" cm="1">
        <f t="array" aca="1" ref="M676" ca="1">INDIRECT(CONCATENATE("'",$A$650,"'!k",B676),1)</f>
        <v>0</v>
      </c>
      <c r="N676" s="1" t="str" cm="1">
        <f t="array" aca="1" ref="N676" ca="1">INDIRECT(CONCATENATE("'",$A$650,"'!l",B676),1)</f>
        <v/>
      </c>
      <c r="O676" s="1" cm="1">
        <f t="array" aca="1" ref="O676" ca="1">INDIRECT(CONCATENATE("'",$A$650,"'!m",B676),1)</f>
        <v>0</v>
      </c>
      <c r="P676" s="1" cm="1">
        <f t="array" aca="1" ref="P676" ca="1">INDIRECT(CONCATENATE("'",$A$650,"'!n",B676),1)</f>
        <v>0</v>
      </c>
      <c r="Q676" s="1" cm="1">
        <f t="array" aca="1" ref="Q676" ca="1">INDIRECT(CONCATENATE("'",$A$650,"'!o",B676),1)</f>
        <v>0</v>
      </c>
      <c r="R676" s="1" cm="1">
        <f t="array" aca="1" ref="R676" ca="1">INDIRECT(CONCATENATE("'",$A$650,"'!p",B676),1)</f>
        <v>0</v>
      </c>
      <c r="S676" s="1">
        <f t="shared" ca="1" si="53"/>
        <v>0</v>
      </c>
      <c r="T676" s="1" cm="1">
        <f t="array" aca="1" ref="T676" ca="1">INDIRECT(CONCATENATE("'",$A$650,"'!q",B676),1)</f>
        <v>0</v>
      </c>
      <c r="U676" s="1" cm="1">
        <f t="array" aca="1" ref="U676" ca="1">INDIRECT(CONCATENATE("'",$A$650,"'!r",B676),1)</f>
        <v>0</v>
      </c>
      <c r="V676" s="1" cm="1">
        <f t="array" aca="1" ref="V676" ca="1">INDIRECT(CONCATENATE("'",$A$650,"'!s",B676),1)</f>
        <v>0</v>
      </c>
      <c r="W676" s="1" cm="1">
        <f t="array" aca="1" ref="W676" ca="1">INDIRECT(CONCATENATE("'",$A$650,"'!t",B676),1)</f>
        <v>0</v>
      </c>
      <c r="X676" s="1" cm="1">
        <f t="array" aca="1" ref="X676" ca="1">INDIRECT(CONCATENATE("'",$A$650,"'!u",B676),1)</f>
        <v>0</v>
      </c>
      <c r="Y676" s="1" cm="1">
        <f t="array" aca="1" ref="Y676" ca="1">INDIRECT(CONCATENATE("'",$A$650,"'!v",B676),1)</f>
        <v>0</v>
      </c>
    </row>
    <row r="677" spans="1:25" ht="56.25" hidden="1" x14ac:dyDescent="0.25">
      <c r="A677" s="15"/>
      <c r="B677" s="24">
        <f t="shared" si="51"/>
        <v>29</v>
      </c>
      <c r="C677" s="1" t="str" cm="1">
        <f t="array" aca="1" ref="C677" ca="1">INDIRECT(CONCATENATE("'",$A$650,"'!A",B677),1)</f>
        <v>Практика производственная: Практика преддипломная</v>
      </c>
      <c r="D677" s="1" t="str" cm="1">
        <f t="array" aca="1" ref="D677" ca="1">INDIRECT(CONCATENATE("'",$A$650,"'!B",B677),1)</f>
        <v xml:space="preserve">09.04.01(09) </v>
      </c>
      <c r="E677" s="1" t="str" cm="1">
        <f t="array" aca="1" ref="E677" ca="1">INDIRECT(CONCATENATE("'",$A$650,"'!c",B677),1)</f>
        <v>3095з</v>
      </c>
      <c r="F677" s="1" cm="1">
        <f t="array" aca="1" ref="F677" ca="1">INDIRECT(CONCATENATE("'",$A$650,"'!d",B677),1)</f>
        <v>5</v>
      </c>
      <c r="G677" s="1" cm="1">
        <f t="array" aca="1" ref="G677" ca="1">INDIRECT(CONCATENATE("'",$A$650,"'!e",B677),1)</f>
        <v>2</v>
      </c>
      <c r="H677" s="1" cm="1">
        <f t="array" aca="1" ref="H677" ca="1">INDIRECT(CONCATENATE("'",$A$650,"'!f",B677),1)</f>
        <v>4</v>
      </c>
      <c r="I677" s="1" t="str" cm="1">
        <f t="array" aca="1" ref="I677" ca="1">INDIRECT(CONCATENATE("'",$A$650,"'!g",B677),1)</f>
        <v>ДЗ</v>
      </c>
      <c r="J677" s="1" cm="1">
        <f t="array" aca="1" ref="J677" ca="1">INDIRECT(CONCATENATE("'",$A$650,"'!h",B677),1)</f>
        <v>21</v>
      </c>
      <c r="K677" s="1" cm="1">
        <f t="array" aca="1" ref="K677" ca="1">INDIRECT(CONCATENATE("'",$A$650,"'!i",B677),1)</f>
        <v>0</v>
      </c>
      <c r="L677" s="1" cm="1">
        <f t="array" aca="1" ref="L677" ca="1">INDIRECT(CONCATENATE("'",$A$650,"'!j",B677),1)</f>
        <v>2</v>
      </c>
      <c r="M677" s="1" cm="1">
        <f t="array" aca="1" ref="M677" ca="1">INDIRECT(CONCATENATE("'",$A$650,"'!k",B677),1)</f>
        <v>0</v>
      </c>
      <c r="N677" s="1" t="str" cm="1">
        <f t="array" aca="1" ref="N677" ca="1">INDIRECT(CONCATENATE("'",$A$650,"'!l",B677),1)</f>
        <v>Кулаков И.Ю.Соколова Г.Ю.Архипова Г.А.</v>
      </c>
      <c r="O677" s="1" cm="1">
        <f t="array" aca="1" ref="O677" ca="1">INDIRECT(CONCATENATE("'",$A$650,"'!m",B677),1)</f>
        <v>2407.3312000000001</v>
      </c>
      <c r="P677" s="1" t="str" cm="1">
        <f t="array" aca="1" ref="P677" ca="1">INDIRECT(CONCATENATE("'",$A$650,"'!n",B677),1)</f>
        <v>консультации, защита практики, нормоконтроль</v>
      </c>
      <c r="Q677" s="1" cm="1">
        <f t="array" aca="1" ref="Q677" ca="1">INDIRECT(CONCATENATE("'",$A$650,"'!o",B677),1)</f>
        <v>21.6</v>
      </c>
      <c r="R677" s="1" cm="1">
        <f t="array" aca="1" ref="R677" ca="1">INDIRECT(CONCATENATE("'",$A$650,"'!p",B677),1)</f>
        <v>0</v>
      </c>
      <c r="S677" s="1">
        <f t="shared" ca="1" si="53"/>
        <v>0</v>
      </c>
      <c r="T677" s="1" t="str" cm="1">
        <f t="array" aca="1" ref="T677" ca="1">INDIRECT(CONCATENATE("'",$A$650,"'!q",B677),1)</f>
        <v>Кулаков И.Ю.</v>
      </c>
      <c r="U677" s="1" cm="1">
        <f t="array" aca="1" ref="U677" ca="1">INDIRECT(CONCATENATE("'",$A$650,"'!r",B677),1)</f>
        <v>13.600000000000001</v>
      </c>
      <c r="V677" s="1" t="str" cm="1">
        <f t="array" aca="1" ref="V677" ca="1">INDIRECT(CONCATENATE("'",$A$650,"'!s",B677),1)</f>
        <v>Соколова Г.Ю.</v>
      </c>
      <c r="W677" s="1" cm="1">
        <f t="array" aca="1" ref="W677" ca="1">INDIRECT(CONCATENATE("'",$A$650,"'!t",B677),1)</f>
        <v>4</v>
      </c>
      <c r="X677" s="1" t="str" cm="1">
        <f t="array" aca="1" ref="X677" ca="1">INDIRECT(CONCATENATE("'",$A$650,"'!u",B677),1)</f>
        <v>Архипова Г.А.</v>
      </c>
      <c r="Y677" s="1" cm="1">
        <f t="array" aca="1" ref="Y677" ca="1">INDIRECT(CONCATENATE("'",$A$650,"'!v",B677),1)</f>
        <v>4</v>
      </c>
    </row>
    <row r="678" spans="1:25" ht="56.25" hidden="1" x14ac:dyDescent="0.25">
      <c r="A678" s="15"/>
      <c r="B678" s="24">
        <f t="shared" si="51"/>
        <v>30</v>
      </c>
      <c r="C678" s="1" t="str" cm="1">
        <f t="array" aca="1" ref="C678" ca="1">INDIRECT(CONCATENATE("'",$A$650,"'!A",B678),1)</f>
        <v>Выполнение и защита выпускной квалификационной работы</v>
      </c>
      <c r="D678" s="1" t="str" cm="1">
        <f t="array" aca="1" ref="D678" ca="1">INDIRECT(CONCATENATE("'",$A$650,"'!B",B678),1)</f>
        <v xml:space="preserve">09.04.01(09) </v>
      </c>
      <c r="E678" s="1" t="str" cm="1">
        <f t="array" aca="1" ref="E678" ca="1">INDIRECT(CONCATENATE("'",$A$650,"'!c",B678),1)</f>
        <v>3095з</v>
      </c>
      <c r="F678" s="1" cm="1">
        <f t="array" aca="1" ref="F678" ca="1">INDIRECT(CONCATENATE("'",$A$650,"'!d",B678),1)</f>
        <v>5</v>
      </c>
      <c r="G678" s="1" cm="1">
        <f t="array" aca="1" ref="G678" ca="1">INDIRECT(CONCATENATE("'",$A$650,"'!e",B678),1)</f>
        <v>1</v>
      </c>
      <c r="H678" s="1" cm="1">
        <f t="array" aca="1" ref="H678" ca="1">INDIRECT(CONCATENATE("'",$A$650,"'!f",B678),1)</f>
        <v>4</v>
      </c>
      <c r="I678" s="1" t="str" cm="1">
        <f t="array" aca="1" ref="I678" ca="1">INDIRECT(CONCATENATE("'",$A$650,"'!g",B678),1)</f>
        <v>ЭКЗ</v>
      </c>
      <c r="J678" s="1" cm="1">
        <f t="array" aca="1" ref="J678" ca="1">INDIRECT(CONCATENATE("'",$A$650,"'!h",B678),1)</f>
        <v>9</v>
      </c>
      <c r="K678" s="1" cm="1">
        <f t="array" aca="1" ref="K678" ca="1">INDIRECT(CONCATENATE("'",$A$650,"'!i",B678),1)</f>
        <v>0</v>
      </c>
      <c r="L678" s="1" cm="1">
        <f t="array" aca="1" ref="L678" ca="1">INDIRECT(CONCATENATE("'",$A$650,"'!j",B678),1)</f>
        <v>0</v>
      </c>
      <c r="M678" s="1" cm="1">
        <f t="array" aca="1" ref="M678" ca="1">INDIRECT(CONCATENATE("'",$A$650,"'!k",B678),1)</f>
        <v>0</v>
      </c>
      <c r="N678" s="1" t="str" cm="1">
        <f t="array" aca="1" ref="N678" ca="1">INDIRECT(CONCATENATE("'",$A$650,"'!l",B678),1)</f>
        <v>Телина И.С.Соколова Г.Ю.</v>
      </c>
      <c r="O678" s="1" cm="1">
        <f t="array" aca="1" ref="O678" ca="1">INDIRECT(CONCATENATE("'",$A$650,"'!m",B678),1)</f>
        <v>3312</v>
      </c>
      <c r="P678" s="1" t="str" cm="1">
        <f t="array" aca="1" ref="P678" ca="1">INDIRECT(CONCATENATE("'",$A$650,"'!n",B678),1)</f>
        <v>руководство ДП 3-1 человек
нормоконтроль</v>
      </c>
      <c r="Q678" s="1" cm="1">
        <f t="array" aca="1" ref="Q678" ca="1">INDIRECT(CONCATENATE("'",$A$650,"'!o",B678),1)</f>
        <v>40.799999999999997</v>
      </c>
      <c r="R678" s="1" cm="1">
        <f t="array" aca="1" ref="R678" ca="1">INDIRECT(CONCATENATE("'",$A$650,"'!p",B678),1)</f>
        <v>0</v>
      </c>
      <c r="S678" s="1">
        <f t="shared" ca="1" si="53"/>
        <v>0</v>
      </c>
      <c r="T678" s="1" t="str" cm="1">
        <f t="array" aca="1" ref="T678" ca="1">INDIRECT(CONCATENATE("'",$A$650,"'!q",B678),1)</f>
        <v>Телина И.С.</v>
      </c>
      <c r="U678" s="1" cm="1">
        <f t="array" aca="1" ref="U678" ca="1">INDIRECT(CONCATENATE("'",$A$650,"'!r",B678),1)</f>
        <v>18</v>
      </c>
      <c r="V678" s="1" t="str" cm="1">
        <f t="array" aca="1" ref="V678" ca="1">INDIRECT(CONCATENATE("'",$A$650,"'!s",B678),1)</f>
        <v>Соколова Г.Ю.</v>
      </c>
      <c r="W678" s="1" cm="1">
        <f t="array" aca="1" ref="W678" ca="1">INDIRECT(CONCATENATE("'",$A$650,"'!t",B678),1)</f>
        <v>4.8</v>
      </c>
      <c r="X678" s="1" cm="1">
        <f t="array" aca="1" ref="X678" ca="1">INDIRECT(CONCATENATE("'",$A$650,"'!u",B678),1)</f>
        <v>0</v>
      </c>
      <c r="Y678" s="1" cm="1">
        <f t="array" aca="1" ref="Y678" ca="1">INDIRECT(CONCATENATE("'",$A$650,"'!v",B678),1)</f>
        <v>0</v>
      </c>
    </row>
    <row r="679" spans="1:25" ht="45" hidden="1" x14ac:dyDescent="0.25">
      <c r="A679" s="15"/>
      <c r="B679" s="24">
        <f t="shared" si="51"/>
        <v>31</v>
      </c>
      <c r="C679" s="1" t="str" cm="1">
        <f t="array" aca="1" ref="C679" ca="1">INDIRECT(CONCATENATE("'",$A$650,"'!A",B679),1)</f>
        <v>Выполнение и защита выпускной квалификационной работы</v>
      </c>
      <c r="D679" s="1" t="str" cm="1">
        <f t="array" aca="1" ref="D679" ca="1">INDIRECT(CONCATENATE("'",$A$650,"'!B",B679),1)</f>
        <v xml:space="preserve">09.04.01(09) </v>
      </c>
      <c r="E679" s="1" t="str" cm="1">
        <f t="array" aca="1" ref="E679" ca="1">INDIRECT(CONCATENATE("'",$A$650,"'!c",B679),1)</f>
        <v>3095з</v>
      </c>
      <c r="F679" s="1" cm="1">
        <f t="array" aca="1" ref="F679" ca="1">INDIRECT(CONCATENATE("'",$A$650,"'!d",B679),1)</f>
        <v>5</v>
      </c>
      <c r="G679" s="1" cm="1">
        <f t="array" aca="1" ref="G679" ca="1">INDIRECT(CONCATENATE("'",$A$650,"'!e",B679),1)</f>
        <v>1</v>
      </c>
      <c r="H679" s="1" cm="1">
        <f t="array" aca="1" ref="H679" ca="1">INDIRECT(CONCATENATE("'",$A$650,"'!f",B679),1)</f>
        <v>4</v>
      </c>
      <c r="I679" s="1" t="str" cm="1">
        <f t="array" aca="1" ref="I679" ca="1">INDIRECT(CONCATENATE("'",$A$650,"'!g",B679),1)</f>
        <v>ЭКЗ</v>
      </c>
      <c r="J679" s="1" cm="1">
        <f t="array" aca="1" ref="J679" ca="1">INDIRECT(CONCATENATE("'",$A$650,"'!h",B679),1)</f>
        <v>9</v>
      </c>
      <c r="K679" s="1" cm="1">
        <f t="array" aca="1" ref="K679" ca="1">INDIRECT(CONCATENATE("'",$A$650,"'!i",B679),1)</f>
        <v>0</v>
      </c>
      <c r="L679" s="1" cm="1">
        <f t="array" aca="1" ref="L679" ca="1">INDIRECT(CONCATENATE("'",$A$650,"'!j",B679),1)</f>
        <v>0</v>
      </c>
      <c r="M679" s="1" cm="1">
        <f t="array" aca="1" ref="M679" ca="1">INDIRECT(CONCATENATE("'",$A$650,"'!k",B679),1)</f>
        <v>0</v>
      </c>
      <c r="N679" s="1" t="str" cm="1">
        <f t="array" aca="1" ref="N679" ca="1">INDIRECT(CONCATENATE("'",$A$650,"'!l",B679),1)</f>
        <v>Цымбалюк Л.Н.Эминов С.И.Соколова Г.Ю.</v>
      </c>
      <c r="O679" s="1" cm="1">
        <f t="array" aca="1" ref="O679" ca="1">INDIRECT(CONCATENATE("'",$A$650,"'!m",B679),1)</f>
        <v>3315</v>
      </c>
      <c r="P679" s="1" t="str" cm="1">
        <f t="array" aca="1" ref="P679" ca="1">INDIRECT(CONCATENATE("'",$A$650,"'!n",B679),1)</f>
        <v>защита дипломных проектов</v>
      </c>
      <c r="Q679" s="1" cm="1">
        <f t="array" aca="1" ref="Q679" ca="1">INDIRECT(CONCATENATE("'",$A$650,"'!o",B679),1)</f>
        <v>40.799999999999997</v>
      </c>
      <c r="R679" s="1" cm="1">
        <f t="array" aca="1" ref="R679" ca="1">INDIRECT(CONCATENATE("'",$A$650,"'!p",B679),1)</f>
        <v>0</v>
      </c>
      <c r="S679" s="1">
        <f t="shared" ca="1" si="53"/>
        <v>0</v>
      </c>
      <c r="T679" s="1" t="str" cm="1">
        <f t="array" aca="1" ref="T679" ca="1">INDIRECT(CONCATENATE("'",$A$650,"'!q",B679),1)</f>
        <v>Цымбалюк Л.Н.</v>
      </c>
      <c r="U679" s="1" cm="1">
        <f t="array" aca="1" ref="U679" ca="1">INDIRECT(CONCATENATE("'",$A$650,"'!r",B679),1)</f>
        <v>2</v>
      </c>
      <c r="V679" s="1" t="str" cm="1">
        <f t="array" aca="1" ref="V679" ca="1">INDIRECT(CONCATENATE("'",$A$650,"'!s",B679),1)</f>
        <v>Эминов С.И.</v>
      </c>
      <c r="W679" s="1" cm="1">
        <f t="array" aca="1" ref="W679" ca="1">INDIRECT(CONCATENATE("'",$A$650,"'!t",B679),1)</f>
        <v>2</v>
      </c>
      <c r="X679" s="1" t="str" cm="1">
        <f t="array" aca="1" ref="X679" ca="1">INDIRECT(CONCATENATE("'",$A$650,"'!u",B679),1)</f>
        <v>Соколова Г.Ю.</v>
      </c>
      <c r="Y679" s="1" cm="1">
        <f t="array" aca="1" ref="Y679" ca="1">INDIRECT(CONCATENATE("'",$A$650,"'!v",B679),1)</f>
        <v>2</v>
      </c>
    </row>
    <row r="680" spans="1:25" ht="45" hidden="1" x14ac:dyDescent="0.25">
      <c r="A680" s="15"/>
      <c r="B680" s="24">
        <f t="shared" si="51"/>
        <v>32</v>
      </c>
      <c r="C680" s="1" t="str" cm="1">
        <f t="array" aca="1" ref="C680" ca="1">INDIRECT(CONCATENATE("'",$A$650,"'!A",B680),1)</f>
        <v>Выполнение и защита выпускной квалификационной работы</v>
      </c>
      <c r="D680" s="1" t="str" cm="1">
        <f t="array" aca="1" ref="D680" ca="1">INDIRECT(CONCATENATE("'",$A$650,"'!B",B680),1)</f>
        <v xml:space="preserve">09.04.01(09) </v>
      </c>
      <c r="E680" s="1" t="str" cm="1">
        <f t="array" aca="1" ref="E680" ca="1">INDIRECT(CONCATENATE("'",$A$650,"'!c",B680),1)</f>
        <v>3095з</v>
      </c>
      <c r="F680" s="1" cm="1">
        <f t="array" aca="1" ref="F680" ca="1">INDIRECT(CONCATENATE("'",$A$650,"'!d",B680),1)</f>
        <v>5</v>
      </c>
      <c r="G680" s="1" cm="1">
        <f t="array" aca="1" ref="G680" ca="1">INDIRECT(CONCATENATE("'",$A$650,"'!e",B680),1)</f>
        <v>1</v>
      </c>
      <c r="H680" s="1" cm="1">
        <f t="array" aca="1" ref="H680" ca="1">INDIRECT(CONCATENATE("'",$A$650,"'!f",B680),1)</f>
        <v>4</v>
      </c>
      <c r="I680" s="1" t="str" cm="1">
        <f t="array" aca="1" ref="I680" ca="1">INDIRECT(CONCATENATE("'",$A$650,"'!g",B680),1)</f>
        <v>ЭКЗ</v>
      </c>
      <c r="J680" s="1" cm="1">
        <f t="array" aca="1" ref="J680" ca="1">INDIRECT(CONCATENATE("'",$A$650,"'!h",B680),1)</f>
        <v>9</v>
      </c>
      <c r="K680" s="1" cm="1">
        <f t="array" aca="1" ref="K680" ca="1">INDIRECT(CONCATENATE("'",$A$650,"'!i",B680),1)</f>
        <v>0</v>
      </c>
      <c r="L680" s="1" cm="1">
        <f t="array" aca="1" ref="L680" ca="1">INDIRECT(CONCATENATE("'",$A$650,"'!j",B680),1)</f>
        <v>0</v>
      </c>
      <c r="M680" s="1" cm="1">
        <f t="array" aca="1" ref="M680" ca="1">INDIRECT(CONCATENATE("'",$A$650,"'!k",B680),1)</f>
        <v>0</v>
      </c>
      <c r="N680" s="1" t="str" cm="1">
        <f t="array" aca="1" ref="N680" ca="1">INDIRECT(CONCATENATE("'",$A$650,"'!l",B680),1)</f>
        <v>Михайлов Д.В.Кулаков И.Ю.Соколова Г.Ю.</v>
      </c>
      <c r="O680" s="1" cm="1">
        <f t="array" aca="1" ref="O680" ca="1">INDIRECT(CONCATENATE("'",$A$650,"'!m",B680),1)</f>
        <v>3315</v>
      </c>
      <c r="P680" s="1" t="str" cm="1">
        <f t="array" aca="1" ref="P680" ca="1">INDIRECT(CONCATENATE("'",$A$650,"'!n",B680),1)</f>
        <v>предзащита дипломных проектов</v>
      </c>
      <c r="Q680" s="1" cm="1">
        <f t="array" aca="1" ref="Q680" ca="1">INDIRECT(CONCATENATE("'",$A$650,"'!o",B680),1)</f>
        <v>0</v>
      </c>
      <c r="R680" s="1" cm="1">
        <f t="array" aca="1" ref="R680" ca="1">INDIRECT(CONCATENATE("'",$A$650,"'!p",B680),1)</f>
        <v>0</v>
      </c>
      <c r="S680" s="1">
        <f t="shared" ca="1" si="53"/>
        <v>0</v>
      </c>
      <c r="T680" s="1" t="str" cm="1">
        <f t="array" aca="1" ref="T680" ca="1">INDIRECT(CONCATENATE("'",$A$650,"'!q",B680),1)</f>
        <v>Михайлов Д.В.</v>
      </c>
      <c r="U680" s="1" cm="1">
        <f t="array" aca="1" ref="U680" ca="1">INDIRECT(CONCATENATE("'",$A$650,"'!r",B680),1)</f>
        <v>4</v>
      </c>
      <c r="V680" s="1" t="str" cm="1">
        <f t="array" aca="1" ref="V680" ca="1">INDIRECT(CONCATENATE("'",$A$650,"'!s",B680),1)</f>
        <v>Кулаков И.Ю.</v>
      </c>
      <c r="W680" s="1" cm="1">
        <f t="array" aca="1" ref="W680" ca="1">INDIRECT(CONCATENATE("'",$A$650,"'!t",B680),1)</f>
        <v>4</v>
      </c>
      <c r="X680" s="1" t="str" cm="1">
        <f t="array" aca="1" ref="X680" ca="1">INDIRECT(CONCATENATE("'",$A$650,"'!u",B680),1)</f>
        <v>Соколова Г.Ю.</v>
      </c>
      <c r="Y680" s="1" cm="1">
        <f t="array" aca="1" ref="Y680" ca="1">INDIRECT(CONCATENATE("'",$A$650,"'!v",B680),1)</f>
        <v>4</v>
      </c>
    </row>
    <row r="681" spans="1:25" hidden="1" x14ac:dyDescent="0.25">
      <c r="A681" s="15"/>
      <c r="B681" s="24">
        <f t="shared" si="51"/>
        <v>33</v>
      </c>
      <c r="C681" s="1" cm="1">
        <f t="array" aca="1" ref="C681" ca="1">INDIRECT(CONCATENATE("'",$A$650,"'!A",B681),1)</f>
        <v>0</v>
      </c>
      <c r="D681" s="1" cm="1">
        <f t="array" aca="1" ref="D681" ca="1">INDIRECT(CONCATENATE("'",$A$650,"'!B",B681),1)</f>
        <v>0</v>
      </c>
      <c r="E681" s="1" cm="1">
        <f t="array" aca="1" ref="E681" ca="1">INDIRECT(CONCATENATE("'",$A$650,"'!c",B681),1)</f>
        <v>0</v>
      </c>
      <c r="F681" s="1" cm="1">
        <f t="array" aca="1" ref="F681" ca="1">INDIRECT(CONCATENATE("'",$A$650,"'!d",B681),1)</f>
        <v>0</v>
      </c>
      <c r="G681" s="1" cm="1">
        <f t="array" aca="1" ref="G681" ca="1">INDIRECT(CONCATENATE("'",$A$650,"'!e",B681),1)</f>
        <v>0</v>
      </c>
      <c r="H681" s="1" cm="1">
        <f t="array" aca="1" ref="H681" ca="1">INDIRECT(CONCATENATE("'",$A$650,"'!f",B681),1)</f>
        <v>0</v>
      </c>
      <c r="I681" s="1" cm="1">
        <f t="array" aca="1" ref="I681" ca="1">INDIRECT(CONCATENATE("'",$A$650,"'!g",B681),1)</f>
        <v>0</v>
      </c>
      <c r="J681" s="1" cm="1">
        <f t="array" aca="1" ref="J681" ca="1">INDIRECT(CONCATENATE("'",$A$650,"'!h",B681),1)</f>
        <v>0</v>
      </c>
      <c r="K681" s="1" cm="1">
        <f t="array" aca="1" ref="K681" ca="1">INDIRECT(CONCATENATE("'",$A$650,"'!i",B681),1)</f>
        <v>0</v>
      </c>
      <c r="L681" s="1" cm="1">
        <f t="array" aca="1" ref="L681" ca="1">INDIRECT(CONCATENATE("'",$A$650,"'!j",B681),1)</f>
        <v>0</v>
      </c>
      <c r="M681" s="1" cm="1">
        <f t="array" aca="1" ref="M681" ca="1">INDIRECT(CONCATENATE("'",$A$650,"'!k",B681),1)</f>
        <v>0</v>
      </c>
      <c r="N681" s="1" cm="1">
        <f t="array" aca="1" ref="N681" ca="1">INDIRECT(CONCATENATE("'",$A$650,"'!l",B681),1)</f>
        <v>0</v>
      </c>
      <c r="O681" s="1" cm="1">
        <f t="array" aca="1" ref="O681" ca="1">INDIRECT(CONCATENATE("'",$A$650,"'!m",B681),1)</f>
        <v>0</v>
      </c>
      <c r="P681" s="1" cm="1">
        <f t="array" aca="1" ref="P681" ca="1">INDIRECT(CONCATENATE("'",$A$650,"'!n",B681),1)</f>
        <v>0</v>
      </c>
      <c r="Q681" s="1" cm="1">
        <f t="array" aca="1" ref="Q681" ca="1">INDIRECT(CONCATENATE("'",$A$650,"'!o",B681),1)</f>
        <v>0</v>
      </c>
      <c r="R681" s="1" cm="1">
        <f t="array" aca="1" ref="R681" ca="1">INDIRECT(CONCATENATE("'",$A$650,"'!p",B681),1)</f>
        <v>0</v>
      </c>
      <c r="S681" s="1">
        <f t="shared" ca="1" si="53"/>
        <v>0</v>
      </c>
      <c r="T681" s="1" cm="1">
        <f t="array" aca="1" ref="T681" ca="1">INDIRECT(CONCATENATE("'",$A$650,"'!q",B681),1)</f>
        <v>0</v>
      </c>
      <c r="U681" s="1" cm="1">
        <f t="array" aca="1" ref="U681" ca="1">INDIRECT(CONCATENATE("'",$A$650,"'!r",B681),1)</f>
        <v>0</v>
      </c>
      <c r="V681" s="1" cm="1">
        <f t="array" aca="1" ref="V681" ca="1">INDIRECT(CONCATENATE("'",$A$650,"'!s",B681),1)</f>
        <v>0</v>
      </c>
      <c r="W681" s="1" cm="1">
        <f t="array" aca="1" ref="W681" ca="1">INDIRECT(CONCATENATE("'",$A$650,"'!t",B681),1)</f>
        <v>0</v>
      </c>
      <c r="X681" s="1" cm="1">
        <f t="array" aca="1" ref="X681" ca="1">INDIRECT(CONCATENATE("'",$A$650,"'!u",B681),1)</f>
        <v>0</v>
      </c>
      <c r="Y681" s="1" cm="1">
        <f t="array" aca="1" ref="Y681" ca="1">INDIRECT(CONCATENATE("'",$A$650,"'!v",B681),1)</f>
        <v>0</v>
      </c>
    </row>
    <row r="682" spans="1:25" hidden="1" x14ac:dyDescent="0.25">
      <c r="A682" s="15"/>
      <c r="B682" s="24">
        <f t="shared" si="51"/>
        <v>34</v>
      </c>
      <c r="C682" s="1" cm="1">
        <f t="array" aca="1" ref="C682" ca="1">INDIRECT(CONCATENATE("'",$A$650,"'!A",B682),1)</f>
        <v>0</v>
      </c>
      <c r="D682" s="1" cm="1">
        <f t="array" aca="1" ref="D682" ca="1">INDIRECT(CONCATENATE("'",$A$650,"'!B",B682),1)</f>
        <v>0</v>
      </c>
      <c r="E682" s="1" cm="1">
        <f t="array" aca="1" ref="E682" ca="1">INDIRECT(CONCATENATE("'",$A$650,"'!c",B682),1)</f>
        <v>0</v>
      </c>
      <c r="F682" s="1" cm="1">
        <f t="array" aca="1" ref="F682" ca="1">INDIRECT(CONCATENATE("'",$A$650,"'!d",B682),1)</f>
        <v>0</v>
      </c>
      <c r="G682" s="1" cm="1">
        <f t="array" aca="1" ref="G682" ca="1">INDIRECT(CONCATENATE("'",$A$650,"'!e",B682),1)</f>
        <v>0</v>
      </c>
      <c r="H682" s="1" cm="1">
        <f t="array" aca="1" ref="H682" ca="1">INDIRECT(CONCATENATE("'",$A$650,"'!f",B682),1)</f>
        <v>0</v>
      </c>
      <c r="I682" s="1" cm="1">
        <f t="array" aca="1" ref="I682" ca="1">INDIRECT(CONCATENATE("'",$A$650,"'!g",B682),1)</f>
        <v>0</v>
      </c>
      <c r="J682" s="1" cm="1">
        <f t="array" aca="1" ref="J682" ca="1">INDIRECT(CONCATENATE("'",$A$650,"'!h",B682),1)</f>
        <v>0</v>
      </c>
      <c r="K682" s="1" cm="1">
        <f t="array" aca="1" ref="K682" ca="1">INDIRECT(CONCATENATE("'",$A$650,"'!i",B682),1)</f>
        <v>0</v>
      </c>
      <c r="L682" s="1" cm="1">
        <f t="array" aca="1" ref="L682" ca="1">INDIRECT(CONCATENATE("'",$A$650,"'!j",B682),1)</f>
        <v>0</v>
      </c>
      <c r="M682" s="1" cm="1">
        <f t="array" aca="1" ref="M682" ca="1">INDIRECT(CONCATENATE("'",$A$650,"'!k",B682),1)</f>
        <v>0</v>
      </c>
      <c r="N682" s="1" cm="1">
        <f t="array" aca="1" ref="N682" ca="1">INDIRECT(CONCATENATE("'",$A$650,"'!l",B682),1)</f>
        <v>0</v>
      </c>
      <c r="O682" s="1" cm="1">
        <f t="array" aca="1" ref="O682" ca="1">INDIRECT(CONCATENATE("'",$A$650,"'!m",B682),1)</f>
        <v>0</v>
      </c>
      <c r="P682" s="1" cm="1">
        <f t="array" aca="1" ref="P682" ca="1">INDIRECT(CONCATENATE("'",$A$650,"'!n",B682),1)</f>
        <v>0</v>
      </c>
      <c r="Q682" s="1" cm="1">
        <f t="array" aca="1" ref="Q682" ca="1">INDIRECT(CONCATENATE("'",$A$650,"'!o",B682),1)</f>
        <v>0</v>
      </c>
      <c r="R682" s="1" cm="1">
        <f t="array" aca="1" ref="R682" ca="1">INDIRECT(CONCATENATE("'",$A$650,"'!p",B682),1)</f>
        <v>0</v>
      </c>
      <c r="S682" s="1">
        <f t="shared" ca="1" si="53"/>
        <v>0</v>
      </c>
      <c r="T682" s="1" cm="1">
        <f t="array" aca="1" ref="T682" ca="1">INDIRECT(CONCATENATE("'",$A$650,"'!q",B682),1)</f>
        <v>0</v>
      </c>
      <c r="U682" s="1" cm="1">
        <f t="array" aca="1" ref="U682" ca="1">INDIRECT(CONCATENATE("'",$A$650,"'!r",B682),1)</f>
        <v>0</v>
      </c>
      <c r="V682" s="1" cm="1">
        <f t="array" aca="1" ref="V682" ca="1">INDIRECT(CONCATENATE("'",$A$650,"'!s",B682),1)</f>
        <v>0</v>
      </c>
      <c r="W682" s="1" cm="1">
        <f t="array" aca="1" ref="W682" ca="1">INDIRECT(CONCATENATE("'",$A$650,"'!t",B682),1)</f>
        <v>0</v>
      </c>
      <c r="X682" s="1" cm="1">
        <f t="array" aca="1" ref="X682" ca="1">INDIRECT(CONCATENATE("'",$A$650,"'!u",B682),1)</f>
        <v>0</v>
      </c>
      <c r="Y682" s="1" cm="1">
        <f t="array" aca="1" ref="Y682" ca="1">INDIRECT(CONCATENATE("'",$A$650,"'!v",B682),1)</f>
        <v>0</v>
      </c>
    </row>
    <row r="683" spans="1:25" hidden="1" x14ac:dyDescent="0.25">
      <c r="A683" s="15"/>
      <c r="B683" s="24">
        <f t="shared" si="51"/>
        <v>35</v>
      </c>
      <c r="C683" s="1" cm="1">
        <f t="array" aca="1" ref="C683" ca="1">INDIRECT(CONCATENATE("'",$A$650,"'!A",B683),1)</f>
        <v>0</v>
      </c>
      <c r="D683" s="1" cm="1">
        <f t="array" aca="1" ref="D683" ca="1">INDIRECT(CONCATENATE("'",$A$650,"'!B",B683),1)</f>
        <v>0</v>
      </c>
      <c r="E683" s="1" cm="1">
        <f t="array" aca="1" ref="E683" ca="1">INDIRECT(CONCATENATE("'",$A$650,"'!c",B683),1)</f>
        <v>0</v>
      </c>
      <c r="F683" s="1" cm="1">
        <f t="array" aca="1" ref="F683" ca="1">INDIRECT(CONCATENATE("'",$A$650,"'!d",B683),1)</f>
        <v>0</v>
      </c>
      <c r="G683" s="1" cm="1">
        <f t="array" aca="1" ref="G683" ca="1">INDIRECT(CONCATENATE("'",$A$650,"'!e",B683),1)</f>
        <v>0</v>
      </c>
      <c r="H683" s="1" cm="1">
        <f t="array" aca="1" ref="H683" ca="1">INDIRECT(CONCATENATE("'",$A$650,"'!f",B683),1)</f>
        <v>0</v>
      </c>
      <c r="I683" s="1" cm="1">
        <f t="array" aca="1" ref="I683" ca="1">INDIRECT(CONCATENATE("'",$A$650,"'!g",B683),1)</f>
        <v>0</v>
      </c>
      <c r="J683" s="1" cm="1">
        <f t="array" aca="1" ref="J683" ca="1">INDIRECT(CONCATENATE("'",$A$650,"'!h",B683),1)</f>
        <v>0</v>
      </c>
      <c r="K683" s="1" cm="1">
        <f t="array" aca="1" ref="K683" ca="1">INDIRECT(CONCATENATE("'",$A$650,"'!i",B683),1)</f>
        <v>0</v>
      </c>
      <c r="L683" s="1" cm="1">
        <f t="array" aca="1" ref="L683" ca="1">INDIRECT(CONCATENATE("'",$A$650,"'!j",B683),1)</f>
        <v>0</v>
      </c>
      <c r="M683" s="1" cm="1">
        <f t="array" aca="1" ref="M683" ca="1">INDIRECT(CONCATENATE("'",$A$650,"'!k",B683),1)</f>
        <v>0</v>
      </c>
      <c r="N683" s="1" cm="1">
        <f t="array" aca="1" ref="N683" ca="1">INDIRECT(CONCATENATE("'",$A$650,"'!l",B683),1)</f>
        <v>0</v>
      </c>
      <c r="O683" s="1" cm="1">
        <f t="array" aca="1" ref="O683" ca="1">INDIRECT(CONCATENATE("'",$A$650,"'!m",B683),1)</f>
        <v>0</v>
      </c>
      <c r="P683" s="1" cm="1">
        <f t="array" aca="1" ref="P683" ca="1">INDIRECT(CONCATENATE("'",$A$650,"'!n",B683),1)</f>
        <v>0</v>
      </c>
      <c r="Q683" s="1" cm="1">
        <f t="array" aca="1" ref="Q683" ca="1">INDIRECT(CONCATENATE("'",$A$650,"'!o",B683),1)</f>
        <v>0</v>
      </c>
      <c r="R683" s="1" cm="1">
        <f t="array" aca="1" ref="R683" ca="1">INDIRECT(CONCATENATE("'",$A$650,"'!p",B683),1)</f>
        <v>0</v>
      </c>
      <c r="S683" s="1">
        <f t="shared" ca="1" si="53"/>
        <v>0</v>
      </c>
      <c r="T683" s="1" cm="1">
        <f t="array" aca="1" ref="T683" ca="1">INDIRECT(CONCATENATE("'",$A$650,"'!q",B683),1)</f>
        <v>0</v>
      </c>
      <c r="U683" s="1" cm="1">
        <f t="array" aca="1" ref="U683" ca="1">INDIRECT(CONCATENATE("'",$A$650,"'!r",B683),1)</f>
        <v>0</v>
      </c>
      <c r="V683" s="1" cm="1">
        <f t="array" aca="1" ref="V683" ca="1">INDIRECT(CONCATENATE("'",$A$650,"'!s",B683),1)</f>
        <v>0</v>
      </c>
      <c r="W683" s="1" cm="1">
        <f t="array" aca="1" ref="W683" ca="1">INDIRECT(CONCATENATE("'",$A$650,"'!t",B683),1)</f>
        <v>0</v>
      </c>
      <c r="X683" s="1" cm="1">
        <f t="array" aca="1" ref="X683" ca="1">INDIRECT(CONCATENATE("'",$A$650,"'!u",B683),1)</f>
        <v>0</v>
      </c>
      <c r="Y683" s="1" cm="1">
        <f t="array" aca="1" ref="Y683" ca="1">INDIRECT(CONCATENATE("'",$A$650,"'!v",B683),1)</f>
        <v>0</v>
      </c>
    </row>
    <row r="684" spans="1:25" hidden="1" x14ac:dyDescent="0.25">
      <c r="A684" s="15"/>
      <c r="B684" s="24">
        <f t="shared" si="51"/>
        <v>36</v>
      </c>
      <c r="C684" s="1" cm="1">
        <f t="array" aca="1" ref="C684" ca="1">INDIRECT(CONCATENATE("'",$A$650,"'!A",B684),1)</f>
        <v>0</v>
      </c>
      <c r="D684" s="1" cm="1">
        <f t="array" aca="1" ref="D684" ca="1">INDIRECT(CONCATENATE("'",$A$650,"'!B",B684),1)</f>
        <v>0</v>
      </c>
      <c r="E684" s="1" cm="1">
        <f t="array" aca="1" ref="E684" ca="1">INDIRECT(CONCATENATE("'",$A$650,"'!c",B684),1)</f>
        <v>0</v>
      </c>
      <c r="F684" s="1" cm="1">
        <f t="array" aca="1" ref="F684" ca="1">INDIRECT(CONCATENATE("'",$A$650,"'!d",B684),1)</f>
        <v>0</v>
      </c>
      <c r="G684" s="1" cm="1">
        <f t="array" aca="1" ref="G684" ca="1">INDIRECT(CONCATENATE("'",$A$650,"'!e",B684),1)</f>
        <v>0</v>
      </c>
      <c r="H684" s="1" cm="1">
        <f t="array" aca="1" ref="H684" ca="1">INDIRECT(CONCATENATE("'",$A$650,"'!f",B684),1)</f>
        <v>0</v>
      </c>
      <c r="I684" s="1" cm="1">
        <f t="array" aca="1" ref="I684" ca="1">INDIRECT(CONCATENATE("'",$A$650,"'!g",B684),1)</f>
        <v>0</v>
      </c>
      <c r="J684" s="1" cm="1">
        <f t="array" aca="1" ref="J684" ca="1">INDIRECT(CONCATENATE("'",$A$650,"'!h",B684),1)</f>
        <v>0</v>
      </c>
      <c r="K684" s="1" cm="1">
        <f t="array" aca="1" ref="K684" ca="1">INDIRECT(CONCATENATE("'",$A$650,"'!i",B684),1)</f>
        <v>0</v>
      </c>
      <c r="L684" s="1" cm="1">
        <f t="array" aca="1" ref="L684" ca="1">INDIRECT(CONCATENATE("'",$A$650,"'!j",B684),1)</f>
        <v>0</v>
      </c>
      <c r="M684" s="1" cm="1">
        <f t="array" aca="1" ref="M684" ca="1">INDIRECT(CONCATENATE("'",$A$650,"'!k",B684),1)</f>
        <v>0</v>
      </c>
      <c r="N684" s="1" cm="1">
        <f t="array" aca="1" ref="N684" ca="1">INDIRECT(CONCATENATE("'",$A$650,"'!l",B684),1)</f>
        <v>0</v>
      </c>
      <c r="O684" s="1" cm="1">
        <f t="array" aca="1" ref="O684" ca="1">INDIRECT(CONCATENATE("'",$A$650,"'!m",B684),1)</f>
        <v>0</v>
      </c>
      <c r="P684" s="1" cm="1">
        <f t="array" aca="1" ref="P684" ca="1">INDIRECT(CONCATENATE("'",$A$650,"'!n",B684),1)</f>
        <v>0</v>
      </c>
      <c r="Q684" s="1" cm="1">
        <f t="array" aca="1" ref="Q684" ca="1">INDIRECT(CONCATENATE("'",$A$650,"'!o",B684),1)</f>
        <v>0</v>
      </c>
      <c r="R684" s="1" cm="1">
        <f t="array" aca="1" ref="R684" ca="1">INDIRECT(CONCATENATE("'",$A$650,"'!p",B684),1)</f>
        <v>0</v>
      </c>
      <c r="S684" s="1">
        <f t="shared" ca="1" si="53"/>
        <v>0</v>
      </c>
      <c r="T684" s="1" cm="1">
        <f t="array" aca="1" ref="T684" ca="1">INDIRECT(CONCATENATE("'",$A$650,"'!q",B684),1)</f>
        <v>0</v>
      </c>
      <c r="U684" s="1" cm="1">
        <f t="array" aca="1" ref="U684" ca="1">INDIRECT(CONCATENATE("'",$A$650,"'!r",B684),1)</f>
        <v>0</v>
      </c>
      <c r="V684" s="1" cm="1">
        <f t="array" aca="1" ref="V684" ca="1">INDIRECT(CONCATENATE("'",$A$650,"'!s",B684),1)</f>
        <v>0</v>
      </c>
      <c r="W684" s="1" cm="1">
        <f t="array" aca="1" ref="W684" ca="1">INDIRECT(CONCATENATE("'",$A$650,"'!t",B684),1)</f>
        <v>0</v>
      </c>
      <c r="X684" s="1" cm="1">
        <f t="array" aca="1" ref="X684" ca="1">INDIRECT(CONCATENATE("'",$A$650,"'!u",B684),1)</f>
        <v>0</v>
      </c>
      <c r="Y684" s="1" cm="1">
        <f t="array" aca="1" ref="Y684" ca="1">INDIRECT(CONCATENATE("'",$A$650,"'!v",B684),1)</f>
        <v>0</v>
      </c>
    </row>
    <row r="685" spans="1:25" hidden="1" x14ac:dyDescent="0.25">
      <c r="A685" s="15"/>
      <c r="B685" s="24">
        <f t="shared" si="51"/>
        <v>37</v>
      </c>
      <c r="C685" s="1" cm="1">
        <f t="array" aca="1" ref="C685" ca="1">INDIRECT(CONCATENATE("'",$A$650,"'!A",B685),1)</f>
        <v>0</v>
      </c>
      <c r="D685" s="1" cm="1">
        <f t="array" aca="1" ref="D685" ca="1">INDIRECT(CONCATENATE("'",$A$650,"'!B",B685),1)</f>
        <v>0</v>
      </c>
      <c r="E685" s="1" cm="1">
        <f t="array" aca="1" ref="E685" ca="1">INDIRECT(CONCATENATE("'",$A$650,"'!c",B685),1)</f>
        <v>0</v>
      </c>
      <c r="F685" s="1" cm="1">
        <f t="array" aca="1" ref="F685" ca="1">INDIRECT(CONCATENATE("'",$A$650,"'!d",B685),1)</f>
        <v>0</v>
      </c>
      <c r="G685" s="1" cm="1">
        <f t="array" aca="1" ref="G685" ca="1">INDIRECT(CONCATENATE("'",$A$650,"'!e",B685),1)</f>
        <v>0</v>
      </c>
      <c r="H685" s="1" cm="1">
        <f t="array" aca="1" ref="H685" ca="1">INDIRECT(CONCATENATE("'",$A$650,"'!f",B685),1)</f>
        <v>0</v>
      </c>
      <c r="I685" s="1" cm="1">
        <f t="array" aca="1" ref="I685" ca="1">INDIRECT(CONCATENATE("'",$A$650,"'!g",B685),1)</f>
        <v>0</v>
      </c>
      <c r="J685" s="1" cm="1">
        <f t="array" aca="1" ref="J685" ca="1">INDIRECT(CONCATENATE("'",$A$650,"'!h",B685),1)</f>
        <v>0</v>
      </c>
      <c r="K685" s="1" cm="1">
        <f t="array" aca="1" ref="K685" ca="1">INDIRECT(CONCATENATE("'",$A$650,"'!i",B685),1)</f>
        <v>0</v>
      </c>
      <c r="L685" s="1" cm="1">
        <f t="array" aca="1" ref="L685" ca="1">INDIRECT(CONCATENATE("'",$A$650,"'!j",B685),1)</f>
        <v>0</v>
      </c>
      <c r="M685" s="1" cm="1">
        <f t="array" aca="1" ref="M685" ca="1">INDIRECT(CONCATENATE("'",$A$650,"'!k",B685),1)</f>
        <v>0</v>
      </c>
      <c r="N685" s="1" cm="1">
        <f t="array" aca="1" ref="N685" ca="1">INDIRECT(CONCATENATE("'",$A$650,"'!l",B685),1)</f>
        <v>0</v>
      </c>
      <c r="O685" s="1" cm="1">
        <f t="array" aca="1" ref="O685" ca="1">INDIRECT(CONCATENATE("'",$A$650,"'!m",B685),1)</f>
        <v>0</v>
      </c>
      <c r="P685" s="1" cm="1">
        <f t="array" aca="1" ref="P685" ca="1">INDIRECT(CONCATENATE("'",$A$650,"'!n",B685),1)</f>
        <v>0</v>
      </c>
      <c r="Q685" s="1" cm="1">
        <f t="array" aca="1" ref="Q685" ca="1">INDIRECT(CONCATENATE("'",$A$650,"'!o",B685),1)</f>
        <v>0</v>
      </c>
      <c r="R685" s="1" cm="1">
        <f t="array" aca="1" ref="R685" ca="1">INDIRECT(CONCATENATE("'",$A$650,"'!p",B685),1)</f>
        <v>0</v>
      </c>
      <c r="S685" s="1">
        <f t="shared" ca="1" si="53"/>
        <v>0</v>
      </c>
      <c r="T685" s="1" cm="1">
        <f t="array" aca="1" ref="T685" ca="1">INDIRECT(CONCATENATE("'",$A$650,"'!q",B685),1)</f>
        <v>0</v>
      </c>
      <c r="U685" s="1" cm="1">
        <f t="array" aca="1" ref="U685" ca="1">INDIRECT(CONCATENATE("'",$A$650,"'!r",B685),1)</f>
        <v>0</v>
      </c>
      <c r="V685" s="1" cm="1">
        <f t="array" aca="1" ref="V685" ca="1">INDIRECT(CONCATENATE("'",$A$650,"'!s",B685),1)</f>
        <v>0</v>
      </c>
      <c r="W685" s="1" cm="1">
        <f t="array" aca="1" ref="W685" ca="1">INDIRECT(CONCATENATE("'",$A$650,"'!t",B685),1)</f>
        <v>0</v>
      </c>
      <c r="X685" s="1" cm="1">
        <f t="array" aca="1" ref="X685" ca="1">INDIRECT(CONCATENATE("'",$A$650,"'!u",B685),1)</f>
        <v>0</v>
      </c>
      <c r="Y685" s="1" cm="1">
        <f t="array" aca="1" ref="Y685" ca="1">INDIRECT(CONCATENATE("'",$A$650,"'!v",B685),1)</f>
        <v>0</v>
      </c>
    </row>
    <row r="686" spans="1:25" hidden="1" x14ac:dyDescent="0.25">
      <c r="A686" s="15"/>
      <c r="B686" s="24">
        <f t="shared" si="51"/>
        <v>38</v>
      </c>
      <c r="C686" s="1" cm="1">
        <f t="array" aca="1" ref="C686" ca="1">INDIRECT(CONCATENATE("'",$A$650,"'!A",B686),1)</f>
        <v>0</v>
      </c>
      <c r="D686" s="1" cm="1">
        <f t="array" aca="1" ref="D686" ca="1">INDIRECT(CONCATENATE("'",$A$650,"'!B",B686),1)</f>
        <v>0</v>
      </c>
      <c r="E686" s="1" cm="1">
        <f t="array" aca="1" ref="E686" ca="1">INDIRECT(CONCATENATE("'",$A$650,"'!c",B686),1)</f>
        <v>0</v>
      </c>
      <c r="F686" s="1" cm="1">
        <f t="array" aca="1" ref="F686" ca="1">INDIRECT(CONCATENATE("'",$A$650,"'!d",B686),1)</f>
        <v>0</v>
      </c>
      <c r="G686" s="1" cm="1">
        <f t="array" aca="1" ref="G686" ca="1">INDIRECT(CONCATENATE("'",$A$650,"'!e",B686),1)</f>
        <v>0</v>
      </c>
      <c r="H686" s="1" cm="1">
        <f t="array" aca="1" ref="H686" ca="1">INDIRECT(CONCATENATE("'",$A$650,"'!f",B686),1)</f>
        <v>0</v>
      </c>
      <c r="I686" s="1" cm="1">
        <f t="array" aca="1" ref="I686" ca="1">INDIRECT(CONCATENATE("'",$A$650,"'!g",B686),1)</f>
        <v>0</v>
      </c>
      <c r="J686" s="1" cm="1">
        <f t="array" aca="1" ref="J686" ca="1">INDIRECT(CONCATENATE("'",$A$650,"'!h",B686),1)</f>
        <v>0</v>
      </c>
      <c r="K686" s="1" cm="1">
        <f t="array" aca="1" ref="K686" ca="1">INDIRECT(CONCATENATE("'",$A$650,"'!i",B686),1)</f>
        <v>0</v>
      </c>
      <c r="L686" s="1" cm="1">
        <f t="array" aca="1" ref="L686" ca="1">INDIRECT(CONCATENATE("'",$A$650,"'!j",B686),1)</f>
        <v>0</v>
      </c>
      <c r="M686" s="1" cm="1">
        <f t="array" aca="1" ref="M686" ca="1">INDIRECT(CONCATENATE("'",$A$650,"'!k",B686),1)</f>
        <v>0</v>
      </c>
      <c r="N686" s="1" cm="1">
        <f t="array" aca="1" ref="N686" ca="1">INDIRECT(CONCATENATE("'",$A$650,"'!l",B686),1)</f>
        <v>0</v>
      </c>
      <c r="O686" s="1" cm="1">
        <f t="array" aca="1" ref="O686" ca="1">INDIRECT(CONCATENATE("'",$A$650,"'!m",B686),1)</f>
        <v>0</v>
      </c>
      <c r="P686" s="1" cm="1">
        <f t="array" aca="1" ref="P686" ca="1">INDIRECT(CONCATENATE("'",$A$650,"'!n",B686),1)</f>
        <v>0</v>
      </c>
      <c r="Q686" s="1" cm="1">
        <f t="array" aca="1" ref="Q686" ca="1">INDIRECT(CONCATENATE("'",$A$650,"'!o",B686),1)</f>
        <v>0</v>
      </c>
      <c r="R686" s="1" cm="1">
        <f t="array" aca="1" ref="R686" ca="1">INDIRECT(CONCATENATE("'",$A$650,"'!p",B686),1)</f>
        <v>0</v>
      </c>
      <c r="S686" s="1">
        <f t="shared" ca="1" si="53"/>
        <v>0</v>
      </c>
      <c r="T686" s="1" cm="1">
        <f t="array" aca="1" ref="T686" ca="1">INDIRECT(CONCATENATE("'",$A$650,"'!q",B686),1)</f>
        <v>0</v>
      </c>
      <c r="U686" s="1" cm="1">
        <f t="array" aca="1" ref="U686" ca="1">INDIRECT(CONCATENATE("'",$A$650,"'!r",B686),1)</f>
        <v>0</v>
      </c>
      <c r="V686" s="1" cm="1">
        <f t="array" aca="1" ref="V686" ca="1">INDIRECT(CONCATENATE("'",$A$650,"'!s",B686),1)</f>
        <v>0</v>
      </c>
      <c r="W686" s="1" cm="1">
        <f t="array" aca="1" ref="W686" ca="1">INDIRECT(CONCATENATE("'",$A$650,"'!t",B686),1)</f>
        <v>0</v>
      </c>
      <c r="X686" s="1" cm="1">
        <f t="array" aca="1" ref="X686" ca="1">INDIRECT(CONCATENATE("'",$A$650,"'!u",B686),1)</f>
        <v>0</v>
      </c>
      <c r="Y686" s="1" cm="1">
        <f t="array" aca="1" ref="Y686" ca="1">INDIRECT(CONCATENATE("'",$A$650,"'!v",B686),1)</f>
        <v>0</v>
      </c>
    </row>
    <row r="687" spans="1:25" hidden="1" x14ac:dyDescent="0.25">
      <c r="A687" s="15"/>
      <c r="B687" s="24">
        <f t="shared" si="51"/>
        <v>39</v>
      </c>
      <c r="C687" s="1" cm="1">
        <f t="array" aca="1" ref="C687" ca="1">INDIRECT(CONCATENATE("'",$A$650,"'!A",B687),1)</f>
        <v>0</v>
      </c>
      <c r="D687" s="1" cm="1">
        <f t="array" aca="1" ref="D687" ca="1">INDIRECT(CONCATENATE("'",$A$650,"'!B",B687),1)</f>
        <v>0</v>
      </c>
      <c r="E687" s="1" cm="1">
        <f t="array" aca="1" ref="E687" ca="1">INDIRECT(CONCATENATE("'",$A$650,"'!c",B687),1)</f>
        <v>0</v>
      </c>
      <c r="F687" s="1" cm="1">
        <f t="array" aca="1" ref="F687" ca="1">INDIRECT(CONCATENATE("'",$A$650,"'!d",B687),1)</f>
        <v>0</v>
      </c>
      <c r="G687" s="1" cm="1">
        <f t="array" aca="1" ref="G687" ca="1">INDIRECT(CONCATENATE("'",$A$650,"'!e",B687),1)</f>
        <v>0</v>
      </c>
      <c r="H687" s="1" cm="1">
        <f t="array" aca="1" ref="H687" ca="1">INDIRECT(CONCATENATE("'",$A$650,"'!f",B687),1)</f>
        <v>0</v>
      </c>
      <c r="I687" s="1" cm="1">
        <f t="array" aca="1" ref="I687" ca="1">INDIRECT(CONCATENATE("'",$A$650,"'!g",B687),1)</f>
        <v>0</v>
      </c>
      <c r="J687" s="1" cm="1">
        <f t="array" aca="1" ref="J687" ca="1">INDIRECT(CONCATENATE("'",$A$650,"'!h",B687),1)</f>
        <v>0</v>
      </c>
      <c r="K687" s="1" cm="1">
        <f t="array" aca="1" ref="K687" ca="1">INDIRECT(CONCATENATE("'",$A$650,"'!i",B687),1)</f>
        <v>0</v>
      </c>
      <c r="L687" s="1" cm="1">
        <f t="array" aca="1" ref="L687" ca="1">INDIRECT(CONCATENATE("'",$A$650,"'!j",B687),1)</f>
        <v>0</v>
      </c>
      <c r="M687" s="1" cm="1">
        <f t="array" aca="1" ref="M687" ca="1">INDIRECT(CONCATENATE("'",$A$650,"'!k",B687),1)</f>
        <v>0</v>
      </c>
      <c r="N687" s="1" cm="1">
        <f t="array" aca="1" ref="N687" ca="1">INDIRECT(CONCATENATE("'",$A$650,"'!l",B687),1)</f>
        <v>0</v>
      </c>
      <c r="O687" s="1" cm="1">
        <f t="array" aca="1" ref="O687" ca="1">INDIRECT(CONCATENATE("'",$A$650,"'!m",B687),1)</f>
        <v>0</v>
      </c>
      <c r="P687" s="1" cm="1">
        <f t="array" aca="1" ref="P687" ca="1">INDIRECT(CONCATENATE("'",$A$650,"'!n",B687),1)</f>
        <v>0</v>
      </c>
      <c r="Q687" s="1" cm="1">
        <f t="array" aca="1" ref="Q687" ca="1">INDIRECT(CONCATENATE("'",$A$650,"'!o",B687),1)</f>
        <v>0</v>
      </c>
      <c r="R687" s="1" cm="1">
        <f t="array" aca="1" ref="R687" ca="1">INDIRECT(CONCATENATE("'",$A$650,"'!p",B687),1)</f>
        <v>0</v>
      </c>
      <c r="S687" s="1">
        <f t="shared" ca="1" si="53"/>
        <v>0</v>
      </c>
      <c r="T687" s="1" cm="1">
        <f t="array" aca="1" ref="T687" ca="1">INDIRECT(CONCATENATE("'",$A$650,"'!q",B687),1)</f>
        <v>0</v>
      </c>
      <c r="U687" s="1" cm="1">
        <f t="array" aca="1" ref="U687" ca="1">INDIRECT(CONCATENATE("'",$A$650,"'!r",B687),1)</f>
        <v>0</v>
      </c>
      <c r="V687" s="1" cm="1">
        <f t="array" aca="1" ref="V687" ca="1">INDIRECT(CONCATENATE("'",$A$650,"'!s",B687),1)</f>
        <v>0</v>
      </c>
      <c r="W687" s="1" cm="1">
        <f t="array" aca="1" ref="W687" ca="1">INDIRECT(CONCATENATE("'",$A$650,"'!t",B687),1)</f>
        <v>0</v>
      </c>
      <c r="X687" s="1" cm="1">
        <f t="array" aca="1" ref="X687" ca="1">INDIRECT(CONCATENATE("'",$A$650,"'!u",B687),1)</f>
        <v>0</v>
      </c>
      <c r="Y687" s="1" cm="1">
        <f t="array" aca="1" ref="Y687" ca="1">INDIRECT(CONCATENATE("'",$A$650,"'!v",B687),1)</f>
        <v>0</v>
      </c>
    </row>
    <row r="688" spans="1:25" hidden="1" x14ac:dyDescent="0.25">
      <c r="A688" s="15"/>
      <c r="B688" s="24">
        <f t="shared" si="51"/>
        <v>40</v>
      </c>
      <c r="C688" s="1" cm="1">
        <f t="array" aca="1" ref="C688" ca="1">INDIRECT(CONCATENATE("'",$A$650,"'!A",B688),1)</f>
        <v>0</v>
      </c>
      <c r="D688" s="1" cm="1">
        <f t="array" aca="1" ref="D688" ca="1">INDIRECT(CONCATENATE("'",$A$650,"'!B",B688),1)</f>
        <v>0</v>
      </c>
      <c r="E688" s="1" cm="1">
        <f t="array" aca="1" ref="E688" ca="1">INDIRECT(CONCATENATE("'",$A$650,"'!c",B688),1)</f>
        <v>0</v>
      </c>
      <c r="F688" s="1" cm="1">
        <f t="array" aca="1" ref="F688" ca="1">INDIRECT(CONCATENATE("'",$A$650,"'!d",B688),1)</f>
        <v>0</v>
      </c>
      <c r="G688" s="1" cm="1">
        <f t="array" aca="1" ref="G688" ca="1">INDIRECT(CONCATENATE("'",$A$650,"'!e",B688),1)</f>
        <v>0</v>
      </c>
      <c r="H688" s="1" cm="1">
        <f t="array" aca="1" ref="H688" ca="1">INDIRECT(CONCATENATE("'",$A$650,"'!f",B688),1)</f>
        <v>0</v>
      </c>
      <c r="I688" s="1" cm="1">
        <f t="array" aca="1" ref="I688" ca="1">INDIRECT(CONCATENATE("'",$A$650,"'!g",B688),1)</f>
        <v>0</v>
      </c>
      <c r="J688" s="1" cm="1">
        <f t="array" aca="1" ref="J688" ca="1">INDIRECT(CONCATENATE("'",$A$650,"'!h",B688),1)</f>
        <v>0</v>
      </c>
      <c r="K688" s="1" cm="1">
        <f t="array" aca="1" ref="K688" ca="1">INDIRECT(CONCATENATE("'",$A$650,"'!i",B688),1)</f>
        <v>0</v>
      </c>
      <c r="L688" s="1" cm="1">
        <f t="array" aca="1" ref="L688" ca="1">INDIRECT(CONCATENATE("'",$A$650,"'!j",B688),1)</f>
        <v>0</v>
      </c>
      <c r="M688" s="1" cm="1">
        <f t="array" aca="1" ref="M688" ca="1">INDIRECT(CONCATENATE("'",$A$650,"'!k",B688),1)</f>
        <v>0</v>
      </c>
      <c r="N688" s="1" cm="1">
        <f t="array" aca="1" ref="N688" ca="1">INDIRECT(CONCATENATE("'",$A$650,"'!l",B688),1)</f>
        <v>0</v>
      </c>
      <c r="O688" s="1" cm="1">
        <f t="array" aca="1" ref="O688" ca="1">INDIRECT(CONCATENATE("'",$A$650,"'!m",B688),1)</f>
        <v>0</v>
      </c>
      <c r="P688" s="1" cm="1">
        <f t="array" aca="1" ref="P688" ca="1">INDIRECT(CONCATENATE("'",$A$650,"'!n",B688),1)</f>
        <v>0</v>
      </c>
      <c r="Q688" s="1" cm="1">
        <f t="array" aca="1" ref="Q688" ca="1">INDIRECT(CONCATENATE("'",$A$650,"'!o",B688),1)</f>
        <v>0</v>
      </c>
      <c r="R688" s="1" cm="1">
        <f t="array" aca="1" ref="R688" ca="1">INDIRECT(CONCATENATE("'",$A$650,"'!p",B688),1)</f>
        <v>0</v>
      </c>
      <c r="S688" s="1">
        <f t="shared" ca="1" si="53"/>
        <v>0</v>
      </c>
      <c r="T688" s="1" cm="1">
        <f t="array" aca="1" ref="T688" ca="1">INDIRECT(CONCATENATE("'",$A$650,"'!q",B688),1)</f>
        <v>0</v>
      </c>
      <c r="U688" s="1" cm="1">
        <f t="array" aca="1" ref="U688" ca="1">INDIRECT(CONCATENATE("'",$A$650,"'!r",B688),1)</f>
        <v>0</v>
      </c>
      <c r="V688" s="1" cm="1">
        <f t="array" aca="1" ref="V688" ca="1">INDIRECT(CONCATENATE("'",$A$650,"'!s",B688),1)</f>
        <v>0</v>
      </c>
      <c r="W688" s="1" cm="1">
        <f t="array" aca="1" ref="W688" ca="1">INDIRECT(CONCATENATE("'",$A$650,"'!t",B688),1)</f>
        <v>0</v>
      </c>
      <c r="X688" s="1" cm="1">
        <f t="array" aca="1" ref="X688" ca="1">INDIRECT(CONCATENATE("'",$A$650,"'!u",B688),1)</f>
        <v>0</v>
      </c>
      <c r="Y688" s="1" cm="1">
        <f t="array" aca="1" ref="Y688" ca="1">INDIRECT(CONCATENATE("'",$A$650,"'!v",B688),1)</f>
        <v>0</v>
      </c>
    </row>
    <row r="689" spans="1:25" hidden="1" x14ac:dyDescent="0.25">
      <c r="A689" s="15"/>
      <c r="B689" s="24">
        <f t="shared" si="51"/>
        <v>41</v>
      </c>
      <c r="C689" s="1" cm="1">
        <f t="array" aca="1" ref="C689" ca="1">INDIRECT(CONCATENATE("'",$A$650,"'!A",B689),1)</f>
        <v>0</v>
      </c>
      <c r="D689" s="1" cm="1">
        <f t="array" aca="1" ref="D689" ca="1">INDIRECT(CONCATENATE("'",$A$650,"'!B",B689),1)</f>
        <v>0</v>
      </c>
      <c r="E689" s="1" cm="1">
        <f t="array" aca="1" ref="E689" ca="1">INDIRECT(CONCATENATE("'",$A$650,"'!c",B689),1)</f>
        <v>0</v>
      </c>
      <c r="F689" s="1" cm="1">
        <f t="array" aca="1" ref="F689" ca="1">INDIRECT(CONCATENATE("'",$A$650,"'!d",B689),1)</f>
        <v>0</v>
      </c>
      <c r="G689" s="1" cm="1">
        <f t="array" aca="1" ref="G689" ca="1">INDIRECT(CONCATENATE("'",$A$650,"'!e",B689),1)</f>
        <v>0</v>
      </c>
      <c r="H689" s="1" cm="1">
        <f t="array" aca="1" ref="H689" ca="1">INDIRECT(CONCATENATE("'",$A$650,"'!f",B689),1)</f>
        <v>0</v>
      </c>
      <c r="I689" s="1" cm="1">
        <f t="array" aca="1" ref="I689" ca="1">INDIRECT(CONCATENATE("'",$A$650,"'!g",B689),1)</f>
        <v>0</v>
      </c>
      <c r="J689" s="1" cm="1">
        <f t="array" aca="1" ref="J689" ca="1">INDIRECT(CONCATENATE("'",$A$650,"'!h",B689),1)</f>
        <v>0</v>
      </c>
      <c r="K689" s="1" cm="1">
        <f t="array" aca="1" ref="K689" ca="1">INDIRECT(CONCATENATE("'",$A$650,"'!i",B689),1)</f>
        <v>0</v>
      </c>
      <c r="L689" s="1" cm="1">
        <f t="array" aca="1" ref="L689" ca="1">INDIRECT(CONCATENATE("'",$A$650,"'!j",B689),1)</f>
        <v>0</v>
      </c>
      <c r="M689" s="1" cm="1">
        <f t="array" aca="1" ref="M689" ca="1">INDIRECT(CONCATENATE("'",$A$650,"'!k",B689),1)</f>
        <v>0</v>
      </c>
      <c r="N689" s="1" cm="1">
        <f t="array" aca="1" ref="N689" ca="1">INDIRECT(CONCATENATE("'",$A$650,"'!l",B689),1)</f>
        <v>0</v>
      </c>
      <c r="O689" s="1" cm="1">
        <f t="array" aca="1" ref="O689" ca="1">INDIRECT(CONCATENATE("'",$A$650,"'!m",B689),1)</f>
        <v>0</v>
      </c>
      <c r="P689" s="1" cm="1">
        <f t="array" aca="1" ref="P689" ca="1">INDIRECT(CONCATENATE("'",$A$650,"'!n",B689),1)</f>
        <v>0</v>
      </c>
      <c r="Q689" s="1" cm="1">
        <f t="array" aca="1" ref="Q689" ca="1">INDIRECT(CONCATENATE("'",$A$650,"'!o",B689),1)</f>
        <v>0</v>
      </c>
      <c r="R689" s="1" cm="1">
        <f t="array" aca="1" ref="R689" ca="1">INDIRECT(CONCATENATE("'",$A$650,"'!p",B689),1)</f>
        <v>0</v>
      </c>
      <c r="S689" s="1">
        <f t="shared" ca="1" si="53"/>
        <v>0</v>
      </c>
      <c r="T689" s="1" cm="1">
        <f t="array" aca="1" ref="T689" ca="1">INDIRECT(CONCATENATE("'",$A$650,"'!q",B689),1)</f>
        <v>0</v>
      </c>
      <c r="U689" s="1" cm="1">
        <f t="array" aca="1" ref="U689" ca="1">INDIRECT(CONCATENATE("'",$A$650,"'!r",B689),1)</f>
        <v>0</v>
      </c>
      <c r="V689" s="1" cm="1">
        <f t="array" aca="1" ref="V689" ca="1">INDIRECT(CONCATENATE("'",$A$650,"'!s",B689),1)</f>
        <v>0</v>
      </c>
      <c r="W689" s="1" cm="1">
        <f t="array" aca="1" ref="W689" ca="1">INDIRECT(CONCATENATE("'",$A$650,"'!t",B689),1)</f>
        <v>0</v>
      </c>
      <c r="X689" s="1" cm="1">
        <f t="array" aca="1" ref="X689" ca="1">INDIRECT(CONCATENATE("'",$A$650,"'!u",B689),1)</f>
        <v>0</v>
      </c>
      <c r="Y689" s="1" cm="1">
        <f t="array" aca="1" ref="Y689" ca="1">INDIRECT(CONCATENATE("'",$A$650,"'!v",B689),1)</f>
        <v>0</v>
      </c>
    </row>
    <row r="690" spans="1:25" hidden="1" x14ac:dyDescent="0.25">
      <c r="A690" s="15"/>
      <c r="B690" s="24">
        <f t="shared" si="51"/>
        <v>42</v>
      </c>
      <c r="C690" s="1" cm="1">
        <f t="array" aca="1" ref="C690" ca="1">INDIRECT(CONCATENATE("'",$A$650,"'!A",B690),1)</f>
        <v>0</v>
      </c>
      <c r="D690" s="1" cm="1">
        <f t="array" aca="1" ref="D690" ca="1">INDIRECT(CONCATENATE("'",$A$650,"'!B",B690),1)</f>
        <v>0</v>
      </c>
      <c r="E690" s="1" cm="1">
        <f t="array" aca="1" ref="E690" ca="1">INDIRECT(CONCATENATE("'",$A$650,"'!c",B690),1)</f>
        <v>0</v>
      </c>
      <c r="F690" s="1" cm="1">
        <f t="array" aca="1" ref="F690" ca="1">INDIRECT(CONCATENATE("'",$A$650,"'!d",B690),1)</f>
        <v>0</v>
      </c>
      <c r="G690" s="1" cm="1">
        <f t="array" aca="1" ref="G690" ca="1">INDIRECT(CONCATENATE("'",$A$650,"'!e",B690),1)</f>
        <v>0</v>
      </c>
      <c r="H690" s="1" cm="1">
        <f t="array" aca="1" ref="H690" ca="1">INDIRECT(CONCATENATE("'",$A$650,"'!f",B690),1)</f>
        <v>0</v>
      </c>
      <c r="I690" s="1" cm="1">
        <f t="array" aca="1" ref="I690" ca="1">INDIRECT(CONCATENATE("'",$A$650,"'!g",B690),1)</f>
        <v>0</v>
      </c>
      <c r="J690" s="1" cm="1">
        <f t="array" aca="1" ref="J690" ca="1">INDIRECT(CONCATENATE("'",$A$650,"'!h",B690),1)</f>
        <v>0</v>
      </c>
      <c r="K690" s="1" cm="1">
        <f t="array" aca="1" ref="K690" ca="1">INDIRECT(CONCATENATE("'",$A$650,"'!i",B690),1)</f>
        <v>0</v>
      </c>
      <c r="L690" s="1" cm="1">
        <f t="array" aca="1" ref="L690" ca="1">INDIRECT(CONCATENATE("'",$A$650,"'!j",B690),1)</f>
        <v>0</v>
      </c>
      <c r="M690" s="1" cm="1">
        <f t="array" aca="1" ref="M690" ca="1">INDIRECT(CONCATENATE("'",$A$650,"'!k",B690),1)</f>
        <v>0</v>
      </c>
      <c r="N690" s="1" cm="1">
        <f t="array" aca="1" ref="N690" ca="1">INDIRECT(CONCATENATE("'",$A$650,"'!l",B690),1)</f>
        <v>0</v>
      </c>
      <c r="O690" s="1" cm="1">
        <f t="array" aca="1" ref="O690" ca="1">INDIRECT(CONCATENATE("'",$A$650,"'!m",B690),1)</f>
        <v>0</v>
      </c>
      <c r="P690" s="1" cm="1">
        <f t="array" aca="1" ref="P690" ca="1">INDIRECT(CONCATENATE("'",$A$650,"'!n",B690),1)</f>
        <v>0</v>
      </c>
      <c r="Q690" s="1" cm="1">
        <f t="array" aca="1" ref="Q690" ca="1">INDIRECT(CONCATENATE("'",$A$650,"'!o",B690),1)</f>
        <v>0</v>
      </c>
      <c r="R690" s="1" cm="1">
        <f t="array" aca="1" ref="R690" ca="1">INDIRECT(CONCATENATE("'",$A$650,"'!p",B690),1)</f>
        <v>0</v>
      </c>
      <c r="S690" s="1">
        <f t="shared" ca="1" si="53"/>
        <v>0</v>
      </c>
      <c r="T690" s="1" cm="1">
        <f t="array" aca="1" ref="T690" ca="1">INDIRECT(CONCATENATE("'",$A$650,"'!q",B690),1)</f>
        <v>0</v>
      </c>
      <c r="U690" s="1" cm="1">
        <f t="array" aca="1" ref="U690" ca="1">INDIRECT(CONCATENATE("'",$A$650,"'!r",B690),1)</f>
        <v>0</v>
      </c>
      <c r="V690" s="1" cm="1">
        <f t="array" aca="1" ref="V690" ca="1">INDIRECT(CONCATENATE("'",$A$650,"'!s",B690),1)</f>
        <v>0</v>
      </c>
      <c r="W690" s="1" cm="1">
        <f t="array" aca="1" ref="W690" ca="1">INDIRECT(CONCATENATE("'",$A$650,"'!t",B690),1)</f>
        <v>0</v>
      </c>
      <c r="X690" s="1" cm="1">
        <f t="array" aca="1" ref="X690" ca="1">INDIRECT(CONCATENATE("'",$A$650,"'!u",B690),1)</f>
        <v>0</v>
      </c>
      <c r="Y690" s="1" cm="1">
        <f t="array" aca="1" ref="Y690" ca="1">INDIRECT(CONCATENATE("'",$A$650,"'!v",B690),1)</f>
        <v>0</v>
      </c>
    </row>
    <row r="691" spans="1:25" hidden="1" x14ac:dyDescent="0.25">
      <c r="A691" s="15"/>
      <c r="B691" s="24">
        <f t="shared" si="51"/>
        <v>43</v>
      </c>
      <c r="C691" s="1" cm="1">
        <f t="array" aca="1" ref="C691" ca="1">INDIRECT(CONCATENATE("'",$A$650,"'!A",B691),1)</f>
        <v>0</v>
      </c>
      <c r="D691" s="1" cm="1">
        <f t="array" aca="1" ref="D691" ca="1">INDIRECT(CONCATENATE("'",$A$650,"'!B",B691),1)</f>
        <v>0</v>
      </c>
      <c r="E691" s="1" cm="1">
        <f t="array" aca="1" ref="E691" ca="1">INDIRECT(CONCATENATE("'",$A$650,"'!c",B691),1)</f>
        <v>0</v>
      </c>
      <c r="F691" s="1" cm="1">
        <f t="array" aca="1" ref="F691" ca="1">INDIRECT(CONCATENATE("'",$A$650,"'!d",B691),1)</f>
        <v>0</v>
      </c>
      <c r="G691" s="1" cm="1">
        <f t="array" aca="1" ref="G691" ca="1">INDIRECT(CONCATENATE("'",$A$650,"'!e",B691),1)</f>
        <v>0</v>
      </c>
      <c r="H691" s="1" cm="1">
        <f t="array" aca="1" ref="H691" ca="1">INDIRECT(CONCATENATE("'",$A$650,"'!f",B691),1)</f>
        <v>0</v>
      </c>
      <c r="I691" s="1" cm="1">
        <f t="array" aca="1" ref="I691" ca="1">INDIRECT(CONCATENATE("'",$A$650,"'!g",B691),1)</f>
        <v>0</v>
      </c>
      <c r="J691" s="1" cm="1">
        <f t="array" aca="1" ref="J691" ca="1">INDIRECT(CONCATENATE("'",$A$650,"'!h",B691),1)</f>
        <v>0</v>
      </c>
      <c r="K691" s="1" cm="1">
        <f t="array" aca="1" ref="K691" ca="1">INDIRECT(CONCATENATE("'",$A$650,"'!i",B691),1)</f>
        <v>0</v>
      </c>
      <c r="L691" s="1" cm="1">
        <f t="array" aca="1" ref="L691" ca="1">INDIRECT(CONCATENATE("'",$A$650,"'!j",B691),1)</f>
        <v>0</v>
      </c>
      <c r="M691" s="1" cm="1">
        <f t="array" aca="1" ref="M691" ca="1">INDIRECT(CONCATENATE("'",$A$650,"'!k",B691),1)</f>
        <v>0</v>
      </c>
      <c r="N691" s="1" cm="1">
        <f t="array" aca="1" ref="N691" ca="1">INDIRECT(CONCATENATE("'",$A$650,"'!l",B691),1)</f>
        <v>0</v>
      </c>
      <c r="O691" s="1" cm="1">
        <f t="array" aca="1" ref="O691" ca="1">INDIRECT(CONCATENATE("'",$A$650,"'!m",B691),1)</f>
        <v>0</v>
      </c>
      <c r="P691" s="1" cm="1">
        <f t="array" aca="1" ref="P691" ca="1">INDIRECT(CONCATENATE("'",$A$650,"'!n",B691),1)</f>
        <v>0</v>
      </c>
      <c r="Q691" s="1" cm="1">
        <f t="array" aca="1" ref="Q691" ca="1">INDIRECT(CONCATENATE("'",$A$650,"'!o",B691),1)</f>
        <v>0</v>
      </c>
      <c r="R691" s="1" cm="1">
        <f t="array" aca="1" ref="R691" ca="1">INDIRECT(CONCATENATE("'",$A$650,"'!p",B691),1)</f>
        <v>0</v>
      </c>
      <c r="S691" s="1">
        <f t="shared" ca="1" si="53"/>
        <v>0</v>
      </c>
      <c r="T691" s="1" cm="1">
        <f t="array" aca="1" ref="T691" ca="1">INDIRECT(CONCATENATE("'",$A$650,"'!q",B691),1)</f>
        <v>0</v>
      </c>
      <c r="U691" s="1" cm="1">
        <f t="array" aca="1" ref="U691" ca="1">INDIRECT(CONCATENATE("'",$A$650,"'!r",B691),1)</f>
        <v>0</v>
      </c>
      <c r="V691" s="1" cm="1">
        <f t="array" aca="1" ref="V691" ca="1">INDIRECT(CONCATENATE("'",$A$650,"'!s",B691),1)</f>
        <v>0</v>
      </c>
      <c r="W691" s="1" cm="1">
        <f t="array" aca="1" ref="W691" ca="1">INDIRECT(CONCATENATE("'",$A$650,"'!t",B691),1)</f>
        <v>0</v>
      </c>
      <c r="X691" s="1" cm="1">
        <f t="array" aca="1" ref="X691" ca="1">INDIRECT(CONCATENATE("'",$A$650,"'!u",B691),1)</f>
        <v>0</v>
      </c>
      <c r="Y691" s="1" cm="1">
        <f t="array" aca="1" ref="Y691" ca="1">INDIRECT(CONCATENATE("'",$A$650,"'!v",B691),1)</f>
        <v>0</v>
      </c>
    </row>
    <row r="692" spans="1:25" hidden="1" x14ac:dyDescent="0.25">
      <c r="A692" s="15"/>
      <c r="B692" s="24">
        <f t="shared" si="51"/>
        <v>44</v>
      </c>
      <c r="C692" s="1" cm="1">
        <f t="array" aca="1" ref="C692" ca="1">INDIRECT(CONCATENATE("'",$A$650,"'!A",B692),1)</f>
        <v>0</v>
      </c>
      <c r="D692" s="1" cm="1">
        <f t="array" aca="1" ref="D692" ca="1">INDIRECT(CONCATENATE("'",$A$650,"'!B",B692),1)</f>
        <v>0</v>
      </c>
      <c r="E692" s="1" cm="1">
        <f t="array" aca="1" ref="E692" ca="1">INDIRECT(CONCATENATE("'",$A$650,"'!c",B692),1)</f>
        <v>0</v>
      </c>
      <c r="F692" s="1" cm="1">
        <f t="array" aca="1" ref="F692" ca="1">INDIRECT(CONCATENATE("'",$A$650,"'!d",B692),1)</f>
        <v>0</v>
      </c>
      <c r="G692" s="1" cm="1">
        <f t="array" aca="1" ref="G692" ca="1">INDIRECT(CONCATENATE("'",$A$650,"'!e",B692),1)</f>
        <v>0</v>
      </c>
      <c r="H692" s="1" cm="1">
        <f t="array" aca="1" ref="H692" ca="1">INDIRECT(CONCATENATE("'",$A$650,"'!f",B692),1)</f>
        <v>0</v>
      </c>
      <c r="I692" s="1" cm="1">
        <f t="array" aca="1" ref="I692" ca="1">INDIRECT(CONCATENATE("'",$A$650,"'!g",B692),1)</f>
        <v>0</v>
      </c>
      <c r="J692" s="1" cm="1">
        <f t="array" aca="1" ref="J692" ca="1">INDIRECT(CONCATENATE("'",$A$650,"'!h",B692),1)</f>
        <v>0</v>
      </c>
      <c r="K692" s="1" cm="1">
        <f t="array" aca="1" ref="K692" ca="1">INDIRECT(CONCATENATE("'",$A$650,"'!i",B692),1)</f>
        <v>0</v>
      </c>
      <c r="L692" s="1" cm="1">
        <f t="array" aca="1" ref="L692" ca="1">INDIRECT(CONCATENATE("'",$A$650,"'!j",B692),1)</f>
        <v>0</v>
      </c>
      <c r="M692" s="1" cm="1">
        <f t="array" aca="1" ref="M692" ca="1">INDIRECT(CONCATENATE("'",$A$650,"'!k",B692),1)</f>
        <v>0</v>
      </c>
      <c r="N692" s="1" cm="1">
        <f t="array" aca="1" ref="N692" ca="1">INDIRECT(CONCATENATE("'",$A$650,"'!l",B692),1)</f>
        <v>0</v>
      </c>
      <c r="O692" s="1" cm="1">
        <f t="array" aca="1" ref="O692" ca="1">INDIRECT(CONCATENATE("'",$A$650,"'!m",B692),1)</f>
        <v>0</v>
      </c>
      <c r="P692" s="1" cm="1">
        <f t="array" aca="1" ref="P692" ca="1">INDIRECT(CONCATENATE("'",$A$650,"'!n",B692),1)</f>
        <v>0</v>
      </c>
      <c r="Q692" s="1" cm="1">
        <f t="array" aca="1" ref="Q692" ca="1">INDIRECT(CONCATENATE("'",$A$650,"'!o",B692),1)</f>
        <v>0</v>
      </c>
      <c r="R692" s="1" cm="1">
        <f t="array" aca="1" ref="R692" ca="1">INDIRECT(CONCATENATE("'",$A$650,"'!p",B692),1)</f>
        <v>0</v>
      </c>
      <c r="S692" s="1">
        <f t="shared" ca="1" si="53"/>
        <v>0</v>
      </c>
      <c r="T692" s="1" cm="1">
        <f t="array" aca="1" ref="T692" ca="1">INDIRECT(CONCATENATE("'",$A$650,"'!q",B692),1)</f>
        <v>0</v>
      </c>
      <c r="U692" s="1" cm="1">
        <f t="array" aca="1" ref="U692" ca="1">INDIRECT(CONCATENATE("'",$A$650,"'!r",B692),1)</f>
        <v>0</v>
      </c>
      <c r="V692" s="1" cm="1">
        <f t="array" aca="1" ref="V692" ca="1">INDIRECT(CONCATENATE("'",$A$650,"'!s",B692),1)</f>
        <v>0</v>
      </c>
      <c r="W692" s="1" cm="1">
        <f t="array" aca="1" ref="W692" ca="1">INDIRECT(CONCATENATE("'",$A$650,"'!t",B692),1)</f>
        <v>0</v>
      </c>
      <c r="X692" s="1" cm="1">
        <f t="array" aca="1" ref="X692" ca="1">INDIRECT(CONCATENATE("'",$A$650,"'!u",B692),1)</f>
        <v>0</v>
      </c>
      <c r="Y692" s="1" cm="1">
        <f t="array" aca="1" ref="Y692" ca="1">INDIRECT(CONCATENATE("'",$A$650,"'!v",B692),1)</f>
        <v>0</v>
      </c>
    </row>
    <row r="693" spans="1:25" hidden="1" x14ac:dyDescent="0.25">
      <c r="A693" s="15"/>
      <c r="B693" s="24">
        <f t="shared" si="51"/>
        <v>45</v>
      </c>
      <c r="C693" s="1" cm="1">
        <f t="array" aca="1" ref="C693" ca="1">INDIRECT(CONCATENATE("'",$A$650,"'!A",B693),1)</f>
        <v>0</v>
      </c>
      <c r="D693" s="1" cm="1">
        <f t="array" aca="1" ref="D693" ca="1">INDIRECT(CONCATENATE("'",$A$650,"'!B",B693),1)</f>
        <v>0</v>
      </c>
      <c r="E693" s="1" cm="1">
        <f t="array" aca="1" ref="E693" ca="1">INDIRECT(CONCATENATE("'",$A$650,"'!c",B693),1)</f>
        <v>0</v>
      </c>
      <c r="F693" s="1" cm="1">
        <f t="array" aca="1" ref="F693" ca="1">INDIRECT(CONCATENATE("'",$A$650,"'!d",B693),1)</f>
        <v>0</v>
      </c>
      <c r="G693" s="1" cm="1">
        <f t="array" aca="1" ref="G693" ca="1">INDIRECT(CONCATENATE("'",$A$650,"'!e",B693),1)</f>
        <v>0</v>
      </c>
      <c r="H693" s="1" cm="1">
        <f t="array" aca="1" ref="H693" ca="1">INDIRECT(CONCATENATE("'",$A$650,"'!f",B693),1)</f>
        <v>0</v>
      </c>
      <c r="I693" s="1" cm="1">
        <f t="array" aca="1" ref="I693" ca="1">INDIRECT(CONCATENATE("'",$A$650,"'!g",B693),1)</f>
        <v>0</v>
      </c>
      <c r="J693" s="1" cm="1">
        <f t="array" aca="1" ref="J693" ca="1">INDIRECT(CONCATENATE("'",$A$650,"'!h",B693),1)</f>
        <v>0</v>
      </c>
      <c r="K693" s="1" cm="1">
        <f t="array" aca="1" ref="K693" ca="1">INDIRECT(CONCATENATE("'",$A$650,"'!i",B693),1)</f>
        <v>0</v>
      </c>
      <c r="L693" s="1" cm="1">
        <f t="array" aca="1" ref="L693" ca="1">INDIRECT(CONCATENATE("'",$A$650,"'!j",B693),1)</f>
        <v>0</v>
      </c>
      <c r="M693" s="1" cm="1">
        <f t="array" aca="1" ref="M693" ca="1">INDIRECT(CONCATENATE("'",$A$650,"'!k",B693),1)</f>
        <v>0</v>
      </c>
      <c r="N693" s="1" cm="1">
        <f t="array" aca="1" ref="N693" ca="1">INDIRECT(CONCATENATE("'",$A$650,"'!l",B693),1)</f>
        <v>0</v>
      </c>
      <c r="O693" s="1" cm="1">
        <f t="array" aca="1" ref="O693" ca="1">INDIRECT(CONCATENATE("'",$A$650,"'!m",B693),1)</f>
        <v>0</v>
      </c>
      <c r="P693" s="1" cm="1">
        <f t="array" aca="1" ref="P693" ca="1">INDIRECT(CONCATENATE("'",$A$650,"'!n",B693),1)</f>
        <v>0</v>
      </c>
      <c r="Q693" s="1" cm="1">
        <f t="array" aca="1" ref="Q693" ca="1">INDIRECT(CONCATENATE("'",$A$650,"'!o",B693),1)</f>
        <v>0</v>
      </c>
      <c r="R693" s="1" cm="1">
        <f t="array" aca="1" ref="R693" ca="1">INDIRECT(CONCATENATE("'",$A$650,"'!p",B693),1)</f>
        <v>0</v>
      </c>
      <c r="S693" s="1">
        <f t="shared" ca="1" si="53"/>
        <v>0</v>
      </c>
      <c r="T693" s="1" cm="1">
        <f t="array" aca="1" ref="T693" ca="1">INDIRECT(CONCATENATE("'",$A$650,"'!q",B693),1)</f>
        <v>0</v>
      </c>
      <c r="U693" s="1" cm="1">
        <f t="array" aca="1" ref="U693" ca="1">INDIRECT(CONCATENATE("'",$A$650,"'!r",B693),1)</f>
        <v>0</v>
      </c>
      <c r="V693" s="1" cm="1">
        <f t="array" aca="1" ref="V693" ca="1">INDIRECT(CONCATENATE("'",$A$650,"'!s",B693),1)</f>
        <v>0</v>
      </c>
      <c r="W693" s="1" cm="1">
        <f t="array" aca="1" ref="W693" ca="1">INDIRECT(CONCATENATE("'",$A$650,"'!t",B693),1)</f>
        <v>0</v>
      </c>
      <c r="X693" s="1" cm="1">
        <f t="array" aca="1" ref="X693" ca="1">INDIRECT(CONCATENATE("'",$A$650,"'!u",B693),1)</f>
        <v>0</v>
      </c>
      <c r="Y693" s="1" cm="1">
        <f t="array" aca="1" ref="Y693" ca="1">INDIRECT(CONCATENATE("'",$A$650,"'!v",B693),1)</f>
        <v>0</v>
      </c>
    </row>
    <row r="694" spans="1:25" hidden="1" x14ac:dyDescent="0.25">
      <c r="A694" s="15"/>
      <c r="B694" s="24">
        <f t="shared" si="51"/>
        <v>46</v>
      </c>
      <c r="C694" s="1" cm="1">
        <f t="array" aca="1" ref="C694" ca="1">INDIRECT(CONCATENATE("'",$A$650,"'!A",B694),1)</f>
        <v>0</v>
      </c>
      <c r="D694" s="1" cm="1">
        <f t="array" aca="1" ref="D694" ca="1">INDIRECT(CONCATENATE("'",$A$650,"'!B",B694),1)</f>
        <v>0</v>
      </c>
      <c r="E694" s="1" cm="1">
        <f t="array" aca="1" ref="E694" ca="1">INDIRECT(CONCATENATE("'",$A$650,"'!c",B694),1)</f>
        <v>0</v>
      </c>
      <c r="F694" s="1" cm="1">
        <f t="array" aca="1" ref="F694" ca="1">INDIRECT(CONCATENATE("'",$A$650,"'!d",B694),1)</f>
        <v>0</v>
      </c>
      <c r="G694" s="1" cm="1">
        <f t="array" aca="1" ref="G694" ca="1">INDIRECT(CONCATENATE("'",$A$650,"'!e",B694),1)</f>
        <v>0</v>
      </c>
      <c r="H694" s="1" cm="1">
        <f t="array" aca="1" ref="H694" ca="1">INDIRECT(CONCATENATE("'",$A$650,"'!f",B694),1)</f>
        <v>0</v>
      </c>
      <c r="I694" s="1" cm="1">
        <f t="array" aca="1" ref="I694" ca="1">INDIRECT(CONCATENATE("'",$A$650,"'!g",B694),1)</f>
        <v>0</v>
      </c>
      <c r="J694" s="1" cm="1">
        <f t="array" aca="1" ref="J694" ca="1">INDIRECT(CONCATENATE("'",$A$650,"'!h",B694),1)</f>
        <v>0</v>
      </c>
      <c r="K694" s="1" cm="1">
        <f t="array" aca="1" ref="K694" ca="1">INDIRECT(CONCATENATE("'",$A$650,"'!i",B694),1)</f>
        <v>0</v>
      </c>
      <c r="L694" s="1" cm="1">
        <f t="array" aca="1" ref="L694" ca="1">INDIRECT(CONCATENATE("'",$A$650,"'!j",B694),1)</f>
        <v>0</v>
      </c>
      <c r="M694" s="1" cm="1">
        <f t="array" aca="1" ref="M694" ca="1">INDIRECT(CONCATENATE("'",$A$650,"'!k",B694),1)</f>
        <v>0</v>
      </c>
      <c r="N694" s="1" cm="1">
        <f t="array" aca="1" ref="N694" ca="1">INDIRECT(CONCATENATE("'",$A$650,"'!l",B694),1)</f>
        <v>0</v>
      </c>
      <c r="O694" s="1" cm="1">
        <f t="array" aca="1" ref="O694" ca="1">INDIRECT(CONCATENATE("'",$A$650,"'!m",B694),1)</f>
        <v>0</v>
      </c>
      <c r="P694" s="1" cm="1">
        <f t="array" aca="1" ref="P694" ca="1">INDIRECT(CONCATENATE("'",$A$650,"'!n",B694),1)</f>
        <v>0</v>
      </c>
      <c r="Q694" s="1" cm="1">
        <f t="array" aca="1" ref="Q694" ca="1">INDIRECT(CONCATENATE("'",$A$650,"'!o",B694),1)</f>
        <v>0</v>
      </c>
      <c r="R694" s="1" cm="1">
        <f t="array" aca="1" ref="R694" ca="1">INDIRECT(CONCATENATE("'",$A$650,"'!p",B694),1)</f>
        <v>0</v>
      </c>
      <c r="S694" s="1">
        <f t="shared" ca="1" si="53"/>
        <v>0</v>
      </c>
      <c r="T694" s="1" cm="1">
        <f t="array" aca="1" ref="T694" ca="1">INDIRECT(CONCATENATE("'",$A$650,"'!q",B694),1)</f>
        <v>0</v>
      </c>
      <c r="U694" s="1" cm="1">
        <f t="array" aca="1" ref="U694" ca="1">INDIRECT(CONCATENATE("'",$A$650,"'!r",B694),1)</f>
        <v>0</v>
      </c>
      <c r="V694" s="1" cm="1">
        <f t="array" aca="1" ref="V694" ca="1">INDIRECT(CONCATENATE("'",$A$650,"'!s",B694),1)</f>
        <v>0</v>
      </c>
      <c r="W694" s="1" cm="1">
        <f t="array" aca="1" ref="W694" ca="1">INDIRECT(CONCATENATE("'",$A$650,"'!t",B694),1)</f>
        <v>0</v>
      </c>
      <c r="X694" s="1" cm="1">
        <f t="array" aca="1" ref="X694" ca="1">INDIRECT(CONCATENATE("'",$A$650,"'!u",B694),1)</f>
        <v>0</v>
      </c>
      <c r="Y694" s="1" cm="1">
        <f t="array" aca="1" ref="Y694" ca="1">INDIRECT(CONCATENATE("'",$A$650,"'!v",B694),1)</f>
        <v>0</v>
      </c>
    </row>
    <row r="695" spans="1:25" hidden="1" x14ac:dyDescent="0.25">
      <c r="A695" s="15"/>
      <c r="B695" s="24">
        <f t="shared" si="51"/>
        <v>47</v>
      </c>
      <c r="C695" s="1" cm="1">
        <f t="array" aca="1" ref="C695" ca="1">INDIRECT(CONCATENATE("'",$A$650,"'!A",B695),1)</f>
        <v>0</v>
      </c>
      <c r="D695" s="1" cm="1">
        <f t="array" aca="1" ref="D695" ca="1">INDIRECT(CONCATENATE("'",$A$650,"'!B",B695),1)</f>
        <v>0</v>
      </c>
      <c r="E695" s="1" cm="1">
        <f t="array" aca="1" ref="E695" ca="1">INDIRECT(CONCATENATE("'",$A$650,"'!c",B695),1)</f>
        <v>0</v>
      </c>
      <c r="F695" s="1" cm="1">
        <f t="array" aca="1" ref="F695" ca="1">INDIRECT(CONCATENATE("'",$A$650,"'!d",B695),1)</f>
        <v>0</v>
      </c>
      <c r="G695" s="1" cm="1">
        <f t="array" aca="1" ref="G695" ca="1">INDIRECT(CONCATENATE("'",$A$650,"'!e",B695),1)</f>
        <v>0</v>
      </c>
      <c r="H695" s="1" cm="1">
        <f t="array" aca="1" ref="H695" ca="1">INDIRECT(CONCATENATE("'",$A$650,"'!f",B695),1)</f>
        <v>0</v>
      </c>
      <c r="I695" s="1" cm="1">
        <f t="array" aca="1" ref="I695" ca="1">INDIRECT(CONCATENATE("'",$A$650,"'!g",B695),1)</f>
        <v>0</v>
      </c>
      <c r="J695" s="1" cm="1">
        <f t="array" aca="1" ref="J695" ca="1">INDIRECT(CONCATENATE("'",$A$650,"'!h",B695),1)</f>
        <v>0</v>
      </c>
      <c r="K695" s="1" cm="1">
        <f t="array" aca="1" ref="K695" ca="1">INDIRECT(CONCATENATE("'",$A$650,"'!i",B695),1)</f>
        <v>0</v>
      </c>
      <c r="L695" s="1" cm="1">
        <f t="array" aca="1" ref="L695" ca="1">INDIRECT(CONCATENATE("'",$A$650,"'!j",B695),1)</f>
        <v>0</v>
      </c>
      <c r="M695" s="1" cm="1">
        <f t="array" aca="1" ref="M695" ca="1">INDIRECT(CONCATENATE("'",$A$650,"'!k",B695),1)</f>
        <v>0</v>
      </c>
      <c r="N695" s="1" cm="1">
        <f t="array" aca="1" ref="N695" ca="1">INDIRECT(CONCATENATE("'",$A$650,"'!l",B695),1)</f>
        <v>0</v>
      </c>
      <c r="O695" s="1" cm="1">
        <f t="array" aca="1" ref="O695" ca="1">INDIRECT(CONCATENATE("'",$A$650,"'!m",B695),1)</f>
        <v>0</v>
      </c>
      <c r="P695" s="1" cm="1">
        <f t="array" aca="1" ref="P695" ca="1">INDIRECT(CONCATENATE("'",$A$650,"'!n",B695),1)</f>
        <v>0</v>
      </c>
      <c r="Q695" s="1" cm="1">
        <f t="array" aca="1" ref="Q695" ca="1">INDIRECT(CONCATENATE("'",$A$650,"'!o",B695),1)</f>
        <v>0</v>
      </c>
      <c r="R695" s="1" cm="1">
        <f t="array" aca="1" ref="R695" ca="1">INDIRECT(CONCATENATE("'",$A$650,"'!p",B695),1)</f>
        <v>0</v>
      </c>
      <c r="S695" s="1">
        <f t="shared" ca="1" si="53"/>
        <v>0</v>
      </c>
      <c r="T695" s="1" cm="1">
        <f t="array" aca="1" ref="T695" ca="1">INDIRECT(CONCATENATE("'",$A$650,"'!q",B695),1)</f>
        <v>0</v>
      </c>
      <c r="U695" s="1" cm="1">
        <f t="array" aca="1" ref="U695" ca="1">INDIRECT(CONCATENATE("'",$A$650,"'!r",B695),1)</f>
        <v>0</v>
      </c>
      <c r="V695" s="1" cm="1">
        <f t="array" aca="1" ref="V695" ca="1">INDIRECT(CONCATENATE("'",$A$650,"'!s",B695),1)</f>
        <v>0</v>
      </c>
      <c r="W695" s="1" cm="1">
        <f t="array" aca="1" ref="W695" ca="1">INDIRECT(CONCATENATE("'",$A$650,"'!t",B695),1)</f>
        <v>0</v>
      </c>
      <c r="X695" s="1" cm="1">
        <f t="array" aca="1" ref="X695" ca="1">INDIRECT(CONCATENATE("'",$A$650,"'!u",B695),1)</f>
        <v>0</v>
      </c>
      <c r="Y695" s="1" cm="1">
        <f t="array" aca="1" ref="Y695" ca="1">INDIRECT(CONCATENATE("'",$A$650,"'!v",B695),1)</f>
        <v>0</v>
      </c>
    </row>
    <row r="696" spans="1:25" hidden="1" x14ac:dyDescent="0.25">
      <c r="A696" s="15"/>
      <c r="B696" s="24">
        <f t="shared" si="51"/>
        <v>48</v>
      </c>
      <c r="C696" s="1" cm="1">
        <f t="array" aca="1" ref="C696" ca="1">INDIRECT(CONCATENATE("'",$A$650,"'!A",B696),1)</f>
        <v>0</v>
      </c>
      <c r="D696" s="1" cm="1">
        <f t="array" aca="1" ref="D696" ca="1">INDIRECT(CONCATENATE("'",$A$650,"'!B",B696),1)</f>
        <v>0</v>
      </c>
      <c r="E696" s="1" cm="1">
        <f t="array" aca="1" ref="E696" ca="1">INDIRECT(CONCATENATE("'",$A$650,"'!c",B696),1)</f>
        <v>0</v>
      </c>
      <c r="F696" s="1" cm="1">
        <f t="array" aca="1" ref="F696" ca="1">INDIRECT(CONCATENATE("'",$A$650,"'!d",B696),1)</f>
        <v>0</v>
      </c>
      <c r="G696" s="1" cm="1">
        <f t="array" aca="1" ref="G696" ca="1">INDIRECT(CONCATENATE("'",$A$650,"'!e",B696),1)</f>
        <v>0</v>
      </c>
      <c r="H696" s="1" cm="1">
        <f t="array" aca="1" ref="H696" ca="1">INDIRECT(CONCATENATE("'",$A$650,"'!f",B696),1)</f>
        <v>0</v>
      </c>
      <c r="I696" s="1" cm="1">
        <f t="array" aca="1" ref="I696" ca="1">INDIRECT(CONCATENATE("'",$A$650,"'!g",B696),1)</f>
        <v>0</v>
      </c>
      <c r="J696" s="1" cm="1">
        <f t="array" aca="1" ref="J696" ca="1">INDIRECT(CONCATENATE("'",$A$650,"'!h",B696),1)</f>
        <v>0</v>
      </c>
      <c r="K696" s="1" cm="1">
        <f t="array" aca="1" ref="K696" ca="1">INDIRECT(CONCATENATE("'",$A$650,"'!i",B696),1)</f>
        <v>0</v>
      </c>
      <c r="L696" s="1" cm="1">
        <f t="array" aca="1" ref="L696" ca="1">INDIRECT(CONCATENATE("'",$A$650,"'!j",B696),1)</f>
        <v>0</v>
      </c>
      <c r="M696" s="1" cm="1">
        <f t="array" aca="1" ref="M696" ca="1">INDIRECT(CONCATENATE("'",$A$650,"'!k",B696),1)</f>
        <v>0</v>
      </c>
      <c r="N696" s="1" cm="1">
        <f t="array" aca="1" ref="N696" ca="1">INDIRECT(CONCATENATE("'",$A$650,"'!l",B696),1)</f>
        <v>0</v>
      </c>
      <c r="O696" s="1" cm="1">
        <f t="array" aca="1" ref="O696" ca="1">INDIRECT(CONCATENATE("'",$A$650,"'!m",B696),1)</f>
        <v>0</v>
      </c>
      <c r="P696" s="1" cm="1">
        <f t="array" aca="1" ref="P696" ca="1">INDIRECT(CONCATENATE("'",$A$650,"'!n",B696),1)</f>
        <v>0</v>
      </c>
      <c r="Q696" s="1" cm="1">
        <f t="array" aca="1" ref="Q696" ca="1">INDIRECT(CONCATENATE("'",$A$650,"'!o",B696),1)</f>
        <v>0</v>
      </c>
      <c r="R696" s="1" cm="1">
        <f t="array" aca="1" ref="R696" ca="1">INDIRECT(CONCATENATE("'",$A$650,"'!p",B696),1)</f>
        <v>0</v>
      </c>
      <c r="S696" s="1">
        <f t="shared" ca="1" si="53"/>
        <v>0</v>
      </c>
      <c r="T696" s="1" cm="1">
        <f t="array" aca="1" ref="T696" ca="1">INDIRECT(CONCATENATE("'",$A$650,"'!q",B696),1)</f>
        <v>0</v>
      </c>
      <c r="U696" s="1" cm="1">
        <f t="array" aca="1" ref="U696" ca="1">INDIRECT(CONCATENATE("'",$A$650,"'!r",B696),1)</f>
        <v>0</v>
      </c>
      <c r="V696" s="1" cm="1">
        <f t="array" aca="1" ref="V696" ca="1">INDIRECT(CONCATENATE("'",$A$650,"'!s",B696),1)</f>
        <v>0</v>
      </c>
      <c r="W696" s="1" cm="1">
        <f t="array" aca="1" ref="W696" ca="1">INDIRECT(CONCATENATE("'",$A$650,"'!t",B696),1)</f>
        <v>0</v>
      </c>
      <c r="X696" s="1" cm="1">
        <f t="array" aca="1" ref="X696" ca="1">INDIRECT(CONCATENATE("'",$A$650,"'!u",B696),1)</f>
        <v>0</v>
      </c>
      <c r="Y696" s="1" cm="1">
        <f t="array" aca="1" ref="Y696" ca="1">INDIRECT(CONCATENATE("'",$A$650,"'!v",B696),1)</f>
        <v>0</v>
      </c>
    </row>
    <row r="697" spans="1:25" hidden="1" x14ac:dyDescent="0.25">
      <c r="A697" s="15"/>
      <c r="B697" s="24">
        <f t="shared" si="51"/>
        <v>49</v>
      </c>
      <c r="C697" s="1" cm="1">
        <f t="array" aca="1" ref="C697" ca="1">INDIRECT(CONCATENATE("'",$A$650,"'!A",B697),1)</f>
        <v>0</v>
      </c>
      <c r="D697" s="1" cm="1">
        <f t="array" aca="1" ref="D697" ca="1">INDIRECT(CONCATENATE("'",$A$650,"'!B",B697),1)</f>
        <v>0</v>
      </c>
      <c r="E697" s="1" cm="1">
        <f t="array" aca="1" ref="E697" ca="1">INDIRECT(CONCATENATE("'",$A$650,"'!c",B697),1)</f>
        <v>0</v>
      </c>
      <c r="F697" s="1" cm="1">
        <f t="array" aca="1" ref="F697" ca="1">INDIRECT(CONCATENATE("'",$A$650,"'!d",B697),1)</f>
        <v>0</v>
      </c>
      <c r="G697" s="1" cm="1">
        <f t="array" aca="1" ref="G697" ca="1">INDIRECT(CONCATENATE("'",$A$650,"'!e",B697),1)</f>
        <v>0</v>
      </c>
      <c r="H697" s="1" cm="1">
        <f t="array" aca="1" ref="H697" ca="1">INDIRECT(CONCATENATE("'",$A$650,"'!f",B697),1)</f>
        <v>0</v>
      </c>
      <c r="I697" s="1" cm="1">
        <f t="array" aca="1" ref="I697" ca="1">INDIRECT(CONCATENATE("'",$A$650,"'!g",B697),1)</f>
        <v>0</v>
      </c>
      <c r="J697" s="1" cm="1">
        <f t="array" aca="1" ref="J697" ca="1">INDIRECT(CONCATENATE("'",$A$650,"'!h",B697),1)</f>
        <v>0</v>
      </c>
      <c r="K697" s="1" cm="1">
        <f t="array" aca="1" ref="K697" ca="1">INDIRECT(CONCATENATE("'",$A$650,"'!i",B697),1)</f>
        <v>0</v>
      </c>
      <c r="L697" s="1" cm="1">
        <f t="array" aca="1" ref="L697" ca="1">INDIRECT(CONCATENATE("'",$A$650,"'!j",B697),1)</f>
        <v>0</v>
      </c>
      <c r="M697" s="1" cm="1">
        <f t="array" aca="1" ref="M697" ca="1">INDIRECT(CONCATENATE("'",$A$650,"'!k",B697),1)</f>
        <v>0</v>
      </c>
      <c r="N697" s="1" cm="1">
        <f t="array" aca="1" ref="N697" ca="1">INDIRECT(CONCATENATE("'",$A$650,"'!l",B697),1)</f>
        <v>0</v>
      </c>
      <c r="O697" s="1" cm="1">
        <f t="array" aca="1" ref="O697" ca="1">INDIRECT(CONCATENATE("'",$A$650,"'!m",B697),1)</f>
        <v>0</v>
      </c>
      <c r="P697" s="1" cm="1">
        <f t="array" aca="1" ref="P697" ca="1">INDIRECT(CONCATENATE("'",$A$650,"'!n",B697),1)</f>
        <v>0</v>
      </c>
      <c r="Q697" s="1" cm="1">
        <f t="array" aca="1" ref="Q697" ca="1">INDIRECT(CONCATENATE("'",$A$650,"'!o",B697),1)</f>
        <v>0</v>
      </c>
      <c r="R697" s="1" cm="1">
        <f t="array" aca="1" ref="R697" ca="1">INDIRECT(CONCATENATE("'",$A$650,"'!p",B697),1)</f>
        <v>0</v>
      </c>
      <c r="S697" s="1">
        <f t="shared" ca="1" si="53"/>
        <v>0</v>
      </c>
      <c r="T697" s="1" cm="1">
        <f t="array" aca="1" ref="T697" ca="1">INDIRECT(CONCATENATE("'",$A$650,"'!q",B697),1)</f>
        <v>0</v>
      </c>
      <c r="U697" s="1" cm="1">
        <f t="array" aca="1" ref="U697" ca="1">INDIRECT(CONCATENATE("'",$A$650,"'!r",B697),1)</f>
        <v>0</v>
      </c>
      <c r="V697" s="1" cm="1">
        <f t="array" aca="1" ref="V697" ca="1">INDIRECT(CONCATENATE("'",$A$650,"'!s",B697),1)</f>
        <v>0</v>
      </c>
      <c r="W697" s="1" cm="1">
        <f t="array" aca="1" ref="W697" ca="1">INDIRECT(CONCATENATE("'",$A$650,"'!t",B697),1)</f>
        <v>0</v>
      </c>
      <c r="X697" s="1" cm="1">
        <f t="array" aca="1" ref="X697" ca="1">INDIRECT(CONCATENATE("'",$A$650,"'!u",B697),1)</f>
        <v>0</v>
      </c>
      <c r="Y697" s="1" cm="1">
        <f t="array" aca="1" ref="Y697" ca="1">INDIRECT(CONCATENATE("'",$A$650,"'!v",B697),1)</f>
        <v>0</v>
      </c>
    </row>
    <row r="698" spans="1:25" hidden="1" x14ac:dyDescent="0.25">
      <c r="A698" s="15"/>
      <c r="B698" s="24">
        <f t="shared" si="51"/>
        <v>50</v>
      </c>
      <c r="C698" s="1" cm="1">
        <f t="array" aca="1" ref="C698" ca="1">INDIRECT(CONCATENATE("'",$A$650,"'!A",B698),1)</f>
        <v>0</v>
      </c>
      <c r="D698" s="1" cm="1">
        <f t="array" aca="1" ref="D698" ca="1">INDIRECT(CONCATENATE("'",$A$650,"'!B",B698),1)</f>
        <v>0</v>
      </c>
      <c r="E698" s="1" cm="1">
        <f t="array" aca="1" ref="E698" ca="1">INDIRECT(CONCATENATE("'",$A$650,"'!c",B698),1)</f>
        <v>0</v>
      </c>
      <c r="F698" s="1" cm="1">
        <f t="array" aca="1" ref="F698" ca="1">INDIRECT(CONCATENATE("'",$A$650,"'!d",B698),1)</f>
        <v>0</v>
      </c>
      <c r="G698" s="1" cm="1">
        <f t="array" aca="1" ref="G698" ca="1">INDIRECT(CONCATENATE("'",$A$650,"'!e",B698),1)</f>
        <v>0</v>
      </c>
      <c r="H698" s="1" cm="1">
        <f t="array" aca="1" ref="H698" ca="1">INDIRECT(CONCATENATE("'",$A$650,"'!f",B698),1)</f>
        <v>0</v>
      </c>
      <c r="I698" s="1" cm="1">
        <f t="array" aca="1" ref="I698" ca="1">INDIRECT(CONCATENATE("'",$A$650,"'!g",B698),1)</f>
        <v>0</v>
      </c>
      <c r="J698" s="1" cm="1">
        <f t="array" aca="1" ref="J698" ca="1">INDIRECT(CONCATENATE("'",$A$650,"'!h",B698),1)</f>
        <v>0</v>
      </c>
      <c r="K698" s="1" cm="1">
        <f t="array" aca="1" ref="K698" ca="1">INDIRECT(CONCATENATE("'",$A$650,"'!i",B698),1)</f>
        <v>0</v>
      </c>
      <c r="L698" s="1" cm="1">
        <f t="array" aca="1" ref="L698" ca="1">INDIRECT(CONCATENATE("'",$A$650,"'!j",B698),1)</f>
        <v>0</v>
      </c>
      <c r="M698" s="1" cm="1">
        <f t="array" aca="1" ref="M698" ca="1">INDIRECT(CONCATENATE("'",$A$650,"'!k",B698),1)</f>
        <v>0</v>
      </c>
      <c r="N698" s="1" cm="1">
        <f t="array" aca="1" ref="N698" ca="1">INDIRECT(CONCATENATE("'",$A$650,"'!l",B698),1)</f>
        <v>0</v>
      </c>
      <c r="O698" s="1" cm="1">
        <f t="array" aca="1" ref="O698" ca="1">INDIRECT(CONCATENATE("'",$A$650,"'!m",B698),1)</f>
        <v>0</v>
      </c>
      <c r="P698" s="1" cm="1">
        <f t="array" aca="1" ref="P698" ca="1">INDIRECT(CONCATENATE("'",$A$650,"'!n",B698),1)</f>
        <v>0</v>
      </c>
      <c r="Q698" s="1" cm="1">
        <f t="array" aca="1" ref="Q698" ca="1">INDIRECT(CONCATENATE("'",$A$650,"'!o",B698),1)</f>
        <v>0</v>
      </c>
      <c r="R698" s="1" cm="1">
        <f t="array" aca="1" ref="R698" ca="1">INDIRECT(CONCATENATE("'",$A$650,"'!p",B698),1)</f>
        <v>0</v>
      </c>
      <c r="S698" s="1">
        <f t="shared" ca="1" si="53"/>
        <v>0</v>
      </c>
      <c r="T698" s="1" cm="1">
        <f t="array" aca="1" ref="T698" ca="1">INDIRECT(CONCATENATE("'",$A$650,"'!q",B698),1)</f>
        <v>0</v>
      </c>
      <c r="U698" s="1" cm="1">
        <f t="array" aca="1" ref="U698" ca="1">INDIRECT(CONCATENATE("'",$A$650,"'!r",B698),1)</f>
        <v>0</v>
      </c>
      <c r="V698" s="1" cm="1">
        <f t="array" aca="1" ref="V698" ca="1">INDIRECT(CONCATENATE("'",$A$650,"'!s",B698),1)</f>
        <v>0</v>
      </c>
      <c r="W698" s="1" cm="1">
        <f t="array" aca="1" ref="W698" ca="1">INDIRECT(CONCATENATE("'",$A$650,"'!t",B698),1)</f>
        <v>0</v>
      </c>
      <c r="X698" s="1" cm="1">
        <f t="array" aca="1" ref="X698" ca="1">INDIRECT(CONCATENATE("'",$A$650,"'!u",B698),1)</f>
        <v>0</v>
      </c>
      <c r="Y698" s="1" cm="1">
        <f t="array" aca="1" ref="Y698" ca="1">INDIRECT(CONCATENATE("'",$A$650,"'!v",B698),1)</f>
        <v>0</v>
      </c>
    </row>
    <row r="699" spans="1:25" hidden="1" x14ac:dyDescent="0.25">
      <c r="A699" s="15"/>
      <c r="B699" s="24">
        <f t="shared" si="51"/>
        <v>51</v>
      </c>
      <c r="C699" s="1" cm="1">
        <f t="array" aca="1" ref="C699" ca="1">INDIRECT(CONCATENATE("'",$A$650,"'!A",B699),1)</f>
        <v>0</v>
      </c>
      <c r="D699" s="1" cm="1">
        <f t="array" aca="1" ref="D699" ca="1">INDIRECT(CONCATENATE("'",$A$650,"'!B",B699),1)</f>
        <v>0</v>
      </c>
      <c r="E699" s="1" cm="1">
        <f t="array" aca="1" ref="E699" ca="1">INDIRECT(CONCATENATE("'",$A$650,"'!c",B699),1)</f>
        <v>0</v>
      </c>
      <c r="F699" s="1" cm="1">
        <f t="array" aca="1" ref="F699" ca="1">INDIRECT(CONCATENATE("'",$A$650,"'!d",B699),1)</f>
        <v>0</v>
      </c>
      <c r="G699" s="1" cm="1">
        <f t="array" aca="1" ref="G699" ca="1">INDIRECT(CONCATENATE("'",$A$650,"'!e",B699),1)</f>
        <v>0</v>
      </c>
      <c r="H699" s="1" cm="1">
        <f t="array" aca="1" ref="H699" ca="1">INDIRECT(CONCATENATE("'",$A$650,"'!f",B699),1)</f>
        <v>0</v>
      </c>
      <c r="I699" s="1" cm="1">
        <f t="array" aca="1" ref="I699" ca="1">INDIRECT(CONCATENATE("'",$A$650,"'!g",B699),1)</f>
        <v>0</v>
      </c>
      <c r="J699" s="1" cm="1">
        <f t="array" aca="1" ref="J699" ca="1">INDIRECT(CONCATENATE("'",$A$650,"'!h",B699),1)</f>
        <v>0</v>
      </c>
      <c r="K699" s="1" cm="1">
        <f t="array" aca="1" ref="K699" ca="1">INDIRECT(CONCATENATE("'",$A$650,"'!i",B699),1)</f>
        <v>0</v>
      </c>
      <c r="L699" s="1" cm="1">
        <f t="array" aca="1" ref="L699" ca="1">INDIRECT(CONCATENATE("'",$A$650,"'!j",B699),1)</f>
        <v>0</v>
      </c>
      <c r="M699" s="1" cm="1">
        <f t="array" aca="1" ref="M699" ca="1">INDIRECT(CONCATENATE("'",$A$650,"'!k",B699),1)</f>
        <v>0</v>
      </c>
      <c r="N699" s="1" cm="1">
        <f t="array" aca="1" ref="N699" ca="1">INDIRECT(CONCATENATE("'",$A$650,"'!l",B699),1)</f>
        <v>0</v>
      </c>
      <c r="O699" s="1" cm="1">
        <f t="array" aca="1" ref="O699" ca="1">INDIRECT(CONCATENATE("'",$A$650,"'!m",B699),1)</f>
        <v>0</v>
      </c>
      <c r="P699" s="1" cm="1">
        <f t="array" aca="1" ref="P699" ca="1">INDIRECT(CONCATENATE("'",$A$650,"'!n",B699),1)</f>
        <v>0</v>
      </c>
      <c r="Q699" s="1" cm="1">
        <f t="array" aca="1" ref="Q699" ca="1">INDIRECT(CONCATENATE("'",$A$650,"'!o",B699),1)</f>
        <v>0</v>
      </c>
      <c r="R699" s="1" cm="1">
        <f t="array" aca="1" ref="R699" ca="1">INDIRECT(CONCATENATE("'",$A$650,"'!p",B699),1)</f>
        <v>0</v>
      </c>
      <c r="S699" s="1">
        <f t="shared" ca="1" si="53"/>
        <v>0</v>
      </c>
      <c r="T699" s="1" cm="1">
        <f t="array" aca="1" ref="T699" ca="1">INDIRECT(CONCATENATE("'",$A$650,"'!q",B699),1)</f>
        <v>0</v>
      </c>
      <c r="U699" s="1" cm="1">
        <f t="array" aca="1" ref="U699" ca="1">INDIRECT(CONCATENATE("'",$A$650,"'!r",B699),1)</f>
        <v>0</v>
      </c>
      <c r="V699" s="1" cm="1">
        <f t="array" aca="1" ref="V699" ca="1">INDIRECT(CONCATENATE("'",$A$650,"'!s",B699),1)</f>
        <v>0</v>
      </c>
      <c r="W699" s="1" cm="1">
        <f t="array" aca="1" ref="W699" ca="1">INDIRECT(CONCATENATE("'",$A$650,"'!t",B699),1)</f>
        <v>0</v>
      </c>
      <c r="X699" s="1" cm="1">
        <f t="array" aca="1" ref="X699" ca="1">INDIRECT(CONCATENATE("'",$A$650,"'!u",B699),1)</f>
        <v>0</v>
      </c>
      <c r="Y699" s="1" cm="1">
        <f t="array" aca="1" ref="Y699" ca="1">INDIRECT(CONCATENATE("'",$A$650,"'!v",B699),1)</f>
        <v>0</v>
      </c>
    </row>
    <row r="700" spans="1:25" hidden="1" x14ac:dyDescent="0.25">
      <c r="B700" s="24">
        <f t="shared" si="51"/>
        <v>52</v>
      </c>
      <c r="C700" s="1" cm="1">
        <f t="array" aca="1" ref="C700" ca="1">INDIRECT(CONCATENATE("'",$A$650,"'!A",B700),1)</f>
        <v>0</v>
      </c>
      <c r="D700" s="1" cm="1">
        <f t="array" aca="1" ref="D700" ca="1">INDIRECT(CONCATENATE("'",$A$650,"'!B",B700),1)</f>
        <v>0</v>
      </c>
      <c r="E700" s="1" cm="1">
        <f t="array" aca="1" ref="E700" ca="1">INDIRECT(CONCATENATE("'",$A$650,"'!c",B700),1)</f>
        <v>0</v>
      </c>
      <c r="F700" s="1" cm="1">
        <f t="array" aca="1" ref="F700" ca="1">INDIRECT(CONCATENATE("'",$A$650,"'!d",B700),1)</f>
        <v>0</v>
      </c>
      <c r="G700" s="1" cm="1">
        <f t="array" aca="1" ref="G700" ca="1">INDIRECT(CONCATENATE("'",$A$650,"'!e",B700),1)</f>
        <v>0</v>
      </c>
      <c r="H700" s="1" cm="1">
        <f t="array" aca="1" ref="H700" ca="1">INDIRECT(CONCATENATE("'",$A$650,"'!f",B700),1)</f>
        <v>0</v>
      </c>
      <c r="I700" s="1" cm="1">
        <f t="array" aca="1" ref="I700" ca="1">INDIRECT(CONCATENATE("'",$A$650,"'!g",B700),1)</f>
        <v>0</v>
      </c>
      <c r="J700" s="1" cm="1">
        <f t="array" aca="1" ref="J700" ca="1">INDIRECT(CONCATENATE("'",$A$650,"'!h",B700),1)</f>
        <v>0</v>
      </c>
      <c r="K700" s="1" cm="1">
        <f t="array" aca="1" ref="K700" ca="1">INDIRECT(CONCATENATE("'",$A$650,"'!i",B700),1)</f>
        <v>0</v>
      </c>
      <c r="L700" s="1" cm="1">
        <f t="array" aca="1" ref="L700" ca="1">INDIRECT(CONCATENATE("'",$A$650,"'!j",B700),1)</f>
        <v>0</v>
      </c>
      <c r="M700" s="1" cm="1">
        <f t="array" aca="1" ref="M700" ca="1">INDIRECT(CONCATENATE("'",$A$650,"'!k",B700),1)</f>
        <v>0</v>
      </c>
      <c r="N700" s="1" cm="1">
        <f t="array" aca="1" ref="N700" ca="1">INDIRECT(CONCATENATE("'",$A$650,"'!l",B700),1)</f>
        <v>0</v>
      </c>
      <c r="O700" s="1" cm="1">
        <f t="array" aca="1" ref="O700" ca="1">INDIRECT(CONCATENATE("'",$A$650,"'!m",B700),1)</f>
        <v>0</v>
      </c>
      <c r="P700" s="1" cm="1">
        <f t="array" aca="1" ref="P700" ca="1">INDIRECT(CONCATENATE("'",$A$650,"'!n",B700),1)</f>
        <v>0</v>
      </c>
      <c r="Q700" s="1" cm="1">
        <f t="array" aca="1" ref="Q700" ca="1">INDIRECT(CONCATENATE("'",$A$650,"'!o",B700),1)</f>
        <v>0</v>
      </c>
      <c r="R700" s="1" cm="1">
        <f t="array" aca="1" ref="R700" ca="1">INDIRECT(CONCATENATE("'",$A$650,"'!p",B700),1)</f>
        <v>0</v>
      </c>
      <c r="S700" s="1">
        <f t="shared" ca="1" si="53"/>
        <v>0</v>
      </c>
      <c r="T700" s="1" cm="1">
        <f t="array" aca="1" ref="T700" ca="1">INDIRECT(CONCATENATE("'",$A$650,"'!q",B700),1)</f>
        <v>0</v>
      </c>
      <c r="U700" s="1" cm="1">
        <f t="array" aca="1" ref="U700" ca="1">INDIRECT(CONCATENATE("'",$A$650,"'!r",B700),1)</f>
        <v>0</v>
      </c>
      <c r="V700" s="1" cm="1">
        <f t="array" aca="1" ref="V700" ca="1">INDIRECT(CONCATENATE("'",$A$650,"'!s",B700),1)</f>
        <v>0</v>
      </c>
      <c r="W700" s="1" cm="1">
        <f t="array" aca="1" ref="W700" ca="1">INDIRECT(CONCATENATE("'",$A$650,"'!t",B700),1)</f>
        <v>0</v>
      </c>
      <c r="X700" s="1" cm="1">
        <f t="array" aca="1" ref="X700" ca="1">INDIRECT(CONCATENATE("'",$A$650,"'!u",B700),1)</f>
        <v>0</v>
      </c>
      <c r="Y700" s="1" cm="1">
        <f t="array" aca="1" ref="Y700" ca="1">INDIRECT(CONCATENATE("'",$A$650,"'!v",B700),1)</f>
        <v>0</v>
      </c>
    </row>
    <row r="701" spans="1:25" hidden="1" x14ac:dyDescent="0.25">
      <c r="B701" s="24">
        <f t="shared" si="51"/>
        <v>53</v>
      </c>
      <c r="C701" s="1" cm="1">
        <f t="array" aca="1" ref="C701" ca="1">INDIRECT(CONCATENATE("'",$A$650,"'!A",B701),1)</f>
        <v>0</v>
      </c>
      <c r="D701" s="1" cm="1">
        <f t="array" aca="1" ref="D701" ca="1">INDIRECT(CONCATENATE("'",$A$650,"'!B",B701),1)</f>
        <v>0</v>
      </c>
      <c r="E701" s="1" cm="1">
        <f t="array" aca="1" ref="E701" ca="1">INDIRECT(CONCATENATE("'",$A$650,"'!c",B701),1)</f>
        <v>0</v>
      </c>
      <c r="F701" s="1" cm="1">
        <f t="array" aca="1" ref="F701" ca="1">INDIRECT(CONCATENATE("'",$A$650,"'!d",B701),1)</f>
        <v>0</v>
      </c>
      <c r="G701" s="1" cm="1">
        <f t="array" aca="1" ref="G701" ca="1">INDIRECT(CONCATENATE("'",$A$650,"'!e",B701),1)</f>
        <v>0</v>
      </c>
      <c r="H701" s="1" cm="1">
        <f t="array" aca="1" ref="H701" ca="1">INDIRECT(CONCATENATE("'",$A$650,"'!f",B701),1)</f>
        <v>0</v>
      </c>
      <c r="I701" s="1" cm="1">
        <f t="array" aca="1" ref="I701" ca="1">INDIRECT(CONCATENATE("'",$A$650,"'!g",B701),1)</f>
        <v>0</v>
      </c>
      <c r="J701" s="1" cm="1">
        <f t="array" aca="1" ref="J701" ca="1">INDIRECT(CONCATENATE("'",$A$650,"'!h",B701),1)</f>
        <v>0</v>
      </c>
      <c r="K701" s="1" cm="1">
        <f t="array" aca="1" ref="K701" ca="1">INDIRECT(CONCATENATE("'",$A$650,"'!i",B701),1)</f>
        <v>0</v>
      </c>
      <c r="L701" s="1" cm="1">
        <f t="array" aca="1" ref="L701" ca="1">INDIRECT(CONCATENATE("'",$A$650,"'!j",B701),1)</f>
        <v>0</v>
      </c>
      <c r="M701" s="1" cm="1">
        <f t="array" aca="1" ref="M701" ca="1">INDIRECT(CONCATENATE("'",$A$650,"'!k",B701),1)</f>
        <v>0</v>
      </c>
      <c r="N701" s="1" cm="1">
        <f t="array" aca="1" ref="N701" ca="1">INDIRECT(CONCATENATE("'",$A$650,"'!l",B701),1)</f>
        <v>0</v>
      </c>
      <c r="O701" s="1" cm="1">
        <f t="array" aca="1" ref="O701" ca="1">INDIRECT(CONCATENATE("'",$A$650,"'!m",B701),1)</f>
        <v>0</v>
      </c>
      <c r="P701" s="1" cm="1">
        <f t="array" aca="1" ref="P701" ca="1">INDIRECT(CONCATENATE("'",$A$650,"'!n",B701),1)</f>
        <v>0</v>
      </c>
      <c r="Q701" s="1" cm="1">
        <f t="array" aca="1" ref="Q701" ca="1">INDIRECT(CONCATENATE("'",$A$650,"'!o",B701),1)</f>
        <v>0</v>
      </c>
      <c r="R701" s="1" cm="1">
        <f t="array" aca="1" ref="R701" ca="1">INDIRECT(CONCATENATE("'",$A$650,"'!p",B701),1)</f>
        <v>0</v>
      </c>
      <c r="S701" s="1">
        <f t="shared" ca="1" si="53"/>
        <v>0</v>
      </c>
      <c r="T701" s="1" cm="1">
        <f t="array" aca="1" ref="T701" ca="1">INDIRECT(CONCATENATE("'",$A$650,"'!q",B701),1)</f>
        <v>0</v>
      </c>
      <c r="U701" s="1" cm="1">
        <f t="array" aca="1" ref="U701" ca="1">INDIRECT(CONCATENATE("'",$A$650,"'!r",B701),1)</f>
        <v>0</v>
      </c>
      <c r="V701" s="1" cm="1">
        <f t="array" aca="1" ref="V701" ca="1">INDIRECT(CONCATENATE("'",$A$650,"'!s",B701),1)</f>
        <v>0</v>
      </c>
      <c r="W701" s="1" cm="1">
        <f t="array" aca="1" ref="W701" ca="1">INDIRECT(CONCATENATE("'",$A$650,"'!t",B701),1)</f>
        <v>0</v>
      </c>
      <c r="X701" s="1" cm="1">
        <f t="array" aca="1" ref="X701" ca="1">INDIRECT(CONCATENATE("'",$A$650,"'!u",B701),1)</f>
        <v>0</v>
      </c>
      <c r="Y701" s="1" cm="1">
        <f t="array" aca="1" ref="Y701" ca="1">INDIRECT(CONCATENATE("'",$A$650,"'!v",B701),1)</f>
        <v>0</v>
      </c>
    </row>
    <row r="702" spans="1:25" hidden="1" x14ac:dyDescent="0.25">
      <c r="B702" s="24">
        <f t="shared" si="51"/>
        <v>54</v>
      </c>
      <c r="C702" s="1" cm="1">
        <f t="array" aca="1" ref="C702" ca="1">INDIRECT(CONCATENATE("'",$A$650,"'!A",B702),1)</f>
        <v>0</v>
      </c>
      <c r="D702" s="1" cm="1">
        <f t="array" aca="1" ref="D702" ca="1">INDIRECT(CONCATENATE("'",$A$650,"'!B",B702),1)</f>
        <v>0</v>
      </c>
      <c r="E702" s="1" cm="1">
        <f t="array" aca="1" ref="E702" ca="1">INDIRECT(CONCATENATE("'",$A$650,"'!c",B702),1)</f>
        <v>0</v>
      </c>
      <c r="F702" s="1" cm="1">
        <f t="array" aca="1" ref="F702" ca="1">INDIRECT(CONCATENATE("'",$A$650,"'!d",B702),1)</f>
        <v>0</v>
      </c>
      <c r="G702" s="1" cm="1">
        <f t="array" aca="1" ref="G702" ca="1">INDIRECT(CONCATENATE("'",$A$650,"'!e",B702),1)</f>
        <v>0</v>
      </c>
      <c r="H702" s="1" cm="1">
        <f t="array" aca="1" ref="H702" ca="1">INDIRECT(CONCATENATE("'",$A$650,"'!f",B702),1)</f>
        <v>0</v>
      </c>
      <c r="I702" s="1" cm="1">
        <f t="array" aca="1" ref="I702" ca="1">INDIRECT(CONCATENATE("'",$A$650,"'!g",B702),1)</f>
        <v>0</v>
      </c>
      <c r="J702" s="1" cm="1">
        <f t="array" aca="1" ref="J702" ca="1">INDIRECT(CONCATENATE("'",$A$650,"'!h",B702),1)</f>
        <v>0</v>
      </c>
      <c r="K702" s="1" cm="1">
        <f t="array" aca="1" ref="K702" ca="1">INDIRECT(CONCATENATE("'",$A$650,"'!i",B702),1)</f>
        <v>0</v>
      </c>
      <c r="L702" s="1" cm="1">
        <f t="array" aca="1" ref="L702" ca="1">INDIRECT(CONCATENATE("'",$A$650,"'!j",B702),1)</f>
        <v>0</v>
      </c>
      <c r="M702" s="1" cm="1">
        <f t="array" aca="1" ref="M702" ca="1">INDIRECT(CONCATENATE("'",$A$650,"'!k",B702),1)</f>
        <v>0</v>
      </c>
      <c r="N702" s="1" cm="1">
        <f t="array" aca="1" ref="N702" ca="1">INDIRECT(CONCATENATE("'",$A$650,"'!l",B702),1)</f>
        <v>0</v>
      </c>
      <c r="O702" s="1" cm="1">
        <f t="array" aca="1" ref="O702" ca="1">INDIRECT(CONCATENATE("'",$A$650,"'!m",B702),1)</f>
        <v>0</v>
      </c>
      <c r="P702" s="1" cm="1">
        <f t="array" aca="1" ref="P702" ca="1">INDIRECT(CONCATENATE("'",$A$650,"'!n",B702),1)</f>
        <v>0</v>
      </c>
      <c r="Q702" s="1" cm="1">
        <f t="array" aca="1" ref="Q702" ca="1">INDIRECT(CONCATENATE("'",$A$650,"'!o",B702),1)</f>
        <v>0</v>
      </c>
      <c r="R702" s="1" cm="1">
        <f t="array" aca="1" ref="R702" ca="1">INDIRECT(CONCATENATE("'",$A$650,"'!p",B702),1)</f>
        <v>0</v>
      </c>
      <c r="S702" s="1">
        <f t="shared" ca="1" si="53"/>
        <v>0</v>
      </c>
      <c r="T702" s="1" cm="1">
        <f t="array" aca="1" ref="T702" ca="1">INDIRECT(CONCATENATE("'",$A$650,"'!q",B702),1)</f>
        <v>0</v>
      </c>
      <c r="U702" s="1" cm="1">
        <f t="array" aca="1" ref="U702" ca="1">INDIRECT(CONCATENATE("'",$A$650,"'!r",B702),1)</f>
        <v>0</v>
      </c>
      <c r="V702" s="1" cm="1">
        <f t="array" aca="1" ref="V702" ca="1">INDIRECT(CONCATENATE("'",$A$650,"'!s",B702),1)</f>
        <v>0</v>
      </c>
      <c r="W702" s="1" cm="1">
        <f t="array" aca="1" ref="W702" ca="1">INDIRECT(CONCATENATE("'",$A$650,"'!t",B702),1)</f>
        <v>0</v>
      </c>
      <c r="X702" s="1" cm="1">
        <f t="array" aca="1" ref="X702" ca="1">INDIRECT(CONCATENATE("'",$A$650,"'!u",B702),1)</f>
        <v>0</v>
      </c>
      <c r="Y702" s="1" cm="1">
        <f t="array" aca="1" ref="Y702" ca="1">INDIRECT(CONCATENATE("'",$A$650,"'!v",B702),1)</f>
        <v>0</v>
      </c>
    </row>
    <row r="703" spans="1:25" hidden="1" x14ac:dyDescent="0.25">
      <c r="B703" s="24">
        <f t="shared" si="51"/>
        <v>55</v>
      </c>
      <c r="C703" s="1" cm="1">
        <f t="array" aca="1" ref="C703" ca="1">INDIRECT(CONCATENATE("'",$A$650,"'!A",B703),1)</f>
        <v>0</v>
      </c>
      <c r="D703" s="1" cm="1">
        <f t="array" aca="1" ref="D703" ca="1">INDIRECT(CONCATENATE("'",$A$650,"'!B",B703),1)</f>
        <v>0</v>
      </c>
      <c r="E703" s="1" cm="1">
        <f t="array" aca="1" ref="E703" ca="1">INDIRECT(CONCATENATE("'",$A$650,"'!c",B703),1)</f>
        <v>0</v>
      </c>
      <c r="F703" s="1" cm="1">
        <f t="array" aca="1" ref="F703" ca="1">INDIRECT(CONCATENATE("'",$A$650,"'!d",B703),1)</f>
        <v>0</v>
      </c>
      <c r="G703" s="1" cm="1">
        <f t="array" aca="1" ref="G703" ca="1">INDIRECT(CONCATENATE("'",$A$650,"'!e",B703),1)</f>
        <v>0</v>
      </c>
      <c r="H703" s="1" cm="1">
        <f t="array" aca="1" ref="H703" ca="1">INDIRECT(CONCATENATE("'",$A$650,"'!f",B703),1)</f>
        <v>0</v>
      </c>
      <c r="I703" s="1" cm="1">
        <f t="array" aca="1" ref="I703" ca="1">INDIRECT(CONCATENATE("'",$A$650,"'!g",B703),1)</f>
        <v>0</v>
      </c>
      <c r="J703" s="1" cm="1">
        <f t="array" aca="1" ref="J703" ca="1">INDIRECT(CONCATENATE("'",$A$650,"'!h",B703),1)</f>
        <v>0</v>
      </c>
      <c r="K703" s="1" cm="1">
        <f t="array" aca="1" ref="K703" ca="1">INDIRECT(CONCATENATE("'",$A$650,"'!i",B703),1)</f>
        <v>0</v>
      </c>
      <c r="L703" s="1" cm="1">
        <f t="array" aca="1" ref="L703" ca="1">INDIRECT(CONCATENATE("'",$A$650,"'!j",B703),1)</f>
        <v>0</v>
      </c>
      <c r="M703" s="1" cm="1">
        <f t="array" aca="1" ref="M703" ca="1">INDIRECT(CONCATENATE("'",$A$650,"'!k",B703),1)</f>
        <v>0</v>
      </c>
      <c r="N703" s="1" cm="1">
        <f t="array" aca="1" ref="N703" ca="1">INDIRECT(CONCATENATE("'",$A$650,"'!l",B703),1)</f>
        <v>0</v>
      </c>
      <c r="O703" s="1" cm="1">
        <f t="array" aca="1" ref="O703" ca="1">INDIRECT(CONCATENATE("'",$A$650,"'!m",B703),1)</f>
        <v>0</v>
      </c>
      <c r="P703" s="1" cm="1">
        <f t="array" aca="1" ref="P703" ca="1">INDIRECT(CONCATENATE("'",$A$650,"'!n",B703),1)</f>
        <v>0</v>
      </c>
      <c r="Q703" s="1" cm="1">
        <f t="array" aca="1" ref="Q703" ca="1">INDIRECT(CONCATENATE("'",$A$650,"'!o",B703),1)</f>
        <v>0</v>
      </c>
      <c r="R703" s="1" cm="1">
        <f t="array" aca="1" ref="R703" ca="1">INDIRECT(CONCATENATE("'",$A$650,"'!p",B703),1)</f>
        <v>0</v>
      </c>
      <c r="S703" s="1">
        <f t="shared" ca="1" si="53"/>
        <v>0</v>
      </c>
      <c r="T703" s="1" cm="1">
        <f t="array" aca="1" ref="T703" ca="1">INDIRECT(CONCATENATE("'",$A$650,"'!q",B703),1)</f>
        <v>0</v>
      </c>
      <c r="U703" s="1" cm="1">
        <f t="array" aca="1" ref="U703" ca="1">INDIRECT(CONCATENATE("'",$A$650,"'!r",B703),1)</f>
        <v>0</v>
      </c>
      <c r="V703" s="1" cm="1">
        <f t="array" aca="1" ref="V703" ca="1">INDIRECT(CONCATENATE("'",$A$650,"'!s",B703),1)</f>
        <v>0</v>
      </c>
      <c r="W703" s="1" cm="1">
        <f t="array" aca="1" ref="W703" ca="1">INDIRECT(CONCATENATE("'",$A$650,"'!t",B703),1)</f>
        <v>0</v>
      </c>
      <c r="X703" s="1" cm="1">
        <f t="array" aca="1" ref="X703" ca="1">INDIRECT(CONCATENATE("'",$A$650,"'!u",B703),1)</f>
        <v>0</v>
      </c>
      <c r="Y703" s="1" cm="1">
        <f t="array" aca="1" ref="Y703" ca="1">INDIRECT(CONCATENATE("'",$A$650,"'!v",B703),1)</f>
        <v>0</v>
      </c>
    </row>
    <row r="704" spans="1:25" hidden="1" x14ac:dyDescent="0.25">
      <c r="B704" s="24">
        <f t="shared" si="51"/>
        <v>56</v>
      </c>
      <c r="C704" s="1" cm="1">
        <f t="array" aca="1" ref="C704" ca="1">INDIRECT(CONCATENATE("'",$A$650,"'!A",B704),1)</f>
        <v>0</v>
      </c>
      <c r="D704" s="1" cm="1">
        <f t="array" aca="1" ref="D704" ca="1">INDIRECT(CONCATENATE("'",$A$650,"'!B",B704),1)</f>
        <v>0</v>
      </c>
      <c r="E704" s="1" cm="1">
        <f t="array" aca="1" ref="E704" ca="1">INDIRECT(CONCATENATE("'",$A$650,"'!c",B704),1)</f>
        <v>0</v>
      </c>
      <c r="F704" s="1" cm="1">
        <f t="array" aca="1" ref="F704" ca="1">INDIRECT(CONCATENATE("'",$A$650,"'!d",B704),1)</f>
        <v>0</v>
      </c>
      <c r="G704" s="1" cm="1">
        <f t="array" aca="1" ref="G704" ca="1">INDIRECT(CONCATENATE("'",$A$650,"'!e",B704),1)</f>
        <v>0</v>
      </c>
      <c r="H704" s="1" cm="1">
        <f t="array" aca="1" ref="H704" ca="1">INDIRECT(CONCATENATE("'",$A$650,"'!f",B704),1)</f>
        <v>0</v>
      </c>
      <c r="I704" s="1" cm="1">
        <f t="array" aca="1" ref="I704" ca="1">INDIRECT(CONCATENATE("'",$A$650,"'!g",B704),1)</f>
        <v>0</v>
      </c>
      <c r="J704" s="1" cm="1">
        <f t="array" aca="1" ref="J704" ca="1">INDIRECT(CONCATENATE("'",$A$650,"'!h",B704),1)</f>
        <v>0</v>
      </c>
      <c r="K704" s="1" cm="1">
        <f t="array" aca="1" ref="K704" ca="1">INDIRECT(CONCATENATE("'",$A$650,"'!i",B704),1)</f>
        <v>0</v>
      </c>
      <c r="L704" s="1" cm="1">
        <f t="array" aca="1" ref="L704" ca="1">INDIRECT(CONCATENATE("'",$A$650,"'!j",B704),1)</f>
        <v>0</v>
      </c>
      <c r="M704" s="1" cm="1">
        <f t="array" aca="1" ref="M704" ca="1">INDIRECT(CONCATENATE("'",$A$650,"'!k",B704),1)</f>
        <v>0</v>
      </c>
      <c r="N704" s="1" cm="1">
        <f t="array" aca="1" ref="N704" ca="1">INDIRECT(CONCATENATE("'",$A$650,"'!l",B704),1)</f>
        <v>0</v>
      </c>
      <c r="O704" s="1" cm="1">
        <f t="array" aca="1" ref="O704" ca="1">INDIRECT(CONCATENATE("'",$A$650,"'!m",B704),1)</f>
        <v>0</v>
      </c>
      <c r="P704" s="1" cm="1">
        <f t="array" aca="1" ref="P704" ca="1">INDIRECT(CONCATENATE("'",$A$650,"'!n",B704),1)</f>
        <v>0</v>
      </c>
      <c r="Q704" s="1" cm="1">
        <f t="array" aca="1" ref="Q704" ca="1">INDIRECT(CONCATENATE("'",$A$650,"'!o",B704),1)</f>
        <v>0</v>
      </c>
      <c r="R704" s="1" cm="1">
        <f t="array" aca="1" ref="R704" ca="1">INDIRECT(CONCATENATE("'",$A$650,"'!p",B704),1)</f>
        <v>0</v>
      </c>
      <c r="S704" s="1">
        <f t="shared" ca="1" si="53"/>
        <v>0</v>
      </c>
      <c r="T704" s="1" cm="1">
        <f t="array" aca="1" ref="T704" ca="1">INDIRECT(CONCATENATE("'",$A$650,"'!q",B704),1)</f>
        <v>0</v>
      </c>
      <c r="U704" s="1" cm="1">
        <f t="array" aca="1" ref="U704" ca="1">INDIRECT(CONCATENATE("'",$A$650,"'!r",B704),1)</f>
        <v>0</v>
      </c>
      <c r="V704" s="1" cm="1">
        <f t="array" aca="1" ref="V704" ca="1">INDIRECT(CONCATENATE("'",$A$650,"'!s",B704),1)</f>
        <v>0</v>
      </c>
      <c r="W704" s="1" cm="1">
        <f t="array" aca="1" ref="W704" ca="1">INDIRECT(CONCATENATE("'",$A$650,"'!t",B704),1)</f>
        <v>0</v>
      </c>
      <c r="X704" s="1" cm="1">
        <f t="array" aca="1" ref="X704" ca="1">INDIRECT(CONCATENATE("'",$A$650,"'!u",B704),1)</f>
        <v>0</v>
      </c>
      <c r="Y704" s="1" cm="1">
        <f t="array" aca="1" ref="Y704" ca="1">INDIRECT(CONCATENATE("'",$A$650,"'!v",B704),1)</f>
        <v>0</v>
      </c>
    </row>
    <row r="705" spans="2:25" hidden="1" x14ac:dyDescent="0.25">
      <c r="B705" s="24">
        <f t="shared" si="51"/>
        <v>57</v>
      </c>
      <c r="C705" s="1" cm="1">
        <f t="array" aca="1" ref="C705" ca="1">INDIRECT(CONCATENATE("'",$A$650,"'!A",B705),1)</f>
        <v>0</v>
      </c>
      <c r="D705" s="1" cm="1">
        <f t="array" aca="1" ref="D705" ca="1">INDIRECT(CONCATENATE("'",$A$650,"'!B",B705),1)</f>
        <v>0</v>
      </c>
      <c r="E705" s="1" cm="1">
        <f t="array" aca="1" ref="E705" ca="1">INDIRECT(CONCATENATE("'",$A$650,"'!c",B705),1)</f>
        <v>0</v>
      </c>
      <c r="F705" s="1" cm="1">
        <f t="array" aca="1" ref="F705" ca="1">INDIRECT(CONCATENATE("'",$A$650,"'!d",B705),1)</f>
        <v>0</v>
      </c>
      <c r="G705" s="1" cm="1">
        <f t="array" aca="1" ref="G705" ca="1">INDIRECT(CONCATENATE("'",$A$650,"'!e",B705),1)</f>
        <v>0</v>
      </c>
      <c r="H705" s="1" cm="1">
        <f t="array" aca="1" ref="H705" ca="1">INDIRECT(CONCATENATE("'",$A$650,"'!f",B705),1)</f>
        <v>0</v>
      </c>
      <c r="I705" s="1" cm="1">
        <f t="array" aca="1" ref="I705" ca="1">INDIRECT(CONCATENATE("'",$A$650,"'!g",B705),1)</f>
        <v>0</v>
      </c>
      <c r="J705" s="1" cm="1">
        <f t="array" aca="1" ref="J705" ca="1">INDIRECT(CONCATENATE("'",$A$650,"'!h",B705),1)</f>
        <v>0</v>
      </c>
      <c r="K705" s="1" cm="1">
        <f t="array" aca="1" ref="K705" ca="1">INDIRECT(CONCATENATE("'",$A$650,"'!i",B705),1)</f>
        <v>0</v>
      </c>
      <c r="L705" s="1" cm="1">
        <f t="array" aca="1" ref="L705" ca="1">INDIRECT(CONCATENATE("'",$A$650,"'!j",B705),1)</f>
        <v>0</v>
      </c>
      <c r="M705" s="1" cm="1">
        <f t="array" aca="1" ref="M705" ca="1">INDIRECT(CONCATENATE("'",$A$650,"'!k",B705),1)</f>
        <v>0</v>
      </c>
      <c r="N705" s="1" cm="1">
        <f t="array" aca="1" ref="N705" ca="1">INDIRECT(CONCATENATE("'",$A$650,"'!l",B705),1)</f>
        <v>0</v>
      </c>
      <c r="O705" s="1" cm="1">
        <f t="array" aca="1" ref="O705" ca="1">INDIRECT(CONCATENATE("'",$A$650,"'!m",B705),1)</f>
        <v>0</v>
      </c>
      <c r="P705" s="1" cm="1">
        <f t="array" aca="1" ref="P705" ca="1">INDIRECT(CONCATENATE("'",$A$650,"'!n",B705),1)</f>
        <v>0</v>
      </c>
      <c r="Q705" s="1" cm="1">
        <f t="array" aca="1" ref="Q705" ca="1">INDIRECT(CONCATENATE("'",$A$650,"'!o",B705),1)</f>
        <v>0</v>
      </c>
      <c r="R705" s="1" cm="1">
        <f t="array" aca="1" ref="R705" ca="1">INDIRECT(CONCATENATE("'",$A$650,"'!p",B705),1)</f>
        <v>0</v>
      </c>
      <c r="S705" s="1">
        <f t="shared" ca="1" si="52"/>
        <v>0</v>
      </c>
      <c r="T705" s="1" cm="1">
        <f t="array" aca="1" ref="T705" ca="1">INDIRECT(CONCATENATE("'",$A$650,"'!q",B705),1)</f>
        <v>0</v>
      </c>
      <c r="U705" s="1" cm="1">
        <f t="array" aca="1" ref="U705" ca="1">INDIRECT(CONCATENATE("'",$A$650,"'!r",B705),1)</f>
        <v>0</v>
      </c>
      <c r="V705" s="1" cm="1">
        <f t="array" aca="1" ref="V705" ca="1">INDIRECT(CONCATENATE("'",$A$650,"'!s",B705),1)</f>
        <v>0</v>
      </c>
      <c r="W705" s="1" cm="1">
        <f t="array" aca="1" ref="W705" ca="1">INDIRECT(CONCATENATE("'",$A$650,"'!t",B705),1)</f>
        <v>0</v>
      </c>
      <c r="X705" s="1" cm="1">
        <f t="array" aca="1" ref="X705" ca="1">INDIRECT(CONCATENATE("'",$A$650,"'!u",B705),1)</f>
        <v>0</v>
      </c>
      <c r="Y705" s="1" cm="1">
        <f t="array" aca="1" ref="Y705" ca="1">INDIRECT(CONCATENATE("'",$A$650,"'!v",B705),1)</f>
        <v>0</v>
      </c>
    </row>
    <row r="706" spans="2:25" hidden="1" x14ac:dyDescent="0.25">
      <c r="B706" s="24">
        <f t="shared" si="51"/>
        <v>58</v>
      </c>
      <c r="C706" s="1" cm="1">
        <f t="array" aca="1" ref="C706" ca="1">INDIRECT(CONCATENATE("'",$A$650,"'!A",B706),1)</f>
        <v>0</v>
      </c>
      <c r="D706" s="1" cm="1">
        <f t="array" aca="1" ref="D706" ca="1">INDIRECT(CONCATENATE("'",$A$650,"'!B",B706),1)</f>
        <v>0</v>
      </c>
      <c r="E706" s="1" cm="1">
        <f t="array" aca="1" ref="E706" ca="1">INDIRECT(CONCATENATE("'",$A$650,"'!c",B706),1)</f>
        <v>0</v>
      </c>
      <c r="F706" s="1" cm="1">
        <f t="array" aca="1" ref="F706" ca="1">INDIRECT(CONCATENATE("'",$A$650,"'!d",B706),1)</f>
        <v>0</v>
      </c>
      <c r="G706" s="1" cm="1">
        <f t="array" aca="1" ref="G706" ca="1">INDIRECT(CONCATENATE("'",$A$650,"'!e",B706),1)</f>
        <v>0</v>
      </c>
      <c r="H706" s="1" cm="1">
        <f t="array" aca="1" ref="H706" ca="1">INDIRECT(CONCATENATE("'",$A$650,"'!f",B706),1)</f>
        <v>0</v>
      </c>
      <c r="I706" s="1" cm="1">
        <f t="array" aca="1" ref="I706" ca="1">INDIRECT(CONCATENATE("'",$A$650,"'!g",B706),1)</f>
        <v>0</v>
      </c>
      <c r="J706" s="1" cm="1">
        <f t="array" aca="1" ref="J706" ca="1">INDIRECT(CONCATENATE("'",$A$650,"'!h",B706),1)</f>
        <v>0</v>
      </c>
      <c r="K706" s="1" cm="1">
        <f t="array" aca="1" ref="K706" ca="1">INDIRECT(CONCATENATE("'",$A$650,"'!i",B706),1)</f>
        <v>0</v>
      </c>
      <c r="L706" s="1" cm="1">
        <f t="array" aca="1" ref="L706" ca="1">INDIRECT(CONCATENATE("'",$A$650,"'!j",B706),1)</f>
        <v>0</v>
      </c>
      <c r="M706" s="1" cm="1">
        <f t="array" aca="1" ref="M706" ca="1">INDIRECT(CONCATENATE("'",$A$650,"'!k",B706),1)</f>
        <v>0</v>
      </c>
      <c r="N706" s="1" cm="1">
        <f t="array" aca="1" ref="N706" ca="1">INDIRECT(CONCATENATE("'",$A$650,"'!l",B706),1)</f>
        <v>0</v>
      </c>
      <c r="O706" s="1" cm="1">
        <f t="array" aca="1" ref="O706" ca="1">INDIRECT(CONCATENATE("'",$A$650,"'!m",B706),1)</f>
        <v>0</v>
      </c>
      <c r="P706" s="1" cm="1">
        <f t="array" aca="1" ref="P706" ca="1">INDIRECT(CONCATENATE("'",$A$650,"'!n",B706),1)</f>
        <v>0</v>
      </c>
      <c r="Q706" s="1" cm="1">
        <f t="array" aca="1" ref="Q706" ca="1">INDIRECT(CONCATENATE("'",$A$650,"'!o",B706),1)</f>
        <v>0</v>
      </c>
      <c r="R706" s="1" cm="1">
        <f t="array" aca="1" ref="R706" ca="1">INDIRECT(CONCATENATE("'",$A$650,"'!p",B706),1)</f>
        <v>0</v>
      </c>
      <c r="S706" s="1">
        <f t="shared" ca="1" si="52"/>
        <v>0</v>
      </c>
      <c r="T706" s="1" cm="1">
        <f t="array" aca="1" ref="T706" ca="1">INDIRECT(CONCATENATE("'",$A$650,"'!q",B706),1)</f>
        <v>0</v>
      </c>
      <c r="U706" s="1" cm="1">
        <f t="array" aca="1" ref="U706" ca="1">INDIRECT(CONCATENATE("'",$A$650,"'!r",B706),1)</f>
        <v>0</v>
      </c>
      <c r="V706" s="1" cm="1">
        <f t="array" aca="1" ref="V706" ca="1">INDIRECT(CONCATENATE("'",$A$650,"'!s",B706),1)</f>
        <v>0</v>
      </c>
      <c r="W706" s="1" cm="1">
        <f t="array" aca="1" ref="W706" ca="1">INDIRECT(CONCATENATE("'",$A$650,"'!t",B706),1)</f>
        <v>0</v>
      </c>
      <c r="X706" s="1" cm="1">
        <f t="array" aca="1" ref="X706" ca="1">INDIRECT(CONCATENATE("'",$A$650,"'!u",B706),1)</f>
        <v>0</v>
      </c>
      <c r="Y706" s="1" cm="1">
        <f t="array" aca="1" ref="Y706" ca="1">INDIRECT(CONCATENATE("'",$A$650,"'!v",B706),1)</f>
        <v>0</v>
      </c>
    </row>
    <row r="707" spans="2:25" hidden="1" x14ac:dyDescent="0.25">
      <c r="B707" s="24">
        <f t="shared" si="51"/>
        <v>59</v>
      </c>
      <c r="C707" s="1" cm="1">
        <f t="array" aca="1" ref="C707" ca="1">INDIRECT(CONCATENATE("'",$A$650,"'!A",B707),1)</f>
        <v>0</v>
      </c>
      <c r="D707" s="1" cm="1">
        <f t="array" aca="1" ref="D707" ca="1">INDIRECT(CONCATENATE("'",$A$650,"'!B",B707),1)</f>
        <v>0</v>
      </c>
      <c r="E707" s="1" cm="1">
        <f t="array" aca="1" ref="E707" ca="1">INDIRECT(CONCATENATE("'",$A$650,"'!c",B707),1)</f>
        <v>0</v>
      </c>
      <c r="F707" s="1" cm="1">
        <f t="array" aca="1" ref="F707" ca="1">INDIRECT(CONCATENATE("'",$A$650,"'!d",B707),1)</f>
        <v>0</v>
      </c>
      <c r="G707" s="1" cm="1">
        <f t="array" aca="1" ref="G707" ca="1">INDIRECT(CONCATENATE("'",$A$650,"'!e",B707),1)</f>
        <v>0</v>
      </c>
      <c r="H707" s="1" cm="1">
        <f t="array" aca="1" ref="H707" ca="1">INDIRECT(CONCATENATE("'",$A$650,"'!f",B707),1)</f>
        <v>0</v>
      </c>
      <c r="I707" s="1" cm="1">
        <f t="array" aca="1" ref="I707" ca="1">INDIRECT(CONCATENATE("'",$A$650,"'!g",B707),1)</f>
        <v>0</v>
      </c>
      <c r="J707" s="1" cm="1">
        <f t="array" aca="1" ref="J707" ca="1">INDIRECT(CONCATENATE("'",$A$650,"'!h",B707),1)</f>
        <v>0</v>
      </c>
      <c r="K707" s="1" cm="1">
        <f t="array" aca="1" ref="K707" ca="1">INDIRECT(CONCATENATE("'",$A$650,"'!i",B707),1)</f>
        <v>0</v>
      </c>
      <c r="L707" s="1" cm="1">
        <f t="array" aca="1" ref="L707" ca="1">INDIRECT(CONCATENATE("'",$A$650,"'!j",B707),1)</f>
        <v>0</v>
      </c>
      <c r="M707" s="1" cm="1">
        <f t="array" aca="1" ref="M707" ca="1">INDIRECT(CONCATENATE("'",$A$650,"'!k",B707),1)</f>
        <v>0</v>
      </c>
      <c r="N707" s="1" cm="1">
        <f t="array" aca="1" ref="N707" ca="1">INDIRECT(CONCATENATE("'",$A$650,"'!l",B707),1)</f>
        <v>0</v>
      </c>
      <c r="O707" s="1" cm="1">
        <f t="array" aca="1" ref="O707" ca="1">INDIRECT(CONCATENATE("'",$A$650,"'!m",B707),1)</f>
        <v>0</v>
      </c>
      <c r="P707" s="1" cm="1">
        <f t="array" aca="1" ref="P707" ca="1">INDIRECT(CONCATENATE("'",$A$650,"'!n",B707),1)</f>
        <v>0</v>
      </c>
      <c r="Q707" s="1" cm="1">
        <f t="array" aca="1" ref="Q707" ca="1">INDIRECT(CONCATENATE("'",$A$650,"'!o",B707),1)</f>
        <v>0</v>
      </c>
      <c r="R707" s="1" cm="1">
        <f t="array" aca="1" ref="R707" ca="1">INDIRECT(CONCATENATE("'",$A$650,"'!p",B707),1)</f>
        <v>0</v>
      </c>
      <c r="S707" s="1">
        <f t="shared" ca="1" si="52"/>
        <v>0</v>
      </c>
      <c r="T707" s="1" cm="1">
        <f t="array" aca="1" ref="T707" ca="1">INDIRECT(CONCATENATE("'",$A$650,"'!q",B707),1)</f>
        <v>0</v>
      </c>
      <c r="U707" s="1" cm="1">
        <f t="array" aca="1" ref="U707" ca="1">INDIRECT(CONCATENATE("'",$A$650,"'!r",B707),1)</f>
        <v>0</v>
      </c>
      <c r="V707" s="1" cm="1">
        <f t="array" aca="1" ref="V707" ca="1">INDIRECT(CONCATENATE("'",$A$650,"'!s",B707),1)</f>
        <v>0</v>
      </c>
      <c r="W707" s="1" cm="1">
        <f t="array" aca="1" ref="W707" ca="1">INDIRECT(CONCATENATE("'",$A$650,"'!t",B707),1)</f>
        <v>0</v>
      </c>
      <c r="X707" s="1" cm="1">
        <f t="array" aca="1" ref="X707" ca="1">INDIRECT(CONCATENATE("'",$A$650,"'!u",B707),1)</f>
        <v>0</v>
      </c>
      <c r="Y707" s="1" cm="1">
        <f t="array" aca="1" ref="Y707" ca="1">INDIRECT(CONCATENATE("'",$A$650,"'!v",B707),1)</f>
        <v>0</v>
      </c>
    </row>
    <row r="708" spans="2:25" hidden="1" x14ac:dyDescent="0.25">
      <c r="B708" s="24">
        <f t="shared" si="51"/>
        <v>60</v>
      </c>
      <c r="C708" s="1" cm="1">
        <f t="array" aca="1" ref="C708" ca="1">INDIRECT(CONCATENATE("'",$A$650,"'!A",B708),1)</f>
        <v>0</v>
      </c>
      <c r="D708" s="1" cm="1">
        <f t="array" aca="1" ref="D708" ca="1">INDIRECT(CONCATENATE("'",$A$650,"'!B",B708),1)</f>
        <v>0</v>
      </c>
      <c r="E708" s="1" cm="1">
        <f t="array" aca="1" ref="E708" ca="1">INDIRECT(CONCATENATE("'",$A$650,"'!c",B708),1)</f>
        <v>0</v>
      </c>
      <c r="F708" s="1" cm="1">
        <f t="array" aca="1" ref="F708" ca="1">INDIRECT(CONCATENATE("'",$A$650,"'!d",B708),1)</f>
        <v>0</v>
      </c>
      <c r="G708" s="1" cm="1">
        <f t="array" aca="1" ref="G708" ca="1">INDIRECT(CONCATENATE("'",$A$650,"'!e",B708),1)</f>
        <v>0</v>
      </c>
      <c r="H708" s="1" cm="1">
        <f t="array" aca="1" ref="H708" ca="1">INDIRECT(CONCATENATE("'",$A$650,"'!f",B708),1)</f>
        <v>0</v>
      </c>
      <c r="I708" s="1" cm="1">
        <f t="array" aca="1" ref="I708" ca="1">INDIRECT(CONCATENATE("'",$A$650,"'!g",B708),1)</f>
        <v>0</v>
      </c>
      <c r="J708" s="1" cm="1">
        <f t="array" aca="1" ref="J708" ca="1">INDIRECT(CONCATENATE("'",$A$650,"'!h",B708),1)</f>
        <v>0</v>
      </c>
      <c r="K708" s="1" cm="1">
        <f t="array" aca="1" ref="K708" ca="1">INDIRECT(CONCATENATE("'",$A$650,"'!i",B708),1)</f>
        <v>0</v>
      </c>
      <c r="L708" s="1" cm="1">
        <f t="array" aca="1" ref="L708" ca="1">INDIRECT(CONCATENATE("'",$A$650,"'!j",B708),1)</f>
        <v>0</v>
      </c>
      <c r="M708" s="1" cm="1">
        <f t="array" aca="1" ref="M708" ca="1">INDIRECT(CONCATENATE("'",$A$650,"'!k",B708),1)</f>
        <v>0</v>
      </c>
      <c r="N708" s="1" cm="1">
        <f t="array" aca="1" ref="N708" ca="1">INDIRECT(CONCATENATE("'",$A$650,"'!l",B708),1)</f>
        <v>0</v>
      </c>
      <c r="O708" s="1" cm="1">
        <f t="array" aca="1" ref="O708" ca="1">INDIRECT(CONCATENATE("'",$A$650,"'!m",B708),1)</f>
        <v>0</v>
      </c>
      <c r="P708" s="1" cm="1">
        <f t="array" aca="1" ref="P708" ca="1">INDIRECT(CONCATENATE("'",$A$650,"'!n",B708),1)</f>
        <v>0</v>
      </c>
      <c r="Q708" s="1" cm="1">
        <f t="array" aca="1" ref="Q708" ca="1">INDIRECT(CONCATENATE("'",$A$650,"'!o",B708),1)</f>
        <v>0</v>
      </c>
      <c r="R708" s="1" cm="1">
        <f t="array" aca="1" ref="R708" ca="1">INDIRECT(CONCATENATE("'",$A$650,"'!p",B708),1)</f>
        <v>0</v>
      </c>
      <c r="S708" s="1">
        <f t="shared" ca="1" si="52"/>
        <v>0</v>
      </c>
      <c r="T708" s="1" cm="1">
        <f t="array" aca="1" ref="T708" ca="1">INDIRECT(CONCATENATE("'",$A$650,"'!q",B708),1)</f>
        <v>0</v>
      </c>
      <c r="U708" s="1" cm="1">
        <f t="array" aca="1" ref="U708" ca="1">INDIRECT(CONCATENATE("'",$A$650,"'!r",B708),1)</f>
        <v>0</v>
      </c>
      <c r="V708" s="1" cm="1">
        <f t="array" aca="1" ref="V708" ca="1">INDIRECT(CONCATENATE("'",$A$650,"'!s",B708),1)</f>
        <v>0</v>
      </c>
      <c r="W708" s="1" cm="1">
        <f t="array" aca="1" ref="W708" ca="1">INDIRECT(CONCATENATE("'",$A$650,"'!t",B708),1)</f>
        <v>0</v>
      </c>
      <c r="X708" s="1" cm="1">
        <f t="array" aca="1" ref="X708" ca="1">INDIRECT(CONCATENATE("'",$A$650,"'!u",B708),1)</f>
        <v>0</v>
      </c>
      <c r="Y708" s="1" cm="1">
        <f t="array" aca="1" ref="Y708" ca="1">INDIRECT(CONCATENATE("'",$A$650,"'!v",B708),1)</f>
        <v>0</v>
      </c>
    </row>
    <row r="709" spans="2:25" hidden="1" x14ac:dyDescent="0.25">
      <c r="B709" s="24">
        <f t="shared" si="51"/>
        <v>61</v>
      </c>
      <c r="C709" s="1" cm="1">
        <f t="array" aca="1" ref="C709" ca="1">INDIRECT(CONCATENATE("'",$A$650,"'!A",B709),1)</f>
        <v>0</v>
      </c>
      <c r="D709" s="1" cm="1">
        <f t="array" aca="1" ref="D709" ca="1">INDIRECT(CONCATENATE("'",$A$650,"'!B",B709),1)</f>
        <v>0</v>
      </c>
      <c r="E709" s="1" cm="1">
        <f t="array" aca="1" ref="E709" ca="1">INDIRECT(CONCATENATE("'",$A$650,"'!c",B709),1)</f>
        <v>0</v>
      </c>
      <c r="F709" s="1" cm="1">
        <f t="array" aca="1" ref="F709" ca="1">INDIRECT(CONCATENATE("'",$A$650,"'!d",B709),1)</f>
        <v>0</v>
      </c>
      <c r="G709" s="1" cm="1">
        <f t="array" aca="1" ref="G709" ca="1">INDIRECT(CONCATENATE("'",$A$650,"'!e",B709),1)</f>
        <v>0</v>
      </c>
      <c r="H709" s="1" cm="1">
        <f t="array" aca="1" ref="H709" ca="1">INDIRECT(CONCATENATE("'",$A$650,"'!f",B709),1)</f>
        <v>0</v>
      </c>
      <c r="I709" s="1" cm="1">
        <f t="array" aca="1" ref="I709" ca="1">INDIRECT(CONCATENATE("'",$A$650,"'!g",B709),1)</f>
        <v>0</v>
      </c>
      <c r="J709" s="1" cm="1">
        <f t="array" aca="1" ref="J709" ca="1">INDIRECT(CONCATENATE("'",$A$650,"'!h",B709),1)</f>
        <v>0</v>
      </c>
      <c r="K709" s="1" cm="1">
        <f t="array" aca="1" ref="K709" ca="1">INDIRECT(CONCATENATE("'",$A$650,"'!i",B709),1)</f>
        <v>0</v>
      </c>
      <c r="L709" s="1" cm="1">
        <f t="array" aca="1" ref="L709" ca="1">INDIRECT(CONCATENATE("'",$A$650,"'!j",B709),1)</f>
        <v>0</v>
      </c>
      <c r="M709" s="1" cm="1">
        <f t="array" aca="1" ref="M709" ca="1">INDIRECT(CONCATENATE("'",$A$650,"'!k",B709),1)</f>
        <v>0</v>
      </c>
      <c r="N709" s="1" cm="1">
        <f t="array" aca="1" ref="N709" ca="1">INDIRECT(CONCATENATE("'",$A$650,"'!l",B709),1)</f>
        <v>0</v>
      </c>
      <c r="O709" s="1" cm="1">
        <f t="array" aca="1" ref="O709" ca="1">INDIRECT(CONCATENATE("'",$A$650,"'!m",B709),1)</f>
        <v>0</v>
      </c>
      <c r="P709" s="1" cm="1">
        <f t="array" aca="1" ref="P709" ca="1">INDIRECT(CONCATENATE("'",$A$650,"'!n",B709),1)</f>
        <v>0</v>
      </c>
      <c r="Q709" s="1" cm="1">
        <f t="array" aca="1" ref="Q709" ca="1">INDIRECT(CONCATENATE("'",$A$650,"'!o",B709),1)</f>
        <v>0</v>
      </c>
      <c r="R709" s="1" cm="1">
        <f t="array" aca="1" ref="R709" ca="1">INDIRECT(CONCATENATE("'",$A$650,"'!p",B709),1)</f>
        <v>0</v>
      </c>
      <c r="S709" s="1">
        <f t="shared" ca="1" si="52"/>
        <v>0</v>
      </c>
      <c r="T709" s="1" cm="1">
        <f t="array" aca="1" ref="T709" ca="1">INDIRECT(CONCATENATE("'",$A$650,"'!q",B709),1)</f>
        <v>0</v>
      </c>
      <c r="U709" s="1" cm="1">
        <f t="array" aca="1" ref="U709" ca="1">INDIRECT(CONCATENATE("'",$A$650,"'!r",B709),1)</f>
        <v>0</v>
      </c>
      <c r="V709" s="1" cm="1">
        <f t="array" aca="1" ref="V709" ca="1">INDIRECT(CONCATENATE("'",$A$650,"'!s",B709),1)</f>
        <v>0</v>
      </c>
      <c r="W709" s="1" cm="1">
        <f t="array" aca="1" ref="W709" ca="1">INDIRECT(CONCATENATE("'",$A$650,"'!t",B709),1)</f>
        <v>0</v>
      </c>
      <c r="X709" s="1" cm="1">
        <f t="array" aca="1" ref="X709" ca="1">INDIRECT(CONCATENATE("'",$A$650,"'!u",B709),1)</f>
        <v>0</v>
      </c>
      <c r="Y709" s="1" cm="1">
        <f t="array" aca="1" ref="Y709" ca="1">INDIRECT(CONCATENATE("'",$A$650,"'!v",B709),1)</f>
        <v>0</v>
      </c>
    </row>
    <row r="710" spans="2:25" hidden="1" x14ac:dyDescent="0.25">
      <c r="B710" s="24">
        <f t="shared" si="51"/>
        <v>62</v>
      </c>
      <c r="C710" s="1" cm="1">
        <f t="array" aca="1" ref="C710" ca="1">INDIRECT(CONCATENATE("'",$A$650,"'!A",B710),1)</f>
        <v>0</v>
      </c>
      <c r="D710" s="1" cm="1">
        <f t="array" aca="1" ref="D710" ca="1">INDIRECT(CONCATENATE("'",$A$650,"'!B",B710),1)</f>
        <v>0</v>
      </c>
      <c r="E710" s="1" cm="1">
        <f t="array" aca="1" ref="E710" ca="1">INDIRECT(CONCATENATE("'",$A$650,"'!c",B710),1)</f>
        <v>0</v>
      </c>
      <c r="F710" s="1" cm="1">
        <f t="array" aca="1" ref="F710" ca="1">INDIRECT(CONCATENATE("'",$A$650,"'!d",B710),1)</f>
        <v>0</v>
      </c>
      <c r="G710" s="1" cm="1">
        <f t="array" aca="1" ref="G710" ca="1">INDIRECT(CONCATENATE("'",$A$650,"'!e",B710),1)</f>
        <v>0</v>
      </c>
      <c r="H710" s="1" cm="1">
        <f t="array" aca="1" ref="H710" ca="1">INDIRECT(CONCATENATE("'",$A$650,"'!f",B710),1)</f>
        <v>0</v>
      </c>
      <c r="I710" s="1" cm="1">
        <f t="array" aca="1" ref="I710" ca="1">INDIRECT(CONCATENATE("'",$A$650,"'!g",B710),1)</f>
        <v>0</v>
      </c>
      <c r="J710" s="1" cm="1">
        <f t="array" aca="1" ref="J710" ca="1">INDIRECT(CONCATENATE("'",$A$650,"'!h",B710),1)</f>
        <v>0</v>
      </c>
      <c r="K710" s="1" cm="1">
        <f t="array" aca="1" ref="K710" ca="1">INDIRECT(CONCATENATE("'",$A$650,"'!i",B710),1)</f>
        <v>0</v>
      </c>
      <c r="L710" s="1" cm="1">
        <f t="array" aca="1" ref="L710" ca="1">INDIRECT(CONCATENATE("'",$A$650,"'!j",B710),1)</f>
        <v>0</v>
      </c>
      <c r="M710" s="1" cm="1">
        <f t="array" aca="1" ref="M710" ca="1">INDIRECT(CONCATENATE("'",$A$650,"'!k",B710),1)</f>
        <v>0</v>
      </c>
      <c r="N710" s="1" cm="1">
        <f t="array" aca="1" ref="N710" ca="1">INDIRECT(CONCATENATE("'",$A$650,"'!l",B710),1)</f>
        <v>0</v>
      </c>
      <c r="O710" s="1" cm="1">
        <f t="array" aca="1" ref="O710" ca="1">INDIRECT(CONCATENATE("'",$A$650,"'!m",B710),1)</f>
        <v>0</v>
      </c>
      <c r="P710" s="1" cm="1">
        <f t="array" aca="1" ref="P710" ca="1">INDIRECT(CONCATENATE("'",$A$650,"'!n",B710),1)</f>
        <v>0</v>
      </c>
      <c r="Q710" s="1" cm="1">
        <f t="array" aca="1" ref="Q710" ca="1">INDIRECT(CONCATENATE("'",$A$650,"'!o",B710),1)</f>
        <v>0</v>
      </c>
      <c r="R710" s="1" cm="1">
        <f t="array" aca="1" ref="R710" ca="1">INDIRECT(CONCATENATE("'",$A$650,"'!p",B710),1)</f>
        <v>0</v>
      </c>
      <c r="S710" s="1">
        <f t="shared" ca="1" si="52"/>
        <v>0</v>
      </c>
      <c r="T710" s="1" cm="1">
        <f t="array" aca="1" ref="T710" ca="1">INDIRECT(CONCATENATE("'",$A$650,"'!q",B710),1)</f>
        <v>0</v>
      </c>
      <c r="U710" s="1" cm="1">
        <f t="array" aca="1" ref="U710" ca="1">INDIRECT(CONCATENATE("'",$A$650,"'!r",B710),1)</f>
        <v>0</v>
      </c>
      <c r="V710" s="1" cm="1">
        <f t="array" aca="1" ref="V710" ca="1">INDIRECT(CONCATENATE("'",$A$650,"'!s",B710),1)</f>
        <v>0</v>
      </c>
      <c r="W710" s="1" cm="1">
        <f t="array" aca="1" ref="W710" ca="1">INDIRECT(CONCATENATE("'",$A$650,"'!t",B710),1)</f>
        <v>0</v>
      </c>
      <c r="X710" s="1" cm="1">
        <f t="array" aca="1" ref="X710" ca="1">INDIRECT(CONCATENATE("'",$A$650,"'!u",B710),1)</f>
        <v>0</v>
      </c>
      <c r="Y710" s="1" cm="1">
        <f t="array" aca="1" ref="Y710" ca="1">INDIRECT(CONCATENATE("'",$A$650,"'!v",B710),1)</f>
        <v>0</v>
      </c>
    </row>
    <row r="711" spans="2:25" hidden="1" x14ac:dyDescent="0.25">
      <c r="B711" s="24">
        <f t="shared" si="51"/>
        <v>63</v>
      </c>
      <c r="C711" s="1" cm="1">
        <f t="array" aca="1" ref="C711" ca="1">INDIRECT(CONCATENATE("'",$A$650,"'!A",B711),1)</f>
        <v>0</v>
      </c>
      <c r="D711" s="1" cm="1">
        <f t="array" aca="1" ref="D711" ca="1">INDIRECT(CONCATENATE("'",$A$650,"'!B",B711),1)</f>
        <v>0</v>
      </c>
      <c r="E711" s="1" cm="1">
        <f t="array" aca="1" ref="E711" ca="1">INDIRECT(CONCATENATE("'",$A$650,"'!c",B711),1)</f>
        <v>0</v>
      </c>
      <c r="F711" s="1" cm="1">
        <f t="array" aca="1" ref="F711" ca="1">INDIRECT(CONCATENATE("'",$A$650,"'!d",B711),1)</f>
        <v>0</v>
      </c>
      <c r="G711" s="1" cm="1">
        <f t="array" aca="1" ref="G711" ca="1">INDIRECT(CONCATENATE("'",$A$650,"'!e",B711),1)</f>
        <v>0</v>
      </c>
      <c r="H711" s="1" cm="1">
        <f t="array" aca="1" ref="H711" ca="1">INDIRECT(CONCATENATE("'",$A$650,"'!f",B711),1)</f>
        <v>0</v>
      </c>
      <c r="I711" s="1" cm="1">
        <f t="array" aca="1" ref="I711" ca="1">INDIRECT(CONCATENATE("'",$A$650,"'!g",B711),1)</f>
        <v>0</v>
      </c>
      <c r="J711" s="1" cm="1">
        <f t="array" aca="1" ref="J711" ca="1">INDIRECT(CONCATENATE("'",$A$650,"'!h",B711),1)</f>
        <v>0</v>
      </c>
      <c r="K711" s="1" cm="1">
        <f t="array" aca="1" ref="K711" ca="1">INDIRECT(CONCATENATE("'",$A$650,"'!i",B711),1)</f>
        <v>0</v>
      </c>
      <c r="L711" s="1" cm="1">
        <f t="array" aca="1" ref="L711" ca="1">INDIRECT(CONCATENATE("'",$A$650,"'!j",B711),1)</f>
        <v>0</v>
      </c>
      <c r="M711" s="1" cm="1">
        <f t="array" aca="1" ref="M711" ca="1">INDIRECT(CONCATENATE("'",$A$650,"'!k",B711),1)</f>
        <v>0</v>
      </c>
      <c r="N711" s="1" cm="1">
        <f t="array" aca="1" ref="N711" ca="1">INDIRECT(CONCATENATE("'",$A$650,"'!l",B711),1)</f>
        <v>0</v>
      </c>
      <c r="O711" s="1" cm="1">
        <f t="array" aca="1" ref="O711" ca="1">INDIRECT(CONCATENATE("'",$A$650,"'!m",B711),1)</f>
        <v>0</v>
      </c>
      <c r="P711" s="1" cm="1">
        <f t="array" aca="1" ref="P711" ca="1">INDIRECT(CONCATENATE("'",$A$650,"'!n",B711),1)</f>
        <v>0</v>
      </c>
      <c r="Q711" s="1" cm="1">
        <f t="array" aca="1" ref="Q711" ca="1">INDIRECT(CONCATENATE("'",$A$650,"'!o",B711),1)</f>
        <v>0</v>
      </c>
      <c r="R711" s="1" cm="1">
        <f t="array" aca="1" ref="R711" ca="1">INDIRECT(CONCATENATE("'",$A$650,"'!p",B711),1)</f>
        <v>0</v>
      </c>
      <c r="S711" s="1">
        <f t="shared" ca="1" si="52"/>
        <v>0</v>
      </c>
      <c r="T711" s="1" cm="1">
        <f t="array" aca="1" ref="T711" ca="1">INDIRECT(CONCATENATE("'",$A$650,"'!q",B711),1)</f>
        <v>0</v>
      </c>
      <c r="U711" s="1" cm="1">
        <f t="array" aca="1" ref="U711" ca="1">INDIRECT(CONCATENATE("'",$A$650,"'!r",B711),1)</f>
        <v>0</v>
      </c>
      <c r="V711" s="1" cm="1">
        <f t="array" aca="1" ref="V711" ca="1">INDIRECT(CONCATENATE("'",$A$650,"'!s",B711),1)</f>
        <v>0</v>
      </c>
      <c r="W711" s="1" cm="1">
        <f t="array" aca="1" ref="W711" ca="1">INDIRECT(CONCATENATE("'",$A$650,"'!t",B711),1)</f>
        <v>0</v>
      </c>
      <c r="X711" s="1" cm="1">
        <f t="array" aca="1" ref="X711" ca="1">INDIRECT(CONCATENATE("'",$A$650,"'!u",B711),1)</f>
        <v>0</v>
      </c>
      <c r="Y711" s="1" cm="1">
        <f t="array" aca="1" ref="Y711" ca="1">INDIRECT(CONCATENATE("'",$A$650,"'!v",B711),1)</f>
        <v>0</v>
      </c>
    </row>
    <row r="712" spans="2:25" hidden="1" x14ac:dyDescent="0.25">
      <c r="B712" s="24">
        <f t="shared" si="51"/>
        <v>64</v>
      </c>
      <c r="C712" s="1" cm="1">
        <f t="array" aca="1" ref="C712" ca="1">INDIRECT(CONCATENATE("'",$A$650,"'!A",B712),1)</f>
        <v>0</v>
      </c>
      <c r="D712" s="1" cm="1">
        <f t="array" aca="1" ref="D712" ca="1">INDIRECT(CONCATENATE("'",$A$650,"'!B",B712),1)</f>
        <v>0</v>
      </c>
      <c r="E712" s="1" cm="1">
        <f t="array" aca="1" ref="E712" ca="1">INDIRECT(CONCATENATE("'",$A$650,"'!c",B712),1)</f>
        <v>0</v>
      </c>
      <c r="F712" s="1" cm="1">
        <f t="array" aca="1" ref="F712" ca="1">INDIRECT(CONCATENATE("'",$A$650,"'!d",B712),1)</f>
        <v>0</v>
      </c>
      <c r="G712" s="1" cm="1">
        <f t="array" aca="1" ref="G712" ca="1">INDIRECT(CONCATENATE("'",$A$650,"'!e",B712),1)</f>
        <v>0</v>
      </c>
      <c r="H712" s="1" cm="1">
        <f t="array" aca="1" ref="H712" ca="1">INDIRECT(CONCATENATE("'",$A$650,"'!f",B712),1)</f>
        <v>0</v>
      </c>
      <c r="I712" s="1" cm="1">
        <f t="array" aca="1" ref="I712" ca="1">INDIRECT(CONCATENATE("'",$A$650,"'!g",B712),1)</f>
        <v>0</v>
      </c>
      <c r="J712" s="1" cm="1">
        <f t="array" aca="1" ref="J712" ca="1">INDIRECT(CONCATENATE("'",$A$650,"'!h",B712),1)</f>
        <v>0</v>
      </c>
      <c r="K712" s="1" cm="1">
        <f t="array" aca="1" ref="K712" ca="1">INDIRECT(CONCATENATE("'",$A$650,"'!i",B712),1)</f>
        <v>0</v>
      </c>
      <c r="L712" s="1" cm="1">
        <f t="array" aca="1" ref="L712" ca="1">INDIRECT(CONCATENATE("'",$A$650,"'!j",B712),1)</f>
        <v>0</v>
      </c>
      <c r="M712" s="1" cm="1">
        <f t="array" aca="1" ref="M712" ca="1">INDIRECT(CONCATENATE("'",$A$650,"'!k",B712),1)</f>
        <v>0</v>
      </c>
      <c r="N712" s="1" cm="1">
        <f t="array" aca="1" ref="N712" ca="1">INDIRECT(CONCATENATE("'",$A$650,"'!l",B712),1)</f>
        <v>0</v>
      </c>
      <c r="O712" s="1" cm="1">
        <f t="array" aca="1" ref="O712" ca="1">INDIRECT(CONCATENATE("'",$A$650,"'!m",B712),1)</f>
        <v>0</v>
      </c>
      <c r="P712" s="1" cm="1">
        <f t="array" aca="1" ref="P712" ca="1">INDIRECT(CONCATENATE("'",$A$650,"'!n",B712),1)</f>
        <v>0</v>
      </c>
      <c r="Q712" s="1" cm="1">
        <f t="array" aca="1" ref="Q712" ca="1">INDIRECT(CONCATENATE("'",$A$650,"'!o",B712),1)</f>
        <v>0</v>
      </c>
      <c r="R712" s="1" cm="1">
        <f t="array" aca="1" ref="R712" ca="1">INDIRECT(CONCATENATE("'",$A$650,"'!p",B712),1)</f>
        <v>0</v>
      </c>
      <c r="S712" s="1">
        <f t="shared" ca="1" si="52"/>
        <v>0</v>
      </c>
      <c r="T712" s="1" cm="1">
        <f t="array" aca="1" ref="T712" ca="1">INDIRECT(CONCATENATE("'",$A$650,"'!q",B712),1)</f>
        <v>0</v>
      </c>
      <c r="U712" s="1" cm="1">
        <f t="array" aca="1" ref="U712" ca="1">INDIRECT(CONCATENATE("'",$A$650,"'!r",B712),1)</f>
        <v>0</v>
      </c>
      <c r="V712" s="1" cm="1">
        <f t="array" aca="1" ref="V712" ca="1">INDIRECT(CONCATENATE("'",$A$650,"'!s",B712),1)</f>
        <v>0</v>
      </c>
      <c r="W712" s="1" cm="1">
        <f t="array" aca="1" ref="W712" ca="1">INDIRECT(CONCATENATE("'",$A$650,"'!t",B712),1)</f>
        <v>0</v>
      </c>
      <c r="X712" s="1" cm="1">
        <f t="array" aca="1" ref="X712" ca="1">INDIRECT(CONCATENATE("'",$A$650,"'!u",B712),1)</f>
        <v>0</v>
      </c>
      <c r="Y712" s="1" cm="1">
        <f t="array" aca="1" ref="Y712" ca="1">INDIRECT(CONCATENATE("'",$A$650,"'!v",B712),1)</f>
        <v>0</v>
      </c>
    </row>
    <row r="713" spans="2:25" hidden="1" x14ac:dyDescent="0.25">
      <c r="B713" s="24">
        <f t="shared" si="51"/>
        <v>65</v>
      </c>
      <c r="C713" s="1" cm="1">
        <f t="array" aca="1" ref="C713" ca="1">INDIRECT(CONCATENATE("'",$A$650,"'!A",B713),1)</f>
        <v>0</v>
      </c>
      <c r="D713" s="1" cm="1">
        <f t="array" aca="1" ref="D713" ca="1">INDIRECT(CONCATENATE("'",$A$650,"'!B",B713),1)</f>
        <v>0</v>
      </c>
      <c r="E713" s="1" cm="1">
        <f t="array" aca="1" ref="E713" ca="1">INDIRECT(CONCATENATE("'",$A$650,"'!c",B713),1)</f>
        <v>0</v>
      </c>
      <c r="F713" s="1" cm="1">
        <f t="array" aca="1" ref="F713" ca="1">INDIRECT(CONCATENATE("'",$A$650,"'!d",B713),1)</f>
        <v>0</v>
      </c>
      <c r="G713" s="1" cm="1">
        <f t="array" aca="1" ref="G713" ca="1">INDIRECT(CONCATENATE("'",$A$650,"'!e",B713),1)</f>
        <v>0</v>
      </c>
      <c r="H713" s="1" cm="1">
        <f t="array" aca="1" ref="H713" ca="1">INDIRECT(CONCATENATE("'",$A$650,"'!f",B713),1)</f>
        <v>0</v>
      </c>
      <c r="I713" s="1" cm="1">
        <f t="array" aca="1" ref="I713" ca="1">INDIRECT(CONCATENATE("'",$A$650,"'!g",B713),1)</f>
        <v>0</v>
      </c>
      <c r="J713" s="1" cm="1">
        <f t="array" aca="1" ref="J713" ca="1">INDIRECT(CONCATENATE("'",$A$650,"'!h",B713),1)</f>
        <v>0</v>
      </c>
      <c r="K713" s="1" cm="1">
        <f t="array" aca="1" ref="K713" ca="1">INDIRECT(CONCATENATE("'",$A$650,"'!i",B713),1)</f>
        <v>0</v>
      </c>
      <c r="L713" s="1" cm="1">
        <f t="array" aca="1" ref="L713" ca="1">INDIRECT(CONCATENATE("'",$A$650,"'!j",B713),1)</f>
        <v>0</v>
      </c>
      <c r="M713" s="1" cm="1">
        <f t="array" aca="1" ref="M713" ca="1">INDIRECT(CONCATENATE("'",$A$650,"'!k",B713),1)</f>
        <v>0</v>
      </c>
      <c r="N713" s="1" cm="1">
        <f t="array" aca="1" ref="N713" ca="1">INDIRECT(CONCATENATE("'",$A$650,"'!l",B713),1)</f>
        <v>0</v>
      </c>
      <c r="O713" s="1" cm="1">
        <f t="array" aca="1" ref="O713" ca="1">INDIRECT(CONCATENATE("'",$A$650,"'!m",B713),1)</f>
        <v>0</v>
      </c>
      <c r="P713" s="1" cm="1">
        <f t="array" aca="1" ref="P713" ca="1">INDIRECT(CONCATENATE("'",$A$650,"'!n",B713),1)</f>
        <v>0</v>
      </c>
      <c r="Q713" s="1" cm="1">
        <f t="array" aca="1" ref="Q713" ca="1">INDIRECT(CONCATENATE("'",$A$650,"'!o",B713),1)</f>
        <v>0</v>
      </c>
      <c r="R713" s="1" cm="1">
        <f t="array" aca="1" ref="R713" ca="1">INDIRECT(CONCATENATE("'",$A$650,"'!p",B713),1)</f>
        <v>0</v>
      </c>
      <c r="S713" s="1">
        <f t="shared" ca="1" si="52"/>
        <v>0</v>
      </c>
      <c r="T713" s="1" cm="1">
        <f t="array" aca="1" ref="T713" ca="1">INDIRECT(CONCATENATE("'",$A$650,"'!q",B713),1)</f>
        <v>0</v>
      </c>
      <c r="U713" s="1" cm="1">
        <f t="array" aca="1" ref="U713" ca="1">INDIRECT(CONCATENATE("'",$A$650,"'!r",B713),1)</f>
        <v>0</v>
      </c>
      <c r="V713" s="1" cm="1">
        <f t="array" aca="1" ref="V713" ca="1">INDIRECT(CONCATENATE("'",$A$650,"'!s",B713),1)</f>
        <v>0</v>
      </c>
      <c r="W713" s="1" cm="1">
        <f t="array" aca="1" ref="W713" ca="1">INDIRECT(CONCATENATE("'",$A$650,"'!t",B713),1)</f>
        <v>0</v>
      </c>
      <c r="X713" s="1" cm="1">
        <f t="array" aca="1" ref="X713" ca="1">INDIRECT(CONCATENATE("'",$A$650,"'!u",B713),1)</f>
        <v>0</v>
      </c>
      <c r="Y713" s="1" cm="1">
        <f t="array" aca="1" ref="Y713" ca="1">INDIRECT(CONCATENATE("'",$A$650,"'!v",B713),1)</f>
        <v>0</v>
      </c>
    </row>
    <row r="714" spans="2:25" hidden="1" x14ac:dyDescent="0.25">
      <c r="B714" s="24">
        <f t="shared" si="51"/>
        <v>66</v>
      </c>
      <c r="C714" s="1" cm="1">
        <f t="array" aca="1" ref="C714" ca="1">INDIRECT(CONCATENATE("'",$A$650,"'!A",B714),1)</f>
        <v>0</v>
      </c>
      <c r="D714" s="1" cm="1">
        <f t="array" aca="1" ref="D714" ca="1">INDIRECT(CONCATENATE("'",$A$650,"'!B",B714),1)</f>
        <v>0</v>
      </c>
      <c r="E714" s="1" cm="1">
        <f t="array" aca="1" ref="E714" ca="1">INDIRECT(CONCATENATE("'",$A$650,"'!c",B714),1)</f>
        <v>0</v>
      </c>
      <c r="F714" s="1" cm="1">
        <f t="array" aca="1" ref="F714" ca="1">INDIRECT(CONCATENATE("'",$A$650,"'!d",B714),1)</f>
        <v>0</v>
      </c>
      <c r="G714" s="1" cm="1">
        <f t="array" aca="1" ref="G714" ca="1">INDIRECT(CONCATENATE("'",$A$650,"'!e",B714),1)</f>
        <v>0</v>
      </c>
      <c r="H714" s="1" cm="1">
        <f t="array" aca="1" ref="H714" ca="1">INDIRECT(CONCATENATE("'",$A$650,"'!f",B714),1)</f>
        <v>0</v>
      </c>
      <c r="I714" s="1" cm="1">
        <f t="array" aca="1" ref="I714" ca="1">INDIRECT(CONCATENATE("'",$A$650,"'!g",B714),1)</f>
        <v>0</v>
      </c>
      <c r="J714" s="1" cm="1">
        <f t="array" aca="1" ref="J714" ca="1">INDIRECT(CONCATENATE("'",$A$650,"'!h",B714),1)</f>
        <v>0</v>
      </c>
      <c r="K714" s="1" cm="1">
        <f t="array" aca="1" ref="K714" ca="1">INDIRECT(CONCATENATE("'",$A$650,"'!i",B714),1)</f>
        <v>0</v>
      </c>
      <c r="L714" s="1" cm="1">
        <f t="array" aca="1" ref="L714" ca="1">INDIRECT(CONCATENATE("'",$A$650,"'!j",B714),1)</f>
        <v>0</v>
      </c>
      <c r="M714" s="1" cm="1">
        <f t="array" aca="1" ref="M714" ca="1">INDIRECT(CONCATENATE("'",$A$650,"'!k",B714),1)</f>
        <v>0</v>
      </c>
      <c r="N714" s="1" cm="1">
        <f t="array" aca="1" ref="N714" ca="1">INDIRECT(CONCATENATE("'",$A$650,"'!l",B714),1)</f>
        <v>0</v>
      </c>
      <c r="O714" s="1" cm="1">
        <f t="array" aca="1" ref="O714" ca="1">INDIRECT(CONCATENATE("'",$A$650,"'!m",B714),1)</f>
        <v>0</v>
      </c>
      <c r="P714" s="1" cm="1">
        <f t="array" aca="1" ref="P714" ca="1">INDIRECT(CONCATENATE("'",$A$650,"'!n",B714),1)</f>
        <v>0</v>
      </c>
      <c r="Q714" s="1" cm="1">
        <f t="array" aca="1" ref="Q714" ca="1">INDIRECT(CONCATENATE("'",$A$650,"'!o",B714),1)</f>
        <v>0</v>
      </c>
      <c r="R714" s="1" cm="1">
        <f t="array" aca="1" ref="R714" ca="1">INDIRECT(CONCATENATE("'",$A$650,"'!p",B714),1)</f>
        <v>0</v>
      </c>
      <c r="S714" s="1">
        <f t="shared" ca="1" si="52"/>
        <v>0</v>
      </c>
      <c r="T714" s="1" cm="1">
        <f t="array" aca="1" ref="T714" ca="1">INDIRECT(CONCATENATE("'",$A$650,"'!q",B714),1)</f>
        <v>0</v>
      </c>
      <c r="U714" s="1" cm="1">
        <f t="array" aca="1" ref="U714" ca="1">INDIRECT(CONCATENATE("'",$A$650,"'!r",B714),1)</f>
        <v>0</v>
      </c>
      <c r="V714" s="1" cm="1">
        <f t="array" aca="1" ref="V714" ca="1">INDIRECT(CONCATENATE("'",$A$650,"'!s",B714),1)</f>
        <v>0</v>
      </c>
      <c r="W714" s="1" cm="1">
        <f t="array" aca="1" ref="W714" ca="1">INDIRECT(CONCATENATE("'",$A$650,"'!t",B714),1)</f>
        <v>0</v>
      </c>
      <c r="X714" s="1" cm="1">
        <f t="array" aca="1" ref="X714" ca="1">INDIRECT(CONCATENATE("'",$A$650,"'!u",B714),1)</f>
        <v>0</v>
      </c>
      <c r="Y714" s="1" cm="1">
        <f t="array" aca="1" ref="Y714" ca="1">INDIRECT(CONCATENATE("'",$A$650,"'!v",B714),1)</f>
        <v>0</v>
      </c>
    </row>
    <row r="715" spans="2:25" hidden="1" x14ac:dyDescent="0.25">
      <c r="B715" s="24">
        <f t="shared" si="51"/>
        <v>67</v>
      </c>
      <c r="C715" s="1" cm="1">
        <f t="array" aca="1" ref="C715" ca="1">INDIRECT(CONCATENATE("'",$A$650,"'!A",B715),1)</f>
        <v>0</v>
      </c>
      <c r="D715" s="1" cm="1">
        <f t="array" aca="1" ref="D715" ca="1">INDIRECT(CONCATENATE("'",$A$650,"'!B",B715),1)</f>
        <v>0</v>
      </c>
      <c r="E715" s="1" cm="1">
        <f t="array" aca="1" ref="E715" ca="1">INDIRECT(CONCATENATE("'",$A$650,"'!c",B715),1)</f>
        <v>0</v>
      </c>
      <c r="F715" s="1" cm="1">
        <f t="array" aca="1" ref="F715" ca="1">INDIRECT(CONCATENATE("'",$A$650,"'!d",B715),1)</f>
        <v>0</v>
      </c>
      <c r="G715" s="1" cm="1">
        <f t="array" aca="1" ref="G715" ca="1">INDIRECT(CONCATENATE("'",$A$650,"'!e",B715),1)</f>
        <v>0</v>
      </c>
      <c r="H715" s="1" cm="1">
        <f t="array" aca="1" ref="H715" ca="1">INDIRECT(CONCATENATE("'",$A$650,"'!f",B715),1)</f>
        <v>0</v>
      </c>
      <c r="I715" s="1" cm="1">
        <f t="array" aca="1" ref="I715" ca="1">INDIRECT(CONCATENATE("'",$A$650,"'!g",B715),1)</f>
        <v>0</v>
      </c>
      <c r="J715" s="1" cm="1">
        <f t="array" aca="1" ref="J715" ca="1">INDIRECT(CONCATENATE("'",$A$650,"'!h",B715),1)</f>
        <v>0</v>
      </c>
      <c r="K715" s="1" cm="1">
        <f t="array" aca="1" ref="K715" ca="1">INDIRECT(CONCATENATE("'",$A$650,"'!i",B715),1)</f>
        <v>0</v>
      </c>
      <c r="L715" s="1" cm="1">
        <f t="array" aca="1" ref="L715" ca="1">INDIRECT(CONCATENATE("'",$A$650,"'!j",B715),1)</f>
        <v>0</v>
      </c>
      <c r="M715" s="1" cm="1">
        <f t="array" aca="1" ref="M715" ca="1">INDIRECT(CONCATENATE("'",$A$650,"'!k",B715),1)</f>
        <v>0</v>
      </c>
      <c r="N715" s="1" cm="1">
        <f t="array" aca="1" ref="N715" ca="1">INDIRECT(CONCATENATE("'",$A$650,"'!l",B715),1)</f>
        <v>0</v>
      </c>
      <c r="O715" s="1" cm="1">
        <f t="array" aca="1" ref="O715" ca="1">INDIRECT(CONCATENATE("'",$A$650,"'!m",B715),1)</f>
        <v>0</v>
      </c>
      <c r="P715" s="1" cm="1">
        <f t="array" aca="1" ref="P715" ca="1">INDIRECT(CONCATENATE("'",$A$650,"'!n",B715),1)</f>
        <v>0</v>
      </c>
      <c r="Q715" s="1" cm="1">
        <f t="array" aca="1" ref="Q715" ca="1">INDIRECT(CONCATENATE("'",$A$650,"'!o",B715),1)</f>
        <v>0</v>
      </c>
      <c r="R715" s="1" cm="1">
        <f t="array" aca="1" ref="R715" ca="1">INDIRECT(CONCATENATE("'",$A$650,"'!p",B715),1)</f>
        <v>0</v>
      </c>
      <c r="S715" s="1">
        <f t="shared" ca="1" si="52"/>
        <v>0</v>
      </c>
      <c r="T715" s="1" cm="1">
        <f t="array" aca="1" ref="T715" ca="1">INDIRECT(CONCATENATE("'",$A$650,"'!q",B715),1)</f>
        <v>0</v>
      </c>
      <c r="U715" s="1" cm="1">
        <f t="array" aca="1" ref="U715" ca="1">INDIRECT(CONCATENATE("'",$A$650,"'!r",B715),1)</f>
        <v>0</v>
      </c>
      <c r="V715" s="1" cm="1">
        <f t="array" aca="1" ref="V715" ca="1">INDIRECT(CONCATENATE("'",$A$650,"'!s",B715),1)</f>
        <v>0</v>
      </c>
      <c r="W715" s="1" cm="1">
        <f t="array" aca="1" ref="W715" ca="1">INDIRECT(CONCATENATE("'",$A$650,"'!t",B715),1)</f>
        <v>0</v>
      </c>
      <c r="X715" s="1" cm="1">
        <f t="array" aca="1" ref="X715" ca="1">INDIRECT(CONCATENATE("'",$A$650,"'!u",B715),1)</f>
        <v>0</v>
      </c>
      <c r="Y715" s="1" cm="1">
        <f t="array" aca="1" ref="Y715" ca="1">INDIRECT(CONCATENATE("'",$A$650,"'!v",B715),1)</f>
        <v>0</v>
      </c>
    </row>
    <row r="716" spans="2:25" hidden="1" x14ac:dyDescent="0.25">
      <c r="B716" s="24">
        <f t="shared" ref="B716:B747" si="54">B715+1</f>
        <v>68</v>
      </c>
      <c r="C716" s="1" cm="1">
        <f t="array" aca="1" ref="C716" ca="1">INDIRECT(CONCATENATE("'",$A$650,"'!A",B716),1)</f>
        <v>0</v>
      </c>
      <c r="D716" s="1" cm="1">
        <f t="array" aca="1" ref="D716" ca="1">INDIRECT(CONCATENATE("'",$A$650,"'!B",B716),1)</f>
        <v>0</v>
      </c>
      <c r="E716" s="1" cm="1">
        <f t="array" aca="1" ref="E716" ca="1">INDIRECT(CONCATENATE("'",$A$650,"'!c",B716),1)</f>
        <v>0</v>
      </c>
      <c r="F716" s="1" cm="1">
        <f t="array" aca="1" ref="F716" ca="1">INDIRECT(CONCATENATE("'",$A$650,"'!d",B716),1)</f>
        <v>0</v>
      </c>
      <c r="G716" s="1" cm="1">
        <f t="array" aca="1" ref="G716" ca="1">INDIRECT(CONCATENATE("'",$A$650,"'!e",B716),1)</f>
        <v>0</v>
      </c>
      <c r="H716" s="1" cm="1">
        <f t="array" aca="1" ref="H716" ca="1">INDIRECT(CONCATENATE("'",$A$650,"'!f",B716),1)</f>
        <v>0</v>
      </c>
      <c r="I716" s="1" cm="1">
        <f t="array" aca="1" ref="I716" ca="1">INDIRECT(CONCATENATE("'",$A$650,"'!g",B716),1)</f>
        <v>0</v>
      </c>
      <c r="J716" s="1" cm="1">
        <f t="array" aca="1" ref="J716" ca="1">INDIRECT(CONCATENATE("'",$A$650,"'!h",B716),1)</f>
        <v>0</v>
      </c>
      <c r="K716" s="1" cm="1">
        <f t="array" aca="1" ref="K716" ca="1">INDIRECT(CONCATENATE("'",$A$650,"'!i",B716),1)</f>
        <v>0</v>
      </c>
      <c r="L716" s="1" cm="1">
        <f t="array" aca="1" ref="L716" ca="1">INDIRECT(CONCATENATE("'",$A$650,"'!j",B716),1)</f>
        <v>0</v>
      </c>
      <c r="M716" s="1" cm="1">
        <f t="array" aca="1" ref="M716" ca="1">INDIRECT(CONCATENATE("'",$A$650,"'!k",B716),1)</f>
        <v>0</v>
      </c>
      <c r="N716" s="1" cm="1">
        <f t="array" aca="1" ref="N716" ca="1">INDIRECT(CONCATENATE("'",$A$650,"'!l",B716),1)</f>
        <v>0</v>
      </c>
      <c r="O716" s="1" cm="1">
        <f t="array" aca="1" ref="O716" ca="1">INDIRECT(CONCATENATE("'",$A$650,"'!m",B716),1)</f>
        <v>0</v>
      </c>
      <c r="P716" s="1" cm="1">
        <f t="array" aca="1" ref="P716" ca="1">INDIRECT(CONCATENATE("'",$A$650,"'!n",B716),1)</f>
        <v>0</v>
      </c>
      <c r="Q716" s="1" cm="1">
        <f t="array" aca="1" ref="Q716" ca="1">INDIRECT(CONCATENATE("'",$A$650,"'!o",B716),1)</f>
        <v>0</v>
      </c>
      <c r="R716" s="1" cm="1">
        <f t="array" aca="1" ref="R716" ca="1">INDIRECT(CONCATENATE("'",$A$650,"'!p",B716),1)</f>
        <v>0</v>
      </c>
      <c r="S716" s="1">
        <f t="shared" ref="S716:S747" ca="1" si="55">SUMIFS(U716,T716,$N$1)+SUMIFS(W716,V716,$N$1)+SUMIFS(Y716,X716,$N$1)</f>
        <v>0</v>
      </c>
      <c r="T716" s="1" cm="1">
        <f t="array" aca="1" ref="T716" ca="1">INDIRECT(CONCATENATE("'",$A$650,"'!q",B716),1)</f>
        <v>0</v>
      </c>
      <c r="U716" s="1" cm="1">
        <f t="array" aca="1" ref="U716" ca="1">INDIRECT(CONCATENATE("'",$A$650,"'!r",B716),1)</f>
        <v>0</v>
      </c>
      <c r="V716" s="1" cm="1">
        <f t="array" aca="1" ref="V716" ca="1">INDIRECT(CONCATENATE("'",$A$650,"'!s",B716),1)</f>
        <v>0</v>
      </c>
      <c r="W716" s="1" cm="1">
        <f t="array" aca="1" ref="W716" ca="1">INDIRECT(CONCATENATE("'",$A$650,"'!t",B716),1)</f>
        <v>0</v>
      </c>
      <c r="X716" s="1" cm="1">
        <f t="array" aca="1" ref="X716" ca="1">INDIRECT(CONCATENATE("'",$A$650,"'!u",B716),1)</f>
        <v>0</v>
      </c>
      <c r="Y716" s="1" cm="1">
        <f t="array" aca="1" ref="Y716" ca="1">INDIRECT(CONCATENATE("'",$A$650,"'!v",B716),1)</f>
        <v>0</v>
      </c>
    </row>
    <row r="717" spans="2:25" hidden="1" x14ac:dyDescent="0.25">
      <c r="B717" s="24">
        <f t="shared" si="54"/>
        <v>69</v>
      </c>
      <c r="C717" s="1" cm="1">
        <f t="array" aca="1" ref="C717" ca="1">INDIRECT(CONCATENATE("'",$A$650,"'!A",B717),1)</f>
        <v>0</v>
      </c>
      <c r="D717" s="1" cm="1">
        <f t="array" aca="1" ref="D717" ca="1">INDIRECT(CONCATENATE("'",$A$650,"'!B",B717),1)</f>
        <v>0</v>
      </c>
      <c r="E717" s="1" cm="1">
        <f t="array" aca="1" ref="E717" ca="1">INDIRECT(CONCATENATE("'",$A$650,"'!c",B717),1)</f>
        <v>0</v>
      </c>
      <c r="F717" s="1" cm="1">
        <f t="array" aca="1" ref="F717" ca="1">INDIRECT(CONCATENATE("'",$A$650,"'!d",B717),1)</f>
        <v>0</v>
      </c>
      <c r="G717" s="1" cm="1">
        <f t="array" aca="1" ref="G717" ca="1">INDIRECT(CONCATENATE("'",$A$650,"'!e",B717),1)</f>
        <v>0</v>
      </c>
      <c r="H717" s="1" cm="1">
        <f t="array" aca="1" ref="H717" ca="1">INDIRECT(CONCATENATE("'",$A$650,"'!f",B717),1)</f>
        <v>0</v>
      </c>
      <c r="I717" s="1" cm="1">
        <f t="array" aca="1" ref="I717" ca="1">INDIRECT(CONCATENATE("'",$A$650,"'!g",B717),1)</f>
        <v>0</v>
      </c>
      <c r="J717" s="1" cm="1">
        <f t="array" aca="1" ref="J717" ca="1">INDIRECT(CONCATENATE("'",$A$650,"'!h",B717),1)</f>
        <v>0</v>
      </c>
      <c r="K717" s="1" cm="1">
        <f t="array" aca="1" ref="K717" ca="1">INDIRECT(CONCATENATE("'",$A$650,"'!i",B717),1)</f>
        <v>0</v>
      </c>
      <c r="L717" s="1" cm="1">
        <f t="array" aca="1" ref="L717" ca="1">INDIRECT(CONCATENATE("'",$A$650,"'!j",B717),1)</f>
        <v>0</v>
      </c>
      <c r="M717" s="1" cm="1">
        <f t="array" aca="1" ref="M717" ca="1">INDIRECT(CONCATENATE("'",$A$650,"'!k",B717),1)</f>
        <v>0</v>
      </c>
      <c r="N717" s="1" cm="1">
        <f t="array" aca="1" ref="N717" ca="1">INDIRECT(CONCATENATE("'",$A$650,"'!l",B717),1)</f>
        <v>0</v>
      </c>
      <c r="O717" s="1" cm="1">
        <f t="array" aca="1" ref="O717" ca="1">INDIRECT(CONCATENATE("'",$A$650,"'!m",B717),1)</f>
        <v>0</v>
      </c>
      <c r="P717" s="1" cm="1">
        <f t="array" aca="1" ref="P717" ca="1">INDIRECT(CONCATENATE("'",$A$650,"'!n",B717),1)</f>
        <v>0</v>
      </c>
      <c r="Q717" s="1" cm="1">
        <f t="array" aca="1" ref="Q717" ca="1">INDIRECT(CONCATENATE("'",$A$650,"'!o",B717),1)</f>
        <v>0</v>
      </c>
      <c r="R717" s="1" cm="1">
        <f t="array" aca="1" ref="R717" ca="1">INDIRECT(CONCATENATE("'",$A$650,"'!p",B717),1)</f>
        <v>0</v>
      </c>
      <c r="S717" s="1">
        <f t="shared" ca="1" si="55"/>
        <v>0</v>
      </c>
      <c r="T717" s="1" cm="1">
        <f t="array" aca="1" ref="T717" ca="1">INDIRECT(CONCATENATE("'",$A$650,"'!q",B717),1)</f>
        <v>0</v>
      </c>
      <c r="U717" s="1" cm="1">
        <f t="array" aca="1" ref="U717" ca="1">INDIRECT(CONCATENATE("'",$A$650,"'!r",B717),1)</f>
        <v>0</v>
      </c>
      <c r="V717" s="1" cm="1">
        <f t="array" aca="1" ref="V717" ca="1">INDIRECT(CONCATENATE("'",$A$650,"'!s",B717),1)</f>
        <v>0</v>
      </c>
      <c r="W717" s="1" cm="1">
        <f t="array" aca="1" ref="W717" ca="1">INDIRECT(CONCATENATE("'",$A$650,"'!t",B717),1)</f>
        <v>0</v>
      </c>
      <c r="X717" s="1" cm="1">
        <f t="array" aca="1" ref="X717" ca="1">INDIRECT(CONCATENATE("'",$A$650,"'!u",B717),1)</f>
        <v>0</v>
      </c>
      <c r="Y717" s="1" cm="1">
        <f t="array" aca="1" ref="Y717" ca="1">INDIRECT(CONCATENATE("'",$A$650,"'!v",B717),1)</f>
        <v>0</v>
      </c>
    </row>
    <row r="718" spans="2:25" hidden="1" x14ac:dyDescent="0.25">
      <c r="B718" s="24">
        <f t="shared" si="54"/>
        <v>70</v>
      </c>
      <c r="C718" s="1" cm="1">
        <f t="array" aca="1" ref="C718" ca="1">INDIRECT(CONCATENATE("'",$A$650,"'!A",B718),1)</f>
        <v>0</v>
      </c>
      <c r="D718" s="1" cm="1">
        <f t="array" aca="1" ref="D718" ca="1">INDIRECT(CONCATENATE("'",$A$650,"'!B",B718),1)</f>
        <v>0</v>
      </c>
      <c r="E718" s="1" cm="1">
        <f t="array" aca="1" ref="E718" ca="1">INDIRECT(CONCATENATE("'",$A$650,"'!c",B718),1)</f>
        <v>0</v>
      </c>
      <c r="F718" s="1" cm="1">
        <f t="array" aca="1" ref="F718" ca="1">INDIRECT(CONCATENATE("'",$A$650,"'!d",B718),1)</f>
        <v>0</v>
      </c>
      <c r="G718" s="1" cm="1">
        <f t="array" aca="1" ref="G718" ca="1">INDIRECT(CONCATENATE("'",$A$650,"'!e",B718),1)</f>
        <v>0</v>
      </c>
      <c r="H718" s="1" cm="1">
        <f t="array" aca="1" ref="H718" ca="1">INDIRECT(CONCATENATE("'",$A$650,"'!f",B718),1)</f>
        <v>0</v>
      </c>
      <c r="I718" s="1" cm="1">
        <f t="array" aca="1" ref="I718" ca="1">INDIRECT(CONCATENATE("'",$A$650,"'!g",B718),1)</f>
        <v>0</v>
      </c>
      <c r="J718" s="1" cm="1">
        <f t="array" aca="1" ref="J718" ca="1">INDIRECT(CONCATENATE("'",$A$650,"'!h",B718),1)</f>
        <v>0</v>
      </c>
      <c r="K718" s="1" cm="1">
        <f t="array" aca="1" ref="K718" ca="1">INDIRECT(CONCATENATE("'",$A$650,"'!i",B718),1)</f>
        <v>0</v>
      </c>
      <c r="L718" s="1" cm="1">
        <f t="array" aca="1" ref="L718" ca="1">INDIRECT(CONCATENATE("'",$A$650,"'!j",B718),1)</f>
        <v>0</v>
      </c>
      <c r="M718" s="1" cm="1">
        <f t="array" aca="1" ref="M718" ca="1">INDIRECT(CONCATENATE("'",$A$650,"'!k",B718),1)</f>
        <v>0</v>
      </c>
      <c r="N718" s="1" cm="1">
        <f t="array" aca="1" ref="N718" ca="1">INDIRECT(CONCATENATE("'",$A$650,"'!l",B718),1)</f>
        <v>0</v>
      </c>
      <c r="O718" s="1" cm="1">
        <f t="array" aca="1" ref="O718" ca="1">INDIRECT(CONCATENATE("'",$A$650,"'!m",B718),1)</f>
        <v>0</v>
      </c>
      <c r="P718" s="1" cm="1">
        <f t="array" aca="1" ref="P718" ca="1">INDIRECT(CONCATENATE("'",$A$650,"'!n",B718),1)</f>
        <v>0</v>
      </c>
      <c r="Q718" s="1" cm="1">
        <f t="array" aca="1" ref="Q718" ca="1">INDIRECT(CONCATENATE("'",$A$650,"'!o",B718),1)</f>
        <v>0</v>
      </c>
      <c r="R718" s="1" cm="1">
        <f t="array" aca="1" ref="R718" ca="1">INDIRECT(CONCATENATE("'",$A$650,"'!p",B718),1)</f>
        <v>0</v>
      </c>
      <c r="S718" s="1">
        <f t="shared" ca="1" si="55"/>
        <v>0</v>
      </c>
      <c r="T718" s="1" cm="1">
        <f t="array" aca="1" ref="T718" ca="1">INDIRECT(CONCATENATE("'",$A$650,"'!q",B718),1)</f>
        <v>0</v>
      </c>
      <c r="U718" s="1" cm="1">
        <f t="array" aca="1" ref="U718" ca="1">INDIRECT(CONCATENATE("'",$A$650,"'!r",B718),1)</f>
        <v>0</v>
      </c>
      <c r="V718" s="1" cm="1">
        <f t="array" aca="1" ref="V718" ca="1">INDIRECT(CONCATENATE("'",$A$650,"'!s",B718),1)</f>
        <v>0</v>
      </c>
      <c r="W718" s="1" cm="1">
        <f t="array" aca="1" ref="W718" ca="1">INDIRECT(CONCATENATE("'",$A$650,"'!t",B718),1)</f>
        <v>0</v>
      </c>
      <c r="X718" s="1" cm="1">
        <f t="array" aca="1" ref="X718" ca="1">INDIRECT(CONCATENATE("'",$A$650,"'!u",B718),1)</f>
        <v>0</v>
      </c>
      <c r="Y718" s="1" cm="1">
        <f t="array" aca="1" ref="Y718" ca="1">INDIRECT(CONCATENATE("'",$A$650,"'!v",B718),1)</f>
        <v>0</v>
      </c>
    </row>
    <row r="719" spans="2:25" hidden="1" x14ac:dyDescent="0.25">
      <c r="B719" s="24">
        <f t="shared" si="54"/>
        <v>71</v>
      </c>
      <c r="C719" s="1" cm="1">
        <f t="array" aca="1" ref="C719" ca="1">INDIRECT(CONCATENATE("'",$A$650,"'!A",B719),1)</f>
        <v>0</v>
      </c>
      <c r="D719" s="1" cm="1">
        <f t="array" aca="1" ref="D719" ca="1">INDIRECT(CONCATENATE("'",$A$650,"'!B",B719),1)</f>
        <v>0</v>
      </c>
      <c r="E719" s="1" cm="1">
        <f t="array" aca="1" ref="E719" ca="1">INDIRECT(CONCATENATE("'",$A$650,"'!c",B719),1)</f>
        <v>0</v>
      </c>
      <c r="F719" s="1" cm="1">
        <f t="array" aca="1" ref="F719" ca="1">INDIRECT(CONCATENATE("'",$A$650,"'!d",B719),1)</f>
        <v>0</v>
      </c>
      <c r="G719" s="1" cm="1">
        <f t="array" aca="1" ref="G719" ca="1">INDIRECT(CONCATENATE("'",$A$650,"'!e",B719),1)</f>
        <v>0</v>
      </c>
      <c r="H719" s="1" cm="1">
        <f t="array" aca="1" ref="H719" ca="1">INDIRECT(CONCATENATE("'",$A$650,"'!f",B719),1)</f>
        <v>0</v>
      </c>
      <c r="I719" s="1" cm="1">
        <f t="array" aca="1" ref="I719" ca="1">INDIRECT(CONCATENATE("'",$A$650,"'!g",B719),1)</f>
        <v>0</v>
      </c>
      <c r="J719" s="1" cm="1">
        <f t="array" aca="1" ref="J719" ca="1">INDIRECT(CONCATENATE("'",$A$650,"'!h",B719),1)</f>
        <v>0</v>
      </c>
      <c r="K719" s="1" cm="1">
        <f t="array" aca="1" ref="K719" ca="1">INDIRECT(CONCATENATE("'",$A$650,"'!i",B719),1)</f>
        <v>0</v>
      </c>
      <c r="L719" s="1" cm="1">
        <f t="array" aca="1" ref="L719" ca="1">INDIRECT(CONCATENATE("'",$A$650,"'!j",B719),1)</f>
        <v>0</v>
      </c>
      <c r="M719" s="1" cm="1">
        <f t="array" aca="1" ref="M719" ca="1">INDIRECT(CONCATENATE("'",$A$650,"'!k",B719),1)</f>
        <v>0</v>
      </c>
      <c r="N719" s="1" cm="1">
        <f t="array" aca="1" ref="N719" ca="1">INDIRECT(CONCATENATE("'",$A$650,"'!l",B719),1)</f>
        <v>0</v>
      </c>
      <c r="O719" s="1" cm="1">
        <f t="array" aca="1" ref="O719" ca="1">INDIRECT(CONCATENATE("'",$A$650,"'!m",B719),1)</f>
        <v>0</v>
      </c>
      <c r="P719" s="1" cm="1">
        <f t="array" aca="1" ref="P719" ca="1">INDIRECT(CONCATENATE("'",$A$650,"'!n",B719),1)</f>
        <v>0</v>
      </c>
      <c r="Q719" s="1" cm="1">
        <f t="array" aca="1" ref="Q719" ca="1">INDIRECT(CONCATENATE("'",$A$650,"'!o",B719),1)</f>
        <v>0</v>
      </c>
      <c r="R719" s="1" cm="1">
        <f t="array" aca="1" ref="R719" ca="1">INDIRECT(CONCATENATE("'",$A$650,"'!p",B719),1)</f>
        <v>0</v>
      </c>
      <c r="S719" s="1">
        <f t="shared" ca="1" si="55"/>
        <v>0</v>
      </c>
      <c r="T719" s="1" cm="1">
        <f t="array" aca="1" ref="T719" ca="1">INDIRECT(CONCATENATE("'",$A$650,"'!q",B719),1)</f>
        <v>0</v>
      </c>
      <c r="U719" s="1" cm="1">
        <f t="array" aca="1" ref="U719" ca="1">INDIRECT(CONCATENATE("'",$A$650,"'!r",B719),1)</f>
        <v>0</v>
      </c>
      <c r="V719" s="1" cm="1">
        <f t="array" aca="1" ref="V719" ca="1">INDIRECT(CONCATENATE("'",$A$650,"'!s",B719),1)</f>
        <v>0</v>
      </c>
      <c r="W719" s="1" cm="1">
        <f t="array" aca="1" ref="W719" ca="1">INDIRECT(CONCATENATE("'",$A$650,"'!t",B719),1)</f>
        <v>0</v>
      </c>
      <c r="X719" s="1" cm="1">
        <f t="array" aca="1" ref="X719" ca="1">INDIRECT(CONCATENATE("'",$A$650,"'!u",B719),1)</f>
        <v>0</v>
      </c>
      <c r="Y719" s="1" cm="1">
        <f t="array" aca="1" ref="Y719" ca="1">INDIRECT(CONCATENATE("'",$A$650,"'!v",B719),1)</f>
        <v>0</v>
      </c>
    </row>
    <row r="720" spans="2:25" hidden="1" x14ac:dyDescent="0.25">
      <c r="B720" s="24">
        <f t="shared" si="54"/>
        <v>72</v>
      </c>
      <c r="C720" s="1" cm="1">
        <f t="array" aca="1" ref="C720" ca="1">INDIRECT(CONCATENATE("'",$A$650,"'!A",B720),1)</f>
        <v>0</v>
      </c>
      <c r="D720" s="1" cm="1">
        <f t="array" aca="1" ref="D720" ca="1">INDIRECT(CONCATENATE("'",$A$650,"'!B",B720),1)</f>
        <v>0</v>
      </c>
      <c r="E720" s="1" cm="1">
        <f t="array" aca="1" ref="E720" ca="1">INDIRECT(CONCATENATE("'",$A$650,"'!c",B720),1)</f>
        <v>0</v>
      </c>
      <c r="F720" s="1" cm="1">
        <f t="array" aca="1" ref="F720" ca="1">INDIRECT(CONCATENATE("'",$A$650,"'!d",B720),1)</f>
        <v>0</v>
      </c>
      <c r="G720" s="1" cm="1">
        <f t="array" aca="1" ref="G720" ca="1">INDIRECT(CONCATENATE("'",$A$650,"'!e",B720),1)</f>
        <v>0</v>
      </c>
      <c r="H720" s="1" cm="1">
        <f t="array" aca="1" ref="H720" ca="1">INDIRECT(CONCATENATE("'",$A$650,"'!f",B720),1)</f>
        <v>0</v>
      </c>
      <c r="I720" s="1" cm="1">
        <f t="array" aca="1" ref="I720" ca="1">INDIRECT(CONCATENATE("'",$A$650,"'!g",B720),1)</f>
        <v>0</v>
      </c>
      <c r="J720" s="1" cm="1">
        <f t="array" aca="1" ref="J720" ca="1">INDIRECT(CONCATENATE("'",$A$650,"'!h",B720),1)</f>
        <v>0</v>
      </c>
      <c r="K720" s="1" cm="1">
        <f t="array" aca="1" ref="K720" ca="1">INDIRECT(CONCATENATE("'",$A$650,"'!i",B720),1)</f>
        <v>0</v>
      </c>
      <c r="L720" s="1" cm="1">
        <f t="array" aca="1" ref="L720" ca="1">INDIRECT(CONCATENATE("'",$A$650,"'!j",B720),1)</f>
        <v>0</v>
      </c>
      <c r="M720" s="1" cm="1">
        <f t="array" aca="1" ref="M720" ca="1">INDIRECT(CONCATENATE("'",$A$650,"'!k",B720),1)</f>
        <v>0</v>
      </c>
      <c r="N720" s="1" cm="1">
        <f t="array" aca="1" ref="N720" ca="1">INDIRECT(CONCATENATE("'",$A$650,"'!l",B720),1)</f>
        <v>0</v>
      </c>
      <c r="O720" s="1" cm="1">
        <f t="array" aca="1" ref="O720" ca="1">INDIRECT(CONCATENATE("'",$A$650,"'!m",B720),1)</f>
        <v>0</v>
      </c>
      <c r="P720" s="1" cm="1">
        <f t="array" aca="1" ref="P720" ca="1">INDIRECT(CONCATENATE("'",$A$650,"'!n",B720),1)</f>
        <v>0</v>
      </c>
      <c r="Q720" s="1" cm="1">
        <f t="array" aca="1" ref="Q720" ca="1">INDIRECT(CONCATENATE("'",$A$650,"'!o",B720),1)</f>
        <v>0</v>
      </c>
      <c r="R720" s="1" cm="1">
        <f t="array" aca="1" ref="R720" ca="1">INDIRECT(CONCATENATE("'",$A$650,"'!p",B720),1)</f>
        <v>0</v>
      </c>
      <c r="S720" s="1">
        <f t="shared" ca="1" si="55"/>
        <v>0</v>
      </c>
      <c r="T720" s="1" cm="1">
        <f t="array" aca="1" ref="T720" ca="1">INDIRECT(CONCATENATE("'",$A$650,"'!q",B720),1)</f>
        <v>0</v>
      </c>
      <c r="U720" s="1" cm="1">
        <f t="array" aca="1" ref="U720" ca="1">INDIRECT(CONCATENATE("'",$A$650,"'!r",B720),1)</f>
        <v>0</v>
      </c>
      <c r="V720" s="1" cm="1">
        <f t="array" aca="1" ref="V720" ca="1">INDIRECT(CONCATENATE("'",$A$650,"'!s",B720),1)</f>
        <v>0</v>
      </c>
      <c r="W720" s="1" cm="1">
        <f t="array" aca="1" ref="W720" ca="1">INDIRECT(CONCATENATE("'",$A$650,"'!t",B720),1)</f>
        <v>0</v>
      </c>
      <c r="X720" s="1" cm="1">
        <f t="array" aca="1" ref="X720" ca="1">INDIRECT(CONCATENATE("'",$A$650,"'!u",B720),1)</f>
        <v>0</v>
      </c>
      <c r="Y720" s="1" cm="1">
        <f t="array" aca="1" ref="Y720" ca="1">INDIRECT(CONCATENATE("'",$A$650,"'!v",B720),1)</f>
        <v>0</v>
      </c>
    </row>
    <row r="721" spans="2:25" hidden="1" x14ac:dyDescent="0.25">
      <c r="B721" s="24">
        <f t="shared" si="54"/>
        <v>73</v>
      </c>
      <c r="C721" s="1" cm="1">
        <f t="array" aca="1" ref="C721" ca="1">INDIRECT(CONCATENATE("'",$A$650,"'!A",B721),1)</f>
        <v>0</v>
      </c>
      <c r="D721" s="1" cm="1">
        <f t="array" aca="1" ref="D721" ca="1">INDIRECT(CONCATENATE("'",$A$650,"'!B",B721),1)</f>
        <v>0</v>
      </c>
      <c r="E721" s="1" cm="1">
        <f t="array" aca="1" ref="E721" ca="1">INDIRECT(CONCATENATE("'",$A$650,"'!c",B721),1)</f>
        <v>0</v>
      </c>
      <c r="F721" s="1" cm="1">
        <f t="array" aca="1" ref="F721" ca="1">INDIRECT(CONCATENATE("'",$A$650,"'!d",B721),1)</f>
        <v>0</v>
      </c>
      <c r="G721" s="1" cm="1">
        <f t="array" aca="1" ref="G721" ca="1">INDIRECT(CONCATENATE("'",$A$650,"'!e",B721),1)</f>
        <v>0</v>
      </c>
      <c r="H721" s="1" cm="1">
        <f t="array" aca="1" ref="H721" ca="1">INDIRECT(CONCATENATE("'",$A$650,"'!f",B721),1)</f>
        <v>0</v>
      </c>
      <c r="I721" s="1" cm="1">
        <f t="array" aca="1" ref="I721" ca="1">INDIRECT(CONCATENATE("'",$A$650,"'!g",B721),1)</f>
        <v>0</v>
      </c>
      <c r="J721" s="1" cm="1">
        <f t="array" aca="1" ref="J721" ca="1">INDIRECT(CONCATENATE("'",$A$650,"'!h",B721),1)</f>
        <v>0</v>
      </c>
      <c r="K721" s="1" cm="1">
        <f t="array" aca="1" ref="K721" ca="1">INDIRECT(CONCATENATE("'",$A$650,"'!i",B721),1)</f>
        <v>0</v>
      </c>
      <c r="L721" s="1" cm="1">
        <f t="array" aca="1" ref="L721" ca="1">INDIRECT(CONCATENATE("'",$A$650,"'!j",B721),1)</f>
        <v>0</v>
      </c>
      <c r="M721" s="1" cm="1">
        <f t="array" aca="1" ref="M721" ca="1">INDIRECT(CONCATENATE("'",$A$650,"'!k",B721),1)</f>
        <v>0</v>
      </c>
      <c r="N721" s="1" cm="1">
        <f t="array" aca="1" ref="N721" ca="1">INDIRECT(CONCATENATE("'",$A$650,"'!l",B721),1)</f>
        <v>0</v>
      </c>
      <c r="O721" s="1" cm="1">
        <f t="array" aca="1" ref="O721" ca="1">INDIRECT(CONCATENATE("'",$A$650,"'!m",B721),1)</f>
        <v>0</v>
      </c>
      <c r="P721" s="1" cm="1">
        <f t="array" aca="1" ref="P721" ca="1">INDIRECT(CONCATENATE("'",$A$650,"'!n",B721),1)</f>
        <v>0</v>
      </c>
      <c r="Q721" s="1" cm="1">
        <f t="array" aca="1" ref="Q721" ca="1">INDIRECT(CONCATENATE("'",$A$650,"'!o",B721),1)</f>
        <v>0</v>
      </c>
      <c r="R721" s="1" cm="1">
        <f t="array" aca="1" ref="R721" ca="1">INDIRECT(CONCATENATE("'",$A$650,"'!p",B721),1)</f>
        <v>0</v>
      </c>
      <c r="S721" s="1">
        <f t="shared" ca="1" si="55"/>
        <v>0</v>
      </c>
      <c r="T721" s="1" cm="1">
        <f t="array" aca="1" ref="T721" ca="1">INDIRECT(CONCATENATE("'",$A$650,"'!q",B721),1)</f>
        <v>0</v>
      </c>
      <c r="U721" s="1" cm="1">
        <f t="array" aca="1" ref="U721" ca="1">INDIRECT(CONCATENATE("'",$A$650,"'!r",B721),1)</f>
        <v>0</v>
      </c>
      <c r="V721" s="1" cm="1">
        <f t="array" aca="1" ref="V721" ca="1">INDIRECT(CONCATENATE("'",$A$650,"'!s",B721),1)</f>
        <v>0</v>
      </c>
      <c r="W721" s="1" cm="1">
        <f t="array" aca="1" ref="W721" ca="1">INDIRECT(CONCATENATE("'",$A$650,"'!t",B721),1)</f>
        <v>0</v>
      </c>
      <c r="X721" s="1" cm="1">
        <f t="array" aca="1" ref="X721" ca="1">INDIRECT(CONCATENATE("'",$A$650,"'!u",B721),1)</f>
        <v>0</v>
      </c>
      <c r="Y721" s="1" cm="1">
        <f t="array" aca="1" ref="Y721" ca="1">INDIRECT(CONCATENATE("'",$A$650,"'!v",B721),1)</f>
        <v>0</v>
      </c>
    </row>
    <row r="722" spans="2:25" hidden="1" x14ac:dyDescent="0.25">
      <c r="B722" s="24">
        <f t="shared" si="54"/>
        <v>74</v>
      </c>
      <c r="C722" s="1" cm="1">
        <f t="array" aca="1" ref="C722" ca="1">INDIRECT(CONCATENATE("'",$A$650,"'!A",B722),1)</f>
        <v>0</v>
      </c>
      <c r="D722" s="1" cm="1">
        <f t="array" aca="1" ref="D722" ca="1">INDIRECT(CONCATENATE("'",$A$650,"'!B",B722),1)</f>
        <v>0</v>
      </c>
      <c r="E722" s="1" cm="1">
        <f t="array" aca="1" ref="E722" ca="1">INDIRECT(CONCATENATE("'",$A$650,"'!c",B722),1)</f>
        <v>0</v>
      </c>
      <c r="F722" s="1" cm="1">
        <f t="array" aca="1" ref="F722" ca="1">INDIRECT(CONCATENATE("'",$A$650,"'!d",B722),1)</f>
        <v>0</v>
      </c>
      <c r="G722" s="1" cm="1">
        <f t="array" aca="1" ref="G722" ca="1">INDIRECT(CONCATENATE("'",$A$650,"'!e",B722),1)</f>
        <v>0</v>
      </c>
      <c r="H722" s="1" cm="1">
        <f t="array" aca="1" ref="H722" ca="1">INDIRECT(CONCATENATE("'",$A$650,"'!f",B722),1)</f>
        <v>0</v>
      </c>
      <c r="I722" s="1" cm="1">
        <f t="array" aca="1" ref="I722" ca="1">INDIRECT(CONCATENATE("'",$A$650,"'!g",B722),1)</f>
        <v>0</v>
      </c>
      <c r="J722" s="1" cm="1">
        <f t="array" aca="1" ref="J722" ca="1">INDIRECT(CONCATENATE("'",$A$650,"'!h",B722),1)</f>
        <v>0</v>
      </c>
      <c r="K722" s="1" cm="1">
        <f t="array" aca="1" ref="K722" ca="1">INDIRECT(CONCATENATE("'",$A$650,"'!i",B722),1)</f>
        <v>0</v>
      </c>
      <c r="L722" s="1" cm="1">
        <f t="array" aca="1" ref="L722" ca="1">INDIRECT(CONCATENATE("'",$A$650,"'!j",B722),1)</f>
        <v>0</v>
      </c>
      <c r="M722" s="1" cm="1">
        <f t="array" aca="1" ref="M722" ca="1">INDIRECT(CONCATENATE("'",$A$650,"'!k",B722),1)</f>
        <v>0</v>
      </c>
      <c r="N722" s="1" cm="1">
        <f t="array" aca="1" ref="N722" ca="1">INDIRECT(CONCATENATE("'",$A$650,"'!l",B722),1)</f>
        <v>0</v>
      </c>
      <c r="O722" s="1" cm="1">
        <f t="array" aca="1" ref="O722" ca="1">INDIRECT(CONCATENATE("'",$A$650,"'!m",B722),1)</f>
        <v>0</v>
      </c>
      <c r="P722" s="1" cm="1">
        <f t="array" aca="1" ref="P722" ca="1">INDIRECT(CONCATENATE("'",$A$650,"'!n",B722),1)</f>
        <v>0</v>
      </c>
      <c r="Q722" s="1" cm="1">
        <f t="array" aca="1" ref="Q722" ca="1">INDIRECT(CONCATENATE("'",$A$650,"'!o",B722),1)</f>
        <v>0</v>
      </c>
      <c r="R722" s="1" cm="1">
        <f t="array" aca="1" ref="R722" ca="1">INDIRECT(CONCATENATE("'",$A$650,"'!p",B722),1)</f>
        <v>0</v>
      </c>
      <c r="S722" s="1">
        <f t="shared" ca="1" si="55"/>
        <v>0</v>
      </c>
      <c r="T722" s="1" cm="1">
        <f t="array" aca="1" ref="T722" ca="1">INDIRECT(CONCATENATE("'",$A$650,"'!q",B722),1)</f>
        <v>0</v>
      </c>
      <c r="U722" s="1" cm="1">
        <f t="array" aca="1" ref="U722" ca="1">INDIRECT(CONCATENATE("'",$A$650,"'!r",B722),1)</f>
        <v>0</v>
      </c>
      <c r="V722" s="1" cm="1">
        <f t="array" aca="1" ref="V722" ca="1">INDIRECT(CONCATENATE("'",$A$650,"'!s",B722),1)</f>
        <v>0</v>
      </c>
      <c r="W722" s="1" cm="1">
        <f t="array" aca="1" ref="W722" ca="1">INDIRECT(CONCATENATE("'",$A$650,"'!t",B722),1)</f>
        <v>0</v>
      </c>
      <c r="X722" s="1" cm="1">
        <f t="array" aca="1" ref="X722" ca="1">INDIRECT(CONCATENATE("'",$A$650,"'!u",B722),1)</f>
        <v>0</v>
      </c>
      <c r="Y722" s="1" cm="1">
        <f t="array" aca="1" ref="Y722" ca="1">INDIRECT(CONCATENATE("'",$A$650,"'!v",B722),1)</f>
        <v>0</v>
      </c>
    </row>
    <row r="723" spans="2:25" hidden="1" x14ac:dyDescent="0.25">
      <c r="B723" s="24">
        <f t="shared" si="54"/>
        <v>75</v>
      </c>
      <c r="C723" s="1" cm="1">
        <f t="array" aca="1" ref="C723" ca="1">INDIRECT(CONCATENATE("'",$A$650,"'!A",B723),1)</f>
        <v>0</v>
      </c>
      <c r="D723" s="1" cm="1">
        <f t="array" aca="1" ref="D723" ca="1">INDIRECT(CONCATENATE("'",$A$650,"'!B",B723),1)</f>
        <v>0</v>
      </c>
      <c r="E723" s="1" cm="1">
        <f t="array" aca="1" ref="E723" ca="1">INDIRECT(CONCATENATE("'",$A$650,"'!c",B723),1)</f>
        <v>0</v>
      </c>
      <c r="F723" s="1" cm="1">
        <f t="array" aca="1" ref="F723" ca="1">INDIRECT(CONCATENATE("'",$A$650,"'!d",B723),1)</f>
        <v>0</v>
      </c>
      <c r="G723" s="1" cm="1">
        <f t="array" aca="1" ref="G723" ca="1">INDIRECT(CONCATENATE("'",$A$650,"'!e",B723),1)</f>
        <v>0</v>
      </c>
      <c r="H723" s="1" cm="1">
        <f t="array" aca="1" ref="H723" ca="1">INDIRECT(CONCATENATE("'",$A$650,"'!f",B723),1)</f>
        <v>0</v>
      </c>
      <c r="I723" s="1" cm="1">
        <f t="array" aca="1" ref="I723" ca="1">INDIRECT(CONCATENATE("'",$A$650,"'!g",B723),1)</f>
        <v>0</v>
      </c>
      <c r="J723" s="1" cm="1">
        <f t="array" aca="1" ref="J723" ca="1">INDIRECT(CONCATENATE("'",$A$650,"'!h",B723),1)</f>
        <v>0</v>
      </c>
      <c r="K723" s="1" cm="1">
        <f t="array" aca="1" ref="K723" ca="1">INDIRECT(CONCATENATE("'",$A$650,"'!i",B723),1)</f>
        <v>0</v>
      </c>
      <c r="L723" s="1" cm="1">
        <f t="array" aca="1" ref="L723" ca="1">INDIRECT(CONCATENATE("'",$A$650,"'!j",B723),1)</f>
        <v>0</v>
      </c>
      <c r="M723" s="1" cm="1">
        <f t="array" aca="1" ref="M723" ca="1">INDIRECT(CONCATENATE("'",$A$650,"'!k",B723),1)</f>
        <v>0</v>
      </c>
      <c r="N723" s="1" cm="1">
        <f t="array" aca="1" ref="N723" ca="1">INDIRECT(CONCATENATE("'",$A$650,"'!l",B723),1)</f>
        <v>0</v>
      </c>
      <c r="O723" s="1" cm="1">
        <f t="array" aca="1" ref="O723" ca="1">INDIRECT(CONCATENATE("'",$A$650,"'!m",B723),1)</f>
        <v>0</v>
      </c>
      <c r="P723" s="1" cm="1">
        <f t="array" aca="1" ref="P723" ca="1">INDIRECT(CONCATENATE("'",$A$650,"'!n",B723),1)</f>
        <v>0</v>
      </c>
      <c r="Q723" s="1" cm="1">
        <f t="array" aca="1" ref="Q723" ca="1">INDIRECT(CONCATENATE("'",$A$650,"'!o",B723),1)</f>
        <v>0</v>
      </c>
      <c r="R723" s="1" cm="1">
        <f t="array" aca="1" ref="R723" ca="1">INDIRECT(CONCATENATE("'",$A$650,"'!p",B723),1)</f>
        <v>0</v>
      </c>
      <c r="S723" s="1">
        <f t="shared" ca="1" si="55"/>
        <v>0</v>
      </c>
      <c r="T723" s="1" cm="1">
        <f t="array" aca="1" ref="T723" ca="1">INDIRECT(CONCATENATE("'",$A$650,"'!q",B723),1)</f>
        <v>0</v>
      </c>
      <c r="U723" s="1" cm="1">
        <f t="array" aca="1" ref="U723" ca="1">INDIRECT(CONCATENATE("'",$A$650,"'!r",B723),1)</f>
        <v>0</v>
      </c>
      <c r="V723" s="1" cm="1">
        <f t="array" aca="1" ref="V723" ca="1">INDIRECT(CONCATENATE("'",$A$650,"'!s",B723),1)</f>
        <v>0</v>
      </c>
      <c r="W723" s="1" cm="1">
        <f t="array" aca="1" ref="W723" ca="1">INDIRECT(CONCATENATE("'",$A$650,"'!t",B723),1)</f>
        <v>0</v>
      </c>
      <c r="X723" s="1" cm="1">
        <f t="array" aca="1" ref="X723" ca="1">INDIRECT(CONCATENATE("'",$A$650,"'!u",B723),1)</f>
        <v>0</v>
      </c>
      <c r="Y723" s="1" cm="1">
        <f t="array" aca="1" ref="Y723" ca="1">INDIRECT(CONCATENATE("'",$A$650,"'!v",B723),1)</f>
        <v>0</v>
      </c>
    </row>
    <row r="724" spans="2:25" hidden="1" x14ac:dyDescent="0.25">
      <c r="B724" s="24">
        <f t="shared" si="54"/>
        <v>76</v>
      </c>
      <c r="C724" s="1" cm="1">
        <f t="array" aca="1" ref="C724" ca="1">INDIRECT(CONCATENATE("'",$A$650,"'!A",B724),1)</f>
        <v>0</v>
      </c>
      <c r="D724" s="1" cm="1">
        <f t="array" aca="1" ref="D724" ca="1">INDIRECT(CONCATENATE("'",$A$650,"'!B",B724),1)</f>
        <v>0</v>
      </c>
      <c r="E724" s="1" cm="1">
        <f t="array" aca="1" ref="E724" ca="1">INDIRECT(CONCATENATE("'",$A$650,"'!c",B724),1)</f>
        <v>0</v>
      </c>
      <c r="F724" s="1" cm="1">
        <f t="array" aca="1" ref="F724" ca="1">INDIRECT(CONCATENATE("'",$A$650,"'!d",B724),1)</f>
        <v>0</v>
      </c>
      <c r="G724" s="1" cm="1">
        <f t="array" aca="1" ref="G724" ca="1">INDIRECT(CONCATENATE("'",$A$650,"'!e",B724),1)</f>
        <v>0</v>
      </c>
      <c r="H724" s="1" cm="1">
        <f t="array" aca="1" ref="H724" ca="1">INDIRECT(CONCATENATE("'",$A$650,"'!f",B724),1)</f>
        <v>0</v>
      </c>
      <c r="I724" s="1" cm="1">
        <f t="array" aca="1" ref="I724" ca="1">INDIRECT(CONCATENATE("'",$A$650,"'!g",B724),1)</f>
        <v>0</v>
      </c>
      <c r="J724" s="1" cm="1">
        <f t="array" aca="1" ref="J724" ca="1">INDIRECT(CONCATENATE("'",$A$650,"'!h",B724),1)</f>
        <v>0</v>
      </c>
      <c r="K724" s="1" cm="1">
        <f t="array" aca="1" ref="K724" ca="1">INDIRECT(CONCATENATE("'",$A$650,"'!i",B724),1)</f>
        <v>0</v>
      </c>
      <c r="L724" s="1" cm="1">
        <f t="array" aca="1" ref="L724" ca="1">INDIRECT(CONCATENATE("'",$A$650,"'!j",B724),1)</f>
        <v>0</v>
      </c>
      <c r="M724" s="1" cm="1">
        <f t="array" aca="1" ref="M724" ca="1">INDIRECT(CONCATENATE("'",$A$650,"'!k",B724),1)</f>
        <v>0</v>
      </c>
      <c r="N724" s="1" cm="1">
        <f t="array" aca="1" ref="N724" ca="1">INDIRECT(CONCATENATE("'",$A$650,"'!l",B724),1)</f>
        <v>0</v>
      </c>
      <c r="O724" s="1" cm="1">
        <f t="array" aca="1" ref="O724" ca="1">INDIRECT(CONCATENATE("'",$A$650,"'!m",B724),1)</f>
        <v>0</v>
      </c>
      <c r="P724" s="1" cm="1">
        <f t="array" aca="1" ref="P724" ca="1">INDIRECT(CONCATENATE("'",$A$650,"'!n",B724),1)</f>
        <v>0</v>
      </c>
      <c r="Q724" s="1" cm="1">
        <f t="array" aca="1" ref="Q724" ca="1">INDIRECT(CONCATENATE("'",$A$650,"'!o",B724),1)</f>
        <v>0</v>
      </c>
      <c r="R724" s="1" cm="1">
        <f t="array" aca="1" ref="R724" ca="1">INDIRECT(CONCATENATE("'",$A$650,"'!p",B724),1)</f>
        <v>0</v>
      </c>
      <c r="S724" s="1">
        <f t="shared" ca="1" si="55"/>
        <v>0</v>
      </c>
      <c r="T724" s="1" cm="1">
        <f t="array" aca="1" ref="T724" ca="1">INDIRECT(CONCATENATE("'",$A$650,"'!q",B724),1)</f>
        <v>0</v>
      </c>
      <c r="U724" s="1" cm="1">
        <f t="array" aca="1" ref="U724" ca="1">INDIRECT(CONCATENATE("'",$A$650,"'!r",B724),1)</f>
        <v>0</v>
      </c>
      <c r="V724" s="1" cm="1">
        <f t="array" aca="1" ref="V724" ca="1">INDIRECT(CONCATENATE("'",$A$650,"'!s",B724),1)</f>
        <v>0</v>
      </c>
      <c r="W724" s="1" cm="1">
        <f t="array" aca="1" ref="W724" ca="1">INDIRECT(CONCATENATE("'",$A$650,"'!t",B724),1)</f>
        <v>0</v>
      </c>
      <c r="X724" s="1" cm="1">
        <f t="array" aca="1" ref="X724" ca="1">INDIRECT(CONCATENATE("'",$A$650,"'!u",B724),1)</f>
        <v>0</v>
      </c>
      <c r="Y724" s="1" cm="1">
        <f t="array" aca="1" ref="Y724" ca="1">INDIRECT(CONCATENATE("'",$A$650,"'!v",B724),1)</f>
        <v>0</v>
      </c>
    </row>
    <row r="725" spans="2:25" hidden="1" x14ac:dyDescent="0.25">
      <c r="B725" s="24">
        <f t="shared" si="54"/>
        <v>77</v>
      </c>
      <c r="C725" s="1" cm="1">
        <f t="array" aca="1" ref="C725" ca="1">INDIRECT(CONCATENATE("'",$A$650,"'!A",B725),1)</f>
        <v>0</v>
      </c>
      <c r="D725" s="1" cm="1">
        <f t="array" aca="1" ref="D725" ca="1">INDIRECT(CONCATENATE("'",$A$650,"'!B",B725),1)</f>
        <v>0</v>
      </c>
      <c r="E725" s="1" cm="1">
        <f t="array" aca="1" ref="E725" ca="1">INDIRECT(CONCATENATE("'",$A$650,"'!c",B725),1)</f>
        <v>0</v>
      </c>
      <c r="F725" s="1" cm="1">
        <f t="array" aca="1" ref="F725" ca="1">INDIRECT(CONCATENATE("'",$A$650,"'!d",B725),1)</f>
        <v>0</v>
      </c>
      <c r="G725" s="1" cm="1">
        <f t="array" aca="1" ref="G725" ca="1">INDIRECT(CONCATENATE("'",$A$650,"'!e",B725),1)</f>
        <v>0</v>
      </c>
      <c r="H725" s="1" cm="1">
        <f t="array" aca="1" ref="H725" ca="1">INDIRECT(CONCATENATE("'",$A$650,"'!f",B725),1)</f>
        <v>0</v>
      </c>
      <c r="I725" s="1" cm="1">
        <f t="array" aca="1" ref="I725" ca="1">INDIRECT(CONCATENATE("'",$A$650,"'!g",B725),1)</f>
        <v>0</v>
      </c>
      <c r="J725" s="1" cm="1">
        <f t="array" aca="1" ref="J725" ca="1">INDIRECT(CONCATENATE("'",$A$650,"'!h",B725),1)</f>
        <v>0</v>
      </c>
      <c r="K725" s="1" cm="1">
        <f t="array" aca="1" ref="K725" ca="1">INDIRECT(CONCATENATE("'",$A$650,"'!i",B725),1)</f>
        <v>0</v>
      </c>
      <c r="L725" s="1" cm="1">
        <f t="array" aca="1" ref="L725" ca="1">INDIRECT(CONCATENATE("'",$A$650,"'!j",B725),1)</f>
        <v>0</v>
      </c>
      <c r="M725" s="1" cm="1">
        <f t="array" aca="1" ref="M725" ca="1">INDIRECT(CONCATENATE("'",$A$650,"'!k",B725),1)</f>
        <v>0</v>
      </c>
      <c r="N725" s="1" cm="1">
        <f t="array" aca="1" ref="N725" ca="1">INDIRECT(CONCATENATE("'",$A$650,"'!l",B725),1)</f>
        <v>0</v>
      </c>
      <c r="O725" s="1" cm="1">
        <f t="array" aca="1" ref="O725" ca="1">INDIRECT(CONCATENATE("'",$A$650,"'!m",B725),1)</f>
        <v>0</v>
      </c>
      <c r="P725" s="1" cm="1">
        <f t="array" aca="1" ref="P725" ca="1">INDIRECT(CONCATENATE("'",$A$650,"'!n",B725),1)</f>
        <v>0</v>
      </c>
      <c r="Q725" s="1" cm="1">
        <f t="array" aca="1" ref="Q725" ca="1">INDIRECT(CONCATENATE("'",$A$650,"'!o",B725),1)</f>
        <v>0</v>
      </c>
      <c r="R725" s="1" cm="1">
        <f t="array" aca="1" ref="R725" ca="1">INDIRECT(CONCATENATE("'",$A$650,"'!p",B725),1)</f>
        <v>0</v>
      </c>
      <c r="S725" s="1">
        <f t="shared" ca="1" si="55"/>
        <v>0</v>
      </c>
      <c r="T725" s="1" cm="1">
        <f t="array" aca="1" ref="T725" ca="1">INDIRECT(CONCATENATE("'",$A$650,"'!q",B725),1)</f>
        <v>0</v>
      </c>
      <c r="U725" s="1" cm="1">
        <f t="array" aca="1" ref="U725" ca="1">INDIRECT(CONCATENATE("'",$A$650,"'!r",B725),1)</f>
        <v>0</v>
      </c>
      <c r="V725" s="1" cm="1">
        <f t="array" aca="1" ref="V725" ca="1">INDIRECT(CONCATENATE("'",$A$650,"'!s",B725),1)</f>
        <v>0</v>
      </c>
      <c r="W725" s="1" cm="1">
        <f t="array" aca="1" ref="W725" ca="1">INDIRECT(CONCATENATE("'",$A$650,"'!t",B725),1)</f>
        <v>0</v>
      </c>
      <c r="X725" s="1" cm="1">
        <f t="array" aca="1" ref="X725" ca="1">INDIRECT(CONCATENATE("'",$A$650,"'!u",B725),1)</f>
        <v>0</v>
      </c>
      <c r="Y725" s="1" cm="1">
        <f t="array" aca="1" ref="Y725" ca="1">INDIRECT(CONCATENATE("'",$A$650,"'!v",B725),1)</f>
        <v>0</v>
      </c>
    </row>
    <row r="726" spans="2:25" hidden="1" x14ac:dyDescent="0.25">
      <c r="B726" s="24">
        <f t="shared" si="54"/>
        <v>78</v>
      </c>
      <c r="C726" s="1" cm="1">
        <f t="array" aca="1" ref="C726" ca="1">INDIRECT(CONCATENATE("'",$A$650,"'!A",B726),1)</f>
        <v>0</v>
      </c>
      <c r="D726" s="1" cm="1">
        <f t="array" aca="1" ref="D726" ca="1">INDIRECT(CONCATENATE("'",$A$650,"'!B",B726),1)</f>
        <v>0</v>
      </c>
      <c r="E726" s="1" cm="1">
        <f t="array" aca="1" ref="E726" ca="1">INDIRECT(CONCATENATE("'",$A$650,"'!c",B726),1)</f>
        <v>0</v>
      </c>
      <c r="F726" s="1" cm="1">
        <f t="array" aca="1" ref="F726" ca="1">INDIRECT(CONCATENATE("'",$A$650,"'!d",B726),1)</f>
        <v>0</v>
      </c>
      <c r="G726" s="1" cm="1">
        <f t="array" aca="1" ref="G726" ca="1">INDIRECT(CONCATENATE("'",$A$650,"'!e",B726),1)</f>
        <v>0</v>
      </c>
      <c r="H726" s="1" cm="1">
        <f t="array" aca="1" ref="H726" ca="1">INDIRECT(CONCATENATE("'",$A$650,"'!f",B726),1)</f>
        <v>0</v>
      </c>
      <c r="I726" s="1" cm="1">
        <f t="array" aca="1" ref="I726" ca="1">INDIRECT(CONCATENATE("'",$A$650,"'!g",B726),1)</f>
        <v>0</v>
      </c>
      <c r="J726" s="1" cm="1">
        <f t="array" aca="1" ref="J726" ca="1">INDIRECT(CONCATENATE("'",$A$650,"'!h",B726),1)</f>
        <v>0</v>
      </c>
      <c r="K726" s="1" cm="1">
        <f t="array" aca="1" ref="K726" ca="1">INDIRECT(CONCATENATE("'",$A$650,"'!i",B726),1)</f>
        <v>0</v>
      </c>
      <c r="L726" s="1" cm="1">
        <f t="array" aca="1" ref="L726" ca="1">INDIRECT(CONCATENATE("'",$A$650,"'!j",B726),1)</f>
        <v>0</v>
      </c>
      <c r="M726" s="1" cm="1">
        <f t="array" aca="1" ref="M726" ca="1">INDIRECT(CONCATENATE("'",$A$650,"'!k",B726),1)</f>
        <v>0</v>
      </c>
      <c r="N726" s="1" cm="1">
        <f t="array" aca="1" ref="N726" ca="1">INDIRECT(CONCATENATE("'",$A$650,"'!l",B726),1)</f>
        <v>0</v>
      </c>
      <c r="O726" s="1" cm="1">
        <f t="array" aca="1" ref="O726" ca="1">INDIRECT(CONCATENATE("'",$A$650,"'!m",B726),1)</f>
        <v>0</v>
      </c>
      <c r="P726" s="1" cm="1">
        <f t="array" aca="1" ref="P726" ca="1">INDIRECT(CONCATENATE("'",$A$650,"'!n",B726),1)</f>
        <v>0</v>
      </c>
      <c r="Q726" s="1" cm="1">
        <f t="array" aca="1" ref="Q726" ca="1">INDIRECT(CONCATENATE("'",$A$650,"'!o",B726),1)</f>
        <v>0</v>
      </c>
      <c r="R726" s="1" cm="1">
        <f t="array" aca="1" ref="R726" ca="1">INDIRECT(CONCATENATE("'",$A$650,"'!p",B726),1)</f>
        <v>0</v>
      </c>
      <c r="S726" s="1">
        <f t="shared" ca="1" si="55"/>
        <v>0</v>
      </c>
      <c r="T726" s="1" cm="1">
        <f t="array" aca="1" ref="T726" ca="1">INDIRECT(CONCATENATE("'",$A$650,"'!q",B726),1)</f>
        <v>0</v>
      </c>
      <c r="U726" s="1" cm="1">
        <f t="array" aca="1" ref="U726" ca="1">INDIRECT(CONCATENATE("'",$A$650,"'!r",B726),1)</f>
        <v>0</v>
      </c>
      <c r="V726" s="1" cm="1">
        <f t="array" aca="1" ref="V726" ca="1">INDIRECT(CONCATENATE("'",$A$650,"'!s",B726),1)</f>
        <v>0</v>
      </c>
      <c r="W726" s="1" cm="1">
        <f t="array" aca="1" ref="W726" ca="1">INDIRECT(CONCATENATE("'",$A$650,"'!t",B726),1)</f>
        <v>0</v>
      </c>
      <c r="X726" s="1" cm="1">
        <f t="array" aca="1" ref="X726" ca="1">INDIRECT(CONCATENATE("'",$A$650,"'!u",B726),1)</f>
        <v>0</v>
      </c>
      <c r="Y726" s="1" cm="1">
        <f t="array" aca="1" ref="Y726" ca="1">INDIRECT(CONCATENATE("'",$A$650,"'!v",B726),1)</f>
        <v>0</v>
      </c>
    </row>
    <row r="727" spans="2:25" hidden="1" x14ac:dyDescent="0.25">
      <c r="B727" s="24">
        <f t="shared" si="54"/>
        <v>79</v>
      </c>
      <c r="C727" s="1" cm="1">
        <f t="array" aca="1" ref="C727" ca="1">INDIRECT(CONCATENATE("'",$A$650,"'!A",B727),1)</f>
        <v>0</v>
      </c>
      <c r="D727" s="1" cm="1">
        <f t="array" aca="1" ref="D727" ca="1">INDIRECT(CONCATENATE("'",$A$650,"'!B",B727),1)</f>
        <v>0</v>
      </c>
      <c r="E727" s="1" cm="1">
        <f t="array" aca="1" ref="E727" ca="1">INDIRECT(CONCATENATE("'",$A$650,"'!c",B727),1)</f>
        <v>0</v>
      </c>
      <c r="F727" s="1" cm="1">
        <f t="array" aca="1" ref="F727" ca="1">INDIRECT(CONCATENATE("'",$A$650,"'!d",B727),1)</f>
        <v>0</v>
      </c>
      <c r="G727" s="1" cm="1">
        <f t="array" aca="1" ref="G727" ca="1">INDIRECT(CONCATENATE("'",$A$650,"'!e",B727),1)</f>
        <v>0</v>
      </c>
      <c r="H727" s="1" cm="1">
        <f t="array" aca="1" ref="H727" ca="1">INDIRECT(CONCATENATE("'",$A$650,"'!f",B727),1)</f>
        <v>0</v>
      </c>
      <c r="I727" s="1" cm="1">
        <f t="array" aca="1" ref="I727" ca="1">INDIRECT(CONCATENATE("'",$A$650,"'!g",B727),1)</f>
        <v>0</v>
      </c>
      <c r="J727" s="1" cm="1">
        <f t="array" aca="1" ref="J727" ca="1">INDIRECT(CONCATENATE("'",$A$650,"'!h",B727),1)</f>
        <v>0</v>
      </c>
      <c r="K727" s="1" cm="1">
        <f t="array" aca="1" ref="K727" ca="1">INDIRECT(CONCATENATE("'",$A$650,"'!i",B727),1)</f>
        <v>0</v>
      </c>
      <c r="L727" s="1" cm="1">
        <f t="array" aca="1" ref="L727" ca="1">INDIRECT(CONCATENATE("'",$A$650,"'!j",B727),1)</f>
        <v>0</v>
      </c>
      <c r="M727" s="1" cm="1">
        <f t="array" aca="1" ref="M727" ca="1">INDIRECT(CONCATENATE("'",$A$650,"'!k",B727),1)</f>
        <v>0</v>
      </c>
      <c r="N727" s="1" cm="1">
        <f t="array" aca="1" ref="N727" ca="1">INDIRECT(CONCATENATE("'",$A$650,"'!l",B727),1)</f>
        <v>0</v>
      </c>
      <c r="O727" s="1" cm="1">
        <f t="array" aca="1" ref="O727" ca="1">INDIRECT(CONCATENATE("'",$A$650,"'!m",B727),1)</f>
        <v>0</v>
      </c>
      <c r="P727" s="1" cm="1">
        <f t="array" aca="1" ref="P727" ca="1">INDIRECT(CONCATENATE("'",$A$650,"'!n",B727),1)</f>
        <v>0</v>
      </c>
      <c r="Q727" s="1" cm="1">
        <f t="array" aca="1" ref="Q727" ca="1">INDIRECT(CONCATENATE("'",$A$650,"'!o",B727),1)</f>
        <v>0</v>
      </c>
      <c r="R727" s="1" cm="1">
        <f t="array" aca="1" ref="R727" ca="1">INDIRECT(CONCATENATE("'",$A$650,"'!p",B727),1)</f>
        <v>0</v>
      </c>
      <c r="S727" s="1">
        <f t="shared" ca="1" si="55"/>
        <v>0</v>
      </c>
      <c r="T727" s="1" cm="1">
        <f t="array" aca="1" ref="T727" ca="1">INDIRECT(CONCATENATE("'",$A$650,"'!q",B727),1)</f>
        <v>0</v>
      </c>
      <c r="U727" s="1" cm="1">
        <f t="array" aca="1" ref="U727" ca="1">INDIRECT(CONCATENATE("'",$A$650,"'!r",B727),1)</f>
        <v>0</v>
      </c>
      <c r="V727" s="1" cm="1">
        <f t="array" aca="1" ref="V727" ca="1">INDIRECT(CONCATENATE("'",$A$650,"'!s",B727),1)</f>
        <v>0</v>
      </c>
      <c r="W727" s="1" cm="1">
        <f t="array" aca="1" ref="W727" ca="1">INDIRECT(CONCATENATE("'",$A$650,"'!t",B727),1)</f>
        <v>0</v>
      </c>
      <c r="X727" s="1" cm="1">
        <f t="array" aca="1" ref="X727" ca="1">INDIRECT(CONCATENATE("'",$A$650,"'!u",B727),1)</f>
        <v>0</v>
      </c>
      <c r="Y727" s="1" cm="1">
        <f t="array" aca="1" ref="Y727" ca="1">INDIRECT(CONCATENATE("'",$A$650,"'!v",B727),1)</f>
        <v>0</v>
      </c>
    </row>
    <row r="728" spans="2:25" hidden="1" x14ac:dyDescent="0.25">
      <c r="B728" s="24">
        <f t="shared" si="54"/>
        <v>80</v>
      </c>
      <c r="C728" s="1" cm="1">
        <f t="array" aca="1" ref="C728" ca="1">INDIRECT(CONCATENATE("'",$A$650,"'!A",B728),1)</f>
        <v>0</v>
      </c>
      <c r="D728" s="1" cm="1">
        <f t="array" aca="1" ref="D728" ca="1">INDIRECT(CONCATENATE("'",$A$650,"'!B",B728),1)</f>
        <v>0</v>
      </c>
      <c r="E728" s="1" cm="1">
        <f t="array" aca="1" ref="E728" ca="1">INDIRECT(CONCATENATE("'",$A$650,"'!c",B728),1)</f>
        <v>0</v>
      </c>
      <c r="F728" s="1" cm="1">
        <f t="array" aca="1" ref="F728" ca="1">INDIRECT(CONCATENATE("'",$A$650,"'!d",B728),1)</f>
        <v>0</v>
      </c>
      <c r="G728" s="1" cm="1">
        <f t="array" aca="1" ref="G728" ca="1">INDIRECT(CONCATENATE("'",$A$650,"'!e",B728),1)</f>
        <v>0</v>
      </c>
      <c r="H728" s="1" cm="1">
        <f t="array" aca="1" ref="H728" ca="1">INDIRECT(CONCATENATE("'",$A$650,"'!f",B728),1)</f>
        <v>0</v>
      </c>
      <c r="I728" s="1" cm="1">
        <f t="array" aca="1" ref="I728" ca="1">INDIRECT(CONCATENATE("'",$A$650,"'!g",B728),1)</f>
        <v>0</v>
      </c>
      <c r="J728" s="1" cm="1">
        <f t="array" aca="1" ref="J728" ca="1">INDIRECT(CONCATENATE("'",$A$650,"'!h",B728),1)</f>
        <v>0</v>
      </c>
      <c r="K728" s="1" cm="1">
        <f t="array" aca="1" ref="K728" ca="1">INDIRECT(CONCATENATE("'",$A$650,"'!i",B728),1)</f>
        <v>0</v>
      </c>
      <c r="L728" s="1" cm="1">
        <f t="array" aca="1" ref="L728" ca="1">INDIRECT(CONCATENATE("'",$A$650,"'!j",B728),1)</f>
        <v>0</v>
      </c>
      <c r="M728" s="1" cm="1">
        <f t="array" aca="1" ref="M728" ca="1">INDIRECT(CONCATENATE("'",$A$650,"'!k",B728),1)</f>
        <v>0</v>
      </c>
      <c r="N728" s="1" cm="1">
        <f t="array" aca="1" ref="N728" ca="1">INDIRECT(CONCATENATE("'",$A$650,"'!l",B728),1)</f>
        <v>0</v>
      </c>
      <c r="O728" s="1" cm="1">
        <f t="array" aca="1" ref="O728" ca="1">INDIRECT(CONCATENATE("'",$A$650,"'!m",B728),1)</f>
        <v>0</v>
      </c>
      <c r="P728" s="1" cm="1">
        <f t="array" aca="1" ref="P728" ca="1">INDIRECT(CONCATENATE("'",$A$650,"'!n",B728),1)</f>
        <v>0</v>
      </c>
      <c r="Q728" s="1" cm="1">
        <f t="array" aca="1" ref="Q728" ca="1">INDIRECT(CONCATENATE("'",$A$650,"'!o",B728),1)</f>
        <v>0</v>
      </c>
      <c r="R728" s="1" cm="1">
        <f t="array" aca="1" ref="R728" ca="1">INDIRECT(CONCATENATE("'",$A$650,"'!p",B728),1)</f>
        <v>0</v>
      </c>
      <c r="S728" s="1">
        <f t="shared" ca="1" si="55"/>
        <v>0</v>
      </c>
      <c r="T728" s="1" cm="1">
        <f t="array" aca="1" ref="T728" ca="1">INDIRECT(CONCATENATE("'",$A$650,"'!q",B728),1)</f>
        <v>0</v>
      </c>
      <c r="U728" s="1" cm="1">
        <f t="array" aca="1" ref="U728" ca="1">INDIRECT(CONCATENATE("'",$A$650,"'!r",B728),1)</f>
        <v>0</v>
      </c>
      <c r="V728" s="1" cm="1">
        <f t="array" aca="1" ref="V728" ca="1">INDIRECT(CONCATENATE("'",$A$650,"'!s",B728),1)</f>
        <v>0</v>
      </c>
      <c r="W728" s="1" cm="1">
        <f t="array" aca="1" ref="W728" ca="1">INDIRECT(CONCATENATE("'",$A$650,"'!t",B728),1)</f>
        <v>0</v>
      </c>
      <c r="X728" s="1" cm="1">
        <f t="array" aca="1" ref="X728" ca="1">INDIRECT(CONCATENATE("'",$A$650,"'!u",B728),1)</f>
        <v>0</v>
      </c>
      <c r="Y728" s="1" cm="1">
        <f t="array" aca="1" ref="Y728" ca="1">INDIRECT(CONCATENATE("'",$A$650,"'!v",B728),1)</f>
        <v>0</v>
      </c>
    </row>
    <row r="729" spans="2:25" hidden="1" x14ac:dyDescent="0.25">
      <c r="B729" s="24">
        <f t="shared" si="54"/>
        <v>81</v>
      </c>
      <c r="C729" s="1" cm="1">
        <f t="array" aca="1" ref="C729" ca="1">INDIRECT(CONCATENATE("'",$A$650,"'!A",B729),1)</f>
        <v>0</v>
      </c>
      <c r="D729" s="1" cm="1">
        <f t="array" aca="1" ref="D729" ca="1">INDIRECT(CONCATENATE("'",$A$650,"'!B",B729),1)</f>
        <v>0</v>
      </c>
      <c r="E729" s="1" cm="1">
        <f t="array" aca="1" ref="E729" ca="1">INDIRECT(CONCATENATE("'",$A$650,"'!c",B729),1)</f>
        <v>0</v>
      </c>
      <c r="F729" s="1" cm="1">
        <f t="array" aca="1" ref="F729" ca="1">INDIRECT(CONCATENATE("'",$A$650,"'!d",B729),1)</f>
        <v>0</v>
      </c>
      <c r="G729" s="1" cm="1">
        <f t="array" aca="1" ref="G729" ca="1">INDIRECT(CONCATENATE("'",$A$650,"'!e",B729),1)</f>
        <v>0</v>
      </c>
      <c r="H729" s="1" cm="1">
        <f t="array" aca="1" ref="H729" ca="1">INDIRECT(CONCATENATE("'",$A$650,"'!f",B729),1)</f>
        <v>0</v>
      </c>
      <c r="I729" s="1" cm="1">
        <f t="array" aca="1" ref="I729" ca="1">INDIRECT(CONCATENATE("'",$A$650,"'!g",B729),1)</f>
        <v>0</v>
      </c>
      <c r="J729" s="1" cm="1">
        <f t="array" aca="1" ref="J729" ca="1">INDIRECT(CONCATENATE("'",$A$650,"'!h",B729),1)</f>
        <v>0</v>
      </c>
      <c r="K729" s="1" cm="1">
        <f t="array" aca="1" ref="K729" ca="1">INDIRECT(CONCATENATE("'",$A$650,"'!i",B729),1)</f>
        <v>0</v>
      </c>
      <c r="L729" s="1" cm="1">
        <f t="array" aca="1" ref="L729" ca="1">INDIRECT(CONCATENATE("'",$A$650,"'!j",B729),1)</f>
        <v>0</v>
      </c>
      <c r="M729" s="1" cm="1">
        <f t="array" aca="1" ref="M729" ca="1">INDIRECT(CONCATENATE("'",$A$650,"'!k",B729),1)</f>
        <v>0</v>
      </c>
      <c r="N729" s="1" cm="1">
        <f t="array" aca="1" ref="N729" ca="1">INDIRECT(CONCATENATE("'",$A$650,"'!l",B729),1)</f>
        <v>0</v>
      </c>
      <c r="O729" s="1" cm="1">
        <f t="array" aca="1" ref="O729" ca="1">INDIRECT(CONCATENATE("'",$A$650,"'!m",B729),1)</f>
        <v>0</v>
      </c>
      <c r="P729" s="1" cm="1">
        <f t="array" aca="1" ref="P729" ca="1">INDIRECT(CONCATENATE("'",$A$650,"'!n",B729),1)</f>
        <v>0</v>
      </c>
      <c r="Q729" s="1" cm="1">
        <f t="array" aca="1" ref="Q729" ca="1">INDIRECT(CONCATENATE("'",$A$650,"'!o",B729),1)</f>
        <v>0</v>
      </c>
      <c r="R729" s="1" cm="1">
        <f t="array" aca="1" ref="R729" ca="1">INDIRECT(CONCATENATE("'",$A$650,"'!p",B729),1)</f>
        <v>0</v>
      </c>
      <c r="S729" s="1">
        <f t="shared" ca="1" si="55"/>
        <v>0</v>
      </c>
      <c r="T729" s="1" cm="1">
        <f t="array" aca="1" ref="T729" ca="1">INDIRECT(CONCATENATE("'",$A$650,"'!q",B729),1)</f>
        <v>0</v>
      </c>
      <c r="U729" s="1" cm="1">
        <f t="array" aca="1" ref="U729" ca="1">INDIRECT(CONCATENATE("'",$A$650,"'!r",B729),1)</f>
        <v>0</v>
      </c>
      <c r="V729" s="1" cm="1">
        <f t="array" aca="1" ref="V729" ca="1">INDIRECT(CONCATENATE("'",$A$650,"'!s",B729),1)</f>
        <v>0</v>
      </c>
      <c r="W729" s="1" cm="1">
        <f t="array" aca="1" ref="W729" ca="1">INDIRECT(CONCATENATE("'",$A$650,"'!t",B729),1)</f>
        <v>0</v>
      </c>
      <c r="X729" s="1" cm="1">
        <f t="array" aca="1" ref="X729" ca="1">INDIRECT(CONCATENATE("'",$A$650,"'!u",B729),1)</f>
        <v>0</v>
      </c>
      <c r="Y729" s="1" cm="1">
        <f t="array" aca="1" ref="Y729" ca="1">INDIRECT(CONCATENATE("'",$A$650,"'!v",B729),1)</f>
        <v>0</v>
      </c>
    </row>
    <row r="730" spans="2:25" hidden="1" x14ac:dyDescent="0.25">
      <c r="B730" s="24">
        <f t="shared" si="54"/>
        <v>82</v>
      </c>
      <c r="C730" s="1" cm="1">
        <f t="array" aca="1" ref="C730" ca="1">INDIRECT(CONCATENATE("'",$A$650,"'!A",B730),1)</f>
        <v>0</v>
      </c>
      <c r="D730" s="1" cm="1">
        <f t="array" aca="1" ref="D730" ca="1">INDIRECT(CONCATENATE("'",$A$650,"'!B",B730),1)</f>
        <v>0</v>
      </c>
      <c r="E730" s="1" cm="1">
        <f t="array" aca="1" ref="E730" ca="1">INDIRECT(CONCATENATE("'",$A$650,"'!c",B730),1)</f>
        <v>0</v>
      </c>
      <c r="F730" s="1" cm="1">
        <f t="array" aca="1" ref="F730" ca="1">INDIRECT(CONCATENATE("'",$A$650,"'!d",B730),1)</f>
        <v>0</v>
      </c>
      <c r="G730" s="1" cm="1">
        <f t="array" aca="1" ref="G730" ca="1">INDIRECT(CONCATENATE("'",$A$650,"'!e",B730),1)</f>
        <v>0</v>
      </c>
      <c r="H730" s="1" cm="1">
        <f t="array" aca="1" ref="H730" ca="1">INDIRECT(CONCATENATE("'",$A$650,"'!f",B730),1)</f>
        <v>0</v>
      </c>
      <c r="I730" s="1" cm="1">
        <f t="array" aca="1" ref="I730" ca="1">INDIRECT(CONCATENATE("'",$A$650,"'!g",B730),1)</f>
        <v>0</v>
      </c>
      <c r="J730" s="1" cm="1">
        <f t="array" aca="1" ref="J730" ca="1">INDIRECT(CONCATENATE("'",$A$650,"'!h",B730),1)</f>
        <v>0</v>
      </c>
      <c r="K730" s="1" cm="1">
        <f t="array" aca="1" ref="K730" ca="1">INDIRECT(CONCATENATE("'",$A$650,"'!i",B730),1)</f>
        <v>0</v>
      </c>
      <c r="L730" s="1" cm="1">
        <f t="array" aca="1" ref="L730" ca="1">INDIRECT(CONCATENATE("'",$A$650,"'!j",B730),1)</f>
        <v>0</v>
      </c>
      <c r="M730" s="1" cm="1">
        <f t="array" aca="1" ref="M730" ca="1">INDIRECT(CONCATENATE("'",$A$650,"'!k",B730),1)</f>
        <v>0</v>
      </c>
      <c r="N730" s="1" cm="1">
        <f t="array" aca="1" ref="N730" ca="1">INDIRECT(CONCATENATE("'",$A$650,"'!l",B730),1)</f>
        <v>0</v>
      </c>
      <c r="O730" s="1" cm="1">
        <f t="array" aca="1" ref="O730" ca="1">INDIRECT(CONCATENATE("'",$A$650,"'!m",B730),1)</f>
        <v>0</v>
      </c>
      <c r="P730" s="1" cm="1">
        <f t="array" aca="1" ref="P730" ca="1">INDIRECT(CONCATENATE("'",$A$650,"'!n",B730),1)</f>
        <v>0</v>
      </c>
      <c r="Q730" s="1" cm="1">
        <f t="array" aca="1" ref="Q730" ca="1">INDIRECT(CONCATENATE("'",$A$650,"'!o",B730),1)</f>
        <v>0</v>
      </c>
      <c r="R730" s="1" cm="1">
        <f t="array" aca="1" ref="R730" ca="1">INDIRECT(CONCATENATE("'",$A$650,"'!p",B730),1)</f>
        <v>0</v>
      </c>
      <c r="S730" s="1">
        <f t="shared" ca="1" si="55"/>
        <v>0</v>
      </c>
      <c r="T730" s="1" cm="1">
        <f t="array" aca="1" ref="T730" ca="1">INDIRECT(CONCATENATE("'",$A$650,"'!q",B730),1)</f>
        <v>0</v>
      </c>
      <c r="U730" s="1" cm="1">
        <f t="array" aca="1" ref="U730" ca="1">INDIRECT(CONCATENATE("'",$A$650,"'!r",B730),1)</f>
        <v>0</v>
      </c>
      <c r="V730" s="1" cm="1">
        <f t="array" aca="1" ref="V730" ca="1">INDIRECT(CONCATENATE("'",$A$650,"'!s",B730),1)</f>
        <v>0</v>
      </c>
      <c r="W730" s="1" cm="1">
        <f t="array" aca="1" ref="W730" ca="1">INDIRECT(CONCATENATE("'",$A$650,"'!t",B730),1)</f>
        <v>0</v>
      </c>
      <c r="X730" s="1" cm="1">
        <f t="array" aca="1" ref="X730" ca="1">INDIRECT(CONCATENATE("'",$A$650,"'!u",B730),1)</f>
        <v>0</v>
      </c>
      <c r="Y730" s="1" cm="1">
        <f t="array" aca="1" ref="Y730" ca="1">INDIRECT(CONCATENATE("'",$A$650,"'!v",B730),1)</f>
        <v>0</v>
      </c>
    </row>
    <row r="731" spans="2:25" hidden="1" x14ac:dyDescent="0.25">
      <c r="B731" s="24">
        <f t="shared" si="54"/>
        <v>83</v>
      </c>
      <c r="C731" s="1" cm="1">
        <f t="array" aca="1" ref="C731" ca="1">INDIRECT(CONCATENATE("'",$A$650,"'!A",B731),1)</f>
        <v>0</v>
      </c>
      <c r="D731" s="1" cm="1">
        <f t="array" aca="1" ref="D731" ca="1">INDIRECT(CONCATENATE("'",$A$650,"'!B",B731),1)</f>
        <v>0</v>
      </c>
      <c r="E731" s="1" cm="1">
        <f t="array" aca="1" ref="E731" ca="1">INDIRECT(CONCATENATE("'",$A$650,"'!c",B731),1)</f>
        <v>0</v>
      </c>
      <c r="F731" s="1" cm="1">
        <f t="array" aca="1" ref="F731" ca="1">INDIRECT(CONCATENATE("'",$A$650,"'!d",B731),1)</f>
        <v>0</v>
      </c>
      <c r="G731" s="1" cm="1">
        <f t="array" aca="1" ref="G731" ca="1">INDIRECT(CONCATENATE("'",$A$650,"'!e",B731),1)</f>
        <v>0</v>
      </c>
      <c r="H731" s="1" cm="1">
        <f t="array" aca="1" ref="H731" ca="1">INDIRECT(CONCATENATE("'",$A$650,"'!f",B731),1)</f>
        <v>0</v>
      </c>
      <c r="I731" s="1" cm="1">
        <f t="array" aca="1" ref="I731" ca="1">INDIRECT(CONCATENATE("'",$A$650,"'!g",B731),1)</f>
        <v>0</v>
      </c>
      <c r="J731" s="1" cm="1">
        <f t="array" aca="1" ref="J731" ca="1">INDIRECT(CONCATENATE("'",$A$650,"'!h",B731),1)</f>
        <v>0</v>
      </c>
      <c r="K731" s="1" cm="1">
        <f t="array" aca="1" ref="K731" ca="1">INDIRECT(CONCATENATE("'",$A$650,"'!i",B731),1)</f>
        <v>0</v>
      </c>
      <c r="L731" s="1" cm="1">
        <f t="array" aca="1" ref="L731" ca="1">INDIRECT(CONCATENATE("'",$A$650,"'!j",B731),1)</f>
        <v>0</v>
      </c>
      <c r="M731" s="1" cm="1">
        <f t="array" aca="1" ref="M731" ca="1">INDIRECT(CONCATENATE("'",$A$650,"'!k",B731),1)</f>
        <v>0</v>
      </c>
      <c r="N731" s="1" cm="1">
        <f t="array" aca="1" ref="N731" ca="1">INDIRECT(CONCATENATE("'",$A$650,"'!l",B731),1)</f>
        <v>0</v>
      </c>
      <c r="O731" s="1" cm="1">
        <f t="array" aca="1" ref="O731" ca="1">INDIRECT(CONCATENATE("'",$A$650,"'!m",B731),1)</f>
        <v>0</v>
      </c>
      <c r="P731" s="1" cm="1">
        <f t="array" aca="1" ref="P731" ca="1">INDIRECT(CONCATENATE("'",$A$650,"'!n",B731),1)</f>
        <v>0</v>
      </c>
      <c r="Q731" s="1" cm="1">
        <f t="array" aca="1" ref="Q731" ca="1">INDIRECT(CONCATENATE("'",$A$650,"'!o",B731),1)</f>
        <v>0</v>
      </c>
      <c r="R731" s="1" cm="1">
        <f t="array" aca="1" ref="R731" ca="1">INDIRECT(CONCATENATE("'",$A$650,"'!p",B731),1)</f>
        <v>0</v>
      </c>
      <c r="S731" s="1">
        <f t="shared" ca="1" si="55"/>
        <v>0</v>
      </c>
      <c r="T731" s="1" cm="1">
        <f t="array" aca="1" ref="T731" ca="1">INDIRECT(CONCATENATE("'",$A$650,"'!q",B731),1)</f>
        <v>0</v>
      </c>
      <c r="U731" s="1" cm="1">
        <f t="array" aca="1" ref="U731" ca="1">INDIRECT(CONCATENATE("'",$A$650,"'!r",B731),1)</f>
        <v>0</v>
      </c>
      <c r="V731" s="1" cm="1">
        <f t="array" aca="1" ref="V731" ca="1">INDIRECT(CONCATENATE("'",$A$650,"'!s",B731),1)</f>
        <v>0</v>
      </c>
      <c r="W731" s="1" cm="1">
        <f t="array" aca="1" ref="W731" ca="1">INDIRECT(CONCATENATE("'",$A$650,"'!t",B731),1)</f>
        <v>0</v>
      </c>
      <c r="X731" s="1" cm="1">
        <f t="array" aca="1" ref="X731" ca="1">INDIRECT(CONCATENATE("'",$A$650,"'!u",B731),1)</f>
        <v>0</v>
      </c>
      <c r="Y731" s="1" cm="1">
        <f t="array" aca="1" ref="Y731" ca="1">INDIRECT(CONCATENATE("'",$A$650,"'!v",B731),1)</f>
        <v>0</v>
      </c>
    </row>
    <row r="732" spans="2:25" hidden="1" x14ac:dyDescent="0.25">
      <c r="B732" s="24">
        <f t="shared" si="54"/>
        <v>84</v>
      </c>
      <c r="C732" s="1" cm="1">
        <f t="array" aca="1" ref="C732" ca="1">INDIRECT(CONCATENATE("'",$A$650,"'!A",B732),1)</f>
        <v>0</v>
      </c>
      <c r="D732" s="1" cm="1">
        <f t="array" aca="1" ref="D732" ca="1">INDIRECT(CONCATENATE("'",$A$650,"'!B",B732),1)</f>
        <v>0</v>
      </c>
      <c r="E732" s="1" cm="1">
        <f t="array" aca="1" ref="E732" ca="1">INDIRECT(CONCATENATE("'",$A$650,"'!c",B732),1)</f>
        <v>0</v>
      </c>
      <c r="F732" s="1" cm="1">
        <f t="array" aca="1" ref="F732" ca="1">INDIRECT(CONCATENATE("'",$A$650,"'!d",B732),1)</f>
        <v>0</v>
      </c>
      <c r="G732" s="1" cm="1">
        <f t="array" aca="1" ref="G732" ca="1">INDIRECT(CONCATENATE("'",$A$650,"'!e",B732),1)</f>
        <v>0</v>
      </c>
      <c r="H732" s="1" cm="1">
        <f t="array" aca="1" ref="H732" ca="1">INDIRECT(CONCATENATE("'",$A$650,"'!f",B732),1)</f>
        <v>0</v>
      </c>
      <c r="I732" s="1" cm="1">
        <f t="array" aca="1" ref="I732" ca="1">INDIRECT(CONCATENATE("'",$A$650,"'!g",B732),1)</f>
        <v>0</v>
      </c>
      <c r="J732" s="1" cm="1">
        <f t="array" aca="1" ref="J732" ca="1">INDIRECT(CONCATENATE("'",$A$650,"'!h",B732),1)</f>
        <v>0</v>
      </c>
      <c r="K732" s="1" cm="1">
        <f t="array" aca="1" ref="K732" ca="1">INDIRECT(CONCATENATE("'",$A$650,"'!i",B732),1)</f>
        <v>0</v>
      </c>
      <c r="L732" s="1" cm="1">
        <f t="array" aca="1" ref="L732" ca="1">INDIRECT(CONCATENATE("'",$A$650,"'!j",B732),1)</f>
        <v>0</v>
      </c>
      <c r="M732" s="1" cm="1">
        <f t="array" aca="1" ref="M732" ca="1">INDIRECT(CONCATENATE("'",$A$650,"'!k",B732),1)</f>
        <v>0</v>
      </c>
      <c r="N732" s="1" cm="1">
        <f t="array" aca="1" ref="N732" ca="1">INDIRECT(CONCATENATE("'",$A$650,"'!l",B732),1)</f>
        <v>0</v>
      </c>
      <c r="O732" s="1" cm="1">
        <f t="array" aca="1" ref="O732" ca="1">INDIRECT(CONCATENATE("'",$A$650,"'!m",B732),1)</f>
        <v>0</v>
      </c>
      <c r="P732" s="1" cm="1">
        <f t="array" aca="1" ref="P732" ca="1">INDIRECT(CONCATENATE("'",$A$650,"'!n",B732),1)</f>
        <v>0</v>
      </c>
      <c r="Q732" s="1" cm="1">
        <f t="array" aca="1" ref="Q732" ca="1">INDIRECT(CONCATENATE("'",$A$650,"'!o",B732),1)</f>
        <v>0</v>
      </c>
      <c r="R732" s="1" cm="1">
        <f t="array" aca="1" ref="R732" ca="1">INDIRECT(CONCATENATE("'",$A$650,"'!p",B732),1)</f>
        <v>0</v>
      </c>
      <c r="S732" s="1">
        <f t="shared" ca="1" si="55"/>
        <v>0</v>
      </c>
      <c r="T732" s="1" cm="1">
        <f t="array" aca="1" ref="T732" ca="1">INDIRECT(CONCATENATE("'",$A$650,"'!q",B732),1)</f>
        <v>0</v>
      </c>
      <c r="U732" s="1" cm="1">
        <f t="array" aca="1" ref="U732" ca="1">INDIRECT(CONCATENATE("'",$A$650,"'!r",B732),1)</f>
        <v>0</v>
      </c>
      <c r="V732" s="1" cm="1">
        <f t="array" aca="1" ref="V732" ca="1">INDIRECT(CONCATENATE("'",$A$650,"'!s",B732),1)</f>
        <v>0</v>
      </c>
      <c r="W732" s="1" cm="1">
        <f t="array" aca="1" ref="W732" ca="1">INDIRECT(CONCATENATE("'",$A$650,"'!t",B732),1)</f>
        <v>0</v>
      </c>
      <c r="X732" s="1" cm="1">
        <f t="array" aca="1" ref="X732" ca="1">INDIRECT(CONCATENATE("'",$A$650,"'!u",B732),1)</f>
        <v>0</v>
      </c>
      <c r="Y732" s="1" cm="1">
        <f t="array" aca="1" ref="Y732" ca="1">INDIRECT(CONCATENATE("'",$A$650,"'!v",B732),1)</f>
        <v>0</v>
      </c>
    </row>
    <row r="733" spans="2:25" hidden="1" x14ac:dyDescent="0.25">
      <c r="B733" s="24">
        <f t="shared" si="54"/>
        <v>85</v>
      </c>
      <c r="C733" s="1" cm="1">
        <f t="array" aca="1" ref="C733" ca="1">INDIRECT(CONCATENATE("'",$A$650,"'!A",B733),1)</f>
        <v>0</v>
      </c>
      <c r="D733" s="1" cm="1">
        <f t="array" aca="1" ref="D733" ca="1">INDIRECT(CONCATENATE("'",$A$650,"'!B",B733),1)</f>
        <v>0</v>
      </c>
      <c r="E733" s="1" cm="1">
        <f t="array" aca="1" ref="E733" ca="1">INDIRECT(CONCATENATE("'",$A$650,"'!c",B733),1)</f>
        <v>0</v>
      </c>
      <c r="F733" s="1" cm="1">
        <f t="array" aca="1" ref="F733" ca="1">INDIRECT(CONCATENATE("'",$A$650,"'!d",B733),1)</f>
        <v>0</v>
      </c>
      <c r="G733" s="1" cm="1">
        <f t="array" aca="1" ref="G733" ca="1">INDIRECT(CONCATENATE("'",$A$650,"'!e",B733),1)</f>
        <v>0</v>
      </c>
      <c r="H733" s="1" cm="1">
        <f t="array" aca="1" ref="H733" ca="1">INDIRECT(CONCATENATE("'",$A$650,"'!f",B733),1)</f>
        <v>0</v>
      </c>
      <c r="I733" s="1" cm="1">
        <f t="array" aca="1" ref="I733" ca="1">INDIRECT(CONCATENATE("'",$A$650,"'!g",B733),1)</f>
        <v>0</v>
      </c>
      <c r="J733" s="1" cm="1">
        <f t="array" aca="1" ref="J733" ca="1">INDIRECT(CONCATENATE("'",$A$650,"'!h",B733),1)</f>
        <v>0</v>
      </c>
      <c r="K733" s="1" cm="1">
        <f t="array" aca="1" ref="K733" ca="1">INDIRECT(CONCATENATE("'",$A$650,"'!i",B733),1)</f>
        <v>0</v>
      </c>
      <c r="L733" s="1" cm="1">
        <f t="array" aca="1" ref="L733" ca="1">INDIRECT(CONCATENATE("'",$A$650,"'!j",B733),1)</f>
        <v>0</v>
      </c>
      <c r="M733" s="1" cm="1">
        <f t="array" aca="1" ref="M733" ca="1">INDIRECT(CONCATENATE("'",$A$650,"'!k",B733),1)</f>
        <v>0</v>
      </c>
      <c r="N733" s="1" cm="1">
        <f t="array" aca="1" ref="N733" ca="1">INDIRECT(CONCATENATE("'",$A$650,"'!l",B733),1)</f>
        <v>0</v>
      </c>
      <c r="O733" s="1" cm="1">
        <f t="array" aca="1" ref="O733" ca="1">INDIRECT(CONCATENATE("'",$A$650,"'!m",B733),1)</f>
        <v>0</v>
      </c>
      <c r="P733" s="1" cm="1">
        <f t="array" aca="1" ref="P733" ca="1">INDIRECT(CONCATENATE("'",$A$650,"'!n",B733),1)</f>
        <v>0</v>
      </c>
      <c r="Q733" s="1" cm="1">
        <f t="array" aca="1" ref="Q733" ca="1">INDIRECT(CONCATENATE("'",$A$650,"'!o",B733),1)</f>
        <v>0</v>
      </c>
      <c r="R733" s="1" cm="1">
        <f t="array" aca="1" ref="R733" ca="1">INDIRECT(CONCATENATE("'",$A$650,"'!p",B733),1)</f>
        <v>0</v>
      </c>
      <c r="S733" s="1">
        <f t="shared" ca="1" si="55"/>
        <v>0</v>
      </c>
      <c r="T733" s="1" cm="1">
        <f t="array" aca="1" ref="T733" ca="1">INDIRECT(CONCATENATE("'",$A$650,"'!q",B733),1)</f>
        <v>0</v>
      </c>
      <c r="U733" s="1" cm="1">
        <f t="array" aca="1" ref="U733" ca="1">INDIRECT(CONCATENATE("'",$A$650,"'!r",B733),1)</f>
        <v>0</v>
      </c>
      <c r="V733" s="1" cm="1">
        <f t="array" aca="1" ref="V733" ca="1">INDIRECT(CONCATENATE("'",$A$650,"'!s",B733),1)</f>
        <v>0</v>
      </c>
      <c r="W733" s="1" cm="1">
        <f t="array" aca="1" ref="W733" ca="1">INDIRECT(CONCATENATE("'",$A$650,"'!t",B733),1)</f>
        <v>0</v>
      </c>
      <c r="X733" s="1" cm="1">
        <f t="array" aca="1" ref="X733" ca="1">INDIRECT(CONCATENATE("'",$A$650,"'!u",B733),1)</f>
        <v>0</v>
      </c>
      <c r="Y733" s="1" cm="1">
        <f t="array" aca="1" ref="Y733" ca="1">INDIRECT(CONCATENATE("'",$A$650,"'!v",B733),1)</f>
        <v>0</v>
      </c>
    </row>
    <row r="734" spans="2:25" hidden="1" x14ac:dyDescent="0.25">
      <c r="B734" s="24">
        <f t="shared" si="54"/>
        <v>86</v>
      </c>
      <c r="C734" s="1" cm="1">
        <f t="array" aca="1" ref="C734" ca="1">INDIRECT(CONCATENATE("'",$A$650,"'!A",B734),1)</f>
        <v>0</v>
      </c>
      <c r="D734" s="1" cm="1">
        <f t="array" aca="1" ref="D734" ca="1">INDIRECT(CONCATENATE("'",$A$650,"'!B",B734),1)</f>
        <v>0</v>
      </c>
      <c r="E734" s="1" cm="1">
        <f t="array" aca="1" ref="E734" ca="1">INDIRECT(CONCATENATE("'",$A$650,"'!c",B734),1)</f>
        <v>0</v>
      </c>
      <c r="F734" s="1" cm="1">
        <f t="array" aca="1" ref="F734" ca="1">INDIRECT(CONCATENATE("'",$A$650,"'!d",B734),1)</f>
        <v>0</v>
      </c>
      <c r="G734" s="1" cm="1">
        <f t="array" aca="1" ref="G734" ca="1">INDIRECT(CONCATENATE("'",$A$650,"'!e",B734),1)</f>
        <v>0</v>
      </c>
      <c r="H734" s="1" cm="1">
        <f t="array" aca="1" ref="H734" ca="1">INDIRECT(CONCATENATE("'",$A$650,"'!f",B734),1)</f>
        <v>0</v>
      </c>
      <c r="I734" s="1" cm="1">
        <f t="array" aca="1" ref="I734" ca="1">INDIRECT(CONCATENATE("'",$A$650,"'!g",B734),1)</f>
        <v>0</v>
      </c>
      <c r="J734" s="1" cm="1">
        <f t="array" aca="1" ref="J734" ca="1">INDIRECT(CONCATENATE("'",$A$650,"'!h",B734),1)</f>
        <v>0</v>
      </c>
      <c r="K734" s="1" cm="1">
        <f t="array" aca="1" ref="K734" ca="1">INDIRECT(CONCATENATE("'",$A$650,"'!i",B734),1)</f>
        <v>0</v>
      </c>
      <c r="L734" s="1" cm="1">
        <f t="array" aca="1" ref="L734" ca="1">INDIRECT(CONCATENATE("'",$A$650,"'!j",B734),1)</f>
        <v>0</v>
      </c>
      <c r="M734" s="1" cm="1">
        <f t="array" aca="1" ref="M734" ca="1">INDIRECT(CONCATENATE("'",$A$650,"'!k",B734),1)</f>
        <v>0</v>
      </c>
      <c r="N734" s="1" cm="1">
        <f t="array" aca="1" ref="N734" ca="1">INDIRECT(CONCATENATE("'",$A$650,"'!l",B734),1)</f>
        <v>0</v>
      </c>
      <c r="O734" s="1" cm="1">
        <f t="array" aca="1" ref="O734" ca="1">INDIRECT(CONCATENATE("'",$A$650,"'!m",B734),1)</f>
        <v>0</v>
      </c>
      <c r="P734" s="1" cm="1">
        <f t="array" aca="1" ref="P734" ca="1">INDIRECT(CONCATENATE("'",$A$650,"'!n",B734),1)</f>
        <v>0</v>
      </c>
      <c r="Q734" s="1" cm="1">
        <f t="array" aca="1" ref="Q734" ca="1">INDIRECT(CONCATENATE("'",$A$650,"'!o",B734),1)</f>
        <v>0</v>
      </c>
      <c r="R734" s="1" cm="1">
        <f t="array" aca="1" ref="R734" ca="1">INDIRECT(CONCATENATE("'",$A$650,"'!p",B734),1)</f>
        <v>0</v>
      </c>
      <c r="S734" s="1">
        <f t="shared" ca="1" si="55"/>
        <v>0</v>
      </c>
      <c r="T734" s="1" cm="1">
        <f t="array" aca="1" ref="T734" ca="1">INDIRECT(CONCATENATE("'",$A$650,"'!q",B734),1)</f>
        <v>0</v>
      </c>
      <c r="U734" s="1" cm="1">
        <f t="array" aca="1" ref="U734" ca="1">INDIRECT(CONCATENATE("'",$A$650,"'!r",B734),1)</f>
        <v>0</v>
      </c>
      <c r="V734" s="1" cm="1">
        <f t="array" aca="1" ref="V734" ca="1">INDIRECT(CONCATENATE("'",$A$650,"'!s",B734),1)</f>
        <v>0</v>
      </c>
      <c r="W734" s="1" cm="1">
        <f t="array" aca="1" ref="W734" ca="1">INDIRECT(CONCATENATE("'",$A$650,"'!t",B734),1)</f>
        <v>0</v>
      </c>
      <c r="X734" s="1" cm="1">
        <f t="array" aca="1" ref="X734" ca="1">INDIRECT(CONCATENATE("'",$A$650,"'!u",B734),1)</f>
        <v>0</v>
      </c>
      <c r="Y734" s="1" cm="1">
        <f t="array" aca="1" ref="Y734" ca="1">INDIRECT(CONCATENATE("'",$A$650,"'!v",B734),1)</f>
        <v>0</v>
      </c>
    </row>
    <row r="735" spans="2:25" hidden="1" x14ac:dyDescent="0.25">
      <c r="B735" s="24">
        <f t="shared" si="54"/>
        <v>87</v>
      </c>
      <c r="C735" s="1" cm="1">
        <f t="array" aca="1" ref="C735" ca="1">INDIRECT(CONCATENATE("'",$A$650,"'!A",B735),1)</f>
        <v>0</v>
      </c>
      <c r="D735" s="1" cm="1">
        <f t="array" aca="1" ref="D735" ca="1">INDIRECT(CONCATENATE("'",$A$650,"'!B",B735),1)</f>
        <v>0</v>
      </c>
      <c r="E735" s="1" cm="1">
        <f t="array" aca="1" ref="E735" ca="1">INDIRECT(CONCATENATE("'",$A$650,"'!c",B735),1)</f>
        <v>0</v>
      </c>
      <c r="F735" s="1" cm="1">
        <f t="array" aca="1" ref="F735" ca="1">INDIRECT(CONCATENATE("'",$A$650,"'!d",B735),1)</f>
        <v>0</v>
      </c>
      <c r="G735" s="1" cm="1">
        <f t="array" aca="1" ref="G735" ca="1">INDIRECT(CONCATENATE("'",$A$650,"'!e",B735),1)</f>
        <v>0</v>
      </c>
      <c r="H735" s="1" cm="1">
        <f t="array" aca="1" ref="H735" ca="1">INDIRECT(CONCATENATE("'",$A$650,"'!f",B735),1)</f>
        <v>0</v>
      </c>
      <c r="I735" s="1" cm="1">
        <f t="array" aca="1" ref="I735" ca="1">INDIRECT(CONCATENATE("'",$A$650,"'!g",B735),1)</f>
        <v>0</v>
      </c>
      <c r="J735" s="1" cm="1">
        <f t="array" aca="1" ref="J735" ca="1">INDIRECT(CONCATENATE("'",$A$650,"'!h",B735),1)</f>
        <v>0</v>
      </c>
      <c r="K735" s="1" cm="1">
        <f t="array" aca="1" ref="K735" ca="1">INDIRECT(CONCATENATE("'",$A$650,"'!i",B735),1)</f>
        <v>0</v>
      </c>
      <c r="L735" s="1" cm="1">
        <f t="array" aca="1" ref="L735" ca="1">INDIRECT(CONCATENATE("'",$A$650,"'!j",B735),1)</f>
        <v>0</v>
      </c>
      <c r="M735" s="1" cm="1">
        <f t="array" aca="1" ref="M735" ca="1">INDIRECT(CONCATENATE("'",$A$650,"'!k",B735),1)</f>
        <v>0</v>
      </c>
      <c r="N735" s="1" cm="1">
        <f t="array" aca="1" ref="N735" ca="1">INDIRECT(CONCATENATE("'",$A$650,"'!l",B735),1)</f>
        <v>0</v>
      </c>
      <c r="O735" s="1" cm="1">
        <f t="array" aca="1" ref="O735" ca="1">INDIRECT(CONCATENATE("'",$A$650,"'!m",B735),1)</f>
        <v>0</v>
      </c>
      <c r="P735" s="1" cm="1">
        <f t="array" aca="1" ref="P735" ca="1">INDIRECT(CONCATENATE("'",$A$650,"'!n",B735),1)</f>
        <v>0</v>
      </c>
      <c r="Q735" s="1" cm="1">
        <f t="array" aca="1" ref="Q735" ca="1">INDIRECT(CONCATENATE("'",$A$650,"'!o",B735),1)</f>
        <v>0</v>
      </c>
      <c r="R735" s="1" cm="1">
        <f t="array" aca="1" ref="R735" ca="1">INDIRECT(CONCATENATE("'",$A$650,"'!p",B735),1)</f>
        <v>0</v>
      </c>
      <c r="S735" s="1">
        <f t="shared" ca="1" si="55"/>
        <v>0</v>
      </c>
      <c r="T735" s="1" cm="1">
        <f t="array" aca="1" ref="T735" ca="1">INDIRECT(CONCATENATE("'",$A$650,"'!q",B735),1)</f>
        <v>0</v>
      </c>
      <c r="U735" s="1" cm="1">
        <f t="array" aca="1" ref="U735" ca="1">INDIRECT(CONCATENATE("'",$A$650,"'!r",B735),1)</f>
        <v>0</v>
      </c>
      <c r="V735" s="1" cm="1">
        <f t="array" aca="1" ref="V735" ca="1">INDIRECT(CONCATENATE("'",$A$650,"'!s",B735),1)</f>
        <v>0</v>
      </c>
      <c r="W735" s="1" cm="1">
        <f t="array" aca="1" ref="W735" ca="1">INDIRECT(CONCATENATE("'",$A$650,"'!t",B735),1)</f>
        <v>0</v>
      </c>
      <c r="X735" s="1" cm="1">
        <f t="array" aca="1" ref="X735" ca="1">INDIRECT(CONCATENATE("'",$A$650,"'!u",B735),1)</f>
        <v>0</v>
      </c>
      <c r="Y735" s="1" cm="1">
        <f t="array" aca="1" ref="Y735" ca="1">INDIRECT(CONCATENATE("'",$A$650,"'!v",B735),1)</f>
        <v>0</v>
      </c>
    </row>
    <row r="736" spans="2:25" hidden="1" x14ac:dyDescent="0.25">
      <c r="B736" s="24">
        <f t="shared" si="54"/>
        <v>88</v>
      </c>
      <c r="C736" s="1" cm="1">
        <f t="array" aca="1" ref="C736" ca="1">INDIRECT(CONCATENATE("'",$A$650,"'!A",B736),1)</f>
        <v>0</v>
      </c>
      <c r="D736" s="1" cm="1">
        <f t="array" aca="1" ref="D736" ca="1">INDIRECT(CONCATENATE("'",$A$650,"'!B",B736),1)</f>
        <v>0</v>
      </c>
      <c r="E736" s="1" cm="1">
        <f t="array" aca="1" ref="E736" ca="1">INDIRECT(CONCATENATE("'",$A$650,"'!c",B736),1)</f>
        <v>0</v>
      </c>
      <c r="F736" s="1" cm="1">
        <f t="array" aca="1" ref="F736" ca="1">INDIRECT(CONCATENATE("'",$A$650,"'!d",B736),1)</f>
        <v>0</v>
      </c>
      <c r="G736" s="1" cm="1">
        <f t="array" aca="1" ref="G736" ca="1">INDIRECT(CONCATENATE("'",$A$650,"'!e",B736),1)</f>
        <v>0</v>
      </c>
      <c r="H736" s="1" cm="1">
        <f t="array" aca="1" ref="H736" ca="1">INDIRECT(CONCATENATE("'",$A$650,"'!f",B736),1)</f>
        <v>0</v>
      </c>
      <c r="I736" s="1" cm="1">
        <f t="array" aca="1" ref="I736" ca="1">INDIRECT(CONCATENATE("'",$A$650,"'!g",B736),1)</f>
        <v>0</v>
      </c>
      <c r="J736" s="1" cm="1">
        <f t="array" aca="1" ref="J736" ca="1">INDIRECT(CONCATENATE("'",$A$650,"'!h",B736),1)</f>
        <v>0</v>
      </c>
      <c r="K736" s="1" cm="1">
        <f t="array" aca="1" ref="K736" ca="1">INDIRECT(CONCATENATE("'",$A$650,"'!i",B736),1)</f>
        <v>0</v>
      </c>
      <c r="L736" s="1" cm="1">
        <f t="array" aca="1" ref="L736" ca="1">INDIRECT(CONCATENATE("'",$A$650,"'!j",B736),1)</f>
        <v>0</v>
      </c>
      <c r="M736" s="1" cm="1">
        <f t="array" aca="1" ref="M736" ca="1">INDIRECT(CONCATENATE("'",$A$650,"'!k",B736),1)</f>
        <v>0</v>
      </c>
      <c r="N736" s="1" cm="1">
        <f t="array" aca="1" ref="N736" ca="1">INDIRECT(CONCATENATE("'",$A$650,"'!l",B736),1)</f>
        <v>0</v>
      </c>
      <c r="O736" s="1" cm="1">
        <f t="array" aca="1" ref="O736" ca="1">INDIRECT(CONCATENATE("'",$A$650,"'!m",B736),1)</f>
        <v>0</v>
      </c>
      <c r="P736" s="1" cm="1">
        <f t="array" aca="1" ref="P736" ca="1">INDIRECT(CONCATENATE("'",$A$650,"'!n",B736),1)</f>
        <v>0</v>
      </c>
      <c r="Q736" s="1" cm="1">
        <f t="array" aca="1" ref="Q736" ca="1">INDIRECT(CONCATENATE("'",$A$650,"'!o",B736),1)</f>
        <v>0</v>
      </c>
      <c r="R736" s="1" cm="1">
        <f t="array" aca="1" ref="R736" ca="1">INDIRECT(CONCATENATE("'",$A$650,"'!p",B736),1)</f>
        <v>0</v>
      </c>
      <c r="S736" s="1">
        <f t="shared" ca="1" si="55"/>
        <v>0</v>
      </c>
      <c r="T736" s="1" cm="1">
        <f t="array" aca="1" ref="T736" ca="1">INDIRECT(CONCATENATE("'",$A$650,"'!q",B736),1)</f>
        <v>0</v>
      </c>
      <c r="U736" s="1" cm="1">
        <f t="array" aca="1" ref="U736" ca="1">INDIRECT(CONCATENATE("'",$A$650,"'!r",B736),1)</f>
        <v>0</v>
      </c>
      <c r="V736" s="1" cm="1">
        <f t="array" aca="1" ref="V736" ca="1">INDIRECT(CONCATENATE("'",$A$650,"'!s",B736),1)</f>
        <v>0</v>
      </c>
      <c r="W736" s="1" cm="1">
        <f t="array" aca="1" ref="W736" ca="1">INDIRECT(CONCATENATE("'",$A$650,"'!t",B736),1)</f>
        <v>0</v>
      </c>
      <c r="X736" s="1" cm="1">
        <f t="array" aca="1" ref="X736" ca="1">INDIRECT(CONCATENATE("'",$A$650,"'!u",B736),1)</f>
        <v>0</v>
      </c>
      <c r="Y736" s="1" cm="1">
        <f t="array" aca="1" ref="Y736" ca="1">INDIRECT(CONCATENATE("'",$A$650,"'!v",B736),1)</f>
        <v>0</v>
      </c>
    </row>
    <row r="737" spans="1:25" hidden="1" x14ac:dyDescent="0.25">
      <c r="B737" s="24">
        <f t="shared" si="54"/>
        <v>89</v>
      </c>
      <c r="C737" s="1" cm="1">
        <f t="array" aca="1" ref="C737" ca="1">INDIRECT(CONCATENATE("'",$A$650,"'!A",B737),1)</f>
        <v>0</v>
      </c>
      <c r="D737" s="1" cm="1">
        <f t="array" aca="1" ref="D737" ca="1">INDIRECT(CONCATENATE("'",$A$650,"'!B",B737),1)</f>
        <v>0</v>
      </c>
      <c r="E737" s="1" cm="1">
        <f t="array" aca="1" ref="E737" ca="1">INDIRECT(CONCATENATE("'",$A$650,"'!c",B737),1)</f>
        <v>0</v>
      </c>
      <c r="F737" s="1" cm="1">
        <f t="array" aca="1" ref="F737" ca="1">INDIRECT(CONCATENATE("'",$A$650,"'!d",B737),1)</f>
        <v>0</v>
      </c>
      <c r="G737" s="1" cm="1">
        <f t="array" aca="1" ref="G737" ca="1">INDIRECT(CONCATENATE("'",$A$650,"'!e",B737),1)</f>
        <v>0</v>
      </c>
      <c r="H737" s="1" cm="1">
        <f t="array" aca="1" ref="H737" ca="1">INDIRECT(CONCATENATE("'",$A$650,"'!f",B737),1)</f>
        <v>0</v>
      </c>
      <c r="I737" s="1" cm="1">
        <f t="array" aca="1" ref="I737" ca="1">INDIRECT(CONCATENATE("'",$A$650,"'!g",B737),1)</f>
        <v>0</v>
      </c>
      <c r="J737" s="1" cm="1">
        <f t="array" aca="1" ref="J737" ca="1">INDIRECT(CONCATENATE("'",$A$650,"'!h",B737),1)</f>
        <v>0</v>
      </c>
      <c r="K737" s="1" cm="1">
        <f t="array" aca="1" ref="K737" ca="1">INDIRECT(CONCATENATE("'",$A$650,"'!i",B737),1)</f>
        <v>0</v>
      </c>
      <c r="L737" s="1" cm="1">
        <f t="array" aca="1" ref="L737" ca="1">INDIRECT(CONCATENATE("'",$A$650,"'!j",B737),1)</f>
        <v>0</v>
      </c>
      <c r="M737" s="1" cm="1">
        <f t="array" aca="1" ref="M737" ca="1">INDIRECT(CONCATENATE("'",$A$650,"'!k",B737),1)</f>
        <v>0</v>
      </c>
      <c r="N737" s="1" cm="1">
        <f t="array" aca="1" ref="N737" ca="1">INDIRECT(CONCATENATE("'",$A$650,"'!l",B737),1)</f>
        <v>0</v>
      </c>
      <c r="O737" s="1" cm="1">
        <f t="array" aca="1" ref="O737" ca="1">INDIRECT(CONCATENATE("'",$A$650,"'!m",B737),1)</f>
        <v>0</v>
      </c>
      <c r="P737" s="1" cm="1">
        <f t="array" aca="1" ref="P737" ca="1">INDIRECT(CONCATENATE("'",$A$650,"'!n",B737),1)</f>
        <v>0</v>
      </c>
      <c r="Q737" s="1" cm="1">
        <f t="array" aca="1" ref="Q737" ca="1">INDIRECT(CONCATENATE("'",$A$650,"'!o",B737),1)</f>
        <v>0</v>
      </c>
      <c r="R737" s="1" cm="1">
        <f t="array" aca="1" ref="R737" ca="1">INDIRECT(CONCATENATE("'",$A$650,"'!p",B737),1)</f>
        <v>0</v>
      </c>
      <c r="S737" s="1">
        <f t="shared" ca="1" si="55"/>
        <v>0</v>
      </c>
      <c r="T737" s="1" cm="1">
        <f t="array" aca="1" ref="T737" ca="1">INDIRECT(CONCATENATE("'",$A$650,"'!q",B737),1)</f>
        <v>0</v>
      </c>
      <c r="U737" s="1" cm="1">
        <f t="array" aca="1" ref="U737" ca="1">INDIRECT(CONCATENATE("'",$A$650,"'!r",B737),1)</f>
        <v>0</v>
      </c>
      <c r="V737" s="1" cm="1">
        <f t="array" aca="1" ref="V737" ca="1">INDIRECT(CONCATENATE("'",$A$650,"'!s",B737),1)</f>
        <v>0</v>
      </c>
      <c r="W737" s="1" cm="1">
        <f t="array" aca="1" ref="W737" ca="1">INDIRECT(CONCATENATE("'",$A$650,"'!t",B737),1)</f>
        <v>0</v>
      </c>
      <c r="X737" s="1" cm="1">
        <f t="array" aca="1" ref="X737" ca="1">INDIRECT(CONCATENATE("'",$A$650,"'!u",B737),1)</f>
        <v>0</v>
      </c>
      <c r="Y737" s="1" cm="1">
        <f t="array" aca="1" ref="Y737" ca="1">INDIRECT(CONCATENATE("'",$A$650,"'!v",B737),1)</f>
        <v>0</v>
      </c>
    </row>
    <row r="738" spans="1:25" hidden="1" x14ac:dyDescent="0.25">
      <c r="B738" s="24">
        <f t="shared" si="54"/>
        <v>90</v>
      </c>
      <c r="C738" s="1" cm="1">
        <f t="array" aca="1" ref="C738" ca="1">INDIRECT(CONCATENATE("'",$A$650,"'!A",B738),1)</f>
        <v>0</v>
      </c>
      <c r="D738" s="1" cm="1">
        <f t="array" aca="1" ref="D738" ca="1">INDIRECT(CONCATENATE("'",$A$650,"'!B",B738),1)</f>
        <v>0</v>
      </c>
      <c r="E738" s="1" cm="1">
        <f t="array" aca="1" ref="E738" ca="1">INDIRECT(CONCATENATE("'",$A$650,"'!c",B738),1)</f>
        <v>0</v>
      </c>
      <c r="F738" s="1" cm="1">
        <f t="array" aca="1" ref="F738" ca="1">INDIRECT(CONCATENATE("'",$A$650,"'!d",B738),1)</f>
        <v>0</v>
      </c>
      <c r="G738" s="1" cm="1">
        <f t="array" aca="1" ref="G738" ca="1">INDIRECT(CONCATENATE("'",$A$650,"'!e",B738),1)</f>
        <v>0</v>
      </c>
      <c r="H738" s="1" cm="1">
        <f t="array" aca="1" ref="H738" ca="1">INDIRECT(CONCATENATE("'",$A$650,"'!f",B738),1)</f>
        <v>0</v>
      </c>
      <c r="I738" s="1" cm="1">
        <f t="array" aca="1" ref="I738" ca="1">INDIRECT(CONCATENATE("'",$A$650,"'!g",B738),1)</f>
        <v>0</v>
      </c>
      <c r="J738" s="1" cm="1">
        <f t="array" aca="1" ref="J738" ca="1">INDIRECT(CONCATENATE("'",$A$650,"'!h",B738),1)</f>
        <v>0</v>
      </c>
      <c r="K738" s="1" cm="1">
        <f t="array" aca="1" ref="K738" ca="1">INDIRECT(CONCATENATE("'",$A$650,"'!i",B738),1)</f>
        <v>0</v>
      </c>
      <c r="L738" s="1" cm="1">
        <f t="array" aca="1" ref="L738" ca="1">INDIRECT(CONCATENATE("'",$A$650,"'!j",B738),1)</f>
        <v>0</v>
      </c>
      <c r="M738" s="1" cm="1">
        <f t="array" aca="1" ref="M738" ca="1">INDIRECT(CONCATENATE("'",$A$650,"'!k",B738),1)</f>
        <v>0</v>
      </c>
      <c r="N738" s="1" cm="1">
        <f t="array" aca="1" ref="N738" ca="1">INDIRECT(CONCATENATE("'",$A$650,"'!l",B738),1)</f>
        <v>0</v>
      </c>
      <c r="O738" s="1" cm="1">
        <f t="array" aca="1" ref="O738" ca="1">INDIRECT(CONCATENATE("'",$A$650,"'!m",B738),1)</f>
        <v>0</v>
      </c>
      <c r="P738" s="1" cm="1">
        <f t="array" aca="1" ref="P738" ca="1">INDIRECT(CONCATENATE("'",$A$650,"'!n",B738),1)</f>
        <v>0</v>
      </c>
      <c r="Q738" s="1" cm="1">
        <f t="array" aca="1" ref="Q738" ca="1">INDIRECT(CONCATENATE("'",$A$650,"'!o",B738),1)</f>
        <v>0</v>
      </c>
      <c r="R738" s="1" cm="1">
        <f t="array" aca="1" ref="R738" ca="1">INDIRECT(CONCATENATE("'",$A$650,"'!p",B738),1)</f>
        <v>0</v>
      </c>
      <c r="S738" s="1">
        <f t="shared" ca="1" si="55"/>
        <v>0</v>
      </c>
      <c r="T738" s="1" cm="1">
        <f t="array" aca="1" ref="T738" ca="1">INDIRECT(CONCATENATE("'",$A$650,"'!q",B738),1)</f>
        <v>0</v>
      </c>
      <c r="U738" s="1" cm="1">
        <f t="array" aca="1" ref="U738" ca="1">INDIRECT(CONCATENATE("'",$A$650,"'!r",B738),1)</f>
        <v>0</v>
      </c>
      <c r="V738" s="1" cm="1">
        <f t="array" aca="1" ref="V738" ca="1">INDIRECT(CONCATENATE("'",$A$650,"'!s",B738),1)</f>
        <v>0</v>
      </c>
      <c r="W738" s="1" cm="1">
        <f t="array" aca="1" ref="W738" ca="1">INDIRECT(CONCATENATE("'",$A$650,"'!t",B738),1)</f>
        <v>0</v>
      </c>
      <c r="X738" s="1" cm="1">
        <f t="array" aca="1" ref="X738" ca="1">INDIRECT(CONCATENATE("'",$A$650,"'!u",B738),1)</f>
        <v>0</v>
      </c>
      <c r="Y738" s="1" cm="1">
        <f t="array" aca="1" ref="Y738" ca="1">INDIRECT(CONCATENATE("'",$A$650,"'!v",B738),1)</f>
        <v>0</v>
      </c>
    </row>
    <row r="739" spans="1:25" hidden="1" x14ac:dyDescent="0.25">
      <c r="B739" s="24">
        <f t="shared" si="54"/>
        <v>91</v>
      </c>
      <c r="C739" s="1" cm="1">
        <f t="array" aca="1" ref="C739" ca="1">INDIRECT(CONCATENATE("'",$A$650,"'!A",B739),1)</f>
        <v>0</v>
      </c>
      <c r="D739" s="1" cm="1">
        <f t="array" aca="1" ref="D739" ca="1">INDIRECT(CONCATENATE("'",$A$650,"'!B",B739),1)</f>
        <v>0</v>
      </c>
      <c r="E739" s="1" cm="1">
        <f t="array" aca="1" ref="E739" ca="1">INDIRECT(CONCATENATE("'",$A$650,"'!c",B739),1)</f>
        <v>0</v>
      </c>
      <c r="F739" s="1" cm="1">
        <f t="array" aca="1" ref="F739" ca="1">INDIRECT(CONCATENATE("'",$A$650,"'!d",B739),1)</f>
        <v>0</v>
      </c>
      <c r="G739" s="1" cm="1">
        <f t="array" aca="1" ref="G739" ca="1">INDIRECT(CONCATENATE("'",$A$650,"'!e",B739),1)</f>
        <v>0</v>
      </c>
      <c r="H739" s="1" cm="1">
        <f t="array" aca="1" ref="H739" ca="1">INDIRECT(CONCATENATE("'",$A$650,"'!f",B739),1)</f>
        <v>0</v>
      </c>
      <c r="I739" s="1" cm="1">
        <f t="array" aca="1" ref="I739" ca="1">INDIRECT(CONCATENATE("'",$A$650,"'!g",B739),1)</f>
        <v>0</v>
      </c>
      <c r="J739" s="1" cm="1">
        <f t="array" aca="1" ref="J739" ca="1">INDIRECT(CONCATENATE("'",$A$650,"'!h",B739),1)</f>
        <v>0</v>
      </c>
      <c r="K739" s="1" cm="1">
        <f t="array" aca="1" ref="K739" ca="1">INDIRECT(CONCATENATE("'",$A$650,"'!i",B739),1)</f>
        <v>0</v>
      </c>
      <c r="L739" s="1" cm="1">
        <f t="array" aca="1" ref="L739" ca="1">INDIRECT(CONCATENATE("'",$A$650,"'!j",B739),1)</f>
        <v>0</v>
      </c>
      <c r="M739" s="1" cm="1">
        <f t="array" aca="1" ref="M739" ca="1">INDIRECT(CONCATENATE("'",$A$650,"'!k",B739),1)</f>
        <v>0</v>
      </c>
      <c r="N739" s="1" cm="1">
        <f t="array" aca="1" ref="N739" ca="1">INDIRECT(CONCATENATE("'",$A$650,"'!l",B739),1)</f>
        <v>0</v>
      </c>
      <c r="O739" s="1" cm="1">
        <f t="array" aca="1" ref="O739" ca="1">INDIRECT(CONCATENATE("'",$A$650,"'!m",B739),1)</f>
        <v>0</v>
      </c>
      <c r="P739" s="1" cm="1">
        <f t="array" aca="1" ref="P739" ca="1">INDIRECT(CONCATENATE("'",$A$650,"'!n",B739),1)</f>
        <v>0</v>
      </c>
      <c r="Q739" s="1" cm="1">
        <f t="array" aca="1" ref="Q739" ca="1">INDIRECT(CONCATENATE("'",$A$650,"'!o",B739),1)</f>
        <v>0</v>
      </c>
      <c r="R739" s="1" cm="1">
        <f t="array" aca="1" ref="R739" ca="1">INDIRECT(CONCATENATE("'",$A$650,"'!p",B739),1)</f>
        <v>0</v>
      </c>
      <c r="S739" s="1">
        <f t="shared" ca="1" si="55"/>
        <v>0</v>
      </c>
      <c r="T739" s="1" cm="1">
        <f t="array" aca="1" ref="T739" ca="1">INDIRECT(CONCATENATE("'",$A$650,"'!q",B739),1)</f>
        <v>0</v>
      </c>
      <c r="U739" s="1" cm="1">
        <f t="array" aca="1" ref="U739" ca="1">INDIRECT(CONCATENATE("'",$A$650,"'!r",B739),1)</f>
        <v>0</v>
      </c>
      <c r="V739" s="1" cm="1">
        <f t="array" aca="1" ref="V739" ca="1">INDIRECT(CONCATENATE("'",$A$650,"'!s",B739),1)</f>
        <v>0</v>
      </c>
      <c r="W739" s="1" cm="1">
        <f t="array" aca="1" ref="W739" ca="1">INDIRECT(CONCATENATE("'",$A$650,"'!t",B739),1)</f>
        <v>0</v>
      </c>
      <c r="X739" s="1" cm="1">
        <f t="array" aca="1" ref="X739" ca="1">INDIRECT(CONCATENATE("'",$A$650,"'!u",B739),1)</f>
        <v>0</v>
      </c>
      <c r="Y739" s="1" cm="1">
        <f t="array" aca="1" ref="Y739" ca="1">INDIRECT(CONCATENATE("'",$A$650,"'!v",B739),1)</f>
        <v>0</v>
      </c>
    </row>
    <row r="740" spans="1:25" hidden="1" x14ac:dyDescent="0.25">
      <c r="B740" s="24">
        <f t="shared" si="54"/>
        <v>92</v>
      </c>
      <c r="C740" s="1" cm="1">
        <f t="array" aca="1" ref="C740" ca="1">INDIRECT(CONCATENATE("'",$A$650,"'!A",B740),1)</f>
        <v>0</v>
      </c>
      <c r="D740" s="1" cm="1">
        <f t="array" aca="1" ref="D740" ca="1">INDIRECT(CONCATENATE("'",$A$650,"'!B",B740),1)</f>
        <v>0</v>
      </c>
      <c r="E740" s="1" cm="1">
        <f t="array" aca="1" ref="E740" ca="1">INDIRECT(CONCATENATE("'",$A$650,"'!c",B740),1)</f>
        <v>0</v>
      </c>
      <c r="F740" s="1" cm="1">
        <f t="array" aca="1" ref="F740" ca="1">INDIRECT(CONCATENATE("'",$A$650,"'!d",B740),1)</f>
        <v>0</v>
      </c>
      <c r="G740" s="1" cm="1">
        <f t="array" aca="1" ref="G740" ca="1">INDIRECT(CONCATENATE("'",$A$650,"'!e",B740),1)</f>
        <v>0</v>
      </c>
      <c r="H740" s="1" cm="1">
        <f t="array" aca="1" ref="H740" ca="1">INDIRECT(CONCATENATE("'",$A$650,"'!f",B740),1)</f>
        <v>0</v>
      </c>
      <c r="I740" s="1" cm="1">
        <f t="array" aca="1" ref="I740" ca="1">INDIRECT(CONCATENATE("'",$A$650,"'!g",B740),1)</f>
        <v>0</v>
      </c>
      <c r="J740" s="1" cm="1">
        <f t="array" aca="1" ref="J740" ca="1">INDIRECT(CONCATENATE("'",$A$650,"'!h",B740),1)</f>
        <v>0</v>
      </c>
      <c r="K740" s="1" cm="1">
        <f t="array" aca="1" ref="K740" ca="1">INDIRECT(CONCATENATE("'",$A$650,"'!i",B740),1)</f>
        <v>0</v>
      </c>
      <c r="L740" s="1" cm="1">
        <f t="array" aca="1" ref="L740" ca="1">INDIRECT(CONCATENATE("'",$A$650,"'!j",B740),1)</f>
        <v>0</v>
      </c>
      <c r="M740" s="1" cm="1">
        <f t="array" aca="1" ref="M740" ca="1">INDIRECT(CONCATENATE("'",$A$650,"'!k",B740),1)</f>
        <v>0</v>
      </c>
      <c r="N740" s="1" cm="1">
        <f t="array" aca="1" ref="N740" ca="1">INDIRECT(CONCATENATE("'",$A$650,"'!l",B740),1)</f>
        <v>0</v>
      </c>
      <c r="O740" s="1" cm="1">
        <f t="array" aca="1" ref="O740" ca="1">INDIRECT(CONCATENATE("'",$A$650,"'!m",B740),1)</f>
        <v>0</v>
      </c>
      <c r="P740" s="1" cm="1">
        <f t="array" aca="1" ref="P740" ca="1">INDIRECT(CONCATENATE("'",$A$650,"'!n",B740),1)</f>
        <v>0</v>
      </c>
      <c r="Q740" s="1" cm="1">
        <f t="array" aca="1" ref="Q740" ca="1">INDIRECT(CONCATENATE("'",$A$650,"'!o",B740),1)</f>
        <v>0</v>
      </c>
      <c r="R740" s="1" cm="1">
        <f t="array" aca="1" ref="R740" ca="1">INDIRECT(CONCATENATE("'",$A$650,"'!p",B740),1)</f>
        <v>0</v>
      </c>
      <c r="S740" s="1">
        <f t="shared" ca="1" si="55"/>
        <v>0</v>
      </c>
      <c r="T740" s="1" cm="1">
        <f t="array" aca="1" ref="T740" ca="1">INDIRECT(CONCATENATE("'",$A$650,"'!q",B740),1)</f>
        <v>0</v>
      </c>
      <c r="U740" s="1" cm="1">
        <f t="array" aca="1" ref="U740" ca="1">INDIRECT(CONCATENATE("'",$A$650,"'!r",B740),1)</f>
        <v>0</v>
      </c>
      <c r="V740" s="1" cm="1">
        <f t="array" aca="1" ref="V740" ca="1">INDIRECT(CONCATENATE("'",$A$650,"'!s",B740),1)</f>
        <v>0</v>
      </c>
      <c r="W740" s="1" cm="1">
        <f t="array" aca="1" ref="W740" ca="1">INDIRECT(CONCATENATE("'",$A$650,"'!t",B740),1)</f>
        <v>0</v>
      </c>
      <c r="X740" s="1" cm="1">
        <f t="array" aca="1" ref="X740" ca="1">INDIRECT(CONCATENATE("'",$A$650,"'!u",B740),1)</f>
        <v>0</v>
      </c>
      <c r="Y740" s="1" cm="1">
        <f t="array" aca="1" ref="Y740" ca="1">INDIRECT(CONCATENATE("'",$A$650,"'!v",B740),1)</f>
        <v>0</v>
      </c>
    </row>
    <row r="741" spans="1:25" hidden="1" x14ac:dyDescent="0.25">
      <c r="B741" s="24">
        <f t="shared" si="54"/>
        <v>93</v>
      </c>
      <c r="C741" s="1" cm="1">
        <f t="array" aca="1" ref="C741" ca="1">INDIRECT(CONCATENATE("'",$A$650,"'!A",B741),1)</f>
        <v>0</v>
      </c>
      <c r="D741" s="1" cm="1">
        <f t="array" aca="1" ref="D741" ca="1">INDIRECT(CONCATENATE("'",$A$650,"'!B",B741),1)</f>
        <v>0</v>
      </c>
      <c r="E741" s="1" cm="1">
        <f t="array" aca="1" ref="E741" ca="1">INDIRECT(CONCATENATE("'",$A$650,"'!c",B741),1)</f>
        <v>0</v>
      </c>
      <c r="F741" s="1" cm="1">
        <f t="array" aca="1" ref="F741" ca="1">INDIRECT(CONCATENATE("'",$A$650,"'!d",B741),1)</f>
        <v>0</v>
      </c>
      <c r="G741" s="1" cm="1">
        <f t="array" aca="1" ref="G741" ca="1">INDIRECT(CONCATENATE("'",$A$650,"'!e",B741),1)</f>
        <v>0</v>
      </c>
      <c r="H741" s="1" cm="1">
        <f t="array" aca="1" ref="H741" ca="1">INDIRECT(CONCATENATE("'",$A$650,"'!f",B741),1)</f>
        <v>0</v>
      </c>
      <c r="I741" s="1" cm="1">
        <f t="array" aca="1" ref="I741" ca="1">INDIRECT(CONCATENATE("'",$A$650,"'!g",B741),1)</f>
        <v>0</v>
      </c>
      <c r="J741" s="1" cm="1">
        <f t="array" aca="1" ref="J741" ca="1">INDIRECT(CONCATENATE("'",$A$650,"'!h",B741),1)</f>
        <v>0</v>
      </c>
      <c r="K741" s="1" cm="1">
        <f t="array" aca="1" ref="K741" ca="1">INDIRECT(CONCATENATE("'",$A$650,"'!i",B741),1)</f>
        <v>0</v>
      </c>
      <c r="L741" s="1" cm="1">
        <f t="array" aca="1" ref="L741" ca="1">INDIRECT(CONCATENATE("'",$A$650,"'!j",B741),1)</f>
        <v>0</v>
      </c>
      <c r="M741" s="1" cm="1">
        <f t="array" aca="1" ref="M741" ca="1">INDIRECT(CONCATENATE("'",$A$650,"'!k",B741),1)</f>
        <v>0</v>
      </c>
      <c r="N741" s="1" cm="1">
        <f t="array" aca="1" ref="N741" ca="1">INDIRECT(CONCATENATE("'",$A$650,"'!l",B741),1)</f>
        <v>0</v>
      </c>
      <c r="O741" s="1" cm="1">
        <f t="array" aca="1" ref="O741" ca="1">INDIRECT(CONCATENATE("'",$A$650,"'!m",B741),1)</f>
        <v>0</v>
      </c>
      <c r="P741" s="1" cm="1">
        <f t="array" aca="1" ref="P741" ca="1">INDIRECT(CONCATENATE("'",$A$650,"'!n",B741),1)</f>
        <v>0</v>
      </c>
      <c r="Q741" s="1" cm="1">
        <f t="array" aca="1" ref="Q741" ca="1">INDIRECT(CONCATENATE("'",$A$650,"'!o",B741),1)</f>
        <v>0</v>
      </c>
      <c r="R741" s="1" cm="1">
        <f t="array" aca="1" ref="R741" ca="1">INDIRECT(CONCATENATE("'",$A$650,"'!p",B741),1)</f>
        <v>0</v>
      </c>
      <c r="S741" s="1">
        <f t="shared" ca="1" si="55"/>
        <v>0</v>
      </c>
      <c r="T741" s="1" cm="1">
        <f t="array" aca="1" ref="T741" ca="1">INDIRECT(CONCATENATE("'",$A$650,"'!q",B741),1)</f>
        <v>0</v>
      </c>
      <c r="U741" s="1" cm="1">
        <f t="array" aca="1" ref="U741" ca="1">INDIRECT(CONCATENATE("'",$A$650,"'!r",B741),1)</f>
        <v>0</v>
      </c>
      <c r="V741" s="1" cm="1">
        <f t="array" aca="1" ref="V741" ca="1">INDIRECT(CONCATENATE("'",$A$650,"'!s",B741),1)</f>
        <v>0</v>
      </c>
      <c r="W741" s="1" cm="1">
        <f t="array" aca="1" ref="W741" ca="1">INDIRECT(CONCATENATE("'",$A$650,"'!t",B741),1)</f>
        <v>0</v>
      </c>
      <c r="X741" s="1" cm="1">
        <f t="array" aca="1" ref="X741" ca="1">INDIRECT(CONCATENATE("'",$A$650,"'!u",B741),1)</f>
        <v>0</v>
      </c>
      <c r="Y741" s="1" cm="1">
        <f t="array" aca="1" ref="Y741" ca="1">INDIRECT(CONCATENATE("'",$A$650,"'!v",B741),1)</f>
        <v>0</v>
      </c>
    </row>
    <row r="742" spans="1:25" hidden="1" x14ac:dyDescent="0.25">
      <c r="B742" s="24">
        <f t="shared" si="54"/>
        <v>94</v>
      </c>
      <c r="C742" s="1" cm="1">
        <f t="array" aca="1" ref="C742" ca="1">INDIRECT(CONCATENATE("'",$A$650,"'!A",B742),1)</f>
        <v>0</v>
      </c>
      <c r="D742" s="1" cm="1">
        <f t="array" aca="1" ref="D742" ca="1">INDIRECT(CONCATENATE("'",$A$650,"'!B",B742),1)</f>
        <v>0</v>
      </c>
      <c r="E742" s="1" cm="1">
        <f t="array" aca="1" ref="E742" ca="1">INDIRECT(CONCATENATE("'",$A$650,"'!c",B742),1)</f>
        <v>0</v>
      </c>
      <c r="F742" s="1" cm="1">
        <f t="array" aca="1" ref="F742" ca="1">INDIRECT(CONCATENATE("'",$A$650,"'!d",B742),1)</f>
        <v>0</v>
      </c>
      <c r="G742" s="1" cm="1">
        <f t="array" aca="1" ref="G742" ca="1">INDIRECT(CONCATENATE("'",$A$650,"'!e",B742),1)</f>
        <v>0</v>
      </c>
      <c r="H742" s="1" cm="1">
        <f t="array" aca="1" ref="H742" ca="1">INDIRECT(CONCATENATE("'",$A$650,"'!f",B742),1)</f>
        <v>0</v>
      </c>
      <c r="I742" s="1" cm="1">
        <f t="array" aca="1" ref="I742" ca="1">INDIRECT(CONCATENATE("'",$A$650,"'!g",B742),1)</f>
        <v>0</v>
      </c>
      <c r="J742" s="1" cm="1">
        <f t="array" aca="1" ref="J742" ca="1">INDIRECT(CONCATENATE("'",$A$650,"'!h",B742),1)</f>
        <v>0</v>
      </c>
      <c r="K742" s="1" cm="1">
        <f t="array" aca="1" ref="K742" ca="1">INDIRECT(CONCATENATE("'",$A$650,"'!i",B742),1)</f>
        <v>0</v>
      </c>
      <c r="L742" s="1" cm="1">
        <f t="array" aca="1" ref="L742" ca="1">INDIRECT(CONCATENATE("'",$A$650,"'!j",B742),1)</f>
        <v>0</v>
      </c>
      <c r="M742" s="1" cm="1">
        <f t="array" aca="1" ref="M742" ca="1">INDIRECT(CONCATENATE("'",$A$650,"'!k",B742),1)</f>
        <v>0</v>
      </c>
      <c r="N742" s="1" cm="1">
        <f t="array" aca="1" ref="N742" ca="1">INDIRECT(CONCATENATE("'",$A$650,"'!l",B742),1)</f>
        <v>0</v>
      </c>
      <c r="O742" s="1" cm="1">
        <f t="array" aca="1" ref="O742" ca="1">INDIRECT(CONCATENATE("'",$A$650,"'!m",B742),1)</f>
        <v>0</v>
      </c>
      <c r="P742" s="1" cm="1">
        <f t="array" aca="1" ref="P742" ca="1">INDIRECT(CONCATENATE("'",$A$650,"'!n",B742),1)</f>
        <v>0</v>
      </c>
      <c r="Q742" s="1" cm="1">
        <f t="array" aca="1" ref="Q742" ca="1">INDIRECT(CONCATENATE("'",$A$650,"'!o",B742),1)</f>
        <v>0</v>
      </c>
      <c r="R742" s="1" cm="1">
        <f t="array" aca="1" ref="R742" ca="1">INDIRECT(CONCATENATE("'",$A$650,"'!p",B742),1)</f>
        <v>0</v>
      </c>
      <c r="S742" s="1">
        <f t="shared" ca="1" si="55"/>
        <v>0</v>
      </c>
      <c r="T742" s="1" cm="1">
        <f t="array" aca="1" ref="T742" ca="1">INDIRECT(CONCATENATE("'",$A$650,"'!q",B742),1)</f>
        <v>0</v>
      </c>
      <c r="U742" s="1" cm="1">
        <f t="array" aca="1" ref="U742" ca="1">INDIRECT(CONCATENATE("'",$A$650,"'!r",B742),1)</f>
        <v>0</v>
      </c>
      <c r="V742" s="1" cm="1">
        <f t="array" aca="1" ref="V742" ca="1">INDIRECT(CONCATENATE("'",$A$650,"'!s",B742),1)</f>
        <v>0</v>
      </c>
      <c r="W742" s="1" cm="1">
        <f t="array" aca="1" ref="W742" ca="1">INDIRECT(CONCATENATE("'",$A$650,"'!t",B742),1)</f>
        <v>0</v>
      </c>
      <c r="X742" s="1" cm="1">
        <f t="array" aca="1" ref="X742" ca="1">INDIRECT(CONCATENATE("'",$A$650,"'!u",B742),1)</f>
        <v>0</v>
      </c>
      <c r="Y742" s="1" cm="1">
        <f t="array" aca="1" ref="Y742" ca="1">INDIRECT(CONCATENATE("'",$A$650,"'!v",B742),1)</f>
        <v>0</v>
      </c>
    </row>
    <row r="743" spans="1:25" hidden="1" x14ac:dyDescent="0.25">
      <c r="B743" s="24">
        <f t="shared" si="54"/>
        <v>95</v>
      </c>
      <c r="C743" s="1" cm="1">
        <f t="array" aca="1" ref="C743" ca="1">INDIRECT(CONCATENATE("'",$A$650,"'!A",B743),1)</f>
        <v>0</v>
      </c>
      <c r="D743" s="1" cm="1">
        <f t="array" aca="1" ref="D743" ca="1">INDIRECT(CONCATENATE("'",$A$650,"'!B",B743),1)</f>
        <v>0</v>
      </c>
      <c r="E743" s="1" cm="1">
        <f t="array" aca="1" ref="E743" ca="1">INDIRECT(CONCATENATE("'",$A$650,"'!c",B743),1)</f>
        <v>0</v>
      </c>
      <c r="F743" s="1" cm="1">
        <f t="array" aca="1" ref="F743" ca="1">INDIRECT(CONCATENATE("'",$A$650,"'!d",B743),1)</f>
        <v>0</v>
      </c>
      <c r="G743" s="1" cm="1">
        <f t="array" aca="1" ref="G743" ca="1">INDIRECT(CONCATENATE("'",$A$650,"'!e",B743),1)</f>
        <v>0</v>
      </c>
      <c r="H743" s="1" cm="1">
        <f t="array" aca="1" ref="H743" ca="1">INDIRECT(CONCATENATE("'",$A$650,"'!f",B743),1)</f>
        <v>0</v>
      </c>
      <c r="I743" s="1" cm="1">
        <f t="array" aca="1" ref="I743" ca="1">INDIRECT(CONCATENATE("'",$A$650,"'!g",B743),1)</f>
        <v>0</v>
      </c>
      <c r="J743" s="1" cm="1">
        <f t="array" aca="1" ref="J743" ca="1">INDIRECT(CONCATENATE("'",$A$650,"'!h",B743),1)</f>
        <v>0</v>
      </c>
      <c r="K743" s="1" cm="1">
        <f t="array" aca="1" ref="K743" ca="1">INDIRECT(CONCATENATE("'",$A$650,"'!i",B743),1)</f>
        <v>0</v>
      </c>
      <c r="L743" s="1" cm="1">
        <f t="array" aca="1" ref="L743" ca="1">INDIRECT(CONCATENATE("'",$A$650,"'!j",B743),1)</f>
        <v>0</v>
      </c>
      <c r="M743" s="1" cm="1">
        <f t="array" aca="1" ref="M743" ca="1">INDIRECT(CONCATENATE("'",$A$650,"'!k",B743),1)</f>
        <v>0</v>
      </c>
      <c r="N743" s="1" cm="1">
        <f t="array" aca="1" ref="N743" ca="1">INDIRECT(CONCATENATE("'",$A$650,"'!l",B743),1)</f>
        <v>0</v>
      </c>
      <c r="O743" s="1" cm="1">
        <f t="array" aca="1" ref="O743" ca="1">INDIRECT(CONCATENATE("'",$A$650,"'!m",B743),1)</f>
        <v>0</v>
      </c>
      <c r="P743" s="1" cm="1">
        <f t="array" aca="1" ref="P743" ca="1">INDIRECT(CONCATENATE("'",$A$650,"'!n",B743),1)</f>
        <v>0</v>
      </c>
      <c r="Q743" s="1" cm="1">
        <f t="array" aca="1" ref="Q743" ca="1">INDIRECT(CONCATENATE("'",$A$650,"'!o",B743),1)</f>
        <v>0</v>
      </c>
      <c r="R743" s="1" cm="1">
        <f t="array" aca="1" ref="R743" ca="1">INDIRECT(CONCATENATE("'",$A$650,"'!p",B743),1)</f>
        <v>0</v>
      </c>
      <c r="S743" s="1">
        <f t="shared" ca="1" si="55"/>
        <v>0</v>
      </c>
      <c r="T743" s="1" cm="1">
        <f t="array" aca="1" ref="T743" ca="1">INDIRECT(CONCATENATE("'",$A$650,"'!q",B743),1)</f>
        <v>0</v>
      </c>
      <c r="U743" s="1" cm="1">
        <f t="array" aca="1" ref="U743" ca="1">INDIRECT(CONCATENATE("'",$A$650,"'!r",B743),1)</f>
        <v>0</v>
      </c>
      <c r="V743" s="1" cm="1">
        <f t="array" aca="1" ref="V743" ca="1">INDIRECT(CONCATENATE("'",$A$650,"'!s",B743),1)</f>
        <v>0</v>
      </c>
      <c r="W743" s="1" cm="1">
        <f t="array" aca="1" ref="W743" ca="1">INDIRECT(CONCATENATE("'",$A$650,"'!t",B743),1)</f>
        <v>0</v>
      </c>
      <c r="X743" s="1" cm="1">
        <f t="array" aca="1" ref="X743" ca="1">INDIRECT(CONCATENATE("'",$A$650,"'!u",B743),1)</f>
        <v>0</v>
      </c>
      <c r="Y743" s="1" cm="1">
        <f t="array" aca="1" ref="Y743" ca="1">INDIRECT(CONCATENATE("'",$A$650,"'!v",B743),1)</f>
        <v>0</v>
      </c>
    </row>
    <row r="744" spans="1:25" hidden="1" x14ac:dyDescent="0.25">
      <c r="B744" s="24">
        <f t="shared" si="54"/>
        <v>96</v>
      </c>
      <c r="C744" s="1" cm="1">
        <f t="array" aca="1" ref="C744" ca="1">INDIRECT(CONCATENATE("'",$A$650,"'!A",B744),1)</f>
        <v>0</v>
      </c>
      <c r="D744" s="1" cm="1">
        <f t="array" aca="1" ref="D744" ca="1">INDIRECT(CONCATENATE("'",$A$650,"'!B",B744),1)</f>
        <v>0</v>
      </c>
      <c r="E744" s="1" cm="1">
        <f t="array" aca="1" ref="E744" ca="1">INDIRECT(CONCATENATE("'",$A$650,"'!c",B744),1)</f>
        <v>0</v>
      </c>
      <c r="F744" s="1" cm="1">
        <f t="array" aca="1" ref="F744" ca="1">INDIRECT(CONCATENATE("'",$A$650,"'!d",B744),1)</f>
        <v>0</v>
      </c>
      <c r="G744" s="1" cm="1">
        <f t="array" aca="1" ref="G744" ca="1">INDIRECT(CONCATENATE("'",$A$650,"'!e",B744),1)</f>
        <v>0</v>
      </c>
      <c r="H744" s="1" cm="1">
        <f t="array" aca="1" ref="H744" ca="1">INDIRECT(CONCATENATE("'",$A$650,"'!f",B744),1)</f>
        <v>0</v>
      </c>
      <c r="I744" s="1" cm="1">
        <f t="array" aca="1" ref="I744" ca="1">INDIRECT(CONCATENATE("'",$A$650,"'!g",B744),1)</f>
        <v>0</v>
      </c>
      <c r="J744" s="1" cm="1">
        <f t="array" aca="1" ref="J744" ca="1">INDIRECT(CONCATENATE("'",$A$650,"'!h",B744),1)</f>
        <v>0</v>
      </c>
      <c r="K744" s="1" cm="1">
        <f t="array" aca="1" ref="K744" ca="1">INDIRECT(CONCATENATE("'",$A$650,"'!i",B744),1)</f>
        <v>0</v>
      </c>
      <c r="L744" s="1" cm="1">
        <f t="array" aca="1" ref="L744" ca="1">INDIRECT(CONCATENATE("'",$A$650,"'!j",B744),1)</f>
        <v>0</v>
      </c>
      <c r="M744" s="1" cm="1">
        <f t="array" aca="1" ref="M744" ca="1">INDIRECT(CONCATENATE("'",$A$650,"'!k",B744),1)</f>
        <v>0</v>
      </c>
      <c r="N744" s="1" cm="1">
        <f t="array" aca="1" ref="N744" ca="1">INDIRECT(CONCATENATE("'",$A$650,"'!l",B744),1)</f>
        <v>0</v>
      </c>
      <c r="O744" s="1" cm="1">
        <f t="array" aca="1" ref="O744" ca="1">INDIRECT(CONCATENATE("'",$A$650,"'!m",B744),1)</f>
        <v>0</v>
      </c>
      <c r="P744" s="1" cm="1">
        <f t="array" aca="1" ref="P744" ca="1">INDIRECT(CONCATENATE("'",$A$650,"'!n",B744),1)</f>
        <v>0</v>
      </c>
      <c r="Q744" s="1" cm="1">
        <f t="array" aca="1" ref="Q744" ca="1">INDIRECT(CONCATENATE("'",$A$650,"'!o",B744),1)</f>
        <v>0</v>
      </c>
      <c r="R744" s="1" cm="1">
        <f t="array" aca="1" ref="R744" ca="1">INDIRECT(CONCATENATE("'",$A$650,"'!p",B744),1)</f>
        <v>0</v>
      </c>
      <c r="S744" s="1">
        <f t="shared" ca="1" si="55"/>
        <v>0</v>
      </c>
      <c r="T744" s="1" cm="1">
        <f t="array" aca="1" ref="T744" ca="1">INDIRECT(CONCATENATE("'",$A$650,"'!q",B744),1)</f>
        <v>0</v>
      </c>
      <c r="U744" s="1" cm="1">
        <f t="array" aca="1" ref="U744" ca="1">INDIRECT(CONCATENATE("'",$A$650,"'!r",B744),1)</f>
        <v>0</v>
      </c>
      <c r="V744" s="1" cm="1">
        <f t="array" aca="1" ref="V744" ca="1">INDIRECT(CONCATENATE("'",$A$650,"'!s",B744),1)</f>
        <v>0</v>
      </c>
      <c r="W744" s="1" cm="1">
        <f t="array" aca="1" ref="W744" ca="1">INDIRECT(CONCATENATE("'",$A$650,"'!t",B744),1)</f>
        <v>0</v>
      </c>
      <c r="X744" s="1" cm="1">
        <f t="array" aca="1" ref="X744" ca="1">INDIRECT(CONCATENATE("'",$A$650,"'!u",B744),1)</f>
        <v>0</v>
      </c>
      <c r="Y744" s="1" cm="1">
        <f t="array" aca="1" ref="Y744" ca="1">INDIRECT(CONCATENATE("'",$A$650,"'!v",B744),1)</f>
        <v>0</v>
      </c>
    </row>
    <row r="745" spans="1:25" hidden="1" x14ac:dyDescent="0.25">
      <c r="B745" s="24">
        <f t="shared" si="54"/>
        <v>97</v>
      </c>
      <c r="C745" s="1" cm="1">
        <f t="array" aca="1" ref="C745" ca="1">INDIRECT(CONCATENATE("'",$A$650,"'!A",B745),1)</f>
        <v>0</v>
      </c>
      <c r="D745" s="1" cm="1">
        <f t="array" aca="1" ref="D745" ca="1">INDIRECT(CONCATENATE("'",$A$650,"'!B",B745),1)</f>
        <v>0</v>
      </c>
      <c r="E745" s="1" cm="1">
        <f t="array" aca="1" ref="E745" ca="1">INDIRECT(CONCATENATE("'",$A$650,"'!c",B745),1)</f>
        <v>0</v>
      </c>
      <c r="F745" s="1" cm="1">
        <f t="array" aca="1" ref="F745" ca="1">INDIRECT(CONCATENATE("'",$A$650,"'!d",B745),1)</f>
        <v>0</v>
      </c>
      <c r="G745" s="1" cm="1">
        <f t="array" aca="1" ref="G745" ca="1">INDIRECT(CONCATENATE("'",$A$650,"'!e",B745),1)</f>
        <v>0</v>
      </c>
      <c r="H745" s="1" cm="1">
        <f t="array" aca="1" ref="H745" ca="1">INDIRECT(CONCATENATE("'",$A$650,"'!f",B745),1)</f>
        <v>0</v>
      </c>
      <c r="I745" s="1" cm="1">
        <f t="array" aca="1" ref="I745" ca="1">INDIRECT(CONCATENATE("'",$A$650,"'!g",B745),1)</f>
        <v>0</v>
      </c>
      <c r="J745" s="1" cm="1">
        <f t="array" aca="1" ref="J745" ca="1">INDIRECT(CONCATENATE("'",$A$650,"'!h",B745),1)</f>
        <v>0</v>
      </c>
      <c r="K745" s="1" cm="1">
        <f t="array" aca="1" ref="K745" ca="1">INDIRECT(CONCATENATE("'",$A$650,"'!i",B745),1)</f>
        <v>0</v>
      </c>
      <c r="L745" s="1" cm="1">
        <f t="array" aca="1" ref="L745" ca="1">INDIRECT(CONCATENATE("'",$A$650,"'!j",B745),1)</f>
        <v>0</v>
      </c>
      <c r="M745" s="1" cm="1">
        <f t="array" aca="1" ref="M745" ca="1">INDIRECT(CONCATENATE("'",$A$650,"'!k",B745),1)</f>
        <v>0</v>
      </c>
      <c r="N745" s="1" cm="1">
        <f t="array" aca="1" ref="N745" ca="1">INDIRECT(CONCATENATE("'",$A$650,"'!l",B745),1)</f>
        <v>0</v>
      </c>
      <c r="O745" s="1" cm="1">
        <f t="array" aca="1" ref="O745" ca="1">INDIRECT(CONCATENATE("'",$A$650,"'!m",B745),1)</f>
        <v>0</v>
      </c>
      <c r="P745" s="1" cm="1">
        <f t="array" aca="1" ref="P745" ca="1">INDIRECT(CONCATENATE("'",$A$650,"'!n",B745),1)</f>
        <v>0</v>
      </c>
      <c r="Q745" s="1" cm="1">
        <f t="array" aca="1" ref="Q745" ca="1">INDIRECT(CONCATENATE("'",$A$650,"'!o",B745),1)</f>
        <v>0</v>
      </c>
      <c r="R745" s="1" cm="1">
        <f t="array" aca="1" ref="R745" ca="1">INDIRECT(CONCATENATE("'",$A$650,"'!p",B745),1)</f>
        <v>0</v>
      </c>
      <c r="S745" s="1">
        <f t="shared" ca="1" si="55"/>
        <v>0</v>
      </c>
      <c r="T745" s="1" cm="1">
        <f t="array" aca="1" ref="T745" ca="1">INDIRECT(CONCATENATE("'",$A$650,"'!q",B745),1)</f>
        <v>0</v>
      </c>
      <c r="U745" s="1" cm="1">
        <f t="array" aca="1" ref="U745" ca="1">INDIRECT(CONCATENATE("'",$A$650,"'!r",B745),1)</f>
        <v>0</v>
      </c>
      <c r="V745" s="1" cm="1">
        <f t="array" aca="1" ref="V745" ca="1">INDIRECT(CONCATENATE("'",$A$650,"'!s",B745),1)</f>
        <v>0</v>
      </c>
      <c r="W745" s="1" cm="1">
        <f t="array" aca="1" ref="W745" ca="1">INDIRECT(CONCATENATE("'",$A$650,"'!t",B745),1)</f>
        <v>0</v>
      </c>
      <c r="X745" s="1" cm="1">
        <f t="array" aca="1" ref="X745" ca="1">INDIRECT(CONCATENATE("'",$A$650,"'!u",B745),1)</f>
        <v>0</v>
      </c>
      <c r="Y745" s="1" cm="1">
        <f t="array" aca="1" ref="Y745" ca="1">INDIRECT(CONCATENATE("'",$A$650,"'!v",B745),1)</f>
        <v>0</v>
      </c>
    </row>
    <row r="746" spans="1:25" hidden="1" x14ac:dyDescent="0.25">
      <c r="B746" s="24">
        <f t="shared" si="54"/>
        <v>98</v>
      </c>
      <c r="C746" s="1" cm="1">
        <f t="array" aca="1" ref="C746" ca="1">INDIRECT(CONCATENATE("'",$A$650,"'!A",B746),1)</f>
        <v>0</v>
      </c>
      <c r="D746" s="1" cm="1">
        <f t="array" aca="1" ref="D746" ca="1">INDIRECT(CONCATENATE("'",$A$650,"'!B",B746),1)</f>
        <v>0</v>
      </c>
      <c r="E746" s="1" cm="1">
        <f t="array" aca="1" ref="E746" ca="1">INDIRECT(CONCATENATE("'",$A$650,"'!c",B746),1)</f>
        <v>0</v>
      </c>
      <c r="F746" s="1" cm="1">
        <f t="array" aca="1" ref="F746" ca="1">INDIRECT(CONCATENATE("'",$A$650,"'!d",B746),1)</f>
        <v>0</v>
      </c>
      <c r="G746" s="1" cm="1">
        <f t="array" aca="1" ref="G746" ca="1">INDIRECT(CONCATENATE("'",$A$650,"'!e",B746),1)</f>
        <v>0</v>
      </c>
      <c r="H746" s="1" cm="1">
        <f t="array" aca="1" ref="H746" ca="1">INDIRECT(CONCATENATE("'",$A$650,"'!f",B746),1)</f>
        <v>0</v>
      </c>
      <c r="I746" s="1" cm="1">
        <f t="array" aca="1" ref="I746" ca="1">INDIRECT(CONCATENATE("'",$A$650,"'!g",B746),1)</f>
        <v>0</v>
      </c>
      <c r="J746" s="1" cm="1">
        <f t="array" aca="1" ref="J746" ca="1">INDIRECT(CONCATENATE("'",$A$650,"'!h",B746),1)</f>
        <v>0</v>
      </c>
      <c r="K746" s="1" cm="1">
        <f t="array" aca="1" ref="K746" ca="1">INDIRECT(CONCATENATE("'",$A$650,"'!i",B746),1)</f>
        <v>0</v>
      </c>
      <c r="L746" s="1" cm="1">
        <f t="array" aca="1" ref="L746" ca="1">INDIRECT(CONCATENATE("'",$A$650,"'!j",B746),1)</f>
        <v>0</v>
      </c>
      <c r="M746" s="1" cm="1">
        <f t="array" aca="1" ref="M746" ca="1">INDIRECT(CONCATENATE("'",$A$650,"'!k",B746),1)</f>
        <v>0</v>
      </c>
      <c r="N746" s="1" cm="1">
        <f t="array" aca="1" ref="N746" ca="1">INDIRECT(CONCATENATE("'",$A$650,"'!l",B746),1)</f>
        <v>0</v>
      </c>
      <c r="O746" s="1" cm="1">
        <f t="array" aca="1" ref="O746" ca="1">INDIRECT(CONCATENATE("'",$A$650,"'!m",B746),1)</f>
        <v>0</v>
      </c>
      <c r="P746" s="1" cm="1">
        <f t="array" aca="1" ref="P746" ca="1">INDIRECT(CONCATENATE("'",$A$650,"'!n",B746),1)</f>
        <v>0</v>
      </c>
      <c r="Q746" s="1" cm="1">
        <f t="array" aca="1" ref="Q746" ca="1">INDIRECT(CONCATENATE("'",$A$650,"'!o",B746),1)</f>
        <v>0</v>
      </c>
      <c r="R746" s="1" cm="1">
        <f t="array" aca="1" ref="R746" ca="1">INDIRECT(CONCATENATE("'",$A$650,"'!p",B746),1)</f>
        <v>0</v>
      </c>
      <c r="S746" s="1">
        <f t="shared" ca="1" si="55"/>
        <v>0</v>
      </c>
      <c r="T746" s="1" cm="1">
        <f t="array" aca="1" ref="T746" ca="1">INDIRECT(CONCATENATE("'",$A$650,"'!q",B746),1)</f>
        <v>0</v>
      </c>
      <c r="U746" s="1" cm="1">
        <f t="array" aca="1" ref="U746" ca="1">INDIRECT(CONCATENATE("'",$A$650,"'!r",B746),1)</f>
        <v>0</v>
      </c>
      <c r="V746" s="1" cm="1">
        <f t="array" aca="1" ref="V746" ca="1">INDIRECT(CONCATENATE("'",$A$650,"'!s",B746),1)</f>
        <v>0</v>
      </c>
      <c r="W746" s="1" cm="1">
        <f t="array" aca="1" ref="W746" ca="1">INDIRECT(CONCATENATE("'",$A$650,"'!t",B746),1)</f>
        <v>0</v>
      </c>
      <c r="X746" s="1" cm="1">
        <f t="array" aca="1" ref="X746" ca="1">INDIRECT(CONCATENATE("'",$A$650,"'!u",B746),1)</f>
        <v>0</v>
      </c>
      <c r="Y746" s="1" cm="1">
        <f t="array" aca="1" ref="Y746" ca="1">INDIRECT(CONCATENATE("'",$A$650,"'!v",B746),1)</f>
        <v>0</v>
      </c>
    </row>
    <row r="747" spans="1:25" hidden="1" x14ac:dyDescent="0.25">
      <c r="B747" s="24">
        <f t="shared" si="54"/>
        <v>99</v>
      </c>
      <c r="C747" s="1" cm="1">
        <f t="array" aca="1" ref="C747" ca="1">INDIRECT(CONCATENATE("'",$A$650,"'!A",B747),1)</f>
        <v>0</v>
      </c>
      <c r="D747" s="1" cm="1">
        <f t="array" aca="1" ref="D747" ca="1">INDIRECT(CONCATENATE("'",$A$650,"'!B",B747),1)</f>
        <v>0</v>
      </c>
      <c r="E747" s="1" cm="1">
        <f t="array" aca="1" ref="E747" ca="1">INDIRECT(CONCATENATE("'",$A$650,"'!c",B747),1)</f>
        <v>0</v>
      </c>
      <c r="F747" s="1" cm="1">
        <f t="array" aca="1" ref="F747" ca="1">INDIRECT(CONCATENATE("'",$A$650,"'!d",B747),1)</f>
        <v>0</v>
      </c>
      <c r="G747" s="1" cm="1">
        <f t="array" aca="1" ref="G747" ca="1">INDIRECT(CONCATENATE("'",$A$650,"'!e",B747),1)</f>
        <v>0</v>
      </c>
      <c r="H747" s="1" cm="1">
        <f t="array" aca="1" ref="H747" ca="1">INDIRECT(CONCATENATE("'",$A$650,"'!f",B747),1)</f>
        <v>0</v>
      </c>
      <c r="I747" s="1" cm="1">
        <f t="array" aca="1" ref="I747" ca="1">INDIRECT(CONCATENATE("'",$A$650,"'!g",B747),1)</f>
        <v>0</v>
      </c>
      <c r="J747" s="1" cm="1">
        <f t="array" aca="1" ref="J747" ca="1">INDIRECT(CONCATENATE("'",$A$650,"'!h",B747),1)</f>
        <v>0</v>
      </c>
      <c r="K747" s="1" cm="1">
        <f t="array" aca="1" ref="K747" ca="1">INDIRECT(CONCATENATE("'",$A$650,"'!i",B747),1)</f>
        <v>0</v>
      </c>
      <c r="L747" s="1" cm="1">
        <f t="array" aca="1" ref="L747" ca="1">INDIRECT(CONCATENATE("'",$A$650,"'!j",B747),1)</f>
        <v>0</v>
      </c>
      <c r="M747" s="1" cm="1">
        <f t="array" aca="1" ref="M747" ca="1">INDIRECT(CONCATENATE("'",$A$650,"'!k",B747),1)</f>
        <v>0</v>
      </c>
      <c r="N747" s="1" cm="1">
        <f t="array" aca="1" ref="N747" ca="1">INDIRECT(CONCATENATE("'",$A$650,"'!l",B747),1)</f>
        <v>0</v>
      </c>
      <c r="O747" s="1" cm="1">
        <f t="array" aca="1" ref="O747" ca="1">INDIRECT(CONCATENATE("'",$A$650,"'!m",B747),1)</f>
        <v>0</v>
      </c>
      <c r="P747" s="1" cm="1">
        <f t="array" aca="1" ref="P747" ca="1">INDIRECT(CONCATENATE("'",$A$650,"'!n",B747),1)</f>
        <v>0</v>
      </c>
      <c r="Q747" s="1" cm="1">
        <f t="array" aca="1" ref="Q747" ca="1">INDIRECT(CONCATENATE("'",$A$650,"'!o",B747),1)</f>
        <v>0</v>
      </c>
      <c r="R747" s="1" cm="1">
        <f t="array" aca="1" ref="R747" ca="1">INDIRECT(CONCATENATE("'",$A$650,"'!p",B747),1)</f>
        <v>0</v>
      </c>
      <c r="S747" s="1">
        <f t="shared" ca="1" si="55"/>
        <v>0</v>
      </c>
      <c r="T747" s="1" cm="1">
        <f t="array" aca="1" ref="T747" ca="1">INDIRECT(CONCATENATE("'",$A$650,"'!q",B747),1)</f>
        <v>0</v>
      </c>
      <c r="U747" s="1" cm="1">
        <f t="array" aca="1" ref="U747" ca="1">INDIRECT(CONCATENATE("'",$A$650,"'!r",B747),1)</f>
        <v>0</v>
      </c>
      <c r="V747" s="1" cm="1">
        <f t="array" aca="1" ref="V747" ca="1">INDIRECT(CONCATENATE("'",$A$650,"'!s",B747),1)</f>
        <v>0</v>
      </c>
      <c r="W747" s="1" cm="1">
        <f t="array" aca="1" ref="W747" ca="1">INDIRECT(CONCATENATE("'",$A$650,"'!t",B747),1)</f>
        <v>0</v>
      </c>
      <c r="X747" s="1" cm="1">
        <f t="array" aca="1" ref="X747" ca="1">INDIRECT(CONCATENATE("'",$A$650,"'!u",B747),1)</f>
        <v>0</v>
      </c>
      <c r="Y747" s="1" cm="1">
        <f t="array" aca="1" ref="Y747" ca="1">INDIRECT(CONCATENATE("'",$A$650,"'!v",B747),1)</f>
        <v>0</v>
      </c>
    </row>
    <row r="748" spans="1:25" ht="45" hidden="1" x14ac:dyDescent="0.25">
      <c r="A748" s="24" t="s">
        <v>184</v>
      </c>
      <c r="B748" s="24">
        <v>2</v>
      </c>
      <c r="C748" s="1" t="str" cm="1">
        <f t="array" aca="1" ref="C748" ca="1">INDIRECT(CONCATENATE("'",$A$748,"'!A",B748),1)</f>
        <v>ИТ в профессиональной деятельности</v>
      </c>
      <c r="D748" s="1" t="str" cm="1">
        <f t="array" aca="1" ref="D748" ca="1">INDIRECT(CONCATENATE("'",$A$748,"'!B",B748),1)</f>
        <v xml:space="preserve">13.03.02(41)-53/2 15.03.05(04)-12 </v>
      </c>
      <c r="E748" s="1" t="str" cm="1">
        <f t="array" aca="1" ref="E748" ca="1">INDIRECT(CONCATENATE("'",$A$748,"'!c",B748),1)</f>
        <v>ИПТ</v>
      </c>
      <c r="F748" s="1" cm="1">
        <f t="array" aca="1" ref="F748" ca="1">INDIRECT(CONCATENATE("'",$A$748,"'!d",B748),1)</f>
        <v>3</v>
      </c>
      <c r="G748" s="1" cm="1">
        <f t="array" aca="1" ref="G748" ca="1">INDIRECT(CONCATENATE("'",$A$748,"'!e",B748),1)</f>
        <v>3</v>
      </c>
      <c r="H748" s="1" cm="1">
        <f t="array" aca="1" ref="H748" ca="1">INDIRECT(CONCATENATE("'",$A$748,"'!f",B748),1)</f>
        <v>65</v>
      </c>
      <c r="I748" s="1" t="str" cm="1">
        <f t="array" aca="1" ref="I748" ca="1">INDIRECT(CONCATENATE("'",$A$748,"'!g",B748),1)</f>
        <v>ЗАЧ</v>
      </c>
      <c r="J748" s="1" cm="1">
        <f t="array" aca="1" ref="J748" ca="1">INDIRECT(CONCATENATE("'",$A$748,"'!h",B748),1)</f>
        <v>3</v>
      </c>
      <c r="K748" s="1" cm="1">
        <f t="array" aca="1" ref="K748" ca="1">INDIRECT(CONCATENATE("'",$A$748,"'!i",B748),1)</f>
        <v>0</v>
      </c>
      <c r="L748" s="1" cm="1">
        <f t="array" aca="1" ref="L748" ca="1">INDIRECT(CONCATENATE("'",$A$748,"'!j",B748),1)</f>
        <v>36</v>
      </c>
      <c r="M748" s="1" cm="1">
        <f t="array" aca="1" ref="M748" ca="1">INDIRECT(CONCATENATE("'",$A$748,"'!k",B748),1)</f>
        <v>0</v>
      </c>
      <c r="N748" s="1" t="str" cm="1">
        <f t="array" aca="1" ref="N748" ca="1">INDIRECT(CONCATENATE("'",$A$748,"'!l",B748),1)</f>
        <v>Архипова Г.А.</v>
      </c>
      <c r="O748" s="1" t="str" cm="1">
        <f t="array" aca="1" ref="O748" ca="1">INDIRECT(CONCATENATE("'",$A$748,"'!m",B748),1)</f>
        <v>3312, 3315</v>
      </c>
      <c r="P748" s="1" t="str" cm="1">
        <f t="array" aca="1" ref="P748" ca="1">INDIRECT(CONCATENATE("'",$A$748,"'!n",B748),1)</f>
        <v>3п</v>
      </c>
      <c r="Q748" s="1" cm="1">
        <f t="array" aca="1" ref="Q748" ca="1">INDIRECT(CONCATENATE("'",$A$748,"'!o",B748),1)</f>
        <v>29.3</v>
      </c>
      <c r="R748" s="1" cm="1">
        <f t="array" aca="1" ref="R748" ca="1">INDIRECT(CONCATENATE("'",$A$748,"'!p",B748),1)</f>
        <v>0</v>
      </c>
      <c r="S748" s="1">
        <f ca="1">SUMIFS(U748,T748,$N$1)+SUMIFS(W748,V748,$N$1)+SUMIFS(Y748,X748,$N$1)</f>
        <v>0</v>
      </c>
      <c r="T748" s="1" t="str" cm="1">
        <f t="array" aca="1" ref="T748" ca="1">INDIRECT(CONCATENATE("'",$A$748,"'!q",B748),1)</f>
        <v>Архипова Г.А.</v>
      </c>
      <c r="U748" s="1" cm="1">
        <f t="array" aca="1" ref="U748" ca="1">INDIRECT(CONCATENATE("'",$A$748,"'!r",B748),1)</f>
        <v>65.3</v>
      </c>
      <c r="V748" s="1" cm="1">
        <f t="array" aca="1" ref="V748" ca="1">INDIRECT(CONCATENATE("'",$A$748,"'!s",B748),1)</f>
        <v>0</v>
      </c>
      <c r="W748" s="1" cm="1">
        <f t="array" aca="1" ref="W748" ca="1">INDIRECT(CONCATENATE("'",$A$748,"'!t",B748),1)</f>
        <v>0</v>
      </c>
      <c r="X748" s="1" cm="1">
        <f t="array" aca="1" ref="X748" ca="1">INDIRECT(CONCATENATE("'",$A$748,"'!u",B748),1)</f>
        <v>0</v>
      </c>
      <c r="Y748" s="1" cm="1">
        <f t="array" aca="1" ref="Y748" ca="1">INDIRECT(CONCATENATE("'",$A$748,"'!v",B748),1)</f>
        <v>0</v>
      </c>
    </row>
    <row r="749" spans="1:25" ht="45" hidden="1" x14ac:dyDescent="0.25">
      <c r="A749" s="15"/>
      <c r="B749" s="24">
        <f>B748+1</f>
        <v>3</v>
      </c>
      <c r="C749" s="1" t="str" cm="1">
        <f t="array" aca="1" ref="C749" ca="1">INDIRECT(CONCATENATE("'",$A$748,"'!A",B749),1)</f>
        <v>ИТ в профессиональной деятельности уст</v>
      </c>
      <c r="D749" s="1" t="str" cm="1">
        <f t="array" aca="1" ref="D749" ca="1">INDIRECT(CONCATENATE("'",$A$748,"'!B",B749),1)</f>
        <v xml:space="preserve">13.03.02(41)-53/2 15.03.05(04)-12 </v>
      </c>
      <c r="E749" s="1" t="str" cm="1">
        <f t="array" aca="1" ref="E749" ca="1">INDIRECT(CONCATENATE("'",$A$748,"'!c",B749),1)</f>
        <v>ИПТ</v>
      </c>
      <c r="F749" s="1" cm="1">
        <f t="array" aca="1" ref="F749" ca="1">INDIRECT(CONCATENATE("'",$A$748,"'!d",B749),1)</f>
        <v>2</v>
      </c>
      <c r="G749" s="1" cm="1">
        <f t="array" aca="1" ref="G749" ca="1">INDIRECT(CONCATENATE("'",$A$748,"'!e",B749),1)</f>
        <v>4</v>
      </c>
      <c r="H749" s="1" cm="1">
        <f t="array" aca="1" ref="H749" ca="1">INDIRECT(CONCATENATE("'",$A$748,"'!f",B749),1)</f>
        <v>60</v>
      </c>
      <c r="I749" s="1" t="str" cm="1">
        <f t="array" aca="1" ref="I749" ca="1">INDIRECT(CONCATENATE("'",$A$748,"'!g",B749),1)</f>
        <v>ЗАЧ</v>
      </c>
      <c r="J749" s="1" cm="1">
        <f t="array" aca="1" ref="J749" ca="1">INDIRECT(CONCATENATE("'",$A$748,"'!h",B749),1)</f>
        <v>3</v>
      </c>
      <c r="K749" s="1" cm="1">
        <f t="array" aca="1" ref="K749" ca="1">INDIRECT(CONCATENATE("'",$A$748,"'!i",B749),1)</f>
        <v>0</v>
      </c>
      <c r="L749" s="1" cm="1">
        <f t="array" aca="1" ref="L749" ca="1">INDIRECT(CONCATENATE("'",$A$748,"'!j",B749),1)</f>
        <v>36</v>
      </c>
      <c r="M749" s="1" cm="1">
        <f t="array" aca="1" ref="M749" ca="1">INDIRECT(CONCATENATE("'",$A$748,"'!k",B749),1)</f>
        <v>0</v>
      </c>
      <c r="N749" s="1" t="str" cm="1">
        <f t="array" aca="1" ref="N749" ca="1">INDIRECT(CONCATENATE("'",$A$748,"'!l",B749),1)</f>
        <v>Архипова Г.А.</v>
      </c>
      <c r="O749" s="1" cm="1">
        <f t="array" aca="1" ref="O749" ca="1">INDIRECT(CONCATENATE("'",$A$748,"'!m",B749),1)</f>
        <v>3312</v>
      </c>
      <c r="P749" s="1" t="str" cm="1">
        <f t="array" aca="1" ref="P749" ca="1">INDIRECT(CONCATENATE("'",$A$748,"'!n",B749),1)</f>
        <v>6п</v>
      </c>
      <c r="Q749" s="1" cm="1">
        <f t="array" aca="1" ref="Q749" ca="1">INDIRECT(CONCATENATE("'",$A$748,"'!o",B749),1)</f>
        <v>29.3</v>
      </c>
      <c r="R749" s="1" cm="1">
        <f t="array" aca="1" ref="R749" ca="1">INDIRECT(CONCATENATE("'",$A$748,"'!p",B749),1)</f>
        <v>0</v>
      </c>
      <c r="S749" s="1">
        <f t="shared" ref="S749:S759" ca="1" si="56">SUMIFS(U749,T749,$N$1)+SUMIFS(W749,V749,$N$1)+SUMIFS(Y749,X749,$N$1)</f>
        <v>0</v>
      </c>
      <c r="T749" s="1" t="str" cm="1">
        <f t="array" aca="1" ref="T749" ca="1">INDIRECT(CONCATENATE("'",$A$748,"'!q",B749),1)</f>
        <v>Архипова Г.А.</v>
      </c>
      <c r="U749" s="1" cm="1">
        <f t="array" aca="1" ref="U749" ca="1">INDIRECT(CONCATENATE("'",$A$748,"'!r",B749),1)</f>
        <v>65.3</v>
      </c>
      <c r="V749" s="1" cm="1">
        <f t="array" aca="1" ref="V749" ca="1">INDIRECT(CONCATENATE("'",$A$748,"'!s",B749),1)</f>
        <v>0</v>
      </c>
      <c r="W749" s="1" cm="1">
        <f t="array" aca="1" ref="W749" ca="1">INDIRECT(CONCATENATE("'",$A$748,"'!t",B749),1)</f>
        <v>0</v>
      </c>
      <c r="X749" s="1" cm="1">
        <f t="array" aca="1" ref="X749" ca="1">INDIRECT(CONCATENATE("'",$A$748,"'!u",B749),1)</f>
        <v>0</v>
      </c>
      <c r="Y749" s="1" cm="1">
        <f t="array" aca="1" ref="Y749" ca="1">INDIRECT(CONCATENATE("'",$A$748,"'!v",B749),1)</f>
        <v>0</v>
      </c>
    </row>
    <row r="750" spans="1:25" ht="90" hidden="1" x14ac:dyDescent="0.25">
      <c r="B750" s="24">
        <f t="shared" ref="B750:B796" si="57">B749+1</f>
        <v>4</v>
      </c>
      <c r="C750" s="1" t="str" cm="1">
        <f t="array" aca="1" ref="C750" ca="1">INDIRECT(CONCATENATE("'",$A$748,"'!A",B750),1)</f>
        <v>ИТ в профессиональной деятельности</v>
      </c>
      <c r="D750" s="1" t="str" cm="1">
        <f t="array" aca="1" ref="D750" ca="1">INDIRECT(CONCATENATE("'",$A$748,"'!B",B750),1)</f>
        <v xml:space="preserve">13.03.01(41)-10 13.03.02(41)-10 15.03.05(04)-20 15.03.06(71)-20 </v>
      </c>
      <c r="E750" s="1" t="str" cm="1">
        <f t="array" aca="1" ref="E750" ca="1">INDIRECT(CONCATENATE("'",$A$748,"'!c",B750),1)</f>
        <v>ИПТ</v>
      </c>
      <c r="F750" s="1" cm="1">
        <f t="array" aca="1" ref="F750" ca="1">INDIRECT(CONCATENATE("'",$A$748,"'!d",B750),1)</f>
        <v>4</v>
      </c>
      <c r="G750" s="1" cm="1">
        <f t="array" aca="1" ref="G750" ca="1">INDIRECT(CONCATENATE("'",$A$748,"'!e",B750),1)</f>
        <v>3</v>
      </c>
      <c r="H750" s="1" cm="1">
        <f t="array" aca="1" ref="H750" ca="1">INDIRECT(CONCATENATE("'",$A$748,"'!f",B750),1)</f>
        <v>65</v>
      </c>
      <c r="I750" s="1" t="str" cm="1">
        <f t="array" aca="1" ref="I750" ca="1">INDIRECT(CONCATENATE("'",$A$748,"'!g",B750),1)</f>
        <v>ЗАЧ</v>
      </c>
      <c r="J750" s="1" cm="1">
        <f t="array" aca="1" ref="J750" ca="1">INDIRECT(CONCATENATE("'",$A$748,"'!h",B750),1)</f>
        <v>1</v>
      </c>
      <c r="K750" s="1" cm="1">
        <f t="array" aca="1" ref="K750" ca="1">INDIRECT(CONCATENATE("'",$A$748,"'!i",B750),1)</f>
        <v>0</v>
      </c>
      <c r="L750" s="1" cm="1">
        <f t="array" aca="1" ref="L750" ca="1">INDIRECT(CONCATENATE("'",$A$748,"'!j",B750),1)</f>
        <v>1</v>
      </c>
      <c r="M750" s="1" cm="1">
        <f t="array" aca="1" ref="M750" ca="1">INDIRECT(CONCATENATE("'",$A$748,"'!k",B750),1)</f>
        <v>0</v>
      </c>
      <c r="N750" s="1" t="str" cm="1">
        <f t="array" aca="1" ref="N750" ca="1">INDIRECT(CONCATENATE("'",$A$748,"'!l",B750),1)</f>
        <v>Архипова Г.А.</v>
      </c>
      <c r="O750" s="1" cm="1">
        <f t="array" aca="1" ref="O750" ca="1">INDIRECT(CONCATENATE("'",$A$748,"'!m",B750),1)</f>
        <v>3312</v>
      </c>
      <c r="P750" s="1" t="str" cm="1">
        <f t="array" aca="1" ref="P750" ca="1">INDIRECT(CONCATENATE("'",$A$748,"'!n",B750),1)</f>
        <v>2п</v>
      </c>
      <c r="Q750" s="1" cm="1">
        <f t="array" aca="1" ref="Q750" ca="1">INDIRECT(CONCATENATE("'",$A$748,"'!o",B750),1)</f>
        <v>0</v>
      </c>
      <c r="R750" s="1" cm="1">
        <f t="array" aca="1" ref="R750" ca="1">INDIRECT(CONCATENATE("'",$A$748,"'!p",B750),1)</f>
        <v>0</v>
      </c>
      <c r="S750" s="1">
        <f t="shared" ca="1" si="56"/>
        <v>0</v>
      </c>
      <c r="T750" s="1" t="str" cm="1">
        <f t="array" aca="1" ref="T750" ca="1">INDIRECT(CONCATENATE("'",$A$748,"'!q",B750),1)</f>
        <v>Архипова Г.А.</v>
      </c>
      <c r="U750" s="1" cm="1">
        <f t="array" aca="1" ref="U750" ca="1">INDIRECT(CONCATENATE("'",$A$748,"'!r",B750),1)</f>
        <v>0</v>
      </c>
      <c r="V750" s="1" cm="1">
        <f t="array" aca="1" ref="V750" ca="1">INDIRECT(CONCATENATE("'",$A$748,"'!s",B750),1)</f>
        <v>0</v>
      </c>
      <c r="W750" s="1" cm="1">
        <f t="array" aca="1" ref="W750" ca="1">INDIRECT(CONCATENATE("'",$A$748,"'!t",B750),1)</f>
        <v>0</v>
      </c>
      <c r="X750" s="1" cm="1">
        <f t="array" aca="1" ref="X750" ca="1">INDIRECT(CONCATENATE("'",$A$748,"'!u",B750),1)</f>
        <v>0</v>
      </c>
      <c r="Y750" s="1" cm="1">
        <f t="array" aca="1" ref="Y750" ca="1">INDIRECT(CONCATENATE("'",$A$748,"'!v",B750),1)</f>
        <v>0</v>
      </c>
    </row>
    <row r="751" spans="1:25" ht="45" hidden="1" x14ac:dyDescent="0.25">
      <c r="B751" s="24">
        <f t="shared" si="57"/>
        <v>5</v>
      </c>
      <c r="C751" s="1" t="str" cm="1">
        <f t="array" aca="1" ref="C751" ca="1">INDIRECT(CONCATENATE("'",$A$748,"'!A",B751),1)</f>
        <v>ИТ в профессиональной деятельности</v>
      </c>
      <c r="D751" s="1" t="str" cm="1">
        <f t="array" aca="1" ref="D751" ca="1">INDIRECT(CONCATENATE("'",$A$748,"'!B",B751),1)</f>
        <v>13.03.01(41)-12 13.03.02(41)-50/2</v>
      </c>
      <c r="E751" s="1" t="str" cm="1">
        <f t="array" aca="1" ref="E751" ca="1">INDIRECT(CONCATENATE("'",$A$748,"'!c",B751),1)</f>
        <v>ИПТ</v>
      </c>
      <c r="F751" s="1" cm="1">
        <f t="array" aca="1" ref="F751" ca="1">INDIRECT(CONCATENATE("'",$A$748,"'!d",B751),1)</f>
        <v>5</v>
      </c>
      <c r="G751" s="1" cm="1">
        <f t="array" aca="1" ref="G751" ca="1">INDIRECT(CONCATENATE("'",$A$748,"'!e",B751),1)</f>
        <v>3</v>
      </c>
      <c r="H751" s="1" cm="1">
        <f t="array" aca="1" ref="H751" ca="1">INDIRECT(CONCATENATE("'",$A$748,"'!f",B751),1)</f>
        <v>62</v>
      </c>
      <c r="I751" s="1" t="str" cm="1">
        <f t="array" aca="1" ref="I751" ca="1">INDIRECT(CONCATENATE("'",$A$748,"'!g",B751),1)</f>
        <v>ДЗ</v>
      </c>
      <c r="J751" s="1" cm="1">
        <f t="array" aca="1" ref="J751" ca="1">INDIRECT(CONCATENATE("'",$A$748,"'!h",B751),1)</f>
        <v>3</v>
      </c>
      <c r="K751" s="1" cm="1">
        <f t="array" aca="1" ref="K751" ca="1">INDIRECT(CONCATENATE("'",$A$748,"'!i",B751),1)</f>
        <v>0</v>
      </c>
      <c r="L751" s="1" cm="1">
        <f t="array" aca="1" ref="L751" ca="1">INDIRECT(CONCATENATE("'",$A$748,"'!j",B751),1)</f>
        <v>36</v>
      </c>
      <c r="M751" s="1" cm="1">
        <f t="array" aca="1" ref="M751" ca="1">INDIRECT(CONCATENATE("'",$A$748,"'!k",B751),1)</f>
        <v>0</v>
      </c>
      <c r="N751" s="1" t="str" cm="1">
        <f t="array" aca="1" ref="N751" ca="1">INDIRECT(CONCATENATE("'",$A$748,"'!l",B751),1)</f>
        <v>Архипова Г.А.</v>
      </c>
      <c r="O751" s="1" cm="1">
        <f t="array" aca="1" ref="O751" ca="1">INDIRECT(CONCATENATE("'",$A$748,"'!m",B751),1)</f>
        <v>0</v>
      </c>
      <c r="P751" s="1" t="str" cm="1">
        <f t="array" aca="1" ref="P751" ca="1">INDIRECT(CONCATENATE("'",$A$748,"'!n",B751),1)</f>
        <v>3п</v>
      </c>
      <c r="Q751" s="1" cm="1">
        <f t="array" aca="1" ref="Q751" ca="1">INDIRECT(CONCATENATE("'",$A$748,"'!o",B751),1)</f>
        <v>27.9</v>
      </c>
      <c r="R751" s="1" cm="1">
        <f t="array" aca="1" ref="R751" ca="1">INDIRECT(CONCATENATE("'",$A$748,"'!p",B751),1)</f>
        <v>0</v>
      </c>
      <c r="S751" s="1">
        <f t="shared" ca="1" si="56"/>
        <v>0</v>
      </c>
      <c r="T751" s="1" t="str" cm="1">
        <f t="array" aca="1" ref="T751" ca="1">INDIRECT(CONCATENATE("'",$A$748,"'!q",B751),1)</f>
        <v>Архипова Г.А.</v>
      </c>
      <c r="U751" s="1" cm="1">
        <f t="array" aca="1" ref="U751" ca="1">INDIRECT(CONCATENATE("'",$A$748,"'!r",B751),1)</f>
        <v>63.9</v>
      </c>
      <c r="V751" s="1" cm="1">
        <f t="array" aca="1" ref="V751" ca="1">INDIRECT(CONCATENATE("'",$A$748,"'!s",B751),1)</f>
        <v>0</v>
      </c>
      <c r="W751" s="1" cm="1">
        <f t="array" aca="1" ref="W751" ca="1">INDIRECT(CONCATENATE("'",$A$748,"'!t",B751),1)</f>
        <v>0</v>
      </c>
      <c r="X751" s="1" cm="1">
        <f t="array" aca="1" ref="X751" ca="1">INDIRECT(CONCATENATE("'",$A$748,"'!u",B751),1)</f>
        <v>0</v>
      </c>
      <c r="Y751" s="1" cm="1">
        <f t="array" aca="1" ref="Y751" ca="1">INDIRECT(CONCATENATE("'",$A$748,"'!v",B751),1)</f>
        <v>0</v>
      </c>
    </row>
    <row r="752" spans="1:25" ht="45" hidden="1" x14ac:dyDescent="0.25">
      <c r="B752" s="24">
        <f t="shared" si="57"/>
        <v>6</v>
      </c>
      <c r="C752" s="1" t="str" cm="1">
        <f t="array" aca="1" ref="C752" ca="1">INDIRECT(CONCATENATE("'",$A$748,"'!A",B752),1)</f>
        <v>ИТ в профессиональной деятельности</v>
      </c>
      <c r="D752" s="1" t="str" cm="1">
        <f t="array" aca="1" ref="D752" ca="1">INDIRECT(CONCATENATE("'",$A$748,"'!B",B752),1)</f>
        <v>13.03.01(41)-12 13.03.02(41)-50/2</v>
      </c>
      <c r="E752" s="1" t="str" cm="1">
        <f t="array" aca="1" ref="E752" ca="1">INDIRECT(CONCATENATE("'",$A$748,"'!c",B752),1)</f>
        <v>ИПТ</v>
      </c>
      <c r="F752" s="1" cm="1">
        <f t="array" aca="1" ref="F752" ca="1">INDIRECT(CONCATENATE("'",$A$748,"'!d",B752),1)</f>
        <v>6</v>
      </c>
      <c r="G752" s="1" cm="1">
        <f t="array" aca="1" ref="G752" ca="1">INDIRECT(CONCATENATE("'",$A$748,"'!e",B752),1)</f>
        <v>3</v>
      </c>
      <c r="H752" s="1" cm="1">
        <f t="array" aca="1" ref="H752" ca="1">INDIRECT(CONCATENATE("'",$A$748,"'!f",B752),1)</f>
        <v>62</v>
      </c>
      <c r="I752" s="1" t="str" cm="1">
        <f t="array" aca="1" ref="I752" ca="1">INDIRECT(CONCATENATE("'",$A$748,"'!g",B752),1)</f>
        <v>ДЗ</v>
      </c>
      <c r="J752" s="1" cm="1">
        <f t="array" aca="1" ref="J752" ca="1">INDIRECT(CONCATENATE("'",$A$748,"'!h",B752),1)</f>
        <v>3</v>
      </c>
      <c r="K752" s="1" cm="1">
        <f t="array" aca="1" ref="K752" ca="1">INDIRECT(CONCATENATE("'",$A$748,"'!i",B752),1)</f>
        <v>0</v>
      </c>
      <c r="L752" s="1" cm="1">
        <f t="array" aca="1" ref="L752" ca="1">INDIRECT(CONCATENATE("'",$A$748,"'!j",B752),1)</f>
        <v>36</v>
      </c>
      <c r="M752" s="1" cm="1">
        <f t="array" aca="1" ref="M752" ca="1">INDIRECT(CONCATENATE("'",$A$748,"'!k",B752),1)</f>
        <v>0</v>
      </c>
      <c r="N752" s="1" t="str" cm="1">
        <f t="array" aca="1" ref="N752" ca="1">INDIRECT(CONCATENATE("'",$A$748,"'!l",B752),1)</f>
        <v>Архипова Г.А.</v>
      </c>
      <c r="O752" s="1" cm="1">
        <f t="array" aca="1" ref="O752" ca="1">INDIRECT(CONCATENATE("'",$A$748,"'!m",B752),1)</f>
        <v>0</v>
      </c>
      <c r="P752" s="1" t="str" cm="1">
        <f t="array" aca="1" ref="P752" ca="1">INDIRECT(CONCATENATE("'",$A$748,"'!n",B752),1)</f>
        <v>3п</v>
      </c>
      <c r="Q752" s="1" cm="1">
        <f t="array" aca="1" ref="Q752" ca="1">INDIRECT(CONCATENATE("'",$A$748,"'!o",B752),1)</f>
        <v>27.9</v>
      </c>
      <c r="R752" s="1" cm="1">
        <f t="array" aca="1" ref="R752" ca="1">INDIRECT(CONCATENATE("'",$A$748,"'!p",B752),1)</f>
        <v>0</v>
      </c>
      <c r="S752" s="1">
        <f t="shared" ca="1" si="56"/>
        <v>0</v>
      </c>
      <c r="T752" s="1" t="str" cm="1">
        <f t="array" aca="1" ref="T752" ca="1">INDIRECT(CONCATENATE("'",$A$748,"'!q",B752),1)</f>
        <v>Архипова Г.А.</v>
      </c>
      <c r="U752" s="1" cm="1">
        <f t="array" aca="1" ref="U752" ca="1">INDIRECT(CONCATENATE("'",$A$748,"'!r",B752),1)</f>
        <v>63.9</v>
      </c>
      <c r="V752" s="1" cm="1">
        <f t="array" aca="1" ref="V752" ca="1">INDIRECT(CONCATENATE("'",$A$748,"'!s",B752),1)</f>
        <v>0</v>
      </c>
      <c r="W752" s="1" cm="1">
        <f t="array" aca="1" ref="W752" ca="1">INDIRECT(CONCATENATE("'",$A$748,"'!t",B752),1)</f>
        <v>0</v>
      </c>
      <c r="X752" s="1" cm="1">
        <f t="array" aca="1" ref="X752" ca="1">INDIRECT(CONCATENATE("'",$A$748,"'!u",B752),1)</f>
        <v>0</v>
      </c>
      <c r="Y752" s="1" cm="1">
        <f t="array" aca="1" ref="Y752" ca="1">INDIRECT(CONCATENATE("'",$A$748,"'!v",B752),1)</f>
        <v>0</v>
      </c>
    </row>
    <row r="753" spans="2:25" hidden="1" x14ac:dyDescent="0.25">
      <c r="B753" s="24">
        <f t="shared" si="57"/>
        <v>7</v>
      </c>
      <c r="C753" s="1" cm="1">
        <f t="array" aca="1" ref="C753" ca="1">INDIRECT(CONCATENATE("'",$A$748,"'!A",B753),1)</f>
        <v>0</v>
      </c>
      <c r="D753" s="1" cm="1">
        <f t="array" aca="1" ref="D753" ca="1">INDIRECT(CONCATENATE("'",$A$748,"'!B",B753),1)</f>
        <v>0</v>
      </c>
      <c r="E753" s="1" cm="1">
        <f t="array" aca="1" ref="E753" ca="1">INDIRECT(CONCATENATE("'",$A$748,"'!c",B753),1)</f>
        <v>0</v>
      </c>
      <c r="F753" s="1" cm="1">
        <f t="array" aca="1" ref="F753" ca="1">INDIRECT(CONCATENATE("'",$A$748,"'!d",B753),1)</f>
        <v>0</v>
      </c>
      <c r="G753" s="1" cm="1">
        <f t="array" aca="1" ref="G753" ca="1">INDIRECT(CONCATENATE("'",$A$748,"'!e",B753),1)</f>
        <v>0</v>
      </c>
      <c r="H753" s="1" cm="1">
        <f t="array" aca="1" ref="H753" ca="1">INDIRECT(CONCATENATE("'",$A$748,"'!f",B753),1)</f>
        <v>0</v>
      </c>
      <c r="I753" s="1" cm="1">
        <f t="array" aca="1" ref="I753" ca="1">INDIRECT(CONCATENATE("'",$A$748,"'!g",B753),1)</f>
        <v>0</v>
      </c>
      <c r="J753" s="1" cm="1">
        <f t="array" aca="1" ref="J753" ca="1">INDIRECT(CONCATENATE("'",$A$748,"'!h",B753),1)</f>
        <v>0</v>
      </c>
      <c r="K753" s="1" cm="1">
        <f t="array" aca="1" ref="K753" ca="1">INDIRECT(CONCATENATE("'",$A$748,"'!i",B753),1)</f>
        <v>0</v>
      </c>
      <c r="L753" s="1" cm="1">
        <f t="array" aca="1" ref="L753" ca="1">INDIRECT(CONCATENATE("'",$A$748,"'!j",B753),1)</f>
        <v>0</v>
      </c>
      <c r="M753" s="1" cm="1">
        <f t="array" aca="1" ref="M753" ca="1">INDIRECT(CONCATENATE("'",$A$748,"'!k",B753),1)</f>
        <v>0</v>
      </c>
      <c r="N753" s="1" cm="1">
        <f t="array" aca="1" ref="N753" ca="1">INDIRECT(CONCATENATE("'",$A$748,"'!l",B753),1)</f>
        <v>0</v>
      </c>
      <c r="O753" s="1" cm="1">
        <f t="array" aca="1" ref="O753" ca="1">INDIRECT(CONCATENATE("'",$A$748,"'!m",B753),1)</f>
        <v>0</v>
      </c>
      <c r="P753" s="1" cm="1">
        <f t="array" aca="1" ref="P753" ca="1">INDIRECT(CONCATENATE("'",$A$748,"'!n",B753),1)</f>
        <v>0</v>
      </c>
      <c r="Q753" s="1" cm="1">
        <f t="array" aca="1" ref="Q753" ca="1">INDIRECT(CONCATENATE("'",$A$748,"'!o",B753),1)</f>
        <v>0</v>
      </c>
      <c r="R753" s="1" cm="1">
        <f t="array" aca="1" ref="R753" ca="1">INDIRECT(CONCATENATE("'",$A$748,"'!p",B753),1)</f>
        <v>0</v>
      </c>
      <c r="S753" s="1">
        <f t="shared" ca="1" si="56"/>
        <v>0</v>
      </c>
      <c r="T753" s="1" cm="1">
        <f t="array" aca="1" ref="T753" ca="1">INDIRECT(CONCATENATE("'",$A$748,"'!q",B753),1)</f>
        <v>0</v>
      </c>
      <c r="U753" s="1" cm="1">
        <f t="array" aca="1" ref="U753" ca="1">INDIRECT(CONCATENATE("'",$A$748,"'!r",B753),1)</f>
        <v>0</v>
      </c>
      <c r="V753" s="1" cm="1">
        <f t="array" aca="1" ref="V753" ca="1">INDIRECT(CONCATENATE("'",$A$748,"'!s",B753),1)</f>
        <v>0</v>
      </c>
      <c r="W753" s="1" cm="1">
        <f t="array" aca="1" ref="W753" ca="1">INDIRECT(CONCATENATE("'",$A$748,"'!t",B753),1)</f>
        <v>0</v>
      </c>
      <c r="X753" s="1" cm="1">
        <f t="array" aca="1" ref="X753" ca="1">INDIRECT(CONCATENATE("'",$A$748,"'!u",B753),1)</f>
        <v>0</v>
      </c>
      <c r="Y753" s="1" cm="1">
        <f t="array" aca="1" ref="Y753" ca="1">INDIRECT(CONCATENATE("'",$A$748,"'!v",B753),1)</f>
        <v>0</v>
      </c>
    </row>
    <row r="754" spans="2:25" hidden="1" x14ac:dyDescent="0.25">
      <c r="B754" s="24">
        <f t="shared" si="57"/>
        <v>8</v>
      </c>
      <c r="C754" s="1" cm="1">
        <f t="array" aca="1" ref="C754" ca="1">INDIRECT(CONCATENATE("'",$A$748,"'!A",B754),1)</f>
        <v>0</v>
      </c>
      <c r="D754" s="1" cm="1">
        <f t="array" aca="1" ref="D754" ca="1">INDIRECT(CONCATENATE("'",$A$748,"'!B",B754),1)</f>
        <v>0</v>
      </c>
      <c r="E754" s="1" cm="1">
        <f t="array" aca="1" ref="E754" ca="1">INDIRECT(CONCATENATE("'",$A$748,"'!c",B754),1)</f>
        <v>0</v>
      </c>
      <c r="F754" s="1" cm="1">
        <f t="array" aca="1" ref="F754" ca="1">INDIRECT(CONCATENATE("'",$A$748,"'!d",B754),1)</f>
        <v>0</v>
      </c>
      <c r="G754" s="1" cm="1">
        <f t="array" aca="1" ref="G754" ca="1">INDIRECT(CONCATENATE("'",$A$748,"'!e",B754),1)</f>
        <v>0</v>
      </c>
      <c r="H754" s="1" cm="1">
        <f t="array" aca="1" ref="H754" ca="1">INDIRECT(CONCATENATE("'",$A$748,"'!f",B754),1)</f>
        <v>0</v>
      </c>
      <c r="I754" s="1" cm="1">
        <f t="array" aca="1" ref="I754" ca="1">INDIRECT(CONCATENATE("'",$A$748,"'!g",B754),1)</f>
        <v>0</v>
      </c>
      <c r="J754" s="1" cm="1">
        <f t="array" aca="1" ref="J754" ca="1">INDIRECT(CONCATENATE("'",$A$748,"'!h",B754),1)</f>
        <v>0</v>
      </c>
      <c r="K754" s="1" cm="1">
        <f t="array" aca="1" ref="K754" ca="1">INDIRECT(CONCATENATE("'",$A$748,"'!i",B754),1)</f>
        <v>0</v>
      </c>
      <c r="L754" s="1" cm="1">
        <f t="array" aca="1" ref="L754" ca="1">INDIRECT(CONCATENATE("'",$A$748,"'!j",B754),1)</f>
        <v>0</v>
      </c>
      <c r="M754" s="1" cm="1">
        <f t="array" aca="1" ref="M754" ca="1">INDIRECT(CONCATENATE("'",$A$748,"'!k",B754),1)</f>
        <v>0</v>
      </c>
      <c r="N754" s="1" cm="1">
        <f t="array" aca="1" ref="N754" ca="1">INDIRECT(CONCATENATE("'",$A$748,"'!l",B754),1)</f>
        <v>0</v>
      </c>
      <c r="O754" s="1" cm="1">
        <f t="array" aca="1" ref="O754" ca="1">INDIRECT(CONCATENATE("'",$A$748,"'!m",B754),1)</f>
        <v>0</v>
      </c>
      <c r="P754" s="1" cm="1">
        <f t="array" aca="1" ref="P754" ca="1">INDIRECT(CONCATENATE("'",$A$748,"'!n",B754),1)</f>
        <v>0</v>
      </c>
      <c r="Q754" s="1" cm="1">
        <f t="array" aca="1" ref="Q754" ca="1">INDIRECT(CONCATENATE("'",$A$748,"'!o",B754),1)</f>
        <v>0</v>
      </c>
      <c r="R754" s="1" cm="1">
        <f t="array" aca="1" ref="R754" ca="1">INDIRECT(CONCATENATE("'",$A$748,"'!p",B754),1)</f>
        <v>0</v>
      </c>
      <c r="S754" s="1">
        <f t="shared" ca="1" si="56"/>
        <v>0</v>
      </c>
      <c r="T754" s="1" cm="1">
        <f t="array" aca="1" ref="T754" ca="1">INDIRECT(CONCATENATE("'",$A$748,"'!q",B754),1)</f>
        <v>0</v>
      </c>
      <c r="U754" s="1" cm="1">
        <f t="array" aca="1" ref="U754" ca="1">INDIRECT(CONCATENATE("'",$A$748,"'!r",B754),1)</f>
        <v>0</v>
      </c>
      <c r="V754" s="1" cm="1">
        <f t="array" aca="1" ref="V754" ca="1">INDIRECT(CONCATENATE("'",$A$748,"'!s",B754),1)</f>
        <v>0</v>
      </c>
      <c r="W754" s="1" cm="1">
        <f t="array" aca="1" ref="W754" ca="1">INDIRECT(CONCATENATE("'",$A$748,"'!t",B754),1)</f>
        <v>0</v>
      </c>
      <c r="X754" s="1" cm="1">
        <f t="array" aca="1" ref="X754" ca="1">INDIRECT(CONCATENATE("'",$A$748,"'!u",B754),1)</f>
        <v>0</v>
      </c>
      <c r="Y754" s="1" cm="1">
        <f t="array" aca="1" ref="Y754" ca="1">INDIRECT(CONCATENATE("'",$A$748,"'!v",B754),1)</f>
        <v>0</v>
      </c>
    </row>
    <row r="755" spans="2:25" hidden="1" x14ac:dyDescent="0.25">
      <c r="B755" s="24">
        <f t="shared" si="57"/>
        <v>9</v>
      </c>
      <c r="C755" s="1" cm="1">
        <f t="array" aca="1" ref="C755" ca="1">INDIRECT(CONCATENATE("'",$A$748,"'!A",B755),1)</f>
        <v>0</v>
      </c>
      <c r="D755" s="1" cm="1">
        <f t="array" aca="1" ref="D755" ca="1">INDIRECT(CONCATENATE("'",$A$748,"'!B",B755),1)</f>
        <v>0</v>
      </c>
      <c r="E755" s="1" cm="1">
        <f t="array" aca="1" ref="E755" ca="1">INDIRECT(CONCATENATE("'",$A$748,"'!c",B755),1)</f>
        <v>0</v>
      </c>
      <c r="F755" s="1" cm="1">
        <f t="array" aca="1" ref="F755" ca="1">INDIRECT(CONCATENATE("'",$A$748,"'!d",B755),1)</f>
        <v>0</v>
      </c>
      <c r="G755" s="1" cm="1">
        <f t="array" aca="1" ref="G755" ca="1">INDIRECT(CONCATENATE("'",$A$748,"'!e",B755),1)</f>
        <v>0</v>
      </c>
      <c r="H755" s="1" cm="1">
        <f t="array" aca="1" ref="H755" ca="1">INDIRECT(CONCATENATE("'",$A$748,"'!f",B755),1)</f>
        <v>0</v>
      </c>
      <c r="I755" s="1" cm="1">
        <f t="array" aca="1" ref="I755" ca="1">INDIRECT(CONCATENATE("'",$A$748,"'!g",B755),1)</f>
        <v>0</v>
      </c>
      <c r="J755" s="1" cm="1">
        <f t="array" aca="1" ref="J755" ca="1">INDIRECT(CONCATENATE("'",$A$748,"'!h",B755),1)</f>
        <v>0</v>
      </c>
      <c r="K755" s="1" cm="1">
        <f t="array" aca="1" ref="K755" ca="1">INDIRECT(CONCATENATE("'",$A$748,"'!i",B755),1)</f>
        <v>0</v>
      </c>
      <c r="L755" s="1" cm="1">
        <f t="array" aca="1" ref="L755" ca="1">INDIRECT(CONCATENATE("'",$A$748,"'!j",B755),1)</f>
        <v>0</v>
      </c>
      <c r="M755" s="1" cm="1">
        <f t="array" aca="1" ref="M755" ca="1">INDIRECT(CONCATENATE("'",$A$748,"'!k",B755),1)</f>
        <v>0</v>
      </c>
      <c r="N755" s="1" cm="1">
        <f t="array" aca="1" ref="N755" ca="1">INDIRECT(CONCATENATE("'",$A$748,"'!l",B755),1)</f>
        <v>0</v>
      </c>
      <c r="O755" s="1" cm="1">
        <f t="array" aca="1" ref="O755" ca="1">INDIRECT(CONCATENATE("'",$A$748,"'!m",B755),1)</f>
        <v>0</v>
      </c>
      <c r="P755" s="1" cm="1">
        <f t="array" aca="1" ref="P755" ca="1">INDIRECT(CONCATENATE("'",$A$748,"'!n",B755),1)</f>
        <v>0</v>
      </c>
      <c r="Q755" s="1" cm="1">
        <f t="array" aca="1" ref="Q755" ca="1">INDIRECT(CONCATENATE("'",$A$748,"'!o",B755),1)</f>
        <v>0</v>
      </c>
      <c r="R755" s="1" cm="1">
        <f t="array" aca="1" ref="R755" ca="1">INDIRECT(CONCATENATE("'",$A$748,"'!p",B755),1)</f>
        <v>0</v>
      </c>
      <c r="S755" s="1">
        <f t="shared" ca="1" si="56"/>
        <v>0</v>
      </c>
      <c r="T755" s="1" cm="1">
        <f t="array" aca="1" ref="T755" ca="1">INDIRECT(CONCATENATE("'",$A$748,"'!q",B755),1)</f>
        <v>0</v>
      </c>
      <c r="U755" s="1" cm="1">
        <f t="array" aca="1" ref="U755" ca="1">INDIRECT(CONCATENATE("'",$A$748,"'!r",B755),1)</f>
        <v>0</v>
      </c>
      <c r="V755" s="1" cm="1">
        <f t="array" aca="1" ref="V755" ca="1">INDIRECT(CONCATENATE("'",$A$748,"'!s",B755),1)</f>
        <v>0</v>
      </c>
      <c r="W755" s="1" cm="1">
        <f t="array" aca="1" ref="W755" ca="1">INDIRECT(CONCATENATE("'",$A$748,"'!t",B755),1)</f>
        <v>0</v>
      </c>
      <c r="X755" s="1" cm="1">
        <f t="array" aca="1" ref="X755" ca="1">INDIRECT(CONCATENATE("'",$A$748,"'!u",B755),1)</f>
        <v>0</v>
      </c>
      <c r="Y755" s="1" cm="1">
        <f t="array" aca="1" ref="Y755" ca="1">INDIRECT(CONCATENATE("'",$A$748,"'!v",B755),1)</f>
        <v>0</v>
      </c>
    </row>
    <row r="756" spans="2:25" hidden="1" x14ac:dyDescent="0.25">
      <c r="B756" s="24">
        <f t="shared" si="57"/>
        <v>10</v>
      </c>
      <c r="C756" s="1" cm="1">
        <f t="array" aca="1" ref="C756" ca="1">INDIRECT(CONCATENATE("'",$A$748,"'!A",B756),1)</f>
        <v>0</v>
      </c>
      <c r="D756" s="1" cm="1">
        <f t="array" aca="1" ref="D756" ca="1">INDIRECT(CONCATENATE("'",$A$748,"'!B",B756),1)</f>
        <v>0</v>
      </c>
      <c r="E756" s="1" cm="1">
        <f t="array" aca="1" ref="E756" ca="1">INDIRECT(CONCATENATE("'",$A$748,"'!c",B756),1)</f>
        <v>0</v>
      </c>
      <c r="F756" s="1" cm="1">
        <f t="array" aca="1" ref="F756" ca="1">INDIRECT(CONCATENATE("'",$A$748,"'!d",B756),1)</f>
        <v>0</v>
      </c>
      <c r="G756" s="1" cm="1">
        <f t="array" aca="1" ref="G756" ca="1">INDIRECT(CONCATENATE("'",$A$748,"'!e",B756),1)</f>
        <v>0</v>
      </c>
      <c r="H756" s="1" cm="1">
        <f t="array" aca="1" ref="H756" ca="1">INDIRECT(CONCATENATE("'",$A$748,"'!f",B756),1)</f>
        <v>0</v>
      </c>
      <c r="I756" s="1" cm="1">
        <f t="array" aca="1" ref="I756" ca="1">INDIRECT(CONCATENATE("'",$A$748,"'!g",B756),1)</f>
        <v>0</v>
      </c>
      <c r="J756" s="1" cm="1">
        <f t="array" aca="1" ref="J756" ca="1">INDIRECT(CONCATENATE("'",$A$748,"'!h",B756),1)</f>
        <v>0</v>
      </c>
      <c r="K756" s="1" cm="1">
        <f t="array" aca="1" ref="K756" ca="1">INDIRECT(CONCATENATE("'",$A$748,"'!i",B756),1)</f>
        <v>0</v>
      </c>
      <c r="L756" s="1" cm="1">
        <f t="array" aca="1" ref="L756" ca="1">INDIRECT(CONCATENATE("'",$A$748,"'!j",B756),1)</f>
        <v>0</v>
      </c>
      <c r="M756" s="1" cm="1">
        <f t="array" aca="1" ref="M756" ca="1">INDIRECT(CONCATENATE("'",$A$748,"'!k",B756),1)</f>
        <v>0</v>
      </c>
      <c r="N756" s="1" cm="1">
        <f t="array" aca="1" ref="N756" ca="1">INDIRECT(CONCATENATE("'",$A$748,"'!l",B756),1)</f>
        <v>0</v>
      </c>
      <c r="O756" s="1" cm="1">
        <f t="array" aca="1" ref="O756" ca="1">INDIRECT(CONCATENATE("'",$A$748,"'!m",B756),1)</f>
        <v>0</v>
      </c>
      <c r="P756" s="1" cm="1">
        <f t="array" aca="1" ref="P756" ca="1">INDIRECT(CONCATENATE("'",$A$748,"'!n",B756),1)</f>
        <v>0</v>
      </c>
      <c r="Q756" s="1" cm="1">
        <f t="array" aca="1" ref="Q756" ca="1">INDIRECT(CONCATENATE("'",$A$748,"'!o",B756),1)</f>
        <v>0</v>
      </c>
      <c r="R756" s="1" cm="1">
        <f t="array" aca="1" ref="R756" ca="1">INDIRECT(CONCATENATE("'",$A$748,"'!p",B756),1)</f>
        <v>0</v>
      </c>
      <c r="S756" s="1">
        <f t="shared" ca="1" si="56"/>
        <v>0</v>
      </c>
      <c r="T756" s="1" cm="1">
        <f t="array" aca="1" ref="T756" ca="1">INDIRECT(CONCATENATE("'",$A$748,"'!q",B756),1)</f>
        <v>0</v>
      </c>
      <c r="U756" s="1" cm="1">
        <f t="array" aca="1" ref="U756" ca="1">INDIRECT(CONCATENATE("'",$A$748,"'!r",B756),1)</f>
        <v>0</v>
      </c>
      <c r="V756" s="1" cm="1">
        <f t="array" aca="1" ref="V756" ca="1">INDIRECT(CONCATENATE("'",$A$748,"'!s",B756),1)</f>
        <v>0</v>
      </c>
      <c r="W756" s="1" cm="1">
        <f t="array" aca="1" ref="W756" ca="1">INDIRECT(CONCATENATE("'",$A$748,"'!t",B756),1)</f>
        <v>0</v>
      </c>
      <c r="X756" s="1" cm="1">
        <f t="array" aca="1" ref="X756" ca="1">INDIRECT(CONCATENATE("'",$A$748,"'!u",B756),1)</f>
        <v>0</v>
      </c>
      <c r="Y756" s="1" cm="1">
        <f t="array" aca="1" ref="Y756" ca="1">INDIRECT(CONCATENATE("'",$A$748,"'!v",B756),1)</f>
        <v>0</v>
      </c>
    </row>
    <row r="757" spans="2:25" hidden="1" x14ac:dyDescent="0.25">
      <c r="B757" s="24">
        <f t="shared" si="57"/>
        <v>11</v>
      </c>
      <c r="C757" s="1" cm="1">
        <f t="array" aca="1" ref="C757" ca="1">INDIRECT(CONCATENATE("'",$A$748,"'!A",B757),1)</f>
        <v>0</v>
      </c>
      <c r="D757" s="1" cm="1">
        <f t="array" aca="1" ref="D757" ca="1">INDIRECT(CONCATENATE("'",$A$748,"'!B",B757),1)</f>
        <v>0</v>
      </c>
      <c r="E757" s="1" cm="1">
        <f t="array" aca="1" ref="E757" ca="1">INDIRECT(CONCATENATE("'",$A$748,"'!c",B757),1)</f>
        <v>0</v>
      </c>
      <c r="F757" s="1" cm="1">
        <f t="array" aca="1" ref="F757" ca="1">INDIRECT(CONCATENATE("'",$A$748,"'!d",B757),1)</f>
        <v>0</v>
      </c>
      <c r="G757" s="1" cm="1">
        <f t="array" aca="1" ref="G757" ca="1">INDIRECT(CONCATENATE("'",$A$748,"'!e",B757),1)</f>
        <v>0</v>
      </c>
      <c r="H757" s="1" cm="1">
        <f t="array" aca="1" ref="H757" ca="1">INDIRECT(CONCATENATE("'",$A$748,"'!f",B757),1)</f>
        <v>0</v>
      </c>
      <c r="I757" s="1" cm="1">
        <f t="array" aca="1" ref="I757" ca="1">INDIRECT(CONCATENATE("'",$A$748,"'!g",B757),1)</f>
        <v>0</v>
      </c>
      <c r="J757" s="1" cm="1">
        <f t="array" aca="1" ref="J757" ca="1">INDIRECT(CONCATENATE("'",$A$748,"'!h",B757),1)</f>
        <v>0</v>
      </c>
      <c r="K757" s="1" cm="1">
        <f t="array" aca="1" ref="K757" ca="1">INDIRECT(CONCATENATE("'",$A$748,"'!i",B757),1)</f>
        <v>0</v>
      </c>
      <c r="L757" s="1" cm="1">
        <f t="array" aca="1" ref="L757" ca="1">INDIRECT(CONCATENATE("'",$A$748,"'!j",B757),1)</f>
        <v>0</v>
      </c>
      <c r="M757" s="1" cm="1">
        <f t="array" aca="1" ref="M757" ca="1">INDIRECT(CONCATENATE("'",$A$748,"'!k",B757),1)</f>
        <v>0</v>
      </c>
      <c r="N757" s="1" cm="1">
        <f t="array" aca="1" ref="N757" ca="1">INDIRECT(CONCATENATE("'",$A$748,"'!l",B757),1)</f>
        <v>0</v>
      </c>
      <c r="O757" s="1" cm="1">
        <f t="array" aca="1" ref="O757" ca="1">INDIRECT(CONCATENATE("'",$A$748,"'!m",B757),1)</f>
        <v>0</v>
      </c>
      <c r="P757" s="1" cm="1">
        <f t="array" aca="1" ref="P757" ca="1">INDIRECT(CONCATENATE("'",$A$748,"'!n",B757),1)</f>
        <v>0</v>
      </c>
      <c r="Q757" s="1" cm="1">
        <f t="array" aca="1" ref="Q757" ca="1">INDIRECT(CONCATENATE("'",$A$748,"'!o",B757),1)</f>
        <v>0</v>
      </c>
      <c r="R757" s="1" cm="1">
        <f t="array" aca="1" ref="R757" ca="1">INDIRECT(CONCATENATE("'",$A$748,"'!p",B757),1)</f>
        <v>0</v>
      </c>
      <c r="S757" s="1">
        <f t="shared" ca="1" si="56"/>
        <v>0</v>
      </c>
      <c r="T757" s="1" cm="1">
        <f t="array" aca="1" ref="T757" ca="1">INDIRECT(CONCATENATE("'",$A$748,"'!q",B757),1)</f>
        <v>0</v>
      </c>
      <c r="U757" s="1" cm="1">
        <f t="array" aca="1" ref="U757" ca="1">INDIRECT(CONCATENATE("'",$A$748,"'!r",B757),1)</f>
        <v>0</v>
      </c>
      <c r="V757" s="1" cm="1">
        <f t="array" aca="1" ref="V757" ca="1">INDIRECT(CONCATENATE("'",$A$748,"'!s",B757),1)</f>
        <v>0</v>
      </c>
      <c r="W757" s="1" cm="1">
        <f t="array" aca="1" ref="W757" ca="1">INDIRECT(CONCATENATE("'",$A$748,"'!t",B757),1)</f>
        <v>0</v>
      </c>
      <c r="X757" s="1" cm="1">
        <f t="array" aca="1" ref="X757" ca="1">INDIRECT(CONCATENATE("'",$A$748,"'!u",B757),1)</f>
        <v>0</v>
      </c>
      <c r="Y757" s="1" cm="1">
        <f t="array" aca="1" ref="Y757" ca="1">INDIRECT(CONCATENATE("'",$A$748,"'!v",B757),1)</f>
        <v>0</v>
      </c>
    </row>
    <row r="758" spans="2:25" hidden="1" x14ac:dyDescent="0.25">
      <c r="B758" s="24">
        <f t="shared" si="57"/>
        <v>12</v>
      </c>
      <c r="C758" s="1" cm="1">
        <f t="array" aca="1" ref="C758" ca="1">INDIRECT(CONCATENATE("'",$A$748,"'!A",B758),1)</f>
        <v>0</v>
      </c>
      <c r="D758" s="1" cm="1">
        <f t="array" aca="1" ref="D758" ca="1">INDIRECT(CONCATENATE("'",$A$748,"'!B",B758),1)</f>
        <v>0</v>
      </c>
      <c r="E758" s="1" cm="1">
        <f t="array" aca="1" ref="E758" ca="1">INDIRECT(CONCATENATE("'",$A$748,"'!c",B758),1)</f>
        <v>0</v>
      </c>
      <c r="F758" s="1" cm="1">
        <f t="array" aca="1" ref="F758" ca="1">INDIRECT(CONCATENATE("'",$A$748,"'!d",B758),1)</f>
        <v>0</v>
      </c>
      <c r="G758" s="1" cm="1">
        <f t="array" aca="1" ref="G758" ca="1">INDIRECT(CONCATENATE("'",$A$748,"'!e",B758),1)</f>
        <v>0</v>
      </c>
      <c r="H758" s="1" cm="1">
        <f t="array" aca="1" ref="H758" ca="1">INDIRECT(CONCATENATE("'",$A$748,"'!f",B758),1)</f>
        <v>0</v>
      </c>
      <c r="I758" s="1" cm="1">
        <f t="array" aca="1" ref="I758" ca="1">INDIRECT(CONCATENATE("'",$A$748,"'!g",B758),1)</f>
        <v>0</v>
      </c>
      <c r="J758" s="1" cm="1">
        <f t="array" aca="1" ref="J758" ca="1">INDIRECT(CONCATENATE("'",$A$748,"'!h",B758),1)</f>
        <v>0</v>
      </c>
      <c r="K758" s="1" cm="1">
        <f t="array" aca="1" ref="K758" ca="1">INDIRECT(CONCATENATE("'",$A$748,"'!i",B758),1)</f>
        <v>0</v>
      </c>
      <c r="L758" s="1" cm="1">
        <f t="array" aca="1" ref="L758" ca="1">INDIRECT(CONCATENATE("'",$A$748,"'!j",B758),1)</f>
        <v>0</v>
      </c>
      <c r="M758" s="1" cm="1">
        <f t="array" aca="1" ref="M758" ca="1">INDIRECT(CONCATENATE("'",$A$748,"'!k",B758),1)</f>
        <v>0</v>
      </c>
      <c r="N758" s="1" cm="1">
        <f t="array" aca="1" ref="N758" ca="1">INDIRECT(CONCATENATE("'",$A$748,"'!l",B758),1)</f>
        <v>0</v>
      </c>
      <c r="O758" s="1" cm="1">
        <f t="array" aca="1" ref="O758" ca="1">INDIRECT(CONCATENATE("'",$A$748,"'!m",B758),1)</f>
        <v>0</v>
      </c>
      <c r="P758" s="1" cm="1">
        <f t="array" aca="1" ref="P758" ca="1">INDIRECT(CONCATENATE("'",$A$748,"'!n",B758),1)</f>
        <v>0</v>
      </c>
      <c r="Q758" s="1" cm="1">
        <f t="array" aca="1" ref="Q758" ca="1">INDIRECT(CONCATENATE("'",$A$748,"'!o",B758),1)</f>
        <v>0</v>
      </c>
      <c r="R758" s="1" cm="1">
        <f t="array" aca="1" ref="R758" ca="1">INDIRECT(CONCATENATE("'",$A$748,"'!p",B758),1)</f>
        <v>0</v>
      </c>
      <c r="S758" s="1">
        <f t="shared" ca="1" si="56"/>
        <v>0</v>
      </c>
      <c r="T758" s="1" cm="1">
        <f t="array" aca="1" ref="T758" ca="1">INDIRECT(CONCATENATE("'",$A$748,"'!q",B758),1)</f>
        <v>0</v>
      </c>
      <c r="U758" s="1" cm="1">
        <f t="array" aca="1" ref="U758" ca="1">INDIRECT(CONCATENATE("'",$A$748,"'!r",B758),1)</f>
        <v>0</v>
      </c>
      <c r="V758" s="1" cm="1">
        <f t="array" aca="1" ref="V758" ca="1">INDIRECT(CONCATENATE("'",$A$748,"'!s",B758),1)</f>
        <v>0</v>
      </c>
      <c r="W758" s="1" cm="1">
        <f t="array" aca="1" ref="W758" ca="1">INDIRECT(CONCATENATE("'",$A$748,"'!t",B758),1)</f>
        <v>0</v>
      </c>
      <c r="X758" s="1" cm="1">
        <f t="array" aca="1" ref="X758" ca="1">INDIRECT(CONCATENATE("'",$A$748,"'!u",B758),1)</f>
        <v>0</v>
      </c>
      <c r="Y758" s="1" cm="1">
        <f t="array" aca="1" ref="Y758" ca="1">INDIRECT(CONCATENATE("'",$A$748,"'!v",B758),1)</f>
        <v>0</v>
      </c>
    </row>
    <row r="759" spans="2:25" hidden="1" x14ac:dyDescent="0.25">
      <c r="B759" s="24">
        <f t="shared" si="57"/>
        <v>13</v>
      </c>
      <c r="C759" s="1" cm="1">
        <f t="array" aca="1" ref="C759" ca="1">INDIRECT(CONCATENATE("'",$A$748,"'!A",B759),1)</f>
        <v>0</v>
      </c>
      <c r="D759" s="1" cm="1">
        <f t="array" aca="1" ref="D759" ca="1">INDIRECT(CONCATENATE("'",$A$748,"'!B",B759),1)</f>
        <v>0</v>
      </c>
      <c r="E759" s="1" cm="1">
        <f t="array" aca="1" ref="E759" ca="1">INDIRECT(CONCATENATE("'",$A$748,"'!c",B759),1)</f>
        <v>0</v>
      </c>
      <c r="F759" s="1" cm="1">
        <f t="array" aca="1" ref="F759" ca="1">INDIRECT(CONCATENATE("'",$A$748,"'!d",B759),1)</f>
        <v>0</v>
      </c>
      <c r="G759" s="1" cm="1">
        <f t="array" aca="1" ref="G759" ca="1">INDIRECT(CONCATENATE("'",$A$748,"'!e",B759),1)</f>
        <v>0</v>
      </c>
      <c r="H759" s="1" cm="1">
        <f t="array" aca="1" ref="H759" ca="1">INDIRECT(CONCATENATE("'",$A$748,"'!f",B759),1)</f>
        <v>0</v>
      </c>
      <c r="I759" s="1" cm="1">
        <f t="array" aca="1" ref="I759" ca="1">INDIRECT(CONCATENATE("'",$A$748,"'!g",B759),1)</f>
        <v>0</v>
      </c>
      <c r="J759" s="1" cm="1">
        <f t="array" aca="1" ref="J759" ca="1">INDIRECT(CONCATENATE("'",$A$748,"'!h",B759),1)</f>
        <v>0</v>
      </c>
      <c r="K759" s="1" cm="1">
        <f t="array" aca="1" ref="K759" ca="1">INDIRECT(CONCATENATE("'",$A$748,"'!i",B759),1)</f>
        <v>0</v>
      </c>
      <c r="L759" s="1" cm="1">
        <f t="array" aca="1" ref="L759" ca="1">INDIRECT(CONCATENATE("'",$A$748,"'!j",B759),1)</f>
        <v>0</v>
      </c>
      <c r="M759" s="1" cm="1">
        <f t="array" aca="1" ref="M759" ca="1">INDIRECT(CONCATENATE("'",$A$748,"'!k",B759),1)</f>
        <v>0</v>
      </c>
      <c r="N759" s="1" cm="1">
        <f t="array" aca="1" ref="N759" ca="1">INDIRECT(CONCATENATE("'",$A$748,"'!l",B759),1)</f>
        <v>0</v>
      </c>
      <c r="O759" s="1" cm="1">
        <f t="array" aca="1" ref="O759" ca="1">INDIRECT(CONCATENATE("'",$A$748,"'!m",B759),1)</f>
        <v>0</v>
      </c>
      <c r="P759" s="1" cm="1">
        <f t="array" aca="1" ref="P759" ca="1">INDIRECT(CONCATENATE("'",$A$748,"'!n",B759),1)</f>
        <v>0</v>
      </c>
      <c r="Q759" s="1" cm="1">
        <f t="array" aca="1" ref="Q759" ca="1">INDIRECT(CONCATENATE("'",$A$748,"'!o",B759),1)</f>
        <v>0</v>
      </c>
      <c r="R759" s="1" cm="1">
        <f t="array" aca="1" ref="R759" ca="1">INDIRECT(CONCATENATE("'",$A$748,"'!p",B759),1)</f>
        <v>0</v>
      </c>
      <c r="S759" s="1">
        <f t="shared" ca="1" si="56"/>
        <v>0</v>
      </c>
      <c r="T759" s="1" cm="1">
        <f t="array" aca="1" ref="T759" ca="1">INDIRECT(CONCATENATE("'",$A$748,"'!q",B759),1)</f>
        <v>0</v>
      </c>
      <c r="U759" s="1" cm="1">
        <f t="array" aca="1" ref="U759" ca="1">INDIRECT(CONCATENATE("'",$A$748,"'!r",B759),1)</f>
        <v>0</v>
      </c>
      <c r="V759" s="1" cm="1">
        <f t="array" aca="1" ref="V759" ca="1">INDIRECT(CONCATENATE("'",$A$748,"'!s",B759),1)</f>
        <v>0</v>
      </c>
      <c r="W759" s="1" cm="1">
        <f t="array" aca="1" ref="W759" ca="1">INDIRECT(CONCATENATE("'",$A$748,"'!t",B759),1)</f>
        <v>0</v>
      </c>
      <c r="X759" s="1" cm="1">
        <f t="array" aca="1" ref="X759" ca="1">INDIRECT(CONCATENATE("'",$A$748,"'!u",B759),1)</f>
        <v>0</v>
      </c>
      <c r="Y759" s="1" cm="1">
        <f t="array" aca="1" ref="Y759" ca="1">INDIRECT(CONCATENATE("'",$A$748,"'!v",B759),1)</f>
        <v>0</v>
      </c>
    </row>
    <row r="760" spans="2:25" hidden="1" x14ac:dyDescent="0.25">
      <c r="B760" s="24">
        <f t="shared" si="57"/>
        <v>14</v>
      </c>
      <c r="C760" s="1" cm="1">
        <f t="array" aca="1" ref="C760" ca="1">INDIRECT(CONCATENATE("'",$A$748,"'!A",B760),1)</f>
        <v>0</v>
      </c>
      <c r="D760" s="1" cm="1">
        <f t="array" aca="1" ref="D760" ca="1">INDIRECT(CONCATENATE("'",$A$748,"'!B",B760),1)</f>
        <v>0</v>
      </c>
      <c r="E760" s="1" cm="1">
        <f t="array" aca="1" ref="E760" ca="1">INDIRECT(CONCATENATE("'",$A$748,"'!c",B760),1)</f>
        <v>0</v>
      </c>
      <c r="F760" s="1" cm="1">
        <f t="array" aca="1" ref="F760" ca="1">INDIRECT(CONCATENATE("'",$A$748,"'!d",B760),1)</f>
        <v>0</v>
      </c>
      <c r="G760" s="1" cm="1">
        <f t="array" aca="1" ref="G760" ca="1">INDIRECT(CONCATENATE("'",$A$748,"'!e",B760),1)</f>
        <v>0</v>
      </c>
      <c r="H760" s="1" cm="1">
        <f t="array" aca="1" ref="H760" ca="1">INDIRECT(CONCATENATE("'",$A$748,"'!f",B760),1)</f>
        <v>0</v>
      </c>
      <c r="I760" s="1" cm="1">
        <f t="array" aca="1" ref="I760" ca="1">INDIRECT(CONCATENATE("'",$A$748,"'!g",B760),1)</f>
        <v>0</v>
      </c>
      <c r="J760" s="1" cm="1">
        <f t="array" aca="1" ref="J760" ca="1">INDIRECT(CONCATENATE("'",$A$748,"'!h",B760),1)</f>
        <v>0</v>
      </c>
      <c r="K760" s="1" cm="1">
        <f t="array" aca="1" ref="K760" ca="1">INDIRECT(CONCATENATE("'",$A$748,"'!i",B760),1)</f>
        <v>0</v>
      </c>
      <c r="L760" s="1" cm="1">
        <f t="array" aca="1" ref="L760" ca="1">INDIRECT(CONCATENATE("'",$A$748,"'!j",B760),1)</f>
        <v>0</v>
      </c>
      <c r="M760" s="1" cm="1">
        <f t="array" aca="1" ref="M760" ca="1">INDIRECT(CONCATENATE("'",$A$748,"'!k",B760),1)</f>
        <v>0</v>
      </c>
      <c r="N760" s="1" cm="1">
        <f t="array" aca="1" ref="N760" ca="1">INDIRECT(CONCATENATE("'",$A$748,"'!l",B760),1)</f>
        <v>0</v>
      </c>
      <c r="O760" s="1" cm="1">
        <f t="array" aca="1" ref="O760" ca="1">INDIRECT(CONCATENATE("'",$A$748,"'!m",B760),1)</f>
        <v>0</v>
      </c>
      <c r="P760" s="1" cm="1">
        <f t="array" aca="1" ref="P760" ca="1">INDIRECT(CONCATENATE("'",$A$748,"'!n",B760),1)</f>
        <v>0</v>
      </c>
      <c r="Q760" s="1" cm="1">
        <f t="array" aca="1" ref="Q760" ca="1">INDIRECT(CONCATENATE("'",$A$748,"'!o",B760),1)</f>
        <v>0</v>
      </c>
      <c r="R760" s="1" cm="1">
        <f t="array" aca="1" ref="R760" ca="1">INDIRECT(CONCATENATE("'",$A$748,"'!p",B760),1)</f>
        <v>0</v>
      </c>
      <c r="S760" s="1">
        <f t="shared" ref="S760:S796" ca="1" si="58">SUMIFS(U760,T760,$N$1)+SUMIFS(W760,V760,$N$1)+SUMIFS(Y760,X760,$N$1)</f>
        <v>0</v>
      </c>
      <c r="T760" s="1" cm="1">
        <f t="array" aca="1" ref="T760" ca="1">INDIRECT(CONCATENATE("'",$A$748,"'!q",B760),1)</f>
        <v>0</v>
      </c>
      <c r="U760" s="1" cm="1">
        <f t="array" aca="1" ref="U760" ca="1">INDIRECT(CONCATENATE("'",$A$748,"'!r",B760),1)</f>
        <v>0</v>
      </c>
      <c r="V760" s="1" cm="1">
        <f t="array" aca="1" ref="V760" ca="1">INDIRECT(CONCATENATE("'",$A$748,"'!s",B760),1)</f>
        <v>0</v>
      </c>
      <c r="W760" s="1" cm="1">
        <f t="array" aca="1" ref="W760" ca="1">INDIRECT(CONCATENATE("'",$A$748,"'!t",B760),1)</f>
        <v>0</v>
      </c>
      <c r="X760" s="1" cm="1">
        <f t="array" aca="1" ref="X760" ca="1">INDIRECT(CONCATENATE("'",$A$748,"'!u",B760),1)</f>
        <v>0</v>
      </c>
      <c r="Y760" s="1" cm="1">
        <f t="array" aca="1" ref="Y760" ca="1">INDIRECT(CONCATENATE("'",$A$748,"'!v",B760),1)</f>
        <v>0</v>
      </c>
    </row>
    <row r="761" spans="2:25" hidden="1" x14ac:dyDescent="0.25">
      <c r="B761" s="24">
        <f t="shared" si="57"/>
        <v>15</v>
      </c>
      <c r="C761" s="1" cm="1">
        <f t="array" aca="1" ref="C761" ca="1">INDIRECT(CONCATENATE("'",$A$748,"'!A",B761),1)</f>
        <v>0</v>
      </c>
      <c r="D761" s="1" cm="1">
        <f t="array" aca="1" ref="D761" ca="1">INDIRECT(CONCATENATE("'",$A$748,"'!B",B761),1)</f>
        <v>0</v>
      </c>
      <c r="E761" s="1" cm="1">
        <f t="array" aca="1" ref="E761" ca="1">INDIRECT(CONCATENATE("'",$A$748,"'!c",B761),1)</f>
        <v>0</v>
      </c>
      <c r="F761" s="1" cm="1">
        <f t="array" aca="1" ref="F761" ca="1">INDIRECT(CONCATENATE("'",$A$748,"'!d",B761),1)</f>
        <v>0</v>
      </c>
      <c r="G761" s="1" cm="1">
        <f t="array" aca="1" ref="G761" ca="1">INDIRECT(CONCATENATE("'",$A$748,"'!e",B761),1)</f>
        <v>0</v>
      </c>
      <c r="H761" s="1" cm="1">
        <f t="array" aca="1" ref="H761" ca="1">INDIRECT(CONCATENATE("'",$A$748,"'!f",B761),1)</f>
        <v>0</v>
      </c>
      <c r="I761" s="1" cm="1">
        <f t="array" aca="1" ref="I761" ca="1">INDIRECT(CONCATENATE("'",$A$748,"'!g",B761),1)</f>
        <v>0</v>
      </c>
      <c r="J761" s="1" cm="1">
        <f t="array" aca="1" ref="J761" ca="1">INDIRECT(CONCATENATE("'",$A$748,"'!h",B761),1)</f>
        <v>0</v>
      </c>
      <c r="K761" s="1" cm="1">
        <f t="array" aca="1" ref="K761" ca="1">INDIRECT(CONCATENATE("'",$A$748,"'!i",B761),1)</f>
        <v>0</v>
      </c>
      <c r="L761" s="1" cm="1">
        <f t="array" aca="1" ref="L761" ca="1">INDIRECT(CONCATENATE("'",$A$748,"'!j",B761),1)</f>
        <v>0</v>
      </c>
      <c r="M761" s="1" cm="1">
        <f t="array" aca="1" ref="M761" ca="1">INDIRECT(CONCATENATE("'",$A$748,"'!k",B761),1)</f>
        <v>0</v>
      </c>
      <c r="N761" s="1" cm="1">
        <f t="array" aca="1" ref="N761" ca="1">INDIRECT(CONCATENATE("'",$A$748,"'!l",B761),1)</f>
        <v>0</v>
      </c>
      <c r="O761" s="1" cm="1">
        <f t="array" aca="1" ref="O761" ca="1">INDIRECT(CONCATENATE("'",$A$748,"'!m",B761),1)</f>
        <v>0</v>
      </c>
      <c r="P761" s="1" cm="1">
        <f t="array" aca="1" ref="P761" ca="1">INDIRECT(CONCATENATE("'",$A$748,"'!n",B761),1)</f>
        <v>0</v>
      </c>
      <c r="Q761" s="1" cm="1">
        <f t="array" aca="1" ref="Q761" ca="1">INDIRECT(CONCATENATE("'",$A$748,"'!o",B761),1)</f>
        <v>0</v>
      </c>
      <c r="R761" s="1" cm="1">
        <f t="array" aca="1" ref="R761" ca="1">INDIRECT(CONCATENATE("'",$A$748,"'!p",B761),1)</f>
        <v>0</v>
      </c>
      <c r="S761" s="1">
        <f t="shared" ca="1" si="58"/>
        <v>0</v>
      </c>
      <c r="T761" s="1" cm="1">
        <f t="array" aca="1" ref="T761" ca="1">INDIRECT(CONCATENATE("'",$A$748,"'!q",B761),1)</f>
        <v>0</v>
      </c>
      <c r="U761" s="1" cm="1">
        <f t="array" aca="1" ref="U761" ca="1">INDIRECT(CONCATENATE("'",$A$748,"'!r",B761),1)</f>
        <v>0</v>
      </c>
      <c r="V761" s="1" cm="1">
        <f t="array" aca="1" ref="V761" ca="1">INDIRECT(CONCATENATE("'",$A$748,"'!s",B761),1)</f>
        <v>0</v>
      </c>
      <c r="W761" s="1" cm="1">
        <f t="array" aca="1" ref="W761" ca="1">INDIRECT(CONCATENATE("'",$A$748,"'!t",B761),1)</f>
        <v>0</v>
      </c>
      <c r="X761" s="1" cm="1">
        <f t="array" aca="1" ref="X761" ca="1">INDIRECT(CONCATENATE("'",$A$748,"'!u",B761),1)</f>
        <v>0</v>
      </c>
      <c r="Y761" s="1" cm="1">
        <f t="array" aca="1" ref="Y761" ca="1">INDIRECT(CONCATENATE("'",$A$748,"'!v",B761),1)</f>
        <v>0</v>
      </c>
    </row>
    <row r="762" spans="2:25" hidden="1" x14ac:dyDescent="0.25">
      <c r="B762" s="24">
        <f t="shared" si="57"/>
        <v>16</v>
      </c>
      <c r="C762" s="1" cm="1">
        <f t="array" aca="1" ref="C762" ca="1">INDIRECT(CONCATENATE("'",$A$748,"'!A",B762),1)</f>
        <v>0</v>
      </c>
      <c r="D762" s="1" cm="1">
        <f t="array" aca="1" ref="D762" ca="1">INDIRECT(CONCATENATE("'",$A$748,"'!B",B762),1)</f>
        <v>0</v>
      </c>
      <c r="E762" s="1" cm="1">
        <f t="array" aca="1" ref="E762" ca="1">INDIRECT(CONCATENATE("'",$A$748,"'!c",B762),1)</f>
        <v>0</v>
      </c>
      <c r="F762" s="1" cm="1">
        <f t="array" aca="1" ref="F762" ca="1">INDIRECT(CONCATENATE("'",$A$748,"'!d",B762),1)</f>
        <v>0</v>
      </c>
      <c r="G762" s="1" cm="1">
        <f t="array" aca="1" ref="G762" ca="1">INDIRECT(CONCATENATE("'",$A$748,"'!e",B762),1)</f>
        <v>0</v>
      </c>
      <c r="H762" s="1" cm="1">
        <f t="array" aca="1" ref="H762" ca="1">INDIRECT(CONCATENATE("'",$A$748,"'!f",B762),1)</f>
        <v>0</v>
      </c>
      <c r="I762" s="1" cm="1">
        <f t="array" aca="1" ref="I762" ca="1">INDIRECT(CONCATENATE("'",$A$748,"'!g",B762),1)</f>
        <v>0</v>
      </c>
      <c r="J762" s="1" cm="1">
        <f t="array" aca="1" ref="J762" ca="1">INDIRECT(CONCATENATE("'",$A$748,"'!h",B762),1)</f>
        <v>0</v>
      </c>
      <c r="K762" s="1" cm="1">
        <f t="array" aca="1" ref="K762" ca="1">INDIRECT(CONCATENATE("'",$A$748,"'!i",B762),1)</f>
        <v>0</v>
      </c>
      <c r="L762" s="1" cm="1">
        <f t="array" aca="1" ref="L762" ca="1">INDIRECT(CONCATENATE("'",$A$748,"'!j",B762),1)</f>
        <v>0</v>
      </c>
      <c r="M762" s="1" cm="1">
        <f t="array" aca="1" ref="M762" ca="1">INDIRECT(CONCATENATE("'",$A$748,"'!k",B762),1)</f>
        <v>0</v>
      </c>
      <c r="N762" s="1" cm="1">
        <f t="array" aca="1" ref="N762" ca="1">INDIRECT(CONCATENATE("'",$A$748,"'!l",B762),1)</f>
        <v>0</v>
      </c>
      <c r="O762" s="1" cm="1">
        <f t="array" aca="1" ref="O762" ca="1">INDIRECT(CONCATENATE("'",$A$748,"'!m",B762),1)</f>
        <v>0</v>
      </c>
      <c r="P762" s="1" cm="1">
        <f t="array" aca="1" ref="P762" ca="1">INDIRECT(CONCATENATE("'",$A$748,"'!n",B762),1)</f>
        <v>0</v>
      </c>
      <c r="Q762" s="1" cm="1">
        <f t="array" aca="1" ref="Q762" ca="1">INDIRECT(CONCATENATE("'",$A$748,"'!o",B762),1)</f>
        <v>0</v>
      </c>
      <c r="R762" s="1" cm="1">
        <f t="array" aca="1" ref="R762" ca="1">INDIRECT(CONCATENATE("'",$A$748,"'!p",B762),1)</f>
        <v>0</v>
      </c>
      <c r="S762" s="1">
        <f t="shared" ca="1" si="58"/>
        <v>0</v>
      </c>
      <c r="T762" s="1" cm="1">
        <f t="array" aca="1" ref="T762" ca="1">INDIRECT(CONCATENATE("'",$A$748,"'!q",B762),1)</f>
        <v>0</v>
      </c>
      <c r="U762" s="1" cm="1">
        <f t="array" aca="1" ref="U762" ca="1">INDIRECT(CONCATENATE("'",$A$748,"'!r",B762),1)</f>
        <v>0</v>
      </c>
      <c r="V762" s="1" cm="1">
        <f t="array" aca="1" ref="V762" ca="1">INDIRECT(CONCATENATE("'",$A$748,"'!s",B762),1)</f>
        <v>0</v>
      </c>
      <c r="W762" s="1" cm="1">
        <f t="array" aca="1" ref="W762" ca="1">INDIRECT(CONCATENATE("'",$A$748,"'!t",B762),1)</f>
        <v>0</v>
      </c>
      <c r="X762" s="1" cm="1">
        <f t="array" aca="1" ref="X762" ca="1">INDIRECT(CONCATENATE("'",$A$748,"'!u",B762),1)</f>
        <v>0</v>
      </c>
      <c r="Y762" s="1" cm="1">
        <f t="array" aca="1" ref="Y762" ca="1">INDIRECT(CONCATENATE("'",$A$748,"'!v",B762),1)</f>
        <v>0</v>
      </c>
    </row>
    <row r="763" spans="2:25" hidden="1" x14ac:dyDescent="0.25">
      <c r="B763" s="24">
        <f t="shared" si="57"/>
        <v>17</v>
      </c>
      <c r="C763" s="1" cm="1">
        <f t="array" aca="1" ref="C763" ca="1">INDIRECT(CONCATENATE("'",$A$748,"'!A",B763),1)</f>
        <v>0</v>
      </c>
      <c r="D763" s="1" cm="1">
        <f t="array" aca="1" ref="D763" ca="1">INDIRECT(CONCATENATE("'",$A$748,"'!B",B763),1)</f>
        <v>0</v>
      </c>
      <c r="E763" s="1" cm="1">
        <f t="array" aca="1" ref="E763" ca="1">INDIRECT(CONCATENATE("'",$A$748,"'!c",B763),1)</f>
        <v>0</v>
      </c>
      <c r="F763" s="1" cm="1">
        <f t="array" aca="1" ref="F763" ca="1">INDIRECT(CONCATENATE("'",$A$748,"'!d",B763),1)</f>
        <v>0</v>
      </c>
      <c r="G763" s="1" cm="1">
        <f t="array" aca="1" ref="G763" ca="1">INDIRECT(CONCATENATE("'",$A$748,"'!e",B763),1)</f>
        <v>0</v>
      </c>
      <c r="H763" s="1" cm="1">
        <f t="array" aca="1" ref="H763" ca="1">INDIRECT(CONCATENATE("'",$A$748,"'!f",B763),1)</f>
        <v>0</v>
      </c>
      <c r="I763" s="1" cm="1">
        <f t="array" aca="1" ref="I763" ca="1">INDIRECT(CONCATENATE("'",$A$748,"'!g",B763),1)</f>
        <v>0</v>
      </c>
      <c r="J763" s="1" cm="1">
        <f t="array" aca="1" ref="J763" ca="1">INDIRECT(CONCATENATE("'",$A$748,"'!h",B763),1)</f>
        <v>0</v>
      </c>
      <c r="K763" s="1" cm="1">
        <f t="array" aca="1" ref="K763" ca="1">INDIRECT(CONCATENATE("'",$A$748,"'!i",B763),1)</f>
        <v>0</v>
      </c>
      <c r="L763" s="1" cm="1">
        <f t="array" aca="1" ref="L763" ca="1">INDIRECT(CONCATENATE("'",$A$748,"'!j",B763),1)</f>
        <v>0</v>
      </c>
      <c r="M763" s="1" cm="1">
        <f t="array" aca="1" ref="M763" ca="1">INDIRECT(CONCATENATE("'",$A$748,"'!k",B763),1)</f>
        <v>0</v>
      </c>
      <c r="N763" s="1" cm="1">
        <f t="array" aca="1" ref="N763" ca="1">INDIRECT(CONCATENATE("'",$A$748,"'!l",B763),1)</f>
        <v>0</v>
      </c>
      <c r="O763" s="1" cm="1">
        <f t="array" aca="1" ref="O763" ca="1">INDIRECT(CONCATENATE("'",$A$748,"'!m",B763),1)</f>
        <v>0</v>
      </c>
      <c r="P763" s="1" cm="1">
        <f t="array" aca="1" ref="P763" ca="1">INDIRECT(CONCATENATE("'",$A$748,"'!n",B763),1)</f>
        <v>0</v>
      </c>
      <c r="Q763" s="1" cm="1">
        <f t="array" aca="1" ref="Q763" ca="1">INDIRECT(CONCATENATE("'",$A$748,"'!o",B763),1)</f>
        <v>0</v>
      </c>
      <c r="R763" s="1" cm="1">
        <f t="array" aca="1" ref="R763" ca="1">INDIRECT(CONCATENATE("'",$A$748,"'!p",B763),1)</f>
        <v>0</v>
      </c>
      <c r="S763" s="1">
        <f t="shared" ca="1" si="58"/>
        <v>0</v>
      </c>
      <c r="T763" s="1" cm="1">
        <f t="array" aca="1" ref="T763" ca="1">INDIRECT(CONCATENATE("'",$A$748,"'!q",B763),1)</f>
        <v>0</v>
      </c>
      <c r="U763" s="1" cm="1">
        <f t="array" aca="1" ref="U763" ca="1">INDIRECT(CONCATENATE("'",$A$748,"'!r",B763),1)</f>
        <v>0</v>
      </c>
      <c r="V763" s="1" cm="1">
        <f t="array" aca="1" ref="V763" ca="1">INDIRECT(CONCATENATE("'",$A$748,"'!s",B763),1)</f>
        <v>0</v>
      </c>
      <c r="W763" s="1" cm="1">
        <f t="array" aca="1" ref="W763" ca="1">INDIRECT(CONCATENATE("'",$A$748,"'!t",B763),1)</f>
        <v>0</v>
      </c>
      <c r="X763" s="1" cm="1">
        <f t="array" aca="1" ref="X763" ca="1">INDIRECT(CONCATENATE("'",$A$748,"'!u",B763),1)</f>
        <v>0</v>
      </c>
      <c r="Y763" s="1" cm="1">
        <f t="array" aca="1" ref="Y763" ca="1">INDIRECT(CONCATENATE("'",$A$748,"'!v",B763),1)</f>
        <v>0</v>
      </c>
    </row>
    <row r="764" spans="2:25" hidden="1" x14ac:dyDescent="0.25">
      <c r="B764" s="24">
        <f t="shared" si="57"/>
        <v>18</v>
      </c>
      <c r="C764" s="1" cm="1">
        <f t="array" aca="1" ref="C764" ca="1">INDIRECT(CONCATENATE("'",$A$748,"'!A",B764),1)</f>
        <v>0</v>
      </c>
      <c r="D764" s="1" cm="1">
        <f t="array" aca="1" ref="D764" ca="1">INDIRECT(CONCATENATE("'",$A$748,"'!B",B764),1)</f>
        <v>0</v>
      </c>
      <c r="E764" s="1" cm="1">
        <f t="array" aca="1" ref="E764" ca="1">INDIRECT(CONCATENATE("'",$A$748,"'!c",B764),1)</f>
        <v>0</v>
      </c>
      <c r="F764" s="1" cm="1">
        <f t="array" aca="1" ref="F764" ca="1">INDIRECT(CONCATENATE("'",$A$748,"'!d",B764),1)</f>
        <v>0</v>
      </c>
      <c r="G764" s="1" cm="1">
        <f t="array" aca="1" ref="G764" ca="1">INDIRECT(CONCATENATE("'",$A$748,"'!e",B764),1)</f>
        <v>0</v>
      </c>
      <c r="H764" s="1" cm="1">
        <f t="array" aca="1" ref="H764" ca="1">INDIRECT(CONCATENATE("'",$A$748,"'!f",B764),1)</f>
        <v>0</v>
      </c>
      <c r="I764" s="1" cm="1">
        <f t="array" aca="1" ref="I764" ca="1">INDIRECT(CONCATENATE("'",$A$748,"'!g",B764),1)</f>
        <v>0</v>
      </c>
      <c r="J764" s="1" cm="1">
        <f t="array" aca="1" ref="J764" ca="1">INDIRECT(CONCATENATE("'",$A$748,"'!h",B764),1)</f>
        <v>0</v>
      </c>
      <c r="K764" s="1" cm="1">
        <f t="array" aca="1" ref="K764" ca="1">INDIRECT(CONCATENATE("'",$A$748,"'!i",B764),1)</f>
        <v>0</v>
      </c>
      <c r="L764" s="1" cm="1">
        <f t="array" aca="1" ref="L764" ca="1">INDIRECT(CONCATENATE("'",$A$748,"'!j",B764),1)</f>
        <v>0</v>
      </c>
      <c r="M764" s="1" cm="1">
        <f t="array" aca="1" ref="M764" ca="1">INDIRECT(CONCATENATE("'",$A$748,"'!k",B764),1)</f>
        <v>0</v>
      </c>
      <c r="N764" s="1" cm="1">
        <f t="array" aca="1" ref="N764" ca="1">INDIRECT(CONCATENATE("'",$A$748,"'!l",B764),1)</f>
        <v>0</v>
      </c>
      <c r="O764" s="1" cm="1">
        <f t="array" aca="1" ref="O764" ca="1">INDIRECT(CONCATENATE("'",$A$748,"'!m",B764),1)</f>
        <v>0</v>
      </c>
      <c r="P764" s="1" cm="1">
        <f t="array" aca="1" ref="P764" ca="1">INDIRECT(CONCATENATE("'",$A$748,"'!n",B764),1)</f>
        <v>0</v>
      </c>
      <c r="Q764" s="1" cm="1">
        <f t="array" aca="1" ref="Q764" ca="1">INDIRECT(CONCATENATE("'",$A$748,"'!o",B764),1)</f>
        <v>0</v>
      </c>
      <c r="R764" s="1" cm="1">
        <f t="array" aca="1" ref="R764" ca="1">INDIRECT(CONCATENATE("'",$A$748,"'!p",B764),1)</f>
        <v>0</v>
      </c>
      <c r="S764" s="1">
        <f t="shared" ca="1" si="58"/>
        <v>0</v>
      </c>
      <c r="T764" s="1" cm="1">
        <f t="array" aca="1" ref="T764" ca="1">INDIRECT(CONCATENATE("'",$A$748,"'!q",B764),1)</f>
        <v>0</v>
      </c>
      <c r="U764" s="1" cm="1">
        <f t="array" aca="1" ref="U764" ca="1">INDIRECT(CONCATENATE("'",$A$748,"'!r",B764),1)</f>
        <v>0</v>
      </c>
      <c r="V764" s="1" cm="1">
        <f t="array" aca="1" ref="V764" ca="1">INDIRECT(CONCATENATE("'",$A$748,"'!s",B764),1)</f>
        <v>0</v>
      </c>
      <c r="W764" s="1" cm="1">
        <f t="array" aca="1" ref="W764" ca="1">INDIRECT(CONCATENATE("'",$A$748,"'!t",B764),1)</f>
        <v>0</v>
      </c>
      <c r="X764" s="1" cm="1">
        <f t="array" aca="1" ref="X764" ca="1">INDIRECT(CONCATENATE("'",$A$748,"'!u",B764),1)</f>
        <v>0</v>
      </c>
      <c r="Y764" s="1" cm="1">
        <f t="array" aca="1" ref="Y764" ca="1">INDIRECT(CONCATENATE("'",$A$748,"'!v",B764),1)</f>
        <v>0</v>
      </c>
    </row>
    <row r="765" spans="2:25" hidden="1" x14ac:dyDescent="0.25">
      <c r="B765" s="24">
        <f t="shared" si="57"/>
        <v>19</v>
      </c>
      <c r="C765" s="1" cm="1">
        <f t="array" aca="1" ref="C765" ca="1">INDIRECT(CONCATENATE("'",$A$748,"'!A",B765),1)</f>
        <v>0</v>
      </c>
      <c r="D765" s="1" cm="1">
        <f t="array" aca="1" ref="D765" ca="1">INDIRECT(CONCATENATE("'",$A$748,"'!B",B765),1)</f>
        <v>0</v>
      </c>
      <c r="E765" s="1" cm="1">
        <f t="array" aca="1" ref="E765" ca="1">INDIRECT(CONCATENATE("'",$A$748,"'!c",B765),1)</f>
        <v>0</v>
      </c>
      <c r="F765" s="1" cm="1">
        <f t="array" aca="1" ref="F765" ca="1">INDIRECT(CONCATENATE("'",$A$748,"'!d",B765),1)</f>
        <v>0</v>
      </c>
      <c r="G765" s="1" cm="1">
        <f t="array" aca="1" ref="G765" ca="1">INDIRECT(CONCATENATE("'",$A$748,"'!e",B765),1)</f>
        <v>0</v>
      </c>
      <c r="H765" s="1" cm="1">
        <f t="array" aca="1" ref="H765" ca="1">INDIRECT(CONCATENATE("'",$A$748,"'!f",B765),1)</f>
        <v>0</v>
      </c>
      <c r="I765" s="1" cm="1">
        <f t="array" aca="1" ref="I765" ca="1">INDIRECT(CONCATENATE("'",$A$748,"'!g",B765),1)</f>
        <v>0</v>
      </c>
      <c r="J765" s="1" cm="1">
        <f t="array" aca="1" ref="J765" ca="1">INDIRECT(CONCATENATE("'",$A$748,"'!h",B765),1)</f>
        <v>0</v>
      </c>
      <c r="K765" s="1" cm="1">
        <f t="array" aca="1" ref="K765" ca="1">INDIRECT(CONCATENATE("'",$A$748,"'!i",B765),1)</f>
        <v>0</v>
      </c>
      <c r="L765" s="1" cm="1">
        <f t="array" aca="1" ref="L765" ca="1">INDIRECT(CONCATENATE("'",$A$748,"'!j",B765),1)</f>
        <v>0</v>
      </c>
      <c r="M765" s="1" cm="1">
        <f t="array" aca="1" ref="M765" ca="1">INDIRECT(CONCATENATE("'",$A$748,"'!k",B765),1)</f>
        <v>0</v>
      </c>
      <c r="N765" s="1" cm="1">
        <f t="array" aca="1" ref="N765" ca="1">INDIRECT(CONCATENATE("'",$A$748,"'!l",B765),1)</f>
        <v>0</v>
      </c>
      <c r="O765" s="1" cm="1">
        <f t="array" aca="1" ref="O765" ca="1">INDIRECT(CONCATENATE("'",$A$748,"'!m",B765),1)</f>
        <v>0</v>
      </c>
      <c r="P765" s="1" cm="1">
        <f t="array" aca="1" ref="P765" ca="1">INDIRECT(CONCATENATE("'",$A$748,"'!n",B765),1)</f>
        <v>0</v>
      </c>
      <c r="Q765" s="1" cm="1">
        <f t="array" aca="1" ref="Q765" ca="1">INDIRECT(CONCATENATE("'",$A$748,"'!o",B765),1)</f>
        <v>0</v>
      </c>
      <c r="R765" s="1" cm="1">
        <f t="array" aca="1" ref="R765" ca="1">INDIRECT(CONCATENATE("'",$A$748,"'!p",B765),1)</f>
        <v>0</v>
      </c>
      <c r="S765" s="1">
        <f t="shared" ca="1" si="58"/>
        <v>0</v>
      </c>
      <c r="T765" s="1" cm="1">
        <f t="array" aca="1" ref="T765" ca="1">INDIRECT(CONCATENATE("'",$A$748,"'!q",B765),1)</f>
        <v>0</v>
      </c>
      <c r="U765" s="1" cm="1">
        <f t="array" aca="1" ref="U765" ca="1">INDIRECT(CONCATENATE("'",$A$748,"'!r",B765),1)</f>
        <v>0</v>
      </c>
      <c r="V765" s="1" cm="1">
        <f t="array" aca="1" ref="V765" ca="1">INDIRECT(CONCATENATE("'",$A$748,"'!s",B765),1)</f>
        <v>0</v>
      </c>
      <c r="W765" s="1" cm="1">
        <f t="array" aca="1" ref="W765" ca="1">INDIRECT(CONCATENATE("'",$A$748,"'!t",B765),1)</f>
        <v>0</v>
      </c>
      <c r="X765" s="1" cm="1">
        <f t="array" aca="1" ref="X765" ca="1">INDIRECT(CONCATENATE("'",$A$748,"'!u",B765),1)</f>
        <v>0</v>
      </c>
      <c r="Y765" s="1" cm="1">
        <f t="array" aca="1" ref="Y765" ca="1">INDIRECT(CONCATENATE("'",$A$748,"'!v",B765),1)</f>
        <v>0</v>
      </c>
    </row>
    <row r="766" spans="2:25" hidden="1" x14ac:dyDescent="0.25">
      <c r="B766" s="24">
        <f t="shared" si="57"/>
        <v>20</v>
      </c>
      <c r="C766" s="1" cm="1">
        <f t="array" aca="1" ref="C766" ca="1">INDIRECT(CONCATENATE("'",$A$748,"'!A",B766),1)</f>
        <v>0</v>
      </c>
      <c r="D766" s="1" cm="1">
        <f t="array" aca="1" ref="D766" ca="1">INDIRECT(CONCATENATE("'",$A$748,"'!B",B766),1)</f>
        <v>0</v>
      </c>
      <c r="E766" s="1" cm="1">
        <f t="array" aca="1" ref="E766" ca="1">INDIRECT(CONCATENATE("'",$A$748,"'!c",B766),1)</f>
        <v>0</v>
      </c>
      <c r="F766" s="1" cm="1">
        <f t="array" aca="1" ref="F766" ca="1">INDIRECT(CONCATENATE("'",$A$748,"'!d",B766),1)</f>
        <v>0</v>
      </c>
      <c r="G766" s="1" cm="1">
        <f t="array" aca="1" ref="G766" ca="1">INDIRECT(CONCATENATE("'",$A$748,"'!e",B766),1)</f>
        <v>0</v>
      </c>
      <c r="H766" s="1" cm="1">
        <f t="array" aca="1" ref="H766" ca="1">INDIRECT(CONCATENATE("'",$A$748,"'!f",B766),1)</f>
        <v>0</v>
      </c>
      <c r="I766" s="1" cm="1">
        <f t="array" aca="1" ref="I766" ca="1">INDIRECT(CONCATENATE("'",$A$748,"'!g",B766),1)</f>
        <v>0</v>
      </c>
      <c r="J766" s="1" cm="1">
        <f t="array" aca="1" ref="J766" ca="1">INDIRECT(CONCATENATE("'",$A$748,"'!h",B766),1)</f>
        <v>0</v>
      </c>
      <c r="K766" s="1" cm="1">
        <f t="array" aca="1" ref="K766" ca="1">INDIRECT(CONCATENATE("'",$A$748,"'!i",B766),1)</f>
        <v>0</v>
      </c>
      <c r="L766" s="1" cm="1">
        <f t="array" aca="1" ref="L766" ca="1">INDIRECT(CONCATENATE("'",$A$748,"'!j",B766),1)</f>
        <v>0</v>
      </c>
      <c r="M766" s="1" cm="1">
        <f t="array" aca="1" ref="M766" ca="1">INDIRECT(CONCATENATE("'",$A$748,"'!k",B766),1)</f>
        <v>0</v>
      </c>
      <c r="N766" s="1" cm="1">
        <f t="array" aca="1" ref="N766" ca="1">INDIRECT(CONCATENATE("'",$A$748,"'!l",B766),1)</f>
        <v>0</v>
      </c>
      <c r="O766" s="1" cm="1">
        <f t="array" aca="1" ref="O766" ca="1">INDIRECT(CONCATENATE("'",$A$748,"'!m",B766),1)</f>
        <v>0</v>
      </c>
      <c r="P766" s="1" cm="1">
        <f t="array" aca="1" ref="P766" ca="1">INDIRECT(CONCATENATE("'",$A$748,"'!n",B766),1)</f>
        <v>0</v>
      </c>
      <c r="Q766" s="1" cm="1">
        <f t="array" aca="1" ref="Q766" ca="1">INDIRECT(CONCATENATE("'",$A$748,"'!o",B766),1)</f>
        <v>0</v>
      </c>
      <c r="R766" s="1" cm="1">
        <f t="array" aca="1" ref="R766" ca="1">INDIRECT(CONCATENATE("'",$A$748,"'!p",B766),1)</f>
        <v>0</v>
      </c>
      <c r="S766" s="1">
        <f t="shared" ca="1" si="58"/>
        <v>0</v>
      </c>
      <c r="T766" s="1" cm="1">
        <f t="array" aca="1" ref="T766" ca="1">INDIRECT(CONCATENATE("'",$A$748,"'!q",B766),1)</f>
        <v>0</v>
      </c>
      <c r="U766" s="1" cm="1">
        <f t="array" aca="1" ref="U766" ca="1">INDIRECT(CONCATENATE("'",$A$748,"'!r",B766),1)</f>
        <v>0</v>
      </c>
      <c r="V766" s="1" cm="1">
        <f t="array" aca="1" ref="V766" ca="1">INDIRECT(CONCATENATE("'",$A$748,"'!s",B766),1)</f>
        <v>0</v>
      </c>
      <c r="W766" s="1" cm="1">
        <f t="array" aca="1" ref="W766" ca="1">INDIRECT(CONCATENATE("'",$A$748,"'!t",B766),1)</f>
        <v>0</v>
      </c>
      <c r="X766" s="1" cm="1">
        <f t="array" aca="1" ref="X766" ca="1">INDIRECT(CONCATENATE("'",$A$748,"'!u",B766),1)</f>
        <v>0</v>
      </c>
      <c r="Y766" s="1" cm="1">
        <f t="array" aca="1" ref="Y766" ca="1">INDIRECT(CONCATENATE("'",$A$748,"'!v",B766),1)</f>
        <v>0</v>
      </c>
    </row>
    <row r="767" spans="2:25" hidden="1" x14ac:dyDescent="0.25">
      <c r="B767" s="24">
        <f t="shared" si="57"/>
        <v>21</v>
      </c>
      <c r="C767" s="1" cm="1">
        <f t="array" aca="1" ref="C767" ca="1">INDIRECT(CONCATENATE("'",$A$748,"'!A",B767),1)</f>
        <v>0</v>
      </c>
      <c r="D767" s="1" cm="1">
        <f t="array" aca="1" ref="D767" ca="1">INDIRECT(CONCATENATE("'",$A$748,"'!B",B767),1)</f>
        <v>0</v>
      </c>
      <c r="E767" s="1" cm="1">
        <f t="array" aca="1" ref="E767" ca="1">INDIRECT(CONCATENATE("'",$A$748,"'!c",B767),1)</f>
        <v>0</v>
      </c>
      <c r="F767" s="1" cm="1">
        <f t="array" aca="1" ref="F767" ca="1">INDIRECT(CONCATENATE("'",$A$748,"'!d",B767),1)</f>
        <v>0</v>
      </c>
      <c r="G767" s="1" cm="1">
        <f t="array" aca="1" ref="G767" ca="1">INDIRECT(CONCATENATE("'",$A$748,"'!e",B767),1)</f>
        <v>0</v>
      </c>
      <c r="H767" s="1" cm="1">
        <f t="array" aca="1" ref="H767" ca="1">INDIRECT(CONCATENATE("'",$A$748,"'!f",B767),1)</f>
        <v>0</v>
      </c>
      <c r="I767" s="1" cm="1">
        <f t="array" aca="1" ref="I767" ca="1">INDIRECT(CONCATENATE("'",$A$748,"'!g",B767),1)</f>
        <v>0</v>
      </c>
      <c r="J767" s="1" cm="1">
        <f t="array" aca="1" ref="J767" ca="1">INDIRECT(CONCATENATE("'",$A$748,"'!h",B767),1)</f>
        <v>0</v>
      </c>
      <c r="K767" s="1" cm="1">
        <f t="array" aca="1" ref="K767" ca="1">INDIRECT(CONCATENATE("'",$A$748,"'!i",B767),1)</f>
        <v>0</v>
      </c>
      <c r="L767" s="1" cm="1">
        <f t="array" aca="1" ref="L767" ca="1">INDIRECT(CONCATENATE("'",$A$748,"'!j",B767),1)</f>
        <v>0</v>
      </c>
      <c r="M767" s="1" cm="1">
        <f t="array" aca="1" ref="M767" ca="1">INDIRECT(CONCATENATE("'",$A$748,"'!k",B767),1)</f>
        <v>0</v>
      </c>
      <c r="N767" s="1" cm="1">
        <f t="array" aca="1" ref="N767" ca="1">INDIRECT(CONCATENATE("'",$A$748,"'!l",B767),1)</f>
        <v>0</v>
      </c>
      <c r="O767" s="1" cm="1">
        <f t="array" aca="1" ref="O767" ca="1">INDIRECT(CONCATENATE("'",$A$748,"'!m",B767),1)</f>
        <v>0</v>
      </c>
      <c r="P767" s="1" cm="1">
        <f t="array" aca="1" ref="P767" ca="1">INDIRECT(CONCATENATE("'",$A$748,"'!n",B767),1)</f>
        <v>0</v>
      </c>
      <c r="Q767" s="1" cm="1">
        <f t="array" aca="1" ref="Q767" ca="1">INDIRECT(CONCATENATE("'",$A$748,"'!o",B767),1)</f>
        <v>0</v>
      </c>
      <c r="R767" s="1" cm="1">
        <f t="array" aca="1" ref="R767" ca="1">INDIRECT(CONCATENATE("'",$A$748,"'!p",B767),1)</f>
        <v>0</v>
      </c>
      <c r="S767" s="1">
        <f t="shared" ca="1" si="58"/>
        <v>0</v>
      </c>
      <c r="T767" s="1" cm="1">
        <f t="array" aca="1" ref="T767" ca="1">INDIRECT(CONCATENATE("'",$A$748,"'!q",B767),1)</f>
        <v>0</v>
      </c>
      <c r="U767" s="1" cm="1">
        <f t="array" aca="1" ref="U767" ca="1">INDIRECT(CONCATENATE("'",$A$748,"'!r",B767),1)</f>
        <v>0</v>
      </c>
      <c r="V767" s="1" cm="1">
        <f t="array" aca="1" ref="V767" ca="1">INDIRECT(CONCATENATE("'",$A$748,"'!s",B767),1)</f>
        <v>0</v>
      </c>
      <c r="W767" s="1" cm="1">
        <f t="array" aca="1" ref="W767" ca="1">INDIRECT(CONCATENATE("'",$A$748,"'!t",B767),1)</f>
        <v>0</v>
      </c>
      <c r="X767" s="1" cm="1">
        <f t="array" aca="1" ref="X767" ca="1">INDIRECT(CONCATENATE("'",$A$748,"'!u",B767),1)</f>
        <v>0</v>
      </c>
      <c r="Y767" s="1" cm="1">
        <f t="array" aca="1" ref="Y767" ca="1">INDIRECT(CONCATENATE("'",$A$748,"'!v",B767),1)</f>
        <v>0</v>
      </c>
    </row>
    <row r="768" spans="2:25" hidden="1" x14ac:dyDescent="0.25">
      <c r="B768" s="24">
        <f t="shared" si="57"/>
        <v>22</v>
      </c>
      <c r="C768" s="1" cm="1">
        <f t="array" aca="1" ref="C768" ca="1">INDIRECT(CONCATENATE("'",$A$748,"'!A",B768),1)</f>
        <v>0</v>
      </c>
      <c r="D768" s="1" cm="1">
        <f t="array" aca="1" ref="D768" ca="1">INDIRECT(CONCATENATE("'",$A$748,"'!B",B768),1)</f>
        <v>0</v>
      </c>
      <c r="E768" s="1" cm="1">
        <f t="array" aca="1" ref="E768" ca="1">INDIRECT(CONCATENATE("'",$A$748,"'!c",B768),1)</f>
        <v>0</v>
      </c>
      <c r="F768" s="1" cm="1">
        <f t="array" aca="1" ref="F768" ca="1">INDIRECT(CONCATENATE("'",$A$748,"'!d",B768),1)</f>
        <v>0</v>
      </c>
      <c r="G768" s="1" cm="1">
        <f t="array" aca="1" ref="G768" ca="1">INDIRECT(CONCATENATE("'",$A$748,"'!e",B768),1)</f>
        <v>0</v>
      </c>
      <c r="H768" s="1" cm="1">
        <f t="array" aca="1" ref="H768" ca="1">INDIRECT(CONCATENATE("'",$A$748,"'!f",B768),1)</f>
        <v>0</v>
      </c>
      <c r="I768" s="1" cm="1">
        <f t="array" aca="1" ref="I768" ca="1">INDIRECT(CONCATENATE("'",$A$748,"'!g",B768),1)</f>
        <v>0</v>
      </c>
      <c r="J768" s="1" cm="1">
        <f t="array" aca="1" ref="J768" ca="1">INDIRECT(CONCATENATE("'",$A$748,"'!h",B768),1)</f>
        <v>0</v>
      </c>
      <c r="K768" s="1" cm="1">
        <f t="array" aca="1" ref="K768" ca="1">INDIRECT(CONCATENATE("'",$A$748,"'!i",B768),1)</f>
        <v>0</v>
      </c>
      <c r="L768" s="1" cm="1">
        <f t="array" aca="1" ref="L768" ca="1">INDIRECT(CONCATENATE("'",$A$748,"'!j",B768),1)</f>
        <v>0</v>
      </c>
      <c r="M768" s="1" cm="1">
        <f t="array" aca="1" ref="M768" ca="1">INDIRECT(CONCATENATE("'",$A$748,"'!k",B768),1)</f>
        <v>0</v>
      </c>
      <c r="N768" s="1" cm="1">
        <f t="array" aca="1" ref="N768" ca="1">INDIRECT(CONCATENATE("'",$A$748,"'!l",B768),1)</f>
        <v>0</v>
      </c>
      <c r="O768" s="1" cm="1">
        <f t="array" aca="1" ref="O768" ca="1">INDIRECT(CONCATENATE("'",$A$748,"'!m",B768),1)</f>
        <v>0</v>
      </c>
      <c r="P768" s="1" cm="1">
        <f t="array" aca="1" ref="P768" ca="1">INDIRECT(CONCATENATE("'",$A$748,"'!n",B768),1)</f>
        <v>0</v>
      </c>
      <c r="Q768" s="1" cm="1">
        <f t="array" aca="1" ref="Q768" ca="1">INDIRECT(CONCATENATE("'",$A$748,"'!o",B768),1)</f>
        <v>0</v>
      </c>
      <c r="R768" s="1" cm="1">
        <f t="array" aca="1" ref="R768" ca="1">INDIRECT(CONCATENATE("'",$A$748,"'!p",B768),1)</f>
        <v>0</v>
      </c>
      <c r="S768" s="1">
        <f t="shared" ca="1" si="58"/>
        <v>0</v>
      </c>
      <c r="T768" s="1" cm="1">
        <f t="array" aca="1" ref="T768" ca="1">INDIRECT(CONCATENATE("'",$A$748,"'!q",B768),1)</f>
        <v>0</v>
      </c>
      <c r="U768" s="1" cm="1">
        <f t="array" aca="1" ref="U768" ca="1">INDIRECT(CONCATENATE("'",$A$748,"'!r",B768),1)</f>
        <v>0</v>
      </c>
      <c r="V768" s="1" cm="1">
        <f t="array" aca="1" ref="V768" ca="1">INDIRECT(CONCATENATE("'",$A$748,"'!s",B768),1)</f>
        <v>0</v>
      </c>
      <c r="W768" s="1" cm="1">
        <f t="array" aca="1" ref="W768" ca="1">INDIRECT(CONCATENATE("'",$A$748,"'!t",B768),1)</f>
        <v>0</v>
      </c>
      <c r="X768" s="1" cm="1">
        <f t="array" aca="1" ref="X768" ca="1">INDIRECT(CONCATENATE("'",$A$748,"'!u",B768),1)</f>
        <v>0</v>
      </c>
      <c r="Y768" s="1" cm="1">
        <f t="array" aca="1" ref="Y768" ca="1">INDIRECT(CONCATENATE("'",$A$748,"'!v",B768),1)</f>
        <v>0</v>
      </c>
    </row>
    <row r="769" spans="2:25" hidden="1" x14ac:dyDescent="0.25">
      <c r="B769" s="24">
        <f t="shared" si="57"/>
        <v>23</v>
      </c>
      <c r="C769" s="1" cm="1">
        <f t="array" aca="1" ref="C769" ca="1">INDIRECT(CONCATENATE("'",$A$748,"'!A",B769),1)</f>
        <v>0</v>
      </c>
      <c r="D769" s="1" cm="1">
        <f t="array" aca="1" ref="D769" ca="1">INDIRECT(CONCATENATE("'",$A$748,"'!B",B769),1)</f>
        <v>0</v>
      </c>
      <c r="E769" s="1" cm="1">
        <f t="array" aca="1" ref="E769" ca="1">INDIRECT(CONCATENATE("'",$A$748,"'!c",B769),1)</f>
        <v>0</v>
      </c>
      <c r="F769" s="1" cm="1">
        <f t="array" aca="1" ref="F769" ca="1">INDIRECT(CONCATENATE("'",$A$748,"'!d",B769),1)</f>
        <v>0</v>
      </c>
      <c r="G769" s="1" cm="1">
        <f t="array" aca="1" ref="G769" ca="1">INDIRECT(CONCATENATE("'",$A$748,"'!e",B769),1)</f>
        <v>0</v>
      </c>
      <c r="H769" s="1" cm="1">
        <f t="array" aca="1" ref="H769" ca="1">INDIRECT(CONCATENATE("'",$A$748,"'!f",B769),1)</f>
        <v>0</v>
      </c>
      <c r="I769" s="1" cm="1">
        <f t="array" aca="1" ref="I769" ca="1">INDIRECT(CONCATENATE("'",$A$748,"'!g",B769),1)</f>
        <v>0</v>
      </c>
      <c r="J769" s="1" cm="1">
        <f t="array" aca="1" ref="J769" ca="1">INDIRECT(CONCATENATE("'",$A$748,"'!h",B769),1)</f>
        <v>0</v>
      </c>
      <c r="K769" s="1" cm="1">
        <f t="array" aca="1" ref="K769" ca="1">INDIRECT(CONCATENATE("'",$A$748,"'!i",B769),1)</f>
        <v>0</v>
      </c>
      <c r="L769" s="1" cm="1">
        <f t="array" aca="1" ref="L769" ca="1">INDIRECT(CONCATENATE("'",$A$748,"'!j",B769),1)</f>
        <v>0</v>
      </c>
      <c r="M769" s="1" cm="1">
        <f t="array" aca="1" ref="M769" ca="1">INDIRECT(CONCATENATE("'",$A$748,"'!k",B769),1)</f>
        <v>0</v>
      </c>
      <c r="N769" s="1" cm="1">
        <f t="array" aca="1" ref="N769" ca="1">INDIRECT(CONCATENATE("'",$A$748,"'!l",B769),1)</f>
        <v>0</v>
      </c>
      <c r="O769" s="1" cm="1">
        <f t="array" aca="1" ref="O769" ca="1">INDIRECT(CONCATENATE("'",$A$748,"'!m",B769),1)</f>
        <v>0</v>
      </c>
      <c r="P769" s="1" cm="1">
        <f t="array" aca="1" ref="P769" ca="1">INDIRECT(CONCATENATE("'",$A$748,"'!n",B769),1)</f>
        <v>0</v>
      </c>
      <c r="Q769" s="1" cm="1">
        <f t="array" aca="1" ref="Q769" ca="1">INDIRECT(CONCATENATE("'",$A$748,"'!o",B769),1)</f>
        <v>0</v>
      </c>
      <c r="R769" s="1" cm="1">
        <f t="array" aca="1" ref="R769" ca="1">INDIRECT(CONCATENATE("'",$A$748,"'!p",B769),1)</f>
        <v>0</v>
      </c>
      <c r="S769" s="1">
        <f t="shared" ca="1" si="58"/>
        <v>0</v>
      </c>
      <c r="T769" s="1" cm="1">
        <f t="array" aca="1" ref="T769" ca="1">INDIRECT(CONCATENATE("'",$A$748,"'!q",B769),1)</f>
        <v>0</v>
      </c>
      <c r="U769" s="1" cm="1">
        <f t="array" aca="1" ref="U769" ca="1">INDIRECT(CONCATENATE("'",$A$748,"'!r",B769),1)</f>
        <v>0</v>
      </c>
      <c r="V769" s="1" cm="1">
        <f t="array" aca="1" ref="V769" ca="1">INDIRECT(CONCATENATE("'",$A$748,"'!s",B769),1)</f>
        <v>0</v>
      </c>
      <c r="W769" s="1" cm="1">
        <f t="array" aca="1" ref="W769" ca="1">INDIRECT(CONCATENATE("'",$A$748,"'!t",B769),1)</f>
        <v>0</v>
      </c>
      <c r="X769" s="1" cm="1">
        <f t="array" aca="1" ref="X769" ca="1">INDIRECT(CONCATENATE("'",$A$748,"'!u",B769),1)</f>
        <v>0</v>
      </c>
      <c r="Y769" s="1" cm="1">
        <f t="array" aca="1" ref="Y769" ca="1">INDIRECT(CONCATENATE("'",$A$748,"'!v",B769),1)</f>
        <v>0</v>
      </c>
    </row>
    <row r="770" spans="2:25" hidden="1" x14ac:dyDescent="0.25">
      <c r="B770" s="24">
        <f t="shared" si="57"/>
        <v>24</v>
      </c>
      <c r="C770" s="1" cm="1">
        <f t="array" aca="1" ref="C770" ca="1">INDIRECT(CONCATENATE("'",$A$748,"'!A",B770),1)</f>
        <v>0</v>
      </c>
      <c r="D770" s="1" cm="1">
        <f t="array" aca="1" ref="D770" ca="1">INDIRECT(CONCATENATE("'",$A$748,"'!B",B770),1)</f>
        <v>0</v>
      </c>
      <c r="E770" s="1" cm="1">
        <f t="array" aca="1" ref="E770" ca="1">INDIRECT(CONCATENATE("'",$A$748,"'!c",B770),1)</f>
        <v>0</v>
      </c>
      <c r="F770" s="1" cm="1">
        <f t="array" aca="1" ref="F770" ca="1">INDIRECT(CONCATENATE("'",$A$748,"'!d",B770),1)</f>
        <v>0</v>
      </c>
      <c r="G770" s="1" cm="1">
        <f t="array" aca="1" ref="G770" ca="1">INDIRECT(CONCATENATE("'",$A$748,"'!e",B770),1)</f>
        <v>0</v>
      </c>
      <c r="H770" s="1" cm="1">
        <f t="array" aca="1" ref="H770" ca="1">INDIRECT(CONCATENATE("'",$A$748,"'!f",B770),1)</f>
        <v>0</v>
      </c>
      <c r="I770" s="1" cm="1">
        <f t="array" aca="1" ref="I770" ca="1">INDIRECT(CONCATENATE("'",$A$748,"'!g",B770),1)</f>
        <v>0</v>
      </c>
      <c r="J770" s="1" cm="1">
        <f t="array" aca="1" ref="J770" ca="1">INDIRECT(CONCATENATE("'",$A$748,"'!h",B770),1)</f>
        <v>0</v>
      </c>
      <c r="K770" s="1" cm="1">
        <f t="array" aca="1" ref="K770" ca="1">INDIRECT(CONCATENATE("'",$A$748,"'!i",B770),1)</f>
        <v>0</v>
      </c>
      <c r="L770" s="1" cm="1">
        <f t="array" aca="1" ref="L770" ca="1">INDIRECT(CONCATENATE("'",$A$748,"'!j",B770),1)</f>
        <v>0</v>
      </c>
      <c r="M770" s="1" cm="1">
        <f t="array" aca="1" ref="M770" ca="1">INDIRECT(CONCATENATE("'",$A$748,"'!k",B770),1)</f>
        <v>0</v>
      </c>
      <c r="N770" s="1" cm="1">
        <f t="array" aca="1" ref="N770" ca="1">INDIRECT(CONCATENATE("'",$A$748,"'!l",B770),1)</f>
        <v>0</v>
      </c>
      <c r="O770" s="1" cm="1">
        <f t="array" aca="1" ref="O770" ca="1">INDIRECT(CONCATENATE("'",$A$748,"'!m",B770),1)</f>
        <v>0</v>
      </c>
      <c r="P770" s="1" cm="1">
        <f t="array" aca="1" ref="P770" ca="1">INDIRECT(CONCATENATE("'",$A$748,"'!n",B770),1)</f>
        <v>0</v>
      </c>
      <c r="Q770" s="1" cm="1">
        <f t="array" aca="1" ref="Q770" ca="1">INDIRECT(CONCATENATE("'",$A$748,"'!o",B770),1)</f>
        <v>0</v>
      </c>
      <c r="R770" s="1" cm="1">
        <f t="array" aca="1" ref="R770" ca="1">INDIRECT(CONCATENATE("'",$A$748,"'!p",B770),1)</f>
        <v>0</v>
      </c>
      <c r="S770" s="1">
        <f t="shared" ca="1" si="58"/>
        <v>0</v>
      </c>
      <c r="T770" s="1" cm="1">
        <f t="array" aca="1" ref="T770" ca="1">INDIRECT(CONCATENATE("'",$A$748,"'!q",B770),1)</f>
        <v>0</v>
      </c>
      <c r="U770" s="1" cm="1">
        <f t="array" aca="1" ref="U770" ca="1">INDIRECT(CONCATENATE("'",$A$748,"'!r",B770),1)</f>
        <v>0</v>
      </c>
      <c r="V770" s="1" cm="1">
        <f t="array" aca="1" ref="V770" ca="1">INDIRECT(CONCATENATE("'",$A$748,"'!s",B770),1)</f>
        <v>0</v>
      </c>
      <c r="W770" s="1" cm="1">
        <f t="array" aca="1" ref="W770" ca="1">INDIRECT(CONCATENATE("'",$A$748,"'!t",B770),1)</f>
        <v>0</v>
      </c>
      <c r="X770" s="1" cm="1">
        <f t="array" aca="1" ref="X770" ca="1">INDIRECT(CONCATENATE("'",$A$748,"'!u",B770),1)</f>
        <v>0</v>
      </c>
      <c r="Y770" s="1" cm="1">
        <f t="array" aca="1" ref="Y770" ca="1">INDIRECT(CONCATENATE("'",$A$748,"'!v",B770),1)</f>
        <v>0</v>
      </c>
    </row>
    <row r="771" spans="2:25" hidden="1" x14ac:dyDescent="0.25">
      <c r="B771" s="24">
        <f t="shared" si="57"/>
        <v>25</v>
      </c>
      <c r="C771" s="1" cm="1">
        <f t="array" aca="1" ref="C771" ca="1">INDIRECT(CONCATENATE("'",$A$748,"'!A",B771),1)</f>
        <v>0</v>
      </c>
      <c r="D771" s="1" cm="1">
        <f t="array" aca="1" ref="D771" ca="1">INDIRECT(CONCATENATE("'",$A$748,"'!B",B771),1)</f>
        <v>0</v>
      </c>
      <c r="E771" s="1" cm="1">
        <f t="array" aca="1" ref="E771" ca="1">INDIRECT(CONCATENATE("'",$A$748,"'!c",B771),1)</f>
        <v>0</v>
      </c>
      <c r="F771" s="1" cm="1">
        <f t="array" aca="1" ref="F771" ca="1">INDIRECT(CONCATENATE("'",$A$748,"'!d",B771),1)</f>
        <v>0</v>
      </c>
      <c r="G771" s="1" cm="1">
        <f t="array" aca="1" ref="G771" ca="1">INDIRECT(CONCATENATE("'",$A$748,"'!e",B771),1)</f>
        <v>0</v>
      </c>
      <c r="H771" s="1" cm="1">
        <f t="array" aca="1" ref="H771" ca="1">INDIRECT(CONCATENATE("'",$A$748,"'!f",B771),1)</f>
        <v>0</v>
      </c>
      <c r="I771" s="1" cm="1">
        <f t="array" aca="1" ref="I771" ca="1">INDIRECT(CONCATENATE("'",$A$748,"'!g",B771),1)</f>
        <v>0</v>
      </c>
      <c r="J771" s="1" cm="1">
        <f t="array" aca="1" ref="J771" ca="1">INDIRECT(CONCATENATE("'",$A$748,"'!h",B771),1)</f>
        <v>0</v>
      </c>
      <c r="K771" s="1" cm="1">
        <f t="array" aca="1" ref="K771" ca="1">INDIRECT(CONCATENATE("'",$A$748,"'!i",B771),1)</f>
        <v>0</v>
      </c>
      <c r="L771" s="1" cm="1">
        <f t="array" aca="1" ref="L771" ca="1">INDIRECT(CONCATENATE("'",$A$748,"'!j",B771),1)</f>
        <v>0</v>
      </c>
      <c r="M771" s="1" cm="1">
        <f t="array" aca="1" ref="M771" ca="1">INDIRECT(CONCATENATE("'",$A$748,"'!k",B771),1)</f>
        <v>0</v>
      </c>
      <c r="N771" s="1" cm="1">
        <f t="array" aca="1" ref="N771" ca="1">INDIRECT(CONCATENATE("'",$A$748,"'!l",B771),1)</f>
        <v>0</v>
      </c>
      <c r="O771" s="1" cm="1">
        <f t="array" aca="1" ref="O771" ca="1">INDIRECT(CONCATENATE("'",$A$748,"'!m",B771),1)</f>
        <v>0</v>
      </c>
      <c r="P771" s="1" cm="1">
        <f t="array" aca="1" ref="P771" ca="1">INDIRECT(CONCATENATE("'",$A$748,"'!n",B771),1)</f>
        <v>0</v>
      </c>
      <c r="Q771" s="1" cm="1">
        <f t="array" aca="1" ref="Q771" ca="1">INDIRECT(CONCATENATE("'",$A$748,"'!o",B771),1)</f>
        <v>0</v>
      </c>
      <c r="R771" s="1" cm="1">
        <f t="array" aca="1" ref="R771" ca="1">INDIRECT(CONCATENATE("'",$A$748,"'!p",B771),1)</f>
        <v>0</v>
      </c>
      <c r="S771" s="1">
        <f t="shared" ca="1" si="58"/>
        <v>0</v>
      </c>
      <c r="T771" s="1" cm="1">
        <f t="array" aca="1" ref="T771" ca="1">INDIRECT(CONCATENATE("'",$A$748,"'!q",B771),1)</f>
        <v>0</v>
      </c>
      <c r="U771" s="1" cm="1">
        <f t="array" aca="1" ref="U771" ca="1">INDIRECT(CONCATENATE("'",$A$748,"'!r",B771),1)</f>
        <v>0</v>
      </c>
      <c r="V771" s="1" cm="1">
        <f t="array" aca="1" ref="V771" ca="1">INDIRECT(CONCATENATE("'",$A$748,"'!s",B771),1)</f>
        <v>0</v>
      </c>
      <c r="W771" s="1" cm="1">
        <f t="array" aca="1" ref="W771" ca="1">INDIRECT(CONCATENATE("'",$A$748,"'!t",B771),1)</f>
        <v>0</v>
      </c>
      <c r="X771" s="1" cm="1">
        <f t="array" aca="1" ref="X771" ca="1">INDIRECT(CONCATENATE("'",$A$748,"'!u",B771),1)</f>
        <v>0</v>
      </c>
      <c r="Y771" s="1" cm="1">
        <f t="array" aca="1" ref="Y771" ca="1">INDIRECT(CONCATENATE("'",$A$748,"'!v",B771),1)</f>
        <v>0</v>
      </c>
    </row>
    <row r="772" spans="2:25" hidden="1" x14ac:dyDescent="0.25">
      <c r="B772" s="24">
        <f t="shared" si="57"/>
        <v>26</v>
      </c>
      <c r="C772" s="1" cm="1">
        <f t="array" aca="1" ref="C772" ca="1">INDIRECT(CONCATENATE("'",$A$748,"'!A",B772),1)</f>
        <v>0</v>
      </c>
      <c r="D772" s="1" cm="1">
        <f t="array" aca="1" ref="D772" ca="1">INDIRECT(CONCATENATE("'",$A$748,"'!B",B772),1)</f>
        <v>0</v>
      </c>
      <c r="E772" s="1" cm="1">
        <f t="array" aca="1" ref="E772" ca="1">INDIRECT(CONCATENATE("'",$A$748,"'!c",B772),1)</f>
        <v>0</v>
      </c>
      <c r="F772" s="1" cm="1">
        <f t="array" aca="1" ref="F772" ca="1">INDIRECT(CONCATENATE("'",$A$748,"'!d",B772),1)</f>
        <v>0</v>
      </c>
      <c r="G772" s="1" cm="1">
        <f t="array" aca="1" ref="G772" ca="1">INDIRECT(CONCATENATE("'",$A$748,"'!e",B772),1)</f>
        <v>0</v>
      </c>
      <c r="H772" s="1" cm="1">
        <f t="array" aca="1" ref="H772" ca="1">INDIRECT(CONCATENATE("'",$A$748,"'!f",B772),1)</f>
        <v>0</v>
      </c>
      <c r="I772" s="1" cm="1">
        <f t="array" aca="1" ref="I772" ca="1">INDIRECT(CONCATENATE("'",$A$748,"'!g",B772),1)</f>
        <v>0</v>
      </c>
      <c r="J772" s="1" cm="1">
        <f t="array" aca="1" ref="J772" ca="1">INDIRECT(CONCATENATE("'",$A$748,"'!h",B772),1)</f>
        <v>0</v>
      </c>
      <c r="K772" s="1" cm="1">
        <f t="array" aca="1" ref="K772" ca="1">INDIRECT(CONCATENATE("'",$A$748,"'!i",B772),1)</f>
        <v>0</v>
      </c>
      <c r="L772" s="1" cm="1">
        <f t="array" aca="1" ref="L772" ca="1">INDIRECT(CONCATENATE("'",$A$748,"'!j",B772),1)</f>
        <v>0</v>
      </c>
      <c r="M772" s="1" cm="1">
        <f t="array" aca="1" ref="M772" ca="1">INDIRECT(CONCATENATE("'",$A$748,"'!k",B772),1)</f>
        <v>0</v>
      </c>
      <c r="N772" s="1" cm="1">
        <f t="array" aca="1" ref="N772" ca="1">INDIRECT(CONCATENATE("'",$A$748,"'!l",B772),1)</f>
        <v>0</v>
      </c>
      <c r="O772" s="1" cm="1">
        <f t="array" aca="1" ref="O772" ca="1">INDIRECT(CONCATENATE("'",$A$748,"'!m",B772),1)</f>
        <v>0</v>
      </c>
      <c r="P772" s="1" cm="1">
        <f t="array" aca="1" ref="P772" ca="1">INDIRECT(CONCATENATE("'",$A$748,"'!n",B772),1)</f>
        <v>0</v>
      </c>
      <c r="Q772" s="1" cm="1">
        <f t="array" aca="1" ref="Q772" ca="1">INDIRECT(CONCATENATE("'",$A$748,"'!o",B772),1)</f>
        <v>0</v>
      </c>
      <c r="R772" s="1" cm="1">
        <f t="array" aca="1" ref="R772" ca="1">INDIRECT(CONCATENATE("'",$A$748,"'!p",B772),1)</f>
        <v>0</v>
      </c>
      <c r="S772" s="1">
        <f t="shared" ca="1" si="58"/>
        <v>0</v>
      </c>
      <c r="T772" s="1" cm="1">
        <f t="array" aca="1" ref="T772" ca="1">INDIRECT(CONCATENATE("'",$A$748,"'!q",B772),1)</f>
        <v>0</v>
      </c>
      <c r="U772" s="1" cm="1">
        <f t="array" aca="1" ref="U772" ca="1">INDIRECT(CONCATENATE("'",$A$748,"'!r",B772),1)</f>
        <v>0</v>
      </c>
      <c r="V772" s="1" cm="1">
        <f t="array" aca="1" ref="V772" ca="1">INDIRECT(CONCATENATE("'",$A$748,"'!s",B772),1)</f>
        <v>0</v>
      </c>
      <c r="W772" s="1" cm="1">
        <f t="array" aca="1" ref="W772" ca="1">INDIRECT(CONCATENATE("'",$A$748,"'!t",B772),1)</f>
        <v>0</v>
      </c>
      <c r="X772" s="1" cm="1">
        <f t="array" aca="1" ref="X772" ca="1">INDIRECT(CONCATENATE("'",$A$748,"'!u",B772),1)</f>
        <v>0</v>
      </c>
      <c r="Y772" s="1" cm="1">
        <f t="array" aca="1" ref="Y772" ca="1">INDIRECT(CONCATENATE("'",$A$748,"'!v",B772),1)</f>
        <v>0</v>
      </c>
    </row>
    <row r="773" spans="2:25" hidden="1" x14ac:dyDescent="0.25">
      <c r="B773" s="24">
        <f t="shared" si="57"/>
        <v>27</v>
      </c>
      <c r="C773" s="1" cm="1">
        <f t="array" aca="1" ref="C773" ca="1">INDIRECT(CONCATENATE("'",$A$748,"'!A",B773),1)</f>
        <v>0</v>
      </c>
      <c r="D773" s="1" cm="1">
        <f t="array" aca="1" ref="D773" ca="1">INDIRECT(CONCATENATE("'",$A$748,"'!B",B773),1)</f>
        <v>0</v>
      </c>
      <c r="E773" s="1" cm="1">
        <f t="array" aca="1" ref="E773" ca="1">INDIRECT(CONCATENATE("'",$A$748,"'!c",B773),1)</f>
        <v>0</v>
      </c>
      <c r="F773" s="1" cm="1">
        <f t="array" aca="1" ref="F773" ca="1">INDIRECT(CONCATENATE("'",$A$748,"'!d",B773),1)</f>
        <v>0</v>
      </c>
      <c r="G773" s="1" cm="1">
        <f t="array" aca="1" ref="G773" ca="1">INDIRECT(CONCATENATE("'",$A$748,"'!e",B773),1)</f>
        <v>0</v>
      </c>
      <c r="H773" s="1" cm="1">
        <f t="array" aca="1" ref="H773" ca="1">INDIRECT(CONCATENATE("'",$A$748,"'!f",B773),1)</f>
        <v>0</v>
      </c>
      <c r="I773" s="1" cm="1">
        <f t="array" aca="1" ref="I773" ca="1">INDIRECT(CONCATENATE("'",$A$748,"'!g",B773),1)</f>
        <v>0</v>
      </c>
      <c r="J773" s="1" cm="1">
        <f t="array" aca="1" ref="J773" ca="1">INDIRECT(CONCATENATE("'",$A$748,"'!h",B773),1)</f>
        <v>0</v>
      </c>
      <c r="K773" s="1" cm="1">
        <f t="array" aca="1" ref="K773" ca="1">INDIRECT(CONCATENATE("'",$A$748,"'!i",B773),1)</f>
        <v>0</v>
      </c>
      <c r="L773" s="1" cm="1">
        <f t="array" aca="1" ref="L773" ca="1">INDIRECT(CONCATENATE("'",$A$748,"'!j",B773),1)</f>
        <v>0</v>
      </c>
      <c r="M773" s="1" cm="1">
        <f t="array" aca="1" ref="M773" ca="1">INDIRECT(CONCATENATE("'",$A$748,"'!k",B773),1)</f>
        <v>0</v>
      </c>
      <c r="N773" s="1" cm="1">
        <f t="array" aca="1" ref="N773" ca="1">INDIRECT(CONCATENATE("'",$A$748,"'!l",B773),1)</f>
        <v>0</v>
      </c>
      <c r="O773" s="1" cm="1">
        <f t="array" aca="1" ref="O773" ca="1">INDIRECT(CONCATENATE("'",$A$748,"'!m",B773),1)</f>
        <v>0</v>
      </c>
      <c r="P773" s="1" cm="1">
        <f t="array" aca="1" ref="P773" ca="1">INDIRECT(CONCATENATE("'",$A$748,"'!n",B773),1)</f>
        <v>0</v>
      </c>
      <c r="Q773" s="1" cm="1">
        <f t="array" aca="1" ref="Q773" ca="1">INDIRECT(CONCATENATE("'",$A$748,"'!o",B773),1)</f>
        <v>0</v>
      </c>
      <c r="R773" s="1" cm="1">
        <f t="array" aca="1" ref="R773" ca="1">INDIRECT(CONCATENATE("'",$A$748,"'!p",B773),1)</f>
        <v>0</v>
      </c>
      <c r="S773" s="1">
        <f t="shared" ca="1" si="58"/>
        <v>0</v>
      </c>
      <c r="T773" s="1" cm="1">
        <f t="array" aca="1" ref="T773" ca="1">INDIRECT(CONCATENATE("'",$A$748,"'!q",B773),1)</f>
        <v>0</v>
      </c>
      <c r="U773" s="1" cm="1">
        <f t="array" aca="1" ref="U773" ca="1">INDIRECT(CONCATENATE("'",$A$748,"'!r",B773),1)</f>
        <v>0</v>
      </c>
      <c r="V773" s="1" cm="1">
        <f t="array" aca="1" ref="V773" ca="1">INDIRECT(CONCATENATE("'",$A$748,"'!s",B773),1)</f>
        <v>0</v>
      </c>
      <c r="W773" s="1" cm="1">
        <f t="array" aca="1" ref="W773" ca="1">INDIRECT(CONCATENATE("'",$A$748,"'!t",B773),1)</f>
        <v>0</v>
      </c>
      <c r="X773" s="1" cm="1">
        <f t="array" aca="1" ref="X773" ca="1">INDIRECT(CONCATENATE("'",$A$748,"'!u",B773),1)</f>
        <v>0</v>
      </c>
      <c r="Y773" s="1" cm="1">
        <f t="array" aca="1" ref="Y773" ca="1">INDIRECT(CONCATENATE("'",$A$748,"'!v",B773),1)</f>
        <v>0</v>
      </c>
    </row>
    <row r="774" spans="2:25" hidden="1" x14ac:dyDescent="0.25">
      <c r="B774" s="24">
        <f t="shared" si="57"/>
        <v>28</v>
      </c>
      <c r="C774" s="1" cm="1">
        <f t="array" aca="1" ref="C774" ca="1">INDIRECT(CONCATENATE("'",$A$748,"'!A",B774),1)</f>
        <v>0</v>
      </c>
      <c r="D774" s="1" cm="1">
        <f t="array" aca="1" ref="D774" ca="1">INDIRECT(CONCATENATE("'",$A$748,"'!B",B774),1)</f>
        <v>0</v>
      </c>
      <c r="E774" s="1" cm="1">
        <f t="array" aca="1" ref="E774" ca="1">INDIRECT(CONCATENATE("'",$A$748,"'!c",B774),1)</f>
        <v>0</v>
      </c>
      <c r="F774" s="1" cm="1">
        <f t="array" aca="1" ref="F774" ca="1">INDIRECT(CONCATENATE("'",$A$748,"'!d",B774),1)</f>
        <v>0</v>
      </c>
      <c r="G774" s="1" cm="1">
        <f t="array" aca="1" ref="G774" ca="1">INDIRECT(CONCATENATE("'",$A$748,"'!e",B774),1)</f>
        <v>0</v>
      </c>
      <c r="H774" s="1" cm="1">
        <f t="array" aca="1" ref="H774" ca="1">INDIRECT(CONCATENATE("'",$A$748,"'!f",B774),1)</f>
        <v>0</v>
      </c>
      <c r="I774" s="1" cm="1">
        <f t="array" aca="1" ref="I774" ca="1">INDIRECT(CONCATENATE("'",$A$748,"'!g",B774),1)</f>
        <v>0</v>
      </c>
      <c r="J774" s="1" cm="1">
        <f t="array" aca="1" ref="J774" ca="1">INDIRECT(CONCATENATE("'",$A$748,"'!h",B774),1)</f>
        <v>0</v>
      </c>
      <c r="K774" s="1" cm="1">
        <f t="array" aca="1" ref="K774" ca="1">INDIRECT(CONCATENATE("'",$A$748,"'!i",B774),1)</f>
        <v>0</v>
      </c>
      <c r="L774" s="1" cm="1">
        <f t="array" aca="1" ref="L774" ca="1">INDIRECT(CONCATENATE("'",$A$748,"'!j",B774),1)</f>
        <v>0</v>
      </c>
      <c r="M774" s="1" cm="1">
        <f t="array" aca="1" ref="M774" ca="1">INDIRECT(CONCATENATE("'",$A$748,"'!k",B774),1)</f>
        <v>0</v>
      </c>
      <c r="N774" s="1" cm="1">
        <f t="array" aca="1" ref="N774" ca="1">INDIRECT(CONCATENATE("'",$A$748,"'!l",B774),1)</f>
        <v>0</v>
      </c>
      <c r="O774" s="1" cm="1">
        <f t="array" aca="1" ref="O774" ca="1">INDIRECT(CONCATENATE("'",$A$748,"'!m",B774),1)</f>
        <v>0</v>
      </c>
      <c r="P774" s="1" cm="1">
        <f t="array" aca="1" ref="P774" ca="1">INDIRECT(CONCATENATE("'",$A$748,"'!n",B774),1)</f>
        <v>0</v>
      </c>
      <c r="Q774" s="1" cm="1">
        <f t="array" aca="1" ref="Q774" ca="1">INDIRECT(CONCATENATE("'",$A$748,"'!o",B774),1)</f>
        <v>0</v>
      </c>
      <c r="R774" s="1" cm="1">
        <f t="array" aca="1" ref="R774" ca="1">INDIRECT(CONCATENATE("'",$A$748,"'!p",B774),1)</f>
        <v>0</v>
      </c>
      <c r="S774" s="1">
        <f t="shared" ca="1" si="58"/>
        <v>0</v>
      </c>
      <c r="T774" s="1" cm="1">
        <f t="array" aca="1" ref="T774" ca="1">INDIRECT(CONCATENATE("'",$A$748,"'!q",B774),1)</f>
        <v>0</v>
      </c>
      <c r="U774" s="1" cm="1">
        <f t="array" aca="1" ref="U774" ca="1">INDIRECT(CONCATENATE("'",$A$748,"'!r",B774),1)</f>
        <v>0</v>
      </c>
      <c r="V774" s="1" cm="1">
        <f t="array" aca="1" ref="V774" ca="1">INDIRECT(CONCATENATE("'",$A$748,"'!s",B774),1)</f>
        <v>0</v>
      </c>
      <c r="W774" s="1" cm="1">
        <f t="array" aca="1" ref="W774" ca="1">INDIRECT(CONCATENATE("'",$A$748,"'!t",B774),1)</f>
        <v>0</v>
      </c>
      <c r="X774" s="1" cm="1">
        <f t="array" aca="1" ref="X774" ca="1">INDIRECT(CONCATENATE("'",$A$748,"'!u",B774),1)</f>
        <v>0</v>
      </c>
      <c r="Y774" s="1" cm="1">
        <f t="array" aca="1" ref="Y774" ca="1">INDIRECT(CONCATENATE("'",$A$748,"'!v",B774),1)</f>
        <v>0</v>
      </c>
    </row>
    <row r="775" spans="2:25" hidden="1" x14ac:dyDescent="0.25">
      <c r="B775" s="24">
        <f t="shared" si="57"/>
        <v>29</v>
      </c>
      <c r="C775" s="1" cm="1">
        <f t="array" aca="1" ref="C775" ca="1">INDIRECT(CONCATENATE("'",$A$748,"'!A",B775),1)</f>
        <v>0</v>
      </c>
      <c r="D775" s="1" cm="1">
        <f t="array" aca="1" ref="D775" ca="1">INDIRECT(CONCATENATE("'",$A$748,"'!B",B775),1)</f>
        <v>0</v>
      </c>
      <c r="E775" s="1" cm="1">
        <f t="array" aca="1" ref="E775" ca="1">INDIRECT(CONCATENATE("'",$A$748,"'!c",B775),1)</f>
        <v>0</v>
      </c>
      <c r="F775" s="1" cm="1">
        <f t="array" aca="1" ref="F775" ca="1">INDIRECT(CONCATENATE("'",$A$748,"'!d",B775),1)</f>
        <v>0</v>
      </c>
      <c r="G775" s="1" cm="1">
        <f t="array" aca="1" ref="G775" ca="1">INDIRECT(CONCATENATE("'",$A$748,"'!e",B775),1)</f>
        <v>0</v>
      </c>
      <c r="H775" s="1" cm="1">
        <f t="array" aca="1" ref="H775" ca="1">INDIRECT(CONCATENATE("'",$A$748,"'!f",B775),1)</f>
        <v>0</v>
      </c>
      <c r="I775" s="1" cm="1">
        <f t="array" aca="1" ref="I775" ca="1">INDIRECT(CONCATENATE("'",$A$748,"'!g",B775),1)</f>
        <v>0</v>
      </c>
      <c r="J775" s="1" cm="1">
        <f t="array" aca="1" ref="J775" ca="1">INDIRECT(CONCATENATE("'",$A$748,"'!h",B775),1)</f>
        <v>0</v>
      </c>
      <c r="K775" s="1" cm="1">
        <f t="array" aca="1" ref="K775" ca="1">INDIRECT(CONCATENATE("'",$A$748,"'!i",B775),1)</f>
        <v>0</v>
      </c>
      <c r="L775" s="1" cm="1">
        <f t="array" aca="1" ref="L775" ca="1">INDIRECT(CONCATENATE("'",$A$748,"'!j",B775),1)</f>
        <v>0</v>
      </c>
      <c r="M775" s="1" cm="1">
        <f t="array" aca="1" ref="M775" ca="1">INDIRECT(CONCATENATE("'",$A$748,"'!k",B775),1)</f>
        <v>0</v>
      </c>
      <c r="N775" s="1" cm="1">
        <f t="array" aca="1" ref="N775" ca="1">INDIRECT(CONCATENATE("'",$A$748,"'!l",B775),1)</f>
        <v>0</v>
      </c>
      <c r="O775" s="1" cm="1">
        <f t="array" aca="1" ref="O775" ca="1">INDIRECT(CONCATENATE("'",$A$748,"'!m",B775),1)</f>
        <v>0</v>
      </c>
      <c r="P775" s="1" cm="1">
        <f t="array" aca="1" ref="P775" ca="1">INDIRECT(CONCATENATE("'",$A$748,"'!n",B775),1)</f>
        <v>0</v>
      </c>
      <c r="Q775" s="1" cm="1">
        <f t="array" aca="1" ref="Q775" ca="1">INDIRECT(CONCATENATE("'",$A$748,"'!o",B775),1)</f>
        <v>0</v>
      </c>
      <c r="R775" s="1" cm="1">
        <f t="array" aca="1" ref="R775" ca="1">INDIRECT(CONCATENATE("'",$A$748,"'!p",B775),1)</f>
        <v>0</v>
      </c>
      <c r="S775" s="1">
        <f t="shared" ca="1" si="58"/>
        <v>0</v>
      </c>
      <c r="T775" s="1" cm="1">
        <f t="array" aca="1" ref="T775" ca="1">INDIRECT(CONCATENATE("'",$A$748,"'!q",B775),1)</f>
        <v>0</v>
      </c>
      <c r="U775" s="1" cm="1">
        <f t="array" aca="1" ref="U775" ca="1">INDIRECT(CONCATENATE("'",$A$748,"'!r",B775),1)</f>
        <v>0</v>
      </c>
      <c r="V775" s="1" cm="1">
        <f t="array" aca="1" ref="V775" ca="1">INDIRECT(CONCATENATE("'",$A$748,"'!s",B775),1)</f>
        <v>0</v>
      </c>
      <c r="W775" s="1" cm="1">
        <f t="array" aca="1" ref="W775" ca="1">INDIRECT(CONCATENATE("'",$A$748,"'!t",B775),1)</f>
        <v>0</v>
      </c>
      <c r="X775" s="1" cm="1">
        <f t="array" aca="1" ref="X775" ca="1">INDIRECT(CONCATENATE("'",$A$748,"'!u",B775),1)</f>
        <v>0</v>
      </c>
      <c r="Y775" s="1" cm="1">
        <f t="array" aca="1" ref="Y775" ca="1">INDIRECT(CONCATENATE("'",$A$748,"'!v",B775),1)</f>
        <v>0</v>
      </c>
    </row>
    <row r="776" spans="2:25" hidden="1" x14ac:dyDescent="0.25">
      <c r="B776" s="24">
        <f t="shared" si="57"/>
        <v>30</v>
      </c>
      <c r="C776" s="1" cm="1">
        <f t="array" aca="1" ref="C776" ca="1">INDIRECT(CONCATENATE("'",$A$748,"'!A",B776),1)</f>
        <v>0</v>
      </c>
      <c r="D776" s="1" cm="1">
        <f t="array" aca="1" ref="D776" ca="1">INDIRECT(CONCATENATE("'",$A$748,"'!B",B776),1)</f>
        <v>0</v>
      </c>
      <c r="E776" s="1" cm="1">
        <f t="array" aca="1" ref="E776" ca="1">INDIRECT(CONCATENATE("'",$A$748,"'!c",B776),1)</f>
        <v>0</v>
      </c>
      <c r="F776" s="1" cm="1">
        <f t="array" aca="1" ref="F776" ca="1">INDIRECT(CONCATENATE("'",$A$748,"'!d",B776),1)</f>
        <v>0</v>
      </c>
      <c r="G776" s="1" cm="1">
        <f t="array" aca="1" ref="G776" ca="1">INDIRECT(CONCATENATE("'",$A$748,"'!e",B776),1)</f>
        <v>0</v>
      </c>
      <c r="H776" s="1" cm="1">
        <f t="array" aca="1" ref="H776" ca="1">INDIRECT(CONCATENATE("'",$A$748,"'!f",B776),1)</f>
        <v>0</v>
      </c>
      <c r="I776" s="1" cm="1">
        <f t="array" aca="1" ref="I776" ca="1">INDIRECT(CONCATENATE("'",$A$748,"'!g",B776),1)</f>
        <v>0</v>
      </c>
      <c r="J776" s="1" cm="1">
        <f t="array" aca="1" ref="J776" ca="1">INDIRECT(CONCATENATE("'",$A$748,"'!h",B776),1)</f>
        <v>0</v>
      </c>
      <c r="K776" s="1" cm="1">
        <f t="array" aca="1" ref="K776" ca="1">INDIRECT(CONCATENATE("'",$A$748,"'!i",B776),1)</f>
        <v>0</v>
      </c>
      <c r="L776" s="1" cm="1">
        <f t="array" aca="1" ref="L776" ca="1">INDIRECT(CONCATENATE("'",$A$748,"'!j",B776),1)</f>
        <v>0</v>
      </c>
      <c r="M776" s="1" cm="1">
        <f t="array" aca="1" ref="M776" ca="1">INDIRECT(CONCATENATE("'",$A$748,"'!k",B776),1)</f>
        <v>0</v>
      </c>
      <c r="N776" s="1" cm="1">
        <f t="array" aca="1" ref="N776" ca="1">INDIRECT(CONCATENATE("'",$A$748,"'!l",B776),1)</f>
        <v>0</v>
      </c>
      <c r="O776" s="1" cm="1">
        <f t="array" aca="1" ref="O776" ca="1">INDIRECT(CONCATENATE("'",$A$748,"'!m",B776),1)</f>
        <v>0</v>
      </c>
      <c r="P776" s="1" cm="1">
        <f t="array" aca="1" ref="P776" ca="1">INDIRECT(CONCATENATE("'",$A$748,"'!n",B776),1)</f>
        <v>0</v>
      </c>
      <c r="Q776" s="1" cm="1">
        <f t="array" aca="1" ref="Q776" ca="1">INDIRECT(CONCATENATE("'",$A$748,"'!o",B776),1)</f>
        <v>0</v>
      </c>
      <c r="R776" s="1" cm="1">
        <f t="array" aca="1" ref="R776" ca="1">INDIRECT(CONCATENATE("'",$A$748,"'!p",B776),1)</f>
        <v>0</v>
      </c>
      <c r="S776" s="1">
        <f t="shared" ca="1" si="58"/>
        <v>0</v>
      </c>
      <c r="T776" s="1" cm="1">
        <f t="array" aca="1" ref="T776" ca="1">INDIRECT(CONCATENATE("'",$A$748,"'!q",B776),1)</f>
        <v>0</v>
      </c>
      <c r="U776" s="1" cm="1">
        <f t="array" aca="1" ref="U776" ca="1">INDIRECT(CONCATENATE("'",$A$748,"'!r",B776),1)</f>
        <v>0</v>
      </c>
      <c r="V776" s="1" cm="1">
        <f t="array" aca="1" ref="V776" ca="1">INDIRECT(CONCATENATE("'",$A$748,"'!s",B776),1)</f>
        <v>0</v>
      </c>
      <c r="W776" s="1" cm="1">
        <f t="array" aca="1" ref="W776" ca="1">INDIRECT(CONCATENATE("'",$A$748,"'!t",B776),1)</f>
        <v>0</v>
      </c>
      <c r="X776" s="1" cm="1">
        <f t="array" aca="1" ref="X776" ca="1">INDIRECT(CONCATENATE("'",$A$748,"'!u",B776),1)</f>
        <v>0</v>
      </c>
      <c r="Y776" s="1" cm="1">
        <f t="array" aca="1" ref="Y776" ca="1">INDIRECT(CONCATENATE("'",$A$748,"'!v",B776),1)</f>
        <v>0</v>
      </c>
    </row>
    <row r="777" spans="2:25" hidden="1" x14ac:dyDescent="0.25">
      <c r="B777" s="24">
        <f t="shared" si="57"/>
        <v>31</v>
      </c>
      <c r="C777" s="1" cm="1">
        <f t="array" aca="1" ref="C777" ca="1">INDIRECT(CONCATENATE("'",$A$748,"'!A",B777),1)</f>
        <v>0</v>
      </c>
      <c r="D777" s="1" cm="1">
        <f t="array" aca="1" ref="D777" ca="1">INDIRECT(CONCATENATE("'",$A$748,"'!B",B777),1)</f>
        <v>0</v>
      </c>
      <c r="E777" s="1" cm="1">
        <f t="array" aca="1" ref="E777" ca="1">INDIRECT(CONCATENATE("'",$A$748,"'!c",B777),1)</f>
        <v>0</v>
      </c>
      <c r="F777" s="1" cm="1">
        <f t="array" aca="1" ref="F777" ca="1">INDIRECT(CONCATENATE("'",$A$748,"'!d",B777),1)</f>
        <v>0</v>
      </c>
      <c r="G777" s="1" cm="1">
        <f t="array" aca="1" ref="G777" ca="1">INDIRECT(CONCATENATE("'",$A$748,"'!e",B777),1)</f>
        <v>0</v>
      </c>
      <c r="H777" s="1" cm="1">
        <f t="array" aca="1" ref="H777" ca="1">INDIRECT(CONCATENATE("'",$A$748,"'!f",B777),1)</f>
        <v>0</v>
      </c>
      <c r="I777" s="1" cm="1">
        <f t="array" aca="1" ref="I777" ca="1">INDIRECT(CONCATENATE("'",$A$748,"'!g",B777),1)</f>
        <v>0</v>
      </c>
      <c r="J777" s="1" cm="1">
        <f t="array" aca="1" ref="J777" ca="1">INDIRECT(CONCATENATE("'",$A$748,"'!h",B777),1)</f>
        <v>0</v>
      </c>
      <c r="K777" s="1" cm="1">
        <f t="array" aca="1" ref="K777" ca="1">INDIRECT(CONCATENATE("'",$A$748,"'!i",B777),1)</f>
        <v>0</v>
      </c>
      <c r="L777" s="1" cm="1">
        <f t="array" aca="1" ref="L777" ca="1">INDIRECT(CONCATENATE("'",$A$748,"'!j",B777),1)</f>
        <v>0</v>
      </c>
      <c r="M777" s="1" cm="1">
        <f t="array" aca="1" ref="M777" ca="1">INDIRECT(CONCATENATE("'",$A$748,"'!k",B777),1)</f>
        <v>0</v>
      </c>
      <c r="N777" s="1" cm="1">
        <f t="array" aca="1" ref="N777" ca="1">INDIRECT(CONCATENATE("'",$A$748,"'!l",B777),1)</f>
        <v>0</v>
      </c>
      <c r="O777" s="1" cm="1">
        <f t="array" aca="1" ref="O777" ca="1">INDIRECT(CONCATENATE("'",$A$748,"'!m",B777),1)</f>
        <v>0</v>
      </c>
      <c r="P777" s="1" cm="1">
        <f t="array" aca="1" ref="P777" ca="1">INDIRECT(CONCATENATE("'",$A$748,"'!n",B777),1)</f>
        <v>0</v>
      </c>
      <c r="Q777" s="1" cm="1">
        <f t="array" aca="1" ref="Q777" ca="1">INDIRECT(CONCATENATE("'",$A$748,"'!o",B777),1)</f>
        <v>0</v>
      </c>
      <c r="R777" s="1" cm="1">
        <f t="array" aca="1" ref="R777" ca="1">INDIRECT(CONCATENATE("'",$A$748,"'!p",B777),1)</f>
        <v>0</v>
      </c>
      <c r="S777" s="1">
        <f t="shared" ca="1" si="58"/>
        <v>0</v>
      </c>
      <c r="T777" s="1" cm="1">
        <f t="array" aca="1" ref="T777" ca="1">INDIRECT(CONCATENATE("'",$A$748,"'!q",B777),1)</f>
        <v>0</v>
      </c>
      <c r="U777" s="1" cm="1">
        <f t="array" aca="1" ref="U777" ca="1">INDIRECT(CONCATENATE("'",$A$748,"'!r",B777),1)</f>
        <v>0</v>
      </c>
      <c r="V777" s="1" cm="1">
        <f t="array" aca="1" ref="V777" ca="1">INDIRECT(CONCATENATE("'",$A$748,"'!s",B777),1)</f>
        <v>0</v>
      </c>
      <c r="W777" s="1" cm="1">
        <f t="array" aca="1" ref="W777" ca="1">INDIRECT(CONCATENATE("'",$A$748,"'!t",B777),1)</f>
        <v>0</v>
      </c>
      <c r="X777" s="1" cm="1">
        <f t="array" aca="1" ref="X777" ca="1">INDIRECT(CONCATENATE("'",$A$748,"'!u",B777),1)</f>
        <v>0</v>
      </c>
      <c r="Y777" s="1" cm="1">
        <f t="array" aca="1" ref="Y777" ca="1">INDIRECT(CONCATENATE("'",$A$748,"'!v",B777),1)</f>
        <v>0</v>
      </c>
    </row>
    <row r="778" spans="2:25" hidden="1" x14ac:dyDescent="0.25">
      <c r="B778" s="24">
        <f t="shared" si="57"/>
        <v>32</v>
      </c>
      <c r="C778" s="1" cm="1">
        <f t="array" aca="1" ref="C778" ca="1">INDIRECT(CONCATENATE("'",$A$748,"'!A",B778),1)</f>
        <v>0</v>
      </c>
      <c r="D778" s="1" cm="1">
        <f t="array" aca="1" ref="D778" ca="1">INDIRECT(CONCATENATE("'",$A$748,"'!B",B778),1)</f>
        <v>0</v>
      </c>
      <c r="E778" s="1" cm="1">
        <f t="array" aca="1" ref="E778" ca="1">INDIRECT(CONCATENATE("'",$A$748,"'!c",B778),1)</f>
        <v>0</v>
      </c>
      <c r="F778" s="1" cm="1">
        <f t="array" aca="1" ref="F778" ca="1">INDIRECT(CONCATENATE("'",$A$748,"'!d",B778),1)</f>
        <v>0</v>
      </c>
      <c r="G778" s="1" cm="1">
        <f t="array" aca="1" ref="G778" ca="1">INDIRECT(CONCATENATE("'",$A$748,"'!e",B778),1)</f>
        <v>0</v>
      </c>
      <c r="H778" s="1" cm="1">
        <f t="array" aca="1" ref="H778" ca="1">INDIRECT(CONCATENATE("'",$A$748,"'!f",B778),1)</f>
        <v>0</v>
      </c>
      <c r="I778" s="1" cm="1">
        <f t="array" aca="1" ref="I778" ca="1">INDIRECT(CONCATENATE("'",$A$748,"'!g",B778),1)</f>
        <v>0</v>
      </c>
      <c r="J778" s="1" cm="1">
        <f t="array" aca="1" ref="J778" ca="1">INDIRECT(CONCATENATE("'",$A$748,"'!h",B778),1)</f>
        <v>0</v>
      </c>
      <c r="K778" s="1" cm="1">
        <f t="array" aca="1" ref="K778" ca="1">INDIRECT(CONCATENATE("'",$A$748,"'!i",B778),1)</f>
        <v>0</v>
      </c>
      <c r="L778" s="1" cm="1">
        <f t="array" aca="1" ref="L778" ca="1">INDIRECT(CONCATENATE("'",$A$748,"'!j",B778),1)</f>
        <v>0</v>
      </c>
      <c r="M778" s="1" cm="1">
        <f t="array" aca="1" ref="M778" ca="1">INDIRECT(CONCATENATE("'",$A$748,"'!k",B778),1)</f>
        <v>0</v>
      </c>
      <c r="N778" s="1" cm="1">
        <f t="array" aca="1" ref="N778" ca="1">INDIRECT(CONCATENATE("'",$A$748,"'!l",B778),1)</f>
        <v>0</v>
      </c>
      <c r="O778" s="1" cm="1">
        <f t="array" aca="1" ref="O778" ca="1">INDIRECT(CONCATENATE("'",$A$748,"'!m",B778),1)</f>
        <v>0</v>
      </c>
      <c r="P778" s="1" cm="1">
        <f t="array" aca="1" ref="P778" ca="1">INDIRECT(CONCATENATE("'",$A$748,"'!n",B778),1)</f>
        <v>0</v>
      </c>
      <c r="Q778" s="1" cm="1">
        <f t="array" aca="1" ref="Q778" ca="1">INDIRECT(CONCATENATE("'",$A$748,"'!o",B778),1)</f>
        <v>0</v>
      </c>
      <c r="R778" s="1" cm="1">
        <f t="array" aca="1" ref="R778" ca="1">INDIRECT(CONCATENATE("'",$A$748,"'!p",B778),1)</f>
        <v>0</v>
      </c>
      <c r="S778" s="1">
        <f t="shared" ca="1" si="58"/>
        <v>0</v>
      </c>
      <c r="T778" s="1" cm="1">
        <f t="array" aca="1" ref="T778" ca="1">INDIRECT(CONCATENATE("'",$A$748,"'!q",B778),1)</f>
        <v>0</v>
      </c>
      <c r="U778" s="1" cm="1">
        <f t="array" aca="1" ref="U778" ca="1">INDIRECT(CONCATENATE("'",$A$748,"'!r",B778),1)</f>
        <v>0</v>
      </c>
      <c r="V778" s="1" cm="1">
        <f t="array" aca="1" ref="V778" ca="1">INDIRECT(CONCATENATE("'",$A$748,"'!s",B778),1)</f>
        <v>0</v>
      </c>
      <c r="W778" s="1" cm="1">
        <f t="array" aca="1" ref="W778" ca="1">INDIRECT(CONCATENATE("'",$A$748,"'!t",B778),1)</f>
        <v>0</v>
      </c>
      <c r="X778" s="1" cm="1">
        <f t="array" aca="1" ref="X778" ca="1">INDIRECT(CONCATENATE("'",$A$748,"'!u",B778),1)</f>
        <v>0</v>
      </c>
      <c r="Y778" s="1" cm="1">
        <f t="array" aca="1" ref="Y778" ca="1">INDIRECT(CONCATENATE("'",$A$748,"'!v",B778),1)</f>
        <v>0</v>
      </c>
    </row>
    <row r="779" spans="2:25" hidden="1" x14ac:dyDescent="0.25">
      <c r="B779" s="24">
        <f t="shared" si="57"/>
        <v>33</v>
      </c>
      <c r="C779" s="1" cm="1">
        <f t="array" aca="1" ref="C779" ca="1">INDIRECT(CONCATENATE("'",$A$748,"'!A",B779),1)</f>
        <v>0</v>
      </c>
      <c r="D779" s="1" cm="1">
        <f t="array" aca="1" ref="D779" ca="1">INDIRECT(CONCATENATE("'",$A$748,"'!B",B779),1)</f>
        <v>0</v>
      </c>
      <c r="E779" s="1" cm="1">
        <f t="array" aca="1" ref="E779" ca="1">INDIRECT(CONCATENATE("'",$A$748,"'!c",B779),1)</f>
        <v>0</v>
      </c>
      <c r="F779" s="1" cm="1">
        <f t="array" aca="1" ref="F779" ca="1">INDIRECT(CONCATENATE("'",$A$748,"'!d",B779),1)</f>
        <v>0</v>
      </c>
      <c r="G779" s="1" cm="1">
        <f t="array" aca="1" ref="G779" ca="1">INDIRECT(CONCATENATE("'",$A$748,"'!e",B779),1)</f>
        <v>0</v>
      </c>
      <c r="H779" s="1" cm="1">
        <f t="array" aca="1" ref="H779" ca="1">INDIRECT(CONCATENATE("'",$A$748,"'!f",B779),1)</f>
        <v>0</v>
      </c>
      <c r="I779" s="1" cm="1">
        <f t="array" aca="1" ref="I779" ca="1">INDIRECT(CONCATENATE("'",$A$748,"'!g",B779),1)</f>
        <v>0</v>
      </c>
      <c r="J779" s="1" cm="1">
        <f t="array" aca="1" ref="J779" ca="1">INDIRECT(CONCATENATE("'",$A$748,"'!h",B779),1)</f>
        <v>0</v>
      </c>
      <c r="K779" s="1" cm="1">
        <f t="array" aca="1" ref="K779" ca="1">INDIRECT(CONCATENATE("'",$A$748,"'!i",B779),1)</f>
        <v>0</v>
      </c>
      <c r="L779" s="1" cm="1">
        <f t="array" aca="1" ref="L779" ca="1">INDIRECT(CONCATENATE("'",$A$748,"'!j",B779),1)</f>
        <v>0</v>
      </c>
      <c r="M779" s="1" cm="1">
        <f t="array" aca="1" ref="M779" ca="1">INDIRECT(CONCATENATE("'",$A$748,"'!k",B779),1)</f>
        <v>0</v>
      </c>
      <c r="N779" s="1" cm="1">
        <f t="array" aca="1" ref="N779" ca="1">INDIRECT(CONCATENATE("'",$A$748,"'!l",B779),1)</f>
        <v>0</v>
      </c>
      <c r="O779" s="1" cm="1">
        <f t="array" aca="1" ref="O779" ca="1">INDIRECT(CONCATENATE("'",$A$748,"'!m",B779),1)</f>
        <v>0</v>
      </c>
      <c r="P779" s="1" cm="1">
        <f t="array" aca="1" ref="P779" ca="1">INDIRECT(CONCATENATE("'",$A$748,"'!n",B779),1)</f>
        <v>0</v>
      </c>
      <c r="Q779" s="1" cm="1">
        <f t="array" aca="1" ref="Q779" ca="1">INDIRECT(CONCATENATE("'",$A$748,"'!o",B779),1)</f>
        <v>0</v>
      </c>
      <c r="R779" s="1" cm="1">
        <f t="array" aca="1" ref="R779" ca="1">INDIRECT(CONCATENATE("'",$A$748,"'!p",B779),1)</f>
        <v>0</v>
      </c>
      <c r="S779" s="1">
        <f t="shared" ca="1" si="58"/>
        <v>0</v>
      </c>
      <c r="T779" s="1" cm="1">
        <f t="array" aca="1" ref="T779" ca="1">INDIRECT(CONCATENATE("'",$A$748,"'!q",B779),1)</f>
        <v>0</v>
      </c>
      <c r="U779" s="1" cm="1">
        <f t="array" aca="1" ref="U779" ca="1">INDIRECT(CONCATENATE("'",$A$748,"'!r",B779),1)</f>
        <v>0</v>
      </c>
      <c r="V779" s="1" cm="1">
        <f t="array" aca="1" ref="V779" ca="1">INDIRECT(CONCATENATE("'",$A$748,"'!s",B779),1)</f>
        <v>0</v>
      </c>
      <c r="W779" s="1" cm="1">
        <f t="array" aca="1" ref="W779" ca="1">INDIRECT(CONCATENATE("'",$A$748,"'!t",B779),1)</f>
        <v>0</v>
      </c>
      <c r="X779" s="1" cm="1">
        <f t="array" aca="1" ref="X779" ca="1">INDIRECT(CONCATENATE("'",$A$748,"'!u",B779),1)</f>
        <v>0</v>
      </c>
      <c r="Y779" s="1" cm="1">
        <f t="array" aca="1" ref="Y779" ca="1">INDIRECT(CONCATENATE("'",$A$748,"'!v",B779),1)</f>
        <v>0</v>
      </c>
    </row>
    <row r="780" spans="2:25" hidden="1" x14ac:dyDescent="0.25">
      <c r="B780" s="24">
        <f t="shared" si="57"/>
        <v>34</v>
      </c>
      <c r="C780" s="1" cm="1">
        <f t="array" aca="1" ref="C780" ca="1">INDIRECT(CONCATENATE("'",$A$748,"'!A",B780),1)</f>
        <v>0</v>
      </c>
      <c r="D780" s="1" cm="1">
        <f t="array" aca="1" ref="D780" ca="1">INDIRECT(CONCATENATE("'",$A$748,"'!B",B780),1)</f>
        <v>0</v>
      </c>
      <c r="E780" s="1" cm="1">
        <f t="array" aca="1" ref="E780" ca="1">INDIRECT(CONCATENATE("'",$A$748,"'!c",B780),1)</f>
        <v>0</v>
      </c>
      <c r="F780" s="1" cm="1">
        <f t="array" aca="1" ref="F780" ca="1">INDIRECT(CONCATENATE("'",$A$748,"'!d",B780),1)</f>
        <v>0</v>
      </c>
      <c r="G780" s="1" cm="1">
        <f t="array" aca="1" ref="G780" ca="1">INDIRECT(CONCATENATE("'",$A$748,"'!e",B780),1)</f>
        <v>0</v>
      </c>
      <c r="H780" s="1" cm="1">
        <f t="array" aca="1" ref="H780" ca="1">INDIRECT(CONCATENATE("'",$A$748,"'!f",B780),1)</f>
        <v>0</v>
      </c>
      <c r="I780" s="1" cm="1">
        <f t="array" aca="1" ref="I780" ca="1">INDIRECT(CONCATENATE("'",$A$748,"'!g",B780),1)</f>
        <v>0</v>
      </c>
      <c r="J780" s="1" cm="1">
        <f t="array" aca="1" ref="J780" ca="1">INDIRECT(CONCATENATE("'",$A$748,"'!h",B780),1)</f>
        <v>0</v>
      </c>
      <c r="K780" s="1" cm="1">
        <f t="array" aca="1" ref="K780" ca="1">INDIRECT(CONCATENATE("'",$A$748,"'!i",B780),1)</f>
        <v>0</v>
      </c>
      <c r="L780" s="1" cm="1">
        <f t="array" aca="1" ref="L780" ca="1">INDIRECT(CONCATENATE("'",$A$748,"'!j",B780),1)</f>
        <v>0</v>
      </c>
      <c r="M780" s="1" cm="1">
        <f t="array" aca="1" ref="M780" ca="1">INDIRECT(CONCATENATE("'",$A$748,"'!k",B780),1)</f>
        <v>0</v>
      </c>
      <c r="N780" s="1" cm="1">
        <f t="array" aca="1" ref="N780" ca="1">INDIRECT(CONCATENATE("'",$A$748,"'!l",B780),1)</f>
        <v>0</v>
      </c>
      <c r="O780" s="1" cm="1">
        <f t="array" aca="1" ref="O780" ca="1">INDIRECT(CONCATENATE("'",$A$748,"'!m",B780),1)</f>
        <v>0</v>
      </c>
      <c r="P780" s="1" cm="1">
        <f t="array" aca="1" ref="P780" ca="1">INDIRECT(CONCATENATE("'",$A$748,"'!n",B780),1)</f>
        <v>0</v>
      </c>
      <c r="Q780" s="1" cm="1">
        <f t="array" aca="1" ref="Q780" ca="1">INDIRECT(CONCATENATE("'",$A$748,"'!o",B780),1)</f>
        <v>0</v>
      </c>
      <c r="R780" s="1" cm="1">
        <f t="array" aca="1" ref="R780" ca="1">INDIRECT(CONCATENATE("'",$A$748,"'!p",B780),1)</f>
        <v>0</v>
      </c>
      <c r="S780" s="1">
        <f t="shared" ca="1" si="58"/>
        <v>0</v>
      </c>
      <c r="T780" s="1" cm="1">
        <f t="array" aca="1" ref="T780" ca="1">INDIRECT(CONCATENATE("'",$A$748,"'!q",B780),1)</f>
        <v>0</v>
      </c>
      <c r="U780" s="1" cm="1">
        <f t="array" aca="1" ref="U780" ca="1">INDIRECT(CONCATENATE("'",$A$748,"'!r",B780),1)</f>
        <v>0</v>
      </c>
      <c r="V780" s="1" cm="1">
        <f t="array" aca="1" ref="V780" ca="1">INDIRECT(CONCATENATE("'",$A$748,"'!s",B780),1)</f>
        <v>0</v>
      </c>
      <c r="W780" s="1" cm="1">
        <f t="array" aca="1" ref="W780" ca="1">INDIRECT(CONCATENATE("'",$A$748,"'!t",B780),1)</f>
        <v>0</v>
      </c>
      <c r="X780" s="1" cm="1">
        <f t="array" aca="1" ref="X780" ca="1">INDIRECT(CONCATENATE("'",$A$748,"'!u",B780),1)</f>
        <v>0</v>
      </c>
      <c r="Y780" s="1" cm="1">
        <f t="array" aca="1" ref="Y780" ca="1">INDIRECT(CONCATENATE("'",$A$748,"'!v",B780),1)</f>
        <v>0</v>
      </c>
    </row>
    <row r="781" spans="2:25" hidden="1" x14ac:dyDescent="0.25">
      <c r="B781" s="24">
        <f t="shared" si="57"/>
        <v>35</v>
      </c>
      <c r="C781" s="1" cm="1">
        <f t="array" aca="1" ref="C781" ca="1">INDIRECT(CONCATENATE("'",$A$748,"'!A",B781),1)</f>
        <v>0</v>
      </c>
      <c r="D781" s="1" cm="1">
        <f t="array" aca="1" ref="D781" ca="1">INDIRECT(CONCATENATE("'",$A$748,"'!B",B781),1)</f>
        <v>0</v>
      </c>
      <c r="E781" s="1" cm="1">
        <f t="array" aca="1" ref="E781" ca="1">INDIRECT(CONCATENATE("'",$A$748,"'!c",B781),1)</f>
        <v>0</v>
      </c>
      <c r="F781" s="1" cm="1">
        <f t="array" aca="1" ref="F781" ca="1">INDIRECT(CONCATENATE("'",$A$748,"'!d",B781),1)</f>
        <v>0</v>
      </c>
      <c r="G781" s="1" cm="1">
        <f t="array" aca="1" ref="G781" ca="1">INDIRECT(CONCATENATE("'",$A$748,"'!e",B781),1)</f>
        <v>0</v>
      </c>
      <c r="H781" s="1" cm="1">
        <f t="array" aca="1" ref="H781" ca="1">INDIRECT(CONCATENATE("'",$A$748,"'!f",B781),1)</f>
        <v>0</v>
      </c>
      <c r="I781" s="1" cm="1">
        <f t="array" aca="1" ref="I781" ca="1">INDIRECT(CONCATENATE("'",$A$748,"'!g",B781),1)</f>
        <v>0</v>
      </c>
      <c r="J781" s="1" cm="1">
        <f t="array" aca="1" ref="J781" ca="1">INDIRECT(CONCATENATE("'",$A$748,"'!h",B781),1)</f>
        <v>0</v>
      </c>
      <c r="K781" s="1" cm="1">
        <f t="array" aca="1" ref="K781" ca="1">INDIRECT(CONCATENATE("'",$A$748,"'!i",B781),1)</f>
        <v>0</v>
      </c>
      <c r="L781" s="1" cm="1">
        <f t="array" aca="1" ref="L781" ca="1">INDIRECT(CONCATENATE("'",$A$748,"'!j",B781),1)</f>
        <v>0</v>
      </c>
      <c r="M781" s="1" cm="1">
        <f t="array" aca="1" ref="M781" ca="1">INDIRECT(CONCATENATE("'",$A$748,"'!k",B781),1)</f>
        <v>0</v>
      </c>
      <c r="N781" s="1" cm="1">
        <f t="array" aca="1" ref="N781" ca="1">INDIRECT(CONCATENATE("'",$A$748,"'!l",B781),1)</f>
        <v>0</v>
      </c>
      <c r="O781" s="1" cm="1">
        <f t="array" aca="1" ref="O781" ca="1">INDIRECT(CONCATENATE("'",$A$748,"'!m",B781),1)</f>
        <v>0</v>
      </c>
      <c r="P781" s="1" cm="1">
        <f t="array" aca="1" ref="P781" ca="1">INDIRECT(CONCATENATE("'",$A$748,"'!n",B781),1)</f>
        <v>0</v>
      </c>
      <c r="Q781" s="1" cm="1">
        <f t="array" aca="1" ref="Q781" ca="1">INDIRECT(CONCATENATE("'",$A$748,"'!o",B781),1)</f>
        <v>0</v>
      </c>
      <c r="R781" s="1" cm="1">
        <f t="array" aca="1" ref="R781" ca="1">INDIRECT(CONCATENATE("'",$A$748,"'!p",B781),1)</f>
        <v>0</v>
      </c>
      <c r="S781" s="1">
        <f t="shared" ca="1" si="58"/>
        <v>0</v>
      </c>
      <c r="T781" s="1" cm="1">
        <f t="array" aca="1" ref="T781" ca="1">INDIRECT(CONCATENATE("'",$A$748,"'!q",B781),1)</f>
        <v>0</v>
      </c>
      <c r="U781" s="1" cm="1">
        <f t="array" aca="1" ref="U781" ca="1">INDIRECT(CONCATENATE("'",$A$748,"'!r",B781),1)</f>
        <v>0</v>
      </c>
      <c r="V781" s="1" cm="1">
        <f t="array" aca="1" ref="V781" ca="1">INDIRECT(CONCATENATE("'",$A$748,"'!s",B781),1)</f>
        <v>0</v>
      </c>
      <c r="W781" s="1" cm="1">
        <f t="array" aca="1" ref="W781" ca="1">INDIRECT(CONCATENATE("'",$A$748,"'!t",B781),1)</f>
        <v>0</v>
      </c>
      <c r="X781" s="1" cm="1">
        <f t="array" aca="1" ref="X781" ca="1">INDIRECT(CONCATENATE("'",$A$748,"'!u",B781),1)</f>
        <v>0</v>
      </c>
      <c r="Y781" s="1" cm="1">
        <f t="array" aca="1" ref="Y781" ca="1">INDIRECT(CONCATENATE("'",$A$748,"'!v",B781),1)</f>
        <v>0</v>
      </c>
    </row>
    <row r="782" spans="2:25" hidden="1" x14ac:dyDescent="0.25">
      <c r="B782" s="24">
        <f t="shared" si="57"/>
        <v>36</v>
      </c>
      <c r="C782" s="1" cm="1">
        <f t="array" aca="1" ref="C782" ca="1">INDIRECT(CONCATENATE("'",$A$748,"'!A",B782),1)</f>
        <v>0</v>
      </c>
      <c r="D782" s="1" cm="1">
        <f t="array" aca="1" ref="D782" ca="1">INDIRECT(CONCATENATE("'",$A$748,"'!B",B782),1)</f>
        <v>0</v>
      </c>
      <c r="E782" s="1" cm="1">
        <f t="array" aca="1" ref="E782" ca="1">INDIRECT(CONCATENATE("'",$A$748,"'!c",B782),1)</f>
        <v>0</v>
      </c>
      <c r="F782" s="1" cm="1">
        <f t="array" aca="1" ref="F782" ca="1">INDIRECT(CONCATENATE("'",$A$748,"'!d",B782),1)</f>
        <v>0</v>
      </c>
      <c r="G782" s="1" cm="1">
        <f t="array" aca="1" ref="G782" ca="1">INDIRECT(CONCATENATE("'",$A$748,"'!e",B782),1)</f>
        <v>0</v>
      </c>
      <c r="H782" s="1" cm="1">
        <f t="array" aca="1" ref="H782" ca="1">INDIRECT(CONCATENATE("'",$A$748,"'!f",B782),1)</f>
        <v>0</v>
      </c>
      <c r="I782" s="1" cm="1">
        <f t="array" aca="1" ref="I782" ca="1">INDIRECT(CONCATENATE("'",$A$748,"'!g",B782),1)</f>
        <v>0</v>
      </c>
      <c r="J782" s="1" cm="1">
        <f t="array" aca="1" ref="J782" ca="1">INDIRECT(CONCATENATE("'",$A$748,"'!h",B782),1)</f>
        <v>0</v>
      </c>
      <c r="K782" s="1" cm="1">
        <f t="array" aca="1" ref="K782" ca="1">INDIRECT(CONCATENATE("'",$A$748,"'!i",B782),1)</f>
        <v>0</v>
      </c>
      <c r="L782" s="1" cm="1">
        <f t="array" aca="1" ref="L782" ca="1">INDIRECT(CONCATENATE("'",$A$748,"'!j",B782),1)</f>
        <v>0</v>
      </c>
      <c r="M782" s="1" cm="1">
        <f t="array" aca="1" ref="M782" ca="1">INDIRECT(CONCATENATE("'",$A$748,"'!k",B782),1)</f>
        <v>0</v>
      </c>
      <c r="N782" s="1" cm="1">
        <f t="array" aca="1" ref="N782" ca="1">INDIRECT(CONCATENATE("'",$A$748,"'!l",B782),1)</f>
        <v>0</v>
      </c>
      <c r="O782" s="1" cm="1">
        <f t="array" aca="1" ref="O782" ca="1">INDIRECT(CONCATENATE("'",$A$748,"'!m",B782),1)</f>
        <v>0</v>
      </c>
      <c r="P782" s="1" cm="1">
        <f t="array" aca="1" ref="P782" ca="1">INDIRECT(CONCATENATE("'",$A$748,"'!n",B782),1)</f>
        <v>0</v>
      </c>
      <c r="Q782" s="1" cm="1">
        <f t="array" aca="1" ref="Q782" ca="1">INDIRECT(CONCATENATE("'",$A$748,"'!o",B782),1)</f>
        <v>0</v>
      </c>
      <c r="R782" s="1" cm="1">
        <f t="array" aca="1" ref="R782" ca="1">INDIRECT(CONCATENATE("'",$A$748,"'!p",B782),1)</f>
        <v>0</v>
      </c>
      <c r="S782" s="1">
        <f t="shared" ca="1" si="58"/>
        <v>0</v>
      </c>
      <c r="T782" s="1" cm="1">
        <f t="array" aca="1" ref="T782" ca="1">INDIRECT(CONCATENATE("'",$A$748,"'!q",B782),1)</f>
        <v>0</v>
      </c>
      <c r="U782" s="1" cm="1">
        <f t="array" aca="1" ref="U782" ca="1">INDIRECT(CONCATENATE("'",$A$748,"'!r",B782),1)</f>
        <v>0</v>
      </c>
      <c r="V782" s="1" cm="1">
        <f t="array" aca="1" ref="V782" ca="1">INDIRECT(CONCATENATE("'",$A$748,"'!s",B782),1)</f>
        <v>0</v>
      </c>
      <c r="W782" s="1" cm="1">
        <f t="array" aca="1" ref="W782" ca="1">INDIRECT(CONCATENATE("'",$A$748,"'!t",B782),1)</f>
        <v>0</v>
      </c>
      <c r="X782" s="1" cm="1">
        <f t="array" aca="1" ref="X782" ca="1">INDIRECT(CONCATENATE("'",$A$748,"'!u",B782),1)</f>
        <v>0</v>
      </c>
      <c r="Y782" s="1" cm="1">
        <f t="array" aca="1" ref="Y782" ca="1">INDIRECT(CONCATENATE("'",$A$748,"'!v",B782),1)</f>
        <v>0</v>
      </c>
    </row>
    <row r="783" spans="2:25" hidden="1" x14ac:dyDescent="0.25">
      <c r="B783" s="24">
        <f t="shared" si="57"/>
        <v>37</v>
      </c>
      <c r="C783" s="1" cm="1">
        <f t="array" aca="1" ref="C783" ca="1">INDIRECT(CONCATENATE("'",$A$748,"'!A",B783),1)</f>
        <v>0</v>
      </c>
      <c r="D783" s="1" cm="1">
        <f t="array" aca="1" ref="D783" ca="1">INDIRECT(CONCATENATE("'",$A$748,"'!B",B783),1)</f>
        <v>0</v>
      </c>
      <c r="E783" s="1" cm="1">
        <f t="array" aca="1" ref="E783" ca="1">INDIRECT(CONCATENATE("'",$A$748,"'!c",B783),1)</f>
        <v>0</v>
      </c>
      <c r="F783" s="1" cm="1">
        <f t="array" aca="1" ref="F783" ca="1">INDIRECT(CONCATENATE("'",$A$748,"'!d",B783),1)</f>
        <v>0</v>
      </c>
      <c r="G783" s="1" cm="1">
        <f t="array" aca="1" ref="G783" ca="1">INDIRECT(CONCATENATE("'",$A$748,"'!e",B783),1)</f>
        <v>0</v>
      </c>
      <c r="H783" s="1" cm="1">
        <f t="array" aca="1" ref="H783" ca="1">INDIRECT(CONCATENATE("'",$A$748,"'!f",B783),1)</f>
        <v>0</v>
      </c>
      <c r="I783" s="1" cm="1">
        <f t="array" aca="1" ref="I783" ca="1">INDIRECT(CONCATENATE("'",$A$748,"'!g",B783),1)</f>
        <v>0</v>
      </c>
      <c r="J783" s="1" cm="1">
        <f t="array" aca="1" ref="J783" ca="1">INDIRECT(CONCATENATE("'",$A$748,"'!h",B783),1)</f>
        <v>0</v>
      </c>
      <c r="K783" s="1" cm="1">
        <f t="array" aca="1" ref="K783" ca="1">INDIRECT(CONCATENATE("'",$A$748,"'!i",B783),1)</f>
        <v>0</v>
      </c>
      <c r="L783" s="1" cm="1">
        <f t="array" aca="1" ref="L783" ca="1">INDIRECT(CONCATENATE("'",$A$748,"'!j",B783),1)</f>
        <v>0</v>
      </c>
      <c r="M783" s="1" cm="1">
        <f t="array" aca="1" ref="M783" ca="1">INDIRECT(CONCATENATE("'",$A$748,"'!k",B783),1)</f>
        <v>0</v>
      </c>
      <c r="N783" s="1" cm="1">
        <f t="array" aca="1" ref="N783" ca="1">INDIRECT(CONCATENATE("'",$A$748,"'!l",B783),1)</f>
        <v>0</v>
      </c>
      <c r="O783" s="1" cm="1">
        <f t="array" aca="1" ref="O783" ca="1">INDIRECT(CONCATENATE("'",$A$748,"'!m",B783),1)</f>
        <v>0</v>
      </c>
      <c r="P783" s="1" cm="1">
        <f t="array" aca="1" ref="P783" ca="1">INDIRECT(CONCATENATE("'",$A$748,"'!n",B783),1)</f>
        <v>0</v>
      </c>
      <c r="Q783" s="1" cm="1">
        <f t="array" aca="1" ref="Q783" ca="1">INDIRECT(CONCATENATE("'",$A$748,"'!o",B783),1)</f>
        <v>0</v>
      </c>
      <c r="R783" s="1" cm="1">
        <f t="array" aca="1" ref="R783" ca="1">INDIRECT(CONCATENATE("'",$A$748,"'!p",B783),1)</f>
        <v>0</v>
      </c>
      <c r="S783" s="1">
        <f t="shared" ca="1" si="58"/>
        <v>0</v>
      </c>
      <c r="T783" s="1" cm="1">
        <f t="array" aca="1" ref="T783" ca="1">INDIRECT(CONCATENATE("'",$A$748,"'!q",B783),1)</f>
        <v>0</v>
      </c>
      <c r="U783" s="1" cm="1">
        <f t="array" aca="1" ref="U783" ca="1">INDIRECT(CONCATENATE("'",$A$748,"'!r",B783),1)</f>
        <v>0</v>
      </c>
      <c r="V783" s="1" cm="1">
        <f t="array" aca="1" ref="V783" ca="1">INDIRECT(CONCATENATE("'",$A$748,"'!s",B783),1)</f>
        <v>0</v>
      </c>
      <c r="W783" s="1" cm="1">
        <f t="array" aca="1" ref="W783" ca="1">INDIRECT(CONCATENATE("'",$A$748,"'!t",B783),1)</f>
        <v>0</v>
      </c>
      <c r="X783" s="1" cm="1">
        <f t="array" aca="1" ref="X783" ca="1">INDIRECT(CONCATENATE("'",$A$748,"'!u",B783),1)</f>
        <v>0</v>
      </c>
      <c r="Y783" s="1" cm="1">
        <f t="array" aca="1" ref="Y783" ca="1">INDIRECT(CONCATENATE("'",$A$748,"'!v",B783),1)</f>
        <v>0</v>
      </c>
    </row>
    <row r="784" spans="2:25" hidden="1" x14ac:dyDescent="0.25">
      <c r="B784" s="24">
        <f t="shared" si="57"/>
        <v>38</v>
      </c>
      <c r="C784" s="1" cm="1">
        <f t="array" aca="1" ref="C784" ca="1">INDIRECT(CONCATENATE("'",$A$748,"'!A",B784),1)</f>
        <v>0</v>
      </c>
      <c r="D784" s="1" cm="1">
        <f t="array" aca="1" ref="D784" ca="1">INDIRECT(CONCATENATE("'",$A$748,"'!B",B784),1)</f>
        <v>0</v>
      </c>
      <c r="E784" s="1" cm="1">
        <f t="array" aca="1" ref="E784" ca="1">INDIRECT(CONCATENATE("'",$A$748,"'!c",B784),1)</f>
        <v>0</v>
      </c>
      <c r="F784" s="1" cm="1">
        <f t="array" aca="1" ref="F784" ca="1">INDIRECT(CONCATENATE("'",$A$748,"'!d",B784),1)</f>
        <v>0</v>
      </c>
      <c r="G784" s="1" cm="1">
        <f t="array" aca="1" ref="G784" ca="1">INDIRECT(CONCATENATE("'",$A$748,"'!e",B784),1)</f>
        <v>0</v>
      </c>
      <c r="H784" s="1" cm="1">
        <f t="array" aca="1" ref="H784" ca="1">INDIRECT(CONCATENATE("'",$A$748,"'!f",B784),1)</f>
        <v>0</v>
      </c>
      <c r="I784" s="1" cm="1">
        <f t="array" aca="1" ref="I784" ca="1">INDIRECT(CONCATENATE("'",$A$748,"'!g",B784),1)</f>
        <v>0</v>
      </c>
      <c r="J784" s="1" cm="1">
        <f t="array" aca="1" ref="J784" ca="1">INDIRECT(CONCATENATE("'",$A$748,"'!h",B784),1)</f>
        <v>0</v>
      </c>
      <c r="K784" s="1" cm="1">
        <f t="array" aca="1" ref="K784" ca="1">INDIRECT(CONCATENATE("'",$A$748,"'!i",B784),1)</f>
        <v>0</v>
      </c>
      <c r="L784" s="1" cm="1">
        <f t="array" aca="1" ref="L784" ca="1">INDIRECT(CONCATENATE("'",$A$748,"'!j",B784),1)</f>
        <v>0</v>
      </c>
      <c r="M784" s="1" cm="1">
        <f t="array" aca="1" ref="M784" ca="1">INDIRECT(CONCATENATE("'",$A$748,"'!k",B784),1)</f>
        <v>0</v>
      </c>
      <c r="N784" s="1" cm="1">
        <f t="array" aca="1" ref="N784" ca="1">INDIRECT(CONCATENATE("'",$A$748,"'!l",B784),1)</f>
        <v>0</v>
      </c>
      <c r="O784" s="1" cm="1">
        <f t="array" aca="1" ref="O784" ca="1">INDIRECT(CONCATENATE("'",$A$748,"'!m",B784),1)</f>
        <v>0</v>
      </c>
      <c r="P784" s="1" cm="1">
        <f t="array" aca="1" ref="P784" ca="1">INDIRECT(CONCATENATE("'",$A$748,"'!n",B784),1)</f>
        <v>0</v>
      </c>
      <c r="Q784" s="1" cm="1">
        <f t="array" aca="1" ref="Q784" ca="1">INDIRECT(CONCATENATE("'",$A$748,"'!o",B784),1)</f>
        <v>0</v>
      </c>
      <c r="R784" s="1" cm="1">
        <f t="array" aca="1" ref="R784" ca="1">INDIRECT(CONCATENATE("'",$A$748,"'!p",B784),1)</f>
        <v>0</v>
      </c>
      <c r="S784" s="1">
        <f t="shared" ca="1" si="58"/>
        <v>0</v>
      </c>
      <c r="T784" s="1" cm="1">
        <f t="array" aca="1" ref="T784" ca="1">INDIRECT(CONCATENATE("'",$A$748,"'!q",B784),1)</f>
        <v>0</v>
      </c>
      <c r="U784" s="1" cm="1">
        <f t="array" aca="1" ref="U784" ca="1">INDIRECT(CONCATENATE("'",$A$748,"'!r",B784),1)</f>
        <v>0</v>
      </c>
      <c r="V784" s="1" cm="1">
        <f t="array" aca="1" ref="V784" ca="1">INDIRECT(CONCATENATE("'",$A$748,"'!s",B784),1)</f>
        <v>0</v>
      </c>
      <c r="W784" s="1" cm="1">
        <f t="array" aca="1" ref="W784" ca="1">INDIRECT(CONCATENATE("'",$A$748,"'!t",B784),1)</f>
        <v>0</v>
      </c>
      <c r="X784" s="1" cm="1">
        <f t="array" aca="1" ref="X784" ca="1">INDIRECT(CONCATENATE("'",$A$748,"'!u",B784),1)</f>
        <v>0</v>
      </c>
      <c r="Y784" s="1" cm="1">
        <f t="array" aca="1" ref="Y784" ca="1">INDIRECT(CONCATENATE("'",$A$748,"'!v",B784),1)</f>
        <v>0</v>
      </c>
    </row>
    <row r="785" spans="2:29" hidden="1" x14ac:dyDescent="0.25">
      <c r="B785" s="24">
        <f t="shared" si="57"/>
        <v>39</v>
      </c>
      <c r="C785" s="1" cm="1">
        <f t="array" aca="1" ref="C785" ca="1">INDIRECT(CONCATENATE("'",$A$748,"'!A",B785),1)</f>
        <v>0</v>
      </c>
      <c r="D785" s="1" cm="1">
        <f t="array" aca="1" ref="D785" ca="1">INDIRECT(CONCATENATE("'",$A$748,"'!B",B785),1)</f>
        <v>0</v>
      </c>
      <c r="E785" s="1" cm="1">
        <f t="array" aca="1" ref="E785" ca="1">INDIRECT(CONCATENATE("'",$A$748,"'!c",B785),1)</f>
        <v>0</v>
      </c>
      <c r="F785" s="1" cm="1">
        <f t="array" aca="1" ref="F785" ca="1">INDIRECT(CONCATENATE("'",$A$748,"'!d",B785),1)</f>
        <v>0</v>
      </c>
      <c r="G785" s="1" cm="1">
        <f t="array" aca="1" ref="G785" ca="1">INDIRECT(CONCATENATE("'",$A$748,"'!e",B785),1)</f>
        <v>0</v>
      </c>
      <c r="H785" s="1" cm="1">
        <f t="array" aca="1" ref="H785" ca="1">INDIRECT(CONCATENATE("'",$A$748,"'!f",B785),1)</f>
        <v>0</v>
      </c>
      <c r="I785" s="1" cm="1">
        <f t="array" aca="1" ref="I785" ca="1">INDIRECT(CONCATENATE("'",$A$748,"'!g",B785),1)</f>
        <v>0</v>
      </c>
      <c r="J785" s="1" cm="1">
        <f t="array" aca="1" ref="J785" ca="1">INDIRECT(CONCATENATE("'",$A$748,"'!h",B785),1)</f>
        <v>0</v>
      </c>
      <c r="K785" s="1" cm="1">
        <f t="array" aca="1" ref="K785" ca="1">INDIRECT(CONCATENATE("'",$A$748,"'!i",B785),1)</f>
        <v>0</v>
      </c>
      <c r="L785" s="1" cm="1">
        <f t="array" aca="1" ref="L785" ca="1">INDIRECT(CONCATENATE("'",$A$748,"'!j",B785),1)</f>
        <v>0</v>
      </c>
      <c r="M785" s="1" cm="1">
        <f t="array" aca="1" ref="M785" ca="1">INDIRECT(CONCATENATE("'",$A$748,"'!k",B785),1)</f>
        <v>0</v>
      </c>
      <c r="N785" s="1" cm="1">
        <f t="array" aca="1" ref="N785" ca="1">INDIRECT(CONCATENATE("'",$A$748,"'!l",B785),1)</f>
        <v>0</v>
      </c>
      <c r="O785" s="1" cm="1">
        <f t="array" aca="1" ref="O785" ca="1">INDIRECT(CONCATENATE("'",$A$748,"'!m",B785),1)</f>
        <v>0</v>
      </c>
      <c r="P785" s="1" cm="1">
        <f t="array" aca="1" ref="P785" ca="1">INDIRECT(CONCATENATE("'",$A$748,"'!n",B785),1)</f>
        <v>0</v>
      </c>
      <c r="Q785" s="1" cm="1">
        <f t="array" aca="1" ref="Q785" ca="1">INDIRECT(CONCATENATE("'",$A$748,"'!o",B785),1)</f>
        <v>0</v>
      </c>
      <c r="R785" s="1" cm="1">
        <f t="array" aca="1" ref="R785" ca="1">INDIRECT(CONCATENATE("'",$A$748,"'!p",B785),1)</f>
        <v>0</v>
      </c>
      <c r="S785" s="1">
        <f t="shared" ca="1" si="58"/>
        <v>0</v>
      </c>
      <c r="T785" s="1" cm="1">
        <f t="array" aca="1" ref="T785" ca="1">INDIRECT(CONCATENATE("'",$A$748,"'!q",B785),1)</f>
        <v>0</v>
      </c>
      <c r="U785" s="1" cm="1">
        <f t="array" aca="1" ref="U785" ca="1">INDIRECT(CONCATENATE("'",$A$748,"'!r",B785),1)</f>
        <v>0</v>
      </c>
      <c r="V785" s="1" cm="1">
        <f t="array" aca="1" ref="V785" ca="1">INDIRECT(CONCATENATE("'",$A$748,"'!s",B785),1)</f>
        <v>0</v>
      </c>
      <c r="W785" s="1" cm="1">
        <f t="array" aca="1" ref="W785" ca="1">INDIRECT(CONCATENATE("'",$A$748,"'!t",B785),1)</f>
        <v>0</v>
      </c>
      <c r="X785" s="1" cm="1">
        <f t="array" aca="1" ref="X785" ca="1">INDIRECT(CONCATENATE("'",$A$748,"'!u",B785),1)</f>
        <v>0</v>
      </c>
      <c r="Y785" s="1" cm="1">
        <f t="array" aca="1" ref="Y785" ca="1">INDIRECT(CONCATENATE("'",$A$748,"'!v",B785),1)</f>
        <v>0</v>
      </c>
    </row>
    <row r="786" spans="2:29" hidden="1" x14ac:dyDescent="0.25">
      <c r="B786" s="24">
        <f t="shared" si="57"/>
        <v>40</v>
      </c>
      <c r="C786" s="1" cm="1">
        <f t="array" aca="1" ref="C786" ca="1">INDIRECT(CONCATENATE("'",$A$748,"'!A",B786),1)</f>
        <v>0</v>
      </c>
      <c r="D786" s="1" cm="1">
        <f t="array" aca="1" ref="D786" ca="1">INDIRECT(CONCATENATE("'",$A$748,"'!B",B786),1)</f>
        <v>0</v>
      </c>
      <c r="E786" s="1" cm="1">
        <f t="array" aca="1" ref="E786" ca="1">INDIRECT(CONCATENATE("'",$A$748,"'!c",B786),1)</f>
        <v>0</v>
      </c>
      <c r="F786" s="1" cm="1">
        <f t="array" aca="1" ref="F786" ca="1">INDIRECT(CONCATENATE("'",$A$748,"'!d",B786),1)</f>
        <v>0</v>
      </c>
      <c r="G786" s="1" cm="1">
        <f t="array" aca="1" ref="G786" ca="1">INDIRECT(CONCATENATE("'",$A$748,"'!e",B786),1)</f>
        <v>0</v>
      </c>
      <c r="H786" s="1" cm="1">
        <f t="array" aca="1" ref="H786" ca="1">INDIRECT(CONCATENATE("'",$A$748,"'!f",B786),1)</f>
        <v>0</v>
      </c>
      <c r="I786" s="1" cm="1">
        <f t="array" aca="1" ref="I786" ca="1">INDIRECT(CONCATENATE("'",$A$748,"'!g",B786),1)</f>
        <v>0</v>
      </c>
      <c r="J786" s="1" cm="1">
        <f t="array" aca="1" ref="J786" ca="1">INDIRECT(CONCATENATE("'",$A$748,"'!h",B786),1)</f>
        <v>0</v>
      </c>
      <c r="K786" s="1" cm="1">
        <f t="array" aca="1" ref="K786" ca="1">INDIRECT(CONCATENATE("'",$A$748,"'!i",B786),1)</f>
        <v>0</v>
      </c>
      <c r="L786" s="1" cm="1">
        <f t="array" aca="1" ref="L786" ca="1">INDIRECT(CONCATENATE("'",$A$748,"'!j",B786),1)</f>
        <v>0</v>
      </c>
      <c r="M786" s="1" cm="1">
        <f t="array" aca="1" ref="M786" ca="1">INDIRECT(CONCATENATE("'",$A$748,"'!k",B786),1)</f>
        <v>0</v>
      </c>
      <c r="N786" s="1" cm="1">
        <f t="array" aca="1" ref="N786" ca="1">INDIRECT(CONCATENATE("'",$A$748,"'!l",B786),1)</f>
        <v>0</v>
      </c>
      <c r="O786" s="1" cm="1">
        <f t="array" aca="1" ref="O786" ca="1">INDIRECT(CONCATENATE("'",$A$748,"'!m",B786),1)</f>
        <v>0</v>
      </c>
      <c r="P786" s="1" cm="1">
        <f t="array" aca="1" ref="P786" ca="1">INDIRECT(CONCATENATE("'",$A$748,"'!n",B786),1)</f>
        <v>0</v>
      </c>
      <c r="Q786" s="1" cm="1">
        <f t="array" aca="1" ref="Q786" ca="1">INDIRECT(CONCATENATE("'",$A$748,"'!o",B786),1)</f>
        <v>0</v>
      </c>
      <c r="R786" s="1" cm="1">
        <f t="array" aca="1" ref="R786" ca="1">INDIRECT(CONCATENATE("'",$A$748,"'!p",B786),1)</f>
        <v>0</v>
      </c>
      <c r="S786" s="1">
        <f t="shared" ca="1" si="58"/>
        <v>0</v>
      </c>
      <c r="T786" s="1" cm="1">
        <f t="array" aca="1" ref="T786" ca="1">INDIRECT(CONCATENATE("'",$A$748,"'!q",B786),1)</f>
        <v>0</v>
      </c>
      <c r="U786" s="1" cm="1">
        <f t="array" aca="1" ref="U786" ca="1">INDIRECT(CONCATENATE("'",$A$748,"'!r",B786),1)</f>
        <v>0</v>
      </c>
      <c r="V786" s="1" cm="1">
        <f t="array" aca="1" ref="V786" ca="1">INDIRECT(CONCATENATE("'",$A$748,"'!s",B786),1)</f>
        <v>0</v>
      </c>
      <c r="W786" s="1" cm="1">
        <f t="array" aca="1" ref="W786" ca="1">INDIRECT(CONCATENATE("'",$A$748,"'!t",B786),1)</f>
        <v>0</v>
      </c>
      <c r="X786" s="1" cm="1">
        <f t="array" aca="1" ref="X786" ca="1">INDIRECT(CONCATENATE("'",$A$748,"'!u",B786),1)</f>
        <v>0</v>
      </c>
      <c r="Y786" s="1" cm="1">
        <f t="array" aca="1" ref="Y786" ca="1">INDIRECT(CONCATENATE("'",$A$748,"'!v",B786),1)</f>
        <v>0</v>
      </c>
    </row>
    <row r="787" spans="2:29" hidden="1" x14ac:dyDescent="0.25">
      <c r="B787" s="24">
        <f t="shared" si="57"/>
        <v>41</v>
      </c>
      <c r="C787" s="1" cm="1">
        <f t="array" aca="1" ref="C787" ca="1">INDIRECT(CONCATENATE("'",$A$748,"'!A",B787),1)</f>
        <v>0</v>
      </c>
      <c r="D787" s="1" cm="1">
        <f t="array" aca="1" ref="D787" ca="1">INDIRECT(CONCATENATE("'",$A$748,"'!B",B787),1)</f>
        <v>0</v>
      </c>
      <c r="E787" s="1" cm="1">
        <f t="array" aca="1" ref="E787" ca="1">INDIRECT(CONCATENATE("'",$A$748,"'!c",B787),1)</f>
        <v>0</v>
      </c>
      <c r="F787" s="1" cm="1">
        <f t="array" aca="1" ref="F787" ca="1">INDIRECT(CONCATENATE("'",$A$748,"'!d",B787),1)</f>
        <v>0</v>
      </c>
      <c r="G787" s="1" cm="1">
        <f t="array" aca="1" ref="G787" ca="1">INDIRECT(CONCATENATE("'",$A$748,"'!e",B787),1)</f>
        <v>0</v>
      </c>
      <c r="H787" s="1" cm="1">
        <f t="array" aca="1" ref="H787" ca="1">INDIRECT(CONCATENATE("'",$A$748,"'!f",B787),1)</f>
        <v>0</v>
      </c>
      <c r="I787" s="1" cm="1">
        <f t="array" aca="1" ref="I787" ca="1">INDIRECT(CONCATENATE("'",$A$748,"'!g",B787),1)</f>
        <v>0</v>
      </c>
      <c r="J787" s="1" cm="1">
        <f t="array" aca="1" ref="J787" ca="1">INDIRECT(CONCATENATE("'",$A$748,"'!h",B787),1)</f>
        <v>0</v>
      </c>
      <c r="K787" s="1" cm="1">
        <f t="array" aca="1" ref="K787" ca="1">INDIRECT(CONCATENATE("'",$A$748,"'!i",B787),1)</f>
        <v>0</v>
      </c>
      <c r="L787" s="1" cm="1">
        <f t="array" aca="1" ref="L787" ca="1">INDIRECT(CONCATENATE("'",$A$748,"'!j",B787),1)</f>
        <v>0</v>
      </c>
      <c r="M787" s="1" cm="1">
        <f t="array" aca="1" ref="M787" ca="1">INDIRECT(CONCATENATE("'",$A$748,"'!k",B787),1)</f>
        <v>0</v>
      </c>
      <c r="N787" s="1" cm="1">
        <f t="array" aca="1" ref="N787" ca="1">INDIRECT(CONCATENATE("'",$A$748,"'!l",B787),1)</f>
        <v>0</v>
      </c>
      <c r="O787" s="1" cm="1">
        <f t="array" aca="1" ref="O787" ca="1">INDIRECT(CONCATENATE("'",$A$748,"'!m",B787),1)</f>
        <v>0</v>
      </c>
      <c r="P787" s="1" cm="1">
        <f t="array" aca="1" ref="P787" ca="1">INDIRECT(CONCATENATE("'",$A$748,"'!n",B787),1)</f>
        <v>0</v>
      </c>
      <c r="Q787" s="1" cm="1">
        <f t="array" aca="1" ref="Q787" ca="1">INDIRECT(CONCATENATE("'",$A$748,"'!o",B787),1)</f>
        <v>0</v>
      </c>
      <c r="R787" s="1" cm="1">
        <f t="array" aca="1" ref="R787" ca="1">INDIRECT(CONCATENATE("'",$A$748,"'!p",B787),1)</f>
        <v>0</v>
      </c>
      <c r="S787" s="1">
        <f t="shared" ca="1" si="58"/>
        <v>0</v>
      </c>
      <c r="T787" s="1" cm="1">
        <f t="array" aca="1" ref="T787" ca="1">INDIRECT(CONCATENATE("'",$A$748,"'!q",B787),1)</f>
        <v>0</v>
      </c>
      <c r="U787" s="1" cm="1">
        <f t="array" aca="1" ref="U787" ca="1">INDIRECT(CONCATENATE("'",$A$748,"'!r",B787),1)</f>
        <v>0</v>
      </c>
      <c r="V787" s="1" cm="1">
        <f t="array" aca="1" ref="V787" ca="1">INDIRECT(CONCATENATE("'",$A$748,"'!s",B787),1)</f>
        <v>0</v>
      </c>
      <c r="W787" s="1" cm="1">
        <f t="array" aca="1" ref="W787" ca="1">INDIRECT(CONCATENATE("'",$A$748,"'!t",B787),1)</f>
        <v>0</v>
      </c>
      <c r="X787" s="1" cm="1">
        <f t="array" aca="1" ref="X787" ca="1">INDIRECT(CONCATENATE("'",$A$748,"'!u",B787),1)</f>
        <v>0</v>
      </c>
      <c r="Y787" s="1" cm="1">
        <f t="array" aca="1" ref="Y787" ca="1">INDIRECT(CONCATENATE("'",$A$748,"'!v",B787),1)</f>
        <v>0</v>
      </c>
    </row>
    <row r="788" spans="2:29" hidden="1" x14ac:dyDescent="0.25">
      <c r="B788" s="24">
        <f t="shared" si="57"/>
        <v>42</v>
      </c>
      <c r="C788" s="1" cm="1">
        <f t="array" aca="1" ref="C788" ca="1">INDIRECT(CONCATENATE("'",$A$748,"'!A",B788),1)</f>
        <v>0</v>
      </c>
      <c r="D788" s="1" cm="1">
        <f t="array" aca="1" ref="D788" ca="1">INDIRECT(CONCATENATE("'",$A$748,"'!B",B788),1)</f>
        <v>0</v>
      </c>
      <c r="E788" s="1" cm="1">
        <f t="array" aca="1" ref="E788" ca="1">INDIRECT(CONCATENATE("'",$A$748,"'!c",B788),1)</f>
        <v>0</v>
      </c>
      <c r="F788" s="1" cm="1">
        <f t="array" aca="1" ref="F788" ca="1">INDIRECT(CONCATENATE("'",$A$748,"'!d",B788),1)</f>
        <v>0</v>
      </c>
      <c r="G788" s="1" cm="1">
        <f t="array" aca="1" ref="G788" ca="1">INDIRECT(CONCATENATE("'",$A$748,"'!e",B788),1)</f>
        <v>0</v>
      </c>
      <c r="H788" s="1" cm="1">
        <f t="array" aca="1" ref="H788" ca="1">INDIRECT(CONCATENATE("'",$A$748,"'!f",B788),1)</f>
        <v>0</v>
      </c>
      <c r="I788" s="1" cm="1">
        <f t="array" aca="1" ref="I788" ca="1">INDIRECT(CONCATENATE("'",$A$748,"'!g",B788),1)</f>
        <v>0</v>
      </c>
      <c r="J788" s="1" cm="1">
        <f t="array" aca="1" ref="J788" ca="1">INDIRECT(CONCATENATE("'",$A$748,"'!h",B788),1)</f>
        <v>0</v>
      </c>
      <c r="K788" s="1" cm="1">
        <f t="array" aca="1" ref="K788" ca="1">INDIRECT(CONCATENATE("'",$A$748,"'!i",B788),1)</f>
        <v>0</v>
      </c>
      <c r="L788" s="1" cm="1">
        <f t="array" aca="1" ref="L788" ca="1">INDIRECT(CONCATENATE("'",$A$748,"'!j",B788),1)</f>
        <v>0</v>
      </c>
      <c r="M788" s="1" cm="1">
        <f t="array" aca="1" ref="M788" ca="1">INDIRECT(CONCATENATE("'",$A$748,"'!k",B788),1)</f>
        <v>0</v>
      </c>
      <c r="N788" s="1" cm="1">
        <f t="array" aca="1" ref="N788" ca="1">INDIRECT(CONCATENATE("'",$A$748,"'!l",B788),1)</f>
        <v>0</v>
      </c>
      <c r="O788" s="1" cm="1">
        <f t="array" aca="1" ref="O788" ca="1">INDIRECT(CONCATENATE("'",$A$748,"'!m",B788),1)</f>
        <v>0</v>
      </c>
      <c r="P788" s="1" cm="1">
        <f t="array" aca="1" ref="P788" ca="1">INDIRECT(CONCATENATE("'",$A$748,"'!n",B788),1)</f>
        <v>0</v>
      </c>
      <c r="Q788" s="1" cm="1">
        <f t="array" aca="1" ref="Q788" ca="1">INDIRECT(CONCATENATE("'",$A$748,"'!o",B788),1)</f>
        <v>0</v>
      </c>
      <c r="R788" s="1" cm="1">
        <f t="array" aca="1" ref="R788" ca="1">INDIRECT(CONCATENATE("'",$A$748,"'!p",B788),1)</f>
        <v>0</v>
      </c>
      <c r="S788" s="1">
        <f t="shared" ca="1" si="58"/>
        <v>0</v>
      </c>
      <c r="T788" s="1" cm="1">
        <f t="array" aca="1" ref="T788" ca="1">INDIRECT(CONCATENATE("'",$A$748,"'!q",B788),1)</f>
        <v>0</v>
      </c>
      <c r="U788" s="1" cm="1">
        <f t="array" aca="1" ref="U788" ca="1">INDIRECT(CONCATENATE("'",$A$748,"'!r",B788),1)</f>
        <v>0</v>
      </c>
      <c r="V788" s="1" cm="1">
        <f t="array" aca="1" ref="V788" ca="1">INDIRECT(CONCATENATE("'",$A$748,"'!s",B788),1)</f>
        <v>0</v>
      </c>
      <c r="W788" s="1" cm="1">
        <f t="array" aca="1" ref="W788" ca="1">INDIRECT(CONCATENATE("'",$A$748,"'!t",B788),1)</f>
        <v>0</v>
      </c>
      <c r="X788" s="1" cm="1">
        <f t="array" aca="1" ref="X788" ca="1">INDIRECT(CONCATENATE("'",$A$748,"'!u",B788),1)</f>
        <v>0</v>
      </c>
      <c r="Y788" s="1" cm="1">
        <f t="array" aca="1" ref="Y788" ca="1">INDIRECT(CONCATENATE("'",$A$748,"'!v",B788),1)</f>
        <v>0</v>
      </c>
    </row>
    <row r="789" spans="2:29" hidden="1" x14ac:dyDescent="0.25">
      <c r="B789" s="24">
        <f t="shared" si="57"/>
        <v>43</v>
      </c>
      <c r="C789" s="1" cm="1">
        <f t="array" aca="1" ref="C789" ca="1">INDIRECT(CONCATENATE("'",$A$748,"'!A",B789),1)</f>
        <v>0</v>
      </c>
      <c r="D789" s="1" cm="1">
        <f t="array" aca="1" ref="D789" ca="1">INDIRECT(CONCATENATE("'",$A$748,"'!B",B789),1)</f>
        <v>0</v>
      </c>
      <c r="E789" s="1" cm="1">
        <f t="array" aca="1" ref="E789" ca="1">INDIRECT(CONCATENATE("'",$A$748,"'!c",B789),1)</f>
        <v>0</v>
      </c>
      <c r="F789" s="1" cm="1">
        <f t="array" aca="1" ref="F789" ca="1">INDIRECT(CONCATENATE("'",$A$748,"'!d",B789),1)</f>
        <v>0</v>
      </c>
      <c r="G789" s="1" cm="1">
        <f t="array" aca="1" ref="G789" ca="1">INDIRECT(CONCATENATE("'",$A$748,"'!e",B789),1)</f>
        <v>0</v>
      </c>
      <c r="H789" s="1" cm="1">
        <f t="array" aca="1" ref="H789" ca="1">INDIRECT(CONCATENATE("'",$A$748,"'!f",B789),1)</f>
        <v>0</v>
      </c>
      <c r="I789" s="1" cm="1">
        <f t="array" aca="1" ref="I789" ca="1">INDIRECT(CONCATENATE("'",$A$748,"'!g",B789),1)</f>
        <v>0</v>
      </c>
      <c r="J789" s="1" cm="1">
        <f t="array" aca="1" ref="J789" ca="1">INDIRECT(CONCATENATE("'",$A$748,"'!h",B789),1)</f>
        <v>0</v>
      </c>
      <c r="K789" s="1" cm="1">
        <f t="array" aca="1" ref="K789" ca="1">INDIRECT(CONCATENATE("'",$A$748,"'!i",B789),1)</f>
        <v>0</v>
      </c>
      <c r="L789" s="1" cm="1">
        <f t="array" aca="1" ref="L789" ca="1">INDIRECT(CONCATENATE("'",$A$748,"'!j",B789),1)</f>
        <v>0</v>
      </c>
      <c r="M789" s="1" cm="1">
        <f t="array" aca="1" ref="M789" ca="1">INDIRECT(CONCATENATE("'",$A$748,"'!k",B789),1)</f>
        <v>0</v>
      </c>
      <c r="N789" s="1" cm="1">
        <f t="array" aca="1" ref="N789" ca="1">INDIRECT(CONCATENATE("'",$A$748,"'!l",B789),1)</f>
        <v>0</v>
      </c>
      <c r="O789" s="1" cm="1">
        <f t="array" aca="1" ref="O789" ca="1">INDIRECT(CONCATENATE("'",$A$748,"'!m",B789),1)</f>
        <v>0</v>
      </c>
      <c r="P789" s="1" cm="1">
        <f t="array" aca="1" ref="P789" ca="1">INDIRECT(CONCATENATE("'",$A$748,"'!n",B789),1)</f>
        <v>0</v>
      </c>
      <c r="Q789" s="1" cm="1">
        <f t="array" aca="1" ref="Q789" ca="1">INDIRECT(CONCATENATE("'",$A$748,"'!o",B789),1)</f>
        <v>0</v>
      </c>
      <c r="R789" s="1" cm="1">
        <f t="array" aca="1" ref="R789" ca="1">INDIRECT(CONCATENATE("'",$A$748,"'!p",B789),1)</f>
        <v>0</v>
      </c>
      <c r="S789" s="1">
        <f t="shared" ca="1" si="58"/>
        <v>0</v>
      </c>
      <c r="T789" s="1" cm="1">
        <f t="array" aca="1" ref="T789" ca="1">INDIRECT(CONCATENATE("'",$A$748,"'!q",B789),1)</f>
        <v>0</v>
      </c>
      <c r="U789" s="1" cm="1">
        <f t="array" aca="1" ref="U789" ca="1">INDIRECT(CONCATENATE("'",$A$748,"'!r",B789),1)</f>
        <v>0</v>
      </c>
      <c r="V789" s="1" cm="1">
        <f t="array" aca="1" ref="V789" ca="1">INDIRECT(CONCATENATE("'",$A$748,"'!s",B789),1)</f>
        <v>0</v>
      </c>
      <c r="W789" s="1" cm="1">
        <f t="array" aca="1" ref="W789" ca="1">INDIRECT(CONCATENATE("'",$A$748,"'!t",B789),1)</f>
        <v>0</v>
      </c>
      <c r="X789" s="1" cm="1">
        <f t="array" aca="1" ref="X789" ca="1">INDIRECT(CONCATENATE("'",$A$748,"'!u",B789),1)</f>
        <v>0</v>
      </c>
      <c r="Y789" s="1" cm="1">
        <f t="array" aca="1" ref="Y789" ca="1">INDIRECT(CONCATENATE("'",$A$748,"'!v",B789),1)</f>
        <v>0</v>
      </c>
    </row>
    <row r="790" spans="2:29" hidden="1" x14ac:dyDescent="0.25">
      <c r="B790" s="24">
        <f t="shared" si="57"/>
        <v>44</v>
      </c>
      <c r="C790" s="1" cm="1">
        <f t="array" aca="1" ref="C790" ca="1">INDIRECT(CONCATENATE("'",$A$748,"'!A",B790),1)</f>
        <v>0</v>
      </c>
      <c r="D790" s="1" cm="1">
        <f t="array" aca="1" ref="D790" ca="1">INDIRECT(CONCATENATE("'",$A$748,"'!B",B790),1)</f>
        <v>0</v>
      </c>
      <c r="E790" s="1" cm="1">
        <f t="array" aca="1" ref="E790" ca="1">INDIRECT(CONCATENATE("'",$A$748,"'!c",B790),1)</f>
        <v>0</v>
      </c>
      <c r="F790" s="1" cm="1">
        <f t="array" aca="1" ref="F790" ca="1">INDIRECT(CONCATENATE("'",$A$748,"'!d",B790),1)</f>
        <v>0</v>
      </c>
      <c r="G790" s="1" cm="1">
        <f t="array" aca="1" ref="G790" ca="1">INDIRECT(CONCATENATE("'",$A$748,"'!e",B790),1)</f>
        <v>0</v>
      </c>
      <c r="H790" s="1" cm="1">
        <f t="array" aca="1" ref="H790" ca="1">INDIRECT(CONCATENATE("'",$A$748,"'!f",B790),1)</f>
        <v>0</v>
      </c>
      <c r="I790" s="1" cm="1">
        <f t="array" aca="1" ref="I790" ca="1">INDIRECT(CONCATENATE("'",$A$748,"'!g",B790),1)</f>
        <v>0</v>
      </c>
      <c r="J790" s="1" cm="1">
        <f t="array" aca="1" ref="J790" ca="1">INDIRECT(CONCATENATE("'",$A$748,"'!h",B790),1)</f>
        <v>0</v>
      </c>
      <c r="K790" s="1" cm="1">
        <f t="array" aca="1" ref="K790" ca="1">INDIRECT(CONCATENATE("'",$A$748,"'!i",B790),1)</f>
        <v>0</v>
      </c>
      <c r="L790" s="1" cm="1">
        <f t="array" aca="1" ref="L790" ca="1">INDIRECT(CONCATENATE("'",$A$748,"'!j",B790),1)</f>
        <v>0</v>
      </c>
      <c r="M790" s="1" cm="1">
        <f t="array" aca="1" ref="M790" ca="1">INDIRECT(CONCATENATE("'",$A$748,"'!k",B790),1)</f>
        <v>0</v>
      </c>
      <c r="N790" s="1" cm="1">
        <f t="array" aca="1" ref="N790" ca="1">INDIRECT(CONCATENATE("'",$A$748,"'!l",B790),1)</f>
        <v>0</v>
      </c>
      <c r="O790" s="1" cm="1">
        <f t="array" aca="1" ref="O790" ca="1">INDIRECT(CONCATENATE("'",$A$748,"'!m",B790),1)</f>
        <v>0</v>
      </c>
      <c r="P790" s="1" cm="1">
        <f t="array" aca="1" ref="P790" ca="1">INDIRECT(CONCATENATE("'",$A$748,"'!n",B790),1)</f>
        <v>0</v>
      </c>
      <c r="Q790" s="1" cm="1">
        <f t="array" aca="1" ref="Q790" ca="1">INDIRECT(CONCATENATE("'",$A$748,"'!o",B790),1)</f>
        <v>0</v>
      </c>
      <c r="R790" s="1" cm="1">
        <f t="array" aca="1" ref="R790" ca="1">INDIRECT(CONCATENATE("'",$A$748,"'!p",B790),1)</f>
        <v>0</v>
      </c>
      <c r="S790" s="1">
        <f t="shared" ca="1" si="58"/>
        <v>0</v>
      </c>
      <c r="T790" s="1" cm="1">
        <f t="array" aca="1" ref="T790" ca="1">INDIRECT(CONCATENATE("'",$A$748,"'!q",B790),1)</f>
        <v>0</v>
      </c>
      <c r="U790" s="1" cm="1">
        <f t="array" aca="1" ref="U790" ca="1">INDIRECT(CONCATENATE("'",$A$748,"'!r",B790),1)</f>
        <v>0</v>
      </c>
      <c r="V790" s="1" cm="1">
        <f t="array" aca="1" ref="V790" ca="1">INDIRECT(CONCATENATE("'",$A$748,"'!s",B790),1)</f>
        <v>0</v>
      </c>
      <c r="W790" s="1" cm="1">
        <f t="array" aca="1" ref="W790" ca="1">INDIRECT(CONCATENATE("'",$A$748,"'!t",B790),1)</f>
        <v>0</v>
      </c>
      <c r="X790" s="1" cm="1">
        <f t="array" aca="1" ref="X790" ca="1">INDIRECT(CONCATENATE("'",$A$748,"'!u",B790),1)</f>
        <v>0</v>
      </c>
      <c r="Y790" s="1" cm="1">
        <f t="array" aca="1" ref="Y790" ca="1">INDIRECT(CONCATENATE("'",$A$748,"'!v",B790),1)</f>
        <v>0</v>
      </c>
    </row>
    <row r="791" spans="2:29" hidden="1" x14ac:dyDescent="0.25">
      <c r="B791" s="24">
        <f t="shared" si="57"/>
        <v>45</v>
      </c>
      <c r="C791" s="1" cm="1">
        <f t="array" aca="1" ref="C791" ca="1">INDIRECT(CONCATENATE("'",$A$748,"'!A",B791),1)</f>
        <v>0</v>
      </c>
      <c r="D791" s="1" cm="1">
        <f t="array" aca="1" ref="D791" ca="1">INDIRECT(CONCATENATE("'",$A$748,"'!B",B791),1)</f>
        <v>0</v>
      </c>
      <c r="E791" s="1" cm="1">
        <f t="array" aca="1" ref="E791" ca="1">INDIRECT(CONCATENATE("'",$A$748,"'!c",B791),1)</f>
        <v>0</v>
      </c>
      <c r="F791" s="1" cm="1">
        <f t="array" aca="1" ref="F791" ca="1">INDIRECT(CONCATENATE("'",$A$748,"'!d",B791),1)</f>
        <v>0</v>
      </c>
      <c r="G791" s="1" cm="1">
        <f t="array" aca="1" ref="G791" ca="1">INDIRECT(CONCATENATE("'",$A$748,"'!e",B791),1)</f>
        <v>0</v>
      </c>
      <c r="H791" s="1" cm="1">
        <f t="array" aca="1" ref="H791" ca="1">INDIRECT(CONCATENATE("'",$A$748,"'!f",B791),1)</f>
        <v>0</v>
      </c>
      <c r="I791" s="1" cm="1">
        <f t="array" aca="1" ref="I791" ca="1">INDIRECT(CONCATENATE("'",$A$748,"'!g",B791),1)</f>
        <v>0</v>
      </c>
      <c r="J791" s="1" cm="1">
        <f t="array" aca="1" ref="J791" ca="1">INDIRECT(CONCATENATE("'",$A$748,"'!h",B791),1)</f>
        <v>0</v>
      </c>
      <c r="K791" s="1" cm="1">
        <f t="array" aca="1" ref="K791" ca="1">INDIRECT(CONCATENATE("'",$A$748,"'!i",B791),1)</f>
        <v>0</v>
      </c>
      <c r="L791" s="1" cm="1">
        <f t="array" aca="1" ref="L791" ca="1">INDIRECT(CONCATENATE("'",$A$748,"'!j",B791),1)</f>
        <v>0</v>
      </c>
      <c r="M791" s="1" cm="1">
        <f t="array" aca="1" ref="M791" ca="1">INDIRECT(CONCATENATE("'",$A$748,"'!k",B791),1)</f>
        <v>0</v>
      </c>
      <c r="N791" s="1" cm="1">
        <f t="array" aca="1" ref="N791" ca="1">INDIRECT(CONCATENATE("'",$A$748,"'!l",B791),1)</f>
        <v>0</v>
      </c>
      <c r="O791" s="1" cm="1">
        <f t="array" aca="1" ref="O791" ca="1">INDIRECT(CONCATENATE("'",$A$748,"'!m",B791),1)</f>
        <v>0</v>
      </c>
      <c r="P791" s="1" cm="1">
        <f t="array" aca="1" ref="P791" ca="1">INDIRECT(CONCATENATE("'",$A$748,"'!n",B791),1)</f>
        <v>0</v>
      </c>
      <c r="Q791" s="1" cm="1">
        <f t="array" aca="1" ref="Q791" ca="1">INDIRECT(CONCATENATE("'",$A$748,"'!o",B791),1)</f>
        <v>0</v>
      </c>
      <c r="R791" s="1" cm="1">
        <f t="array" aca="1" ref="R791" ca="1">INDIRECT(CONCATENATE("'",$A$748,"'!p",B791),1)</f>
        <v>0</v>
      </c>
      <c r="S791" s="1">
        <f t="shared" ca="1" si="58"/>
        <v>0</v>
      </c>
      <c r="T791" s="1" cm="1">
        <f t="array" aca="1" ref="T791" ca="1">INDIRECT(CONCATENATE("'",$A$748,"'!q",B791),1)</f>
        <v>0</v>
      </c>
      <c r="U791" s="1" cm="1">
        <f t="array" aca="1" ref="U791" ca="1">INDIRECT(CONCATENATE("'",$A$748,"'!r",B791),1)</f>
        <v>0</v>
      </c>
      <c r="V791" s="1" cm="1">
        <f t="array" aca="1" ref="V791" ca="1">INDIRECT(CONCATENATE("'",$A$748,"'!s",B791),1)</f>
        <v>0</v>
      </c>
      <c r="W791" s="1" cm="1">
        <f t="array" aca="1" ref="W791" ca="1">INDIRECT(CONCATENATE("'",$A$748,"'!t",B791),1)</f>
        <v>0</v>
      </c>
      <c r="X791" s="1" cm="1">
        <f t="array" aca="1" ref="X791" ca="1">INDIRECT(CONCATENATE("'",$A$748,"'!u",B791),1)</f>
        <v>0</v>
      </c>
      <c r="Y791" s="1" cm="1">
        <f t="array" aca="1" ref="Y791" ca="1">INDIRECT(CONCATENATE("'",$A$748,"'!v",B791),1)</f>
        <v>0</v>
      </c>
    </row>
    <row r="792" spans="2:29" hidden="1" x14ac:dyDescent="0.25">
      <c r="B792" s="24">
        <f t="shared" si="57"/>
        <v>46</v>
      </c>
      <c r="C792" s="1" cm="1">
        <f t="array" aca="1" ref="C792" ca="1">INDIRECT(CONCATENATE("'",$A$748,"'!A",B792),1)</f>
        <v>0</v>
      </c>
      <c r="D792" s="1" cm="1">
        <f t="array" aca="1" ref="D792" ca="1">INDIRECT(CONCATENATE("'",$A$748,"'!B",B792),1)</f>
        <v>0</v>
      </c>
      <c r="E792" s="1" cm="1">
        <f t="array" aca="1" ref="E792" ca="1">INDIRECT(CONCATENATE("'",$A$748,"'!c",B792),1)</f>
        <v>0</v>
      </c>
      <c r="F792" s="1" cm="1">
        <f t="array" aca="1" ref="F792" ca="1">INDIRECT(CONCATENATE("'",$A$748,"'!d",B792),1)</f>
        <v>0</v>
      </c>
      <c r="G792" s="1" cm="1">
        <f t="array" aca="1" ref="G792" ca="1">INDIRECT(CONCATENATE("'",$A$748,"'!e",B792),1)</f>
        <v>0</v>
      </c>
      <c r="H792" s="1" cm="1">
        <f t="array" aca="1" ref="H792" ca="1">INDIRECT(CONCATENATE("'",$A$748,"'!f",B792),1)</f>
        <v>0</v>
      </c>
      <c r="I792" s="1" cm="1">
        <f t="array" aca="1" ref="I792" ca="1">INDIRECT(CONCATENATE("'",$A$748,"'!g",B792),1)</f>
        <v>0</v>
      </c>
      <c r="J792" s="1" cm="1">
        <f t="array" aca="1" ref="J792" ca="1">INDIRECT(CONCATENATE("'",$A$748,"'!h",B792),1)</f>
        <v>0</v>
      </c>
      <c r="K792" s="1" cm="1">
        <f t="array" aca="1" ref="K792" ca="1">INDIRECT(CONCATENATE("'",$A$748,"'!i",B792),1)</f>
        <v>0</v>
      </c>
      <c r="L792" s="1" cm="1">
        <f t="array" aca="1" ref="L792" ca="1">INDIRECT(CONCATENATE("'",$A$748,"'!j",B792),1)</f>
        <v>0</v>
      </c>
      <c r="M792" s="1" cm="1">
        <f t="array" aca="1" ref="M792" ca="1">INDIRECT(CONCATENATE("'",$A$748,"'!k",B792),1)</f>
        <v>0</v>
      </c>
      <c r="N792" s="1" cm="1">
        <f t="array" aca="1" ref="N792" ca="1">INDIRECT(CONCATENATE("'",$A$748,"'!l",B792),1)</f>
        <v>0</v>
      </c>
      <c r="O792" s="1" cm="1">
        <f t="array" aca="1" ref="O792" ca="1">INDIRECT(CONCATENATE("'",$A$748,"'!m",B792),1)</f>
        <v>0</v>
      </c>
      <c r="P792" s="1" cm="1">
        <f t="array" aca="1" ref="P792" ca="1">INDIRECT(CONCATENATE("'",$A$748,"'!n",B792),1)</f>
        <v>0</v>
      </c>
      <c r="Q792" s="1" cm="1">
        <f t="array" aca="1" ref="Q792" ca="1">INDIRECT(CONCATENATE("'",$A$748,"'!o",B792),1)</f>
        <v>0</v>
      </c>
      <c r="R792" s="1" cm="1">
        <f t="array" aca="1" ref="R792" ca="1">INDIRECT(CONCATENATE("'",$A$748,"'!p",B792),1)</f>
        <v>0</v>
      </c>
      <c r="S792" s="1">
        <f t="shared" ca="1" si="58"/>
        <v>0</v>
      </c>
      <c r="T792" s="1" cm="1">
        <f t="array" aca="1" ref="T792" ca="1">INDIRECT(CONCATENATE("'",$A$748,"'!q",B792),1)</f>
        <v>0</v>
      </c>
      <c r="U792" s="1" cm="1">
        <f t="array" aca="1" ref="U792" ca="1">INDIRECT(CONCATENATE("'",$A$748,"'!r",B792),1)</f>
        <v>0</v>
      </c>
      <c r="V792" s="1" cm="1">
        <f t="array" aca="1" ref="V792" ca="1">INDIRECT(CONCATENATE("'",$A$748,"'!s",B792),1)</f>
        <v>0</v>
      </c>
      <c r="W792" s="1" cm="1">
        <f t="array" aca="1" ref="W792" ca="1">INDIRECT(CONCATENATE("'",$A$748,"'!t",B792),1)</f>
        <v>0</v>
      </c>
      <c r="X792" s="1" cm="1">
        <f t="array" aca="1" ref="X792" ca="1">INDIRECT(CONCATENATE("'",$A$748,"'!u",B792),1)</f>
        <v>0</v>
      </c>
      <c r="Y792" s="1" cm="1">
        <f t="array" aca="1" ref="Y792" ca="1">INDIRECT(CONCATENATE("'",$A$748,"'!v",B792),1)</f>
        <v>0</v>
      </c>
    </row>
    <row r="793" spans="2:29" hidden="1" x14ac:dyDescent="0.25">
      <c r="B793" s="24">
        <f t="shared" si="57"/>
        <v>47</v>
      </c>
      <c r="C793" s="1" cm="1">
        <f t="array" aca="1" ref="C793" ca="1">INDIRECT(CONCATENATE("'",$A$748,"'!A",B793),1)</f>
        <v>0</v>
      </c>
      <c r="D793" s="1" cm="1">
        <f t="array" aca="1" ref="D793" ca="1">INDIRECT(CONCATENATE("'",$A$748,"'!B",B793),1)</f>
        <v>0</v>
      </c>
      <c r="E793" s="1" cm="1">
        <f t="array" aca="1" ref="E793" ca="1">INDIRECT(CONCATENATE("'",$A$748,"'!c",B793),1)</f>
        <v>0</v>
      </c>
      <c r="F793" s="1" cm="1">
        <f t="array" aca="1" ref="F793" ca="1">INDIRECT(CONCATENATE("'",$A$748,"'!d",B793),1)</f>
        <v>0</v>
      </c>
      <c r="G793" s="1" cm="1">
        <f t="array" aca="1" ref="G793" ca="1">INDIRECT(CONCATENATE("'",$A$748,"'!e",B793),1)</f>
        <v>0</v>
      </c>
      <c r="H793" s="1" cm="1">
        <f t="array" aca="1" ref="H793" ca="1">INDIRECT(CONCATENATE("'",$A$748,"'!f",B793),1)</f>
        <v>0</v>
      </c>
      <c r="I793" s="1" cm="1">
        <f t="array" aca="1" ref="I793" ca="1">INDIRECT(CONCATENATE("'",$A$748,"'!g",B793),1)</f>
        <v>0</v>
      </c>
      <c r="J793" s="1" cm="1">
        <f t="array" aca="1" ref="J793" ca="1">INDIRECT(CONCATENATE("'",$A$748,"'!h",B793),1)</f>
        <v>0</v>
      </c>
      <c r="K793" s="1" cm="1">
        <f t="array" aca="1" ref="K793" ca="1">INDIRECT(CONCATENATE("'",$A$748,"'!i",B793),1)</f>
        <v>0</v>
      </c>
      <c r="L793" s="1" cm="1">
        <f t="array" aca="1" ref="L793" ca="1">INDIRECT(CONCATENATE("'",$A$748,"'!j",B793),1)</f>
        <v>0</v>
      </c>
      <c r="M793" s="1" cm="1">
        <f t="array" aca="1" ref="M793" ca="1">INDIRECT(CONCATENATE("'",$A$748,"'!k",B793),1)</f>
        <v>0</v>
      </c>
      <c r="N793" s="1" cm="1">
        <f t="array" aca="1" ref="N793" ca="1">INDIRECT(CONCATENATE("'",$A$748,"'!l",B793),1)</f>
        <v>0</v>
      </c>
      <c r="O793" s="1" cm="1">
        <f t="array" aca="1" ref="O793" ca="1">INDIRECT(CONCATENATE("'",$A$748,"'!m",B793),1)</f>
        <v>0</v>
      </c>
      <c r="P793" s="1" cm="1">
        <f t="array" aca="1" ref="P793" ca="1">INDIRECT(CONCATENATE("'",$A$748,"'!n",B793),1)</f>
        <v>0</v>
      </c>
      <c r="Q793" s="1" cm="1">
        <f t="array" aca="1" ref="Q793" ca="1">INDIRECT(CONCATENATE("'",$A$748,"'!o",B793),1)</f>
        <v>0</v>
      </c>
      <c r="R793" s="1" cm="1">
        <f t="array" aca="1" ref="R793" ca="1">INDIRECT(CONCATENATE("'",$A$748,"'!p",B793),1)</f>
        <v>0</v>
      </c>
      <c r="S793" s="1">
        <f t="shared" ca="1" si="58"/>
        <v>0</v>
      </c>
      <c r="T793" s="1" cm="1">
        <f t="array" aca="1" ref="T793" ca="1">INDIRECT(CONCATENATE("'",$A$748,"'!q",B793),1)</f>
        <v>0</v>
      </c>
      <c r="U793" s="1" cm="1">
        <f t="array" aca="1" ref="U793" ca="1">INDIRECT(CONCATENATE("'",$A$748,"'!r",B793),1)</f>
        <v>0</v>
      </c>
      <c r="V793" s="1" cm="1">
        <f t="array" aca="1" ref="V793" ca="1">INDIRECT(CONCATENATE("'",$A$748,"'!s",B793),1)</f>
        <v>0</v>
      </c>
      <c r="W793" s="1" cm="1">
        <f t="array" aca="1" ref="W793" ca="1">INDIRECT(CONCATENATE("'",$A$748,"'!t",B793),1)</f>
        <v>0</v>
      </c>
      <c r="X793" s="1" cm="1">
        <f t="array" aca="1" ref="X793" ca="1">INDIRECT(CONCATENATE("'",$A$748,"'!u",B793),1)</f>
        <v>0</v>
      </c>
      <c r="Y793" s="1" cm="1">
        <f t="array" aca="1" ref="Y793" ca="1">INDIRECT(CONCATENATE("'",$A$748,"'!v",B793),1)</f>
        <v>0</v>
      </c>
    </row>
    <row r="794" spans="2:29" hidden="1" x14ac:dyDescent="0.25">
      <c r="B794" s="24">
        <f t="shared" si="57"/>
        <v>48</v>
      </c>
      <c r="C794" s="1" cm="1">
        <f t="array" aca="1" ref="C794" ca="1">INDIRECT(CONCATENATE("'",$A$748,"'!A",B794),1)</f>
        <v>0</v>
      </c>
      <c r="D794" s="1" cm="1">
        <f t="array" aca="1" ref="D794" ca="1">INDIRECT(CONCATENATE("'",$A$748,"'!B",B794),1)</f>
        <v>0</v>
      </c>
      <c r="E794" s="1" cm="1">
        <f t="array" aca="1" ref="E794" ca="1">INDIRECT(CONCATENATE("'",$A$748,"'!c",B794),1)</f>
        <v>0</v>
      </c>
      <c r="F794" s="1" cm="1">
        <f t="array" aca="1" ref="F794" ca="1">INDIRECT(CONCATENATE("'",$A$748,"'!d",B794),1)</f>
        <v>0</v>
      </c>
      <c r="G794" s="1" cm="1">
        <f t="array" aca="1" ref="G794" ca="1">INDIRECT(CONCATENATE("'",$A$748,"'!e",B794),1)</f>
        <v>0</v>
      </c>
      <c r="H794" s="1" cm="1">
        <f t="array" aca="1" ref="H794" ca="1">INDIRECT(CONCATENATE("'",$A$748,"'!f",B794),1)</f>
        <v>0</v>
      </c>
      <c r="I794" s="1" cm="1">
        <f t="array" aca="1" ref="I794" ca="1">INDIRECT(CONCATENATE("'",$A$748,"'!g",B794),1)</f>
        <v>0</v>
      </c>
      <c r="J794" s="1" cm="1">
        <f t="array" aca="1" ref="J794" ca="1">INDIRECT(CONCATENATE("'",$A$748,"'!h",B794),1)</f>
        <v>0</v>
      </c>
      <c r="K794" s="1" cm="1">
        <f t="array" aca="1" ref="K794" ca="1">INDIRECT(CONCATENATE("'",$A$748,"'!i",B794),1)</f>
        <v>0</v>
      </c>
      <c r="L794" s="1" cm="1">
        <f t="array" aca="1" ref="L794" ca="1">INDIRECT(CONCATENATE("'",$A$748,"'!j",B794),1)</f>
        <v>0</v>
      </c>
      <c r="M794" s="1" cm="1">
        <f t="array" aca="1" ref="M794" ca="1">INDIRECT(CONCATENATE("'",$A$748,"'!k",B794),1)</f>
        <v>0</v>
      </c>
      <c r="N794" s="1" cm="1">
        <f t="array" aca="1" ref="N794" ca="1">INDIRECT(CONCATENATE("'",$A$748,"'!l",B794),1)</f>
        <v>0</v>
      </c>
      <c r="O794" s="1" cm="1">
        <f t="array" aca="1" ref="O794" ca="1">INDIRECT(CONCATENATE("'",$A$748,"'!m",B794),1)</f>
        <v>0</v>
      </c>
      <c r="P794" s="1" cm="1">
        <f t="array" aca="1" ref="P794" ca="1">INDIRECT(CONCATENATE("'",$A$748,"'!n",B794),1)</f>
        <v>0</v>
      </c>
      <c r="Q794" s="1" cm="1">
        <f t="array" aca="1" ref="Q794" ca="1">INDIRECT(CONCATENATE("'",$A$748,"'!o",B794),1)</f>
        <v>0</v>
      </c>
      <c r="R794" s="1" cm="1">
        <f t="array" aca="1" ref="R794" ca="1">INDIRECT(CONCATENATE("'",$A$748,"'!p",B794),1)</f>
        <v>0</v>
      </c>
      <c r="S794" s="1">
        <f t="shared" ca="1" si="58"/>
        <v>0</v>
      </c>
      <c r="T794" s="1" cm="1">
        <f t="array" aca="1" ref="T794" ca="1">INDIRECT(CONCATENATE("'",$A$748,"'!q",B794),1)</f>
        <v>0</v>
      </c>
      <c r="U794" s="1" cm="1">
        <f t="array" aca="1" ref="U794" ca="1">INDIRECT(CONCATENATE("'",$A$748,"'!r",B794),1)</f>
        <v>0</v>
      </c>
      <c r="V794" s="1" cm="1">
        <f t="array" aca="1" ref="V794" ca="1">INDIRECT(CONCATENATE("'",$A$748,"'!s",B794),1)</f>
        <v>0</v>
      </c>
      <c r="W794" s="1" cm="1">
        <f t="array" aca="1" ref="W794" ca="1">INDIRECT(CONCATENATE("'",$A$748,"'!t",B794),1)</f>
        <v>0</v>
      </c>
      <c r="X794" s="1" cm="1">
        <f t="array" aca="1" ref="X794" ca="1">INDIRECT(CONCATENATE("'",$A$748,"'!u",B794),1)</f>
        <v>0</v>
      </c>
      <c r="Y794" s="1" cm="1">
        <f t="array" aca="1" ref="Y794" ca="1">INDIRECT(CONCATENATE("'",$A$748,"'!v",B794),1)</f>
        <v>0</v>
      </c>
    </row>
    <row r="795" spans="2:29" hidden="1" x14ac:dyDescent="0.25">
      <c r="B795" s="24">
        <f t="shared" si="57"/>
        <v>49</v>
      </c>
      <c r="C795" s="1" cm="1">
        <f t="array" aca="1" ref="C795" ca="1">INDIRECT(CONCATENATE("'",$A$748,"'!A",B795),1)</f>
        <v>0</v>
      </c>
      <c r="D795" s="1" cm="1">
        <f t="array" aca="1" ref="D795" ca="1">INDIRECT(CONCATENATE("'",$A$748,"'!B",B795),1)</f>
        <v>0</v>
      </c>
      <c r="E795" s="1" cm="1">
        <f t="array" aca="1" ref="E795" ca="1">INDIRECT(CONCATENATE("'",$A$748,"'!c",B795),1)</f>
        <v>0</v>
      </c>
      <c r="F795" s="1" cm="1">
        <f t="array" aca="1" ref="F795" ca="1">INDIRECT(CONCATENATE("'",$A$748,"'!d",B795),1)</f>
        <v>0</v>
      </c>
      <c r="G795" s="1" cm="1">
        <f t="array" aca="1" ref="G795" ca="1">INDIRECT(CONCATENATE("'",$A$748,"'!e",B795),1)</f>
        <v>0</v>
      </c>
      <c r="H795" s="1" cm="1">
        <f t="array" aca="1" ref="H795" ca="1">INDIRECT(CONCATENATE("'",$A$748,"'!f",B795),1)</f>
        <v>0</v>
      </c>
      <c r="I795" s="1" cm="1">
        <f t="array" aca="1" ref="I795" ca="1">INDIRECT(CONCATENATE("'",$A$748,"'!g",B795),1)</f>
        <v>0</v>
      </c>
      <c r="J795" s="1" cm="1">
        <f t="array" aca="1" ref="J795" ca="1">INDIRECT(CONCATENATE("'",$A$748,"'!h",B795),1)</f>
        <v>0</v>
      </c>
      <c r="K795" s="1" cm="1">
        <f t="array" aca="1" ref="K795" ca="1">INDIRECT(CONCATENATE("'",$A$748,"'!i",B795),1)</f>
        <v>0</v>
      </c>
      <c r="L795" s="1" cm="1">
        <f t="array" aca="1" ref="L795" ca="1">INDIRECT(CONCATENATE("'",$A$748,"'!j",B795),1)</f>
        <v>0</v>
      </c>
      <c r="M795" s="1" cm="1">
        <f t="array" aca="1" ref="M795" ca="1">INDIRECT(CONCATENATE("'",$A$748,"'!k",B795),1)</f>
        <v>0</v>
      </c>
      <c r="N795" s="1" cm="1">
        <f t="array" aca="1" ref="N795" ca="1">INDIRECT(CONCATENATE("'",$A$748,"'!l",B795),1)</f>
        <v>0</v>
      </c>
      <c r="O795" s="1" cm="1">
        <f t="array" aca="1" ref="O795" ca="1">INDIRECT(CONCATENATE("'",$A$748,"'!m",B795),1)</f>
        <v>0</v>
      </c>
      <c r="P795" s="1" cm="1">
        <f t="array" aca="1" ref="P795" ca="1">INDIRECT(CONCATENATE("'",$A$748,"'!n",B795),1)</f>
        <v>0</v>
      </c>
      <c r="Q795" s="1" cm="1">
        <f t="array" aca="1" ref="Q795" ca="1">INDIRECT(CONCATENATE("'",$A$748,"'!o",B795),1)</f>
        <v>0</v>
      </c>
      <c r="R795" s="1" cm="1">
        <f t="array" aca="1" ref="R795" ca="1">INDIRECT(CONCATENATE("'",$A$748,"'!p",B795),1)</f>
        <v>0</v>
      </c>
      <c r="S795" s="1">
        <f t="shared" ca="1" si="58"/>
        <v>0</v>
      </c>
      <c r="T795" s="1" cm="1">
        <f t="array" aca="1" ref="T795" ca="1">INDIRECT(CONCATENATE("'",$A$748,"'!q",B795),1)</f>
        <v>0</v>
      </c>
      <c r="U795" s="1" cm="1">
        <f t="array" aca="1" ref="U795" ca="1">INDIRECT(CONCATENATE("'",$A$748,"'!r",B795),1)</f>
        <v>0</v>
      </c>
      <c r="V795" s="1" cm="1">
        <f t="array" aca="1" ref="V795" ca="1">INDIRECT(CONCATENATE("'",$A$748,"'!s",B795),1)</f>
        <v>0</v>
      </c>
      <c r="W795" s="1" cm="1">
        <f t="array" aca="1" ref="W795" ca="1">INDIRECT(CONCATENATE("'",$A$748,"'!t",B795),1)</f>
        <v>0</v>
      </c>
      <c r="X795" s="1" cm="1">
        <f t="array" aca="1" ref="X795" ca="1">INDIRECT(CONCATENATE("'",$A$748,"'!u",B795),1)</f>
        <v>0</v>
      </c>
      <c r="Y795" s="1" cm="1">
        <f t="array" aca="1" ref="Y795" ca="1">INDIRECT(CONCATENATE("'",$A$748,"'!v",B795),1)</f>
        <v>0</v>
      </c>
    </row>
    <row r="796" spans="2:29" hidden="1" x14ac:dyDescent="0.25">
      <c r="B796" s="24">
        <f t="shared" si="57"/>
        <v>50</v>
      </c>
      <c r="C796" s="1" cm="1">
        <f t="array" aca="1" ref="C796" ca="1">INDIRECT(CONCATENATE("'",$A$748,"'!A",B796),1)</f>
        <v>0</v>
      </c>
      <c r="D796" s="1" cm="1">
        <f t="array" aca="1" ref="D796" ca="1">INDIRECT(CONCATENATE("'",$A$748,"'!B",B796),1)</f>
        <v>0</v>
      </c>
      <c r="E796" s="1" cm="1">
        <f t="array" aca="1" ref="E796" ca="1">INDIRECT(CONCATENATE("'",$A$748,"'!c",B796),1)</f>
        <v>0</v>
      </c>
      <c r="F796" s="1" cm="1">
        <f t="array" aca="1" ref="F796" ca="1">INDIRECT(CONCATENATE("'",$A$748,"'!d",B796),1)</f>
        <v>0</v>
      </c>
      <c r="G796" s="1" cm="1">
        <f t="array" aca="1" ref="G796" ca="1">INDIRECT(CONCATENATE("'",$A$748,"'!e",B796),1)</f>
        <v>0</v>
      </c>
      <c r="H796" s="1" cm="1">
        <f t="array" aca="1" ref="H796" ca="1">INDIRECT(CONCATENATE("'",$A$748,"'!f",B796),1)</f>
        <v>0</v>
      </c>
      <c r="I796" s="1" cm="1">
        <f t="array" aca="1" ref="I796" ca="1">INDIRECT(CONCATENATE("'",$A$748,"'!g",B796),1)</f>
        <v>0</v>
      </c>
      <c r="J796" s="1" cm="1">
        <f t="array" aca="1" ref="J796" ca="1">INDIRECT(CONCATENATE("'",$A$748,"'!h",B796),1)</f>
        <v>0</v>
      </c>
      <c r="K796" s="1" cm="1">
        <f t="array" aca="1" ref="K796" ca="1">INDIRECT(CONCATENATE("'",$A$748,"'!i",B796),1)</f>
        <v>0</v>
      </c>
      <c r="L796" s="1" cm="1">
        <f t="array" aca="1" ref="L796" ca="1">INDIRECT(CONCATENATE("'",$A$748,"'!j",B796),1)</f>
        <v>0</v>
      </c>
      <c r="M796" s="1" cm="1">
        <f t="array" aca="1" ref="M796" ca="1">INDIRECT(CONCATENATE("'",$A$748,"'!k",B796),1)</f>
        <v>0</v>
      </c>
      <c r="N796" s="1" cm="1">
        <f t="array" aca="1" ref="N796" ca="1">INDIRECT(CONCATENATE("'",$A$748,"'!l",B796),1)</f>
        <v>0</v>
      </c>
      <c r="O796" s="1" cm="1">
        <f t="array" aca="1" ref="O796" ca="1">INDIRECT(CONCATENATE("'",$A$748,"'!m",B796),1)</f>
        <v>0</v>
      </c>
      <c r="P796" s="1" cm="1">
        <f t="array" aca="1" ref="P796" ca="1">INDIRECT(CONCATENATE("'",$A$748,"'!n",B796),1)</f>
        <v>0</v>
      </c>
      <c r="Q796" s="1" cm="1">
        <f t="array" aca="1" ref="Q796" ca="1">INDIRECT(CONCATENATE("'",$A$748,"'!o",B796),1)</f>
        <v>0</v>
      </c>
      <c r="R796" s="1" cm="1">
        <f t="array" aca="1" ref="R796" ca="1">INDIRECT(CONCATENATE("'",$A$748,"'!p",B796),1)</f>
        <v>0</v>
      </c>
      <c r="S796" s="1">
        <f t="shared" ca="1" si="58"/>
        <v>0</v>
      </c>
      <c r="T796" s="1" cm="1">
        <f t="array" aca="1" ref="T796" ca="1">INDIRECT(CONCATENATE("'",$A$748,"'!q",B796),1)</f>
        <v>0</v>
      </c>
      <c r="U796" s="1" cm="1">
        <f t="array" aca="1" ref="U796" ca="1">INDIRECT(CONCATENATE("'",$A$748,"'!r",B796),1)</f>
        <v>0</v>
      </c>
      <c r="V796" s="1" cm="1">
        <f t="array" aca="1" ref="V796" ca="1">INDIRECT(CONCATENATE("'",$A$748,"'!s",B796),1)</f>
        <v>0</v>
      </c>
      <c r="W796" s="1" cm="1">
        <f t="array" aca="1" ref="W796" ca="1">INDIRECT(CONCATENATE("'",$A$748,"'!t",B796),1)</f>
        <v>0</v>
      </c>
      <c r="X796" s="1" cm="1">
        <f t="array" aca="1" ref="X796" ca="1">INDIRECT(CONCATENATE("'",$A$748,"'!u",B796),1)</f>
        <v>0</v>
      </c>
      <c r="Y796" s="1" cm="1">
        <f t="array" aca="1" ref="Y796" ca="1">INDIRECT(CONCATENATE("'",$A$748,"'!v",B796),1)</f>
        <v>0</v>
      </c>
    </row>
    <row r="797" spans="2:29" x14ac:dyDescent="0.25">
      <c r="C797" s="24"/>
      <c r="D797" s="24"/>
      <c r="E797" s="24"/>
      <c r="F797" s="24"/>
      <c r="G797" s="24"/>
      <c r="H797" s="24"/>
      <c r="I797" s="24"/>
    </row>
    <row r="798" spans="2:29" x14ac:dyDescent="0.25"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Z798" s="24"/>
      <c r="AA798" s="24"/>
      <c r="AB798" s="24"/>
      <c r="AC798" s="24"/>
    </row>
    <row r="799" spans="2:29" x14ac:dyDescent="0.25"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Z799" s="24"/>
      <c r="AA799" s="24"/>
      <c r="AB799" s="24"/>
      <c r="AC799" s="24"/>
    </row>
    <row r="800" spans="2:29" x14ac:dyDescent="0.25"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Z800" s="24"/>
      <c r="AA800" s="24"/>
      <c r="AB800" s="24"/>
      <c r="AC800" s="24"/>
    </row>
    <row r="801" spans="3:29" x14ac:dyDescent="0.25"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Z801" s="24"/>
      <c r="AA801" s="24"/>
      <c r="AB801" s="24"/>
      <c r="AC801" s="24"/>
    </row>
    <row r="802" spans="3:29" x14ac:dyDescent="0.25"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Z802" s="24"/>
      <c r="AA802" s="24"/>
      <c r="AB802" s="24"/>
      <c r="AC802" s="24"/>
    </row>
    <row r="803" spans="3:29" x14ac:dyDescent="0.25"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Z803" s="24"/>
      <c r="AA803" s="24"/>
      <c r="AB803" s="24"/>
      <c r="AC803" s="24"/>
    </row>
    <row r="804" spans="3:29" x14ac:dyDescent="0.25"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Z804" s="24"/>
      <c r="AA804" s="24"/>
      <c r="AB804" s="24"/>
      <c r="AC804" s="24"/>
    </row>
    <row r="805" spans="3:29" x14ac:dyDescent="0.25"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Z805" s="24"/>
      <c r="AA805" s="24"/>
      <c r="AB805" s="24"/>
      <c r="AC805" s="24"/>
    </row>
    <row r="806" spans="3:29" x14ac:dyDescent="0.25"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Z806" s="24"/>
      <c r="AA806" s="24"/>
      <c r="AB806" s="24"/>
      <c r="AC806" s="24"/>
    </row>
    <row r="807" spans="3:29" x14ac:dyDescent="0.25"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Z807" s="24"/>
      <c r="AA807" s="24"/>
      <c r="AB807" s="24"/>
      <c r="AC807" s="24"/>
    </row>
    <row r="808" spans="3:29" x14ac:dyDescent="0.25"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Z808" s="24"/>
      <c r="AA808" s="24"/>
      <c r="AB808" s="24"/>
      <c r="AC808" s="24"/>
    </row>
    <row r="809" spans="3:29" x14ac:dyDescent="0.25"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Z809" s="24"/>
      <c r="AA809" s="24"/>
      <c r="AB809" s="24"/>
      <c r="AC809" s="24"/>
    </row>
    <row r="810" spans="3:29" x14ac:dyDescent="0.25"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Z810" s="24"/>
      <c r="AA810" s="24"/>
      <c r="AB810" s="24"/>
      <c r="AC810" s="24"/>
    </row>
    <row r="811" spans="3:29" x14ac:dyDescent="0.25"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Z811" s="24"/>
      <c r="AA811" s="24"/>
      <c r="AB811" s="24"/>
      <c r="AC811" s="24"/>
    </row>
    <row r="812" spans="3:29" x14ac:dyDescent="0.25"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Z812" s="24"/>
      <c r="AA812" s="24"/>
      <c r="AB812" s="24"/>
      <c r="AC812" s="24"/>
    </row>
    <row r="813" spans="3:29" x14ac:dyDescent="0.25"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Z813" s="24"/>
      <c r="AA813" s="24"/>
      <c r="AB813" s="24"/>
      <c r="AC813" s="24"/>
    </row>
    <row r="814" spans="3:29" x14ac:dyDescent="0.25"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Z814" s="24"/>
      <c r="AA814" s="24"/>
      <c r="AB814" s="24"/>
      <c r="AC814" s="24"/>
    </row>
    <row r="815" spans="3:29" x14ac:dyDescent="0.25"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Z815" s="24"/>
      <c r="AA815" s="24"/>
      <c r="AB815" s="24"/>
      <c r="AC815" s="24"/>
    </row>
    <row r="816" spans="3:29" x14ac:dyDescent="0.25"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Z816" s="24"/>
      <c r="AA816" s="24"/>
      <c r="AB816" s="24"/>
      <c r="AC816" s="24"/>
    </row>
    <row r="817" spans="3:29" x14ac:dyDescent="0.25"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Z817" s="24"/>
      <c r="AA817" s="24"/>
      <c r="AB817" s="24"/>
      <c r="AC817" s="24"/>
    </row>
    <row r="818" spans="3:29" x14ac:dyDescent="0.25"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Z818" s="24"/>
      <c r="AA818" s="24"/>
      <c r="AB818" s="24"/>
      <c r="AC818" s="24"/>
    </row>
    <row r="819" spans="3:29" x14ac:dyDescent="0.25"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Z819" s="24"/>
      <c r="AA819" s="24"/>
      <c r="AB819" s="24"/>
      <c r="AC819" s="24"/>
    </row>
    <row r="820" spans="3:29" x14ac:dyDescent="0.25"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Z820" s="24"/>
      <c r="AA820" s="24"/>
      <c r="AB820" s="24"/>
      <c r="AC820" s="24"/>
    </row>
    <row r="821" spans="3:29" x14ac:dyDescent="0.25"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Z821" s="24"/>
      <c r="AA821" s="24"/>
      <c r="AB821" s="24"/>
      <c r="AC821" s="24"/>
    </row>
    <row r="822" spans="3:29" x14ac:dyDescent="0.25"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Z822" s="24"/>
      <c r="AA822" s="24"/>
      <c r="AB822" s="24"/>
      <c r="AC822" s="24"/>
    </row>
    <row r="823" spans="3:29" x14ac:dyDescent="0.25"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Z823" s="24"/>
      <c r="AA823" s="24"/>
      <c r="AB823" s="24"/>
      <c r="AC823" s="24"/>
    </row>
    <row r="824" spans="3:29" x14ac:dyDescent="0.25"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Z824" s="24"/>
      <c r="AA824" s="24"/>
      <c r="AB824" s="24"/>
      <c r="AC824" s="24"/>
    </row>
    <row r="825" spans="3:29" x14ac:dyDescent="0.25"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Z825" s="24"/>
      <c r="AA825" s="24"/>
      <c r="AB825" s="24"/>
      <c r="AC825" s="24"/>
    </row>
    <row r="826" spans="3:29" x14ac:dyDescent="0.25"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Z826" s="24"/>
      <c r="AA826" s="24"/>
      <c r="AB826" s="24"/>
      <c r="AC826" s="24"/>
    </row>
    <row r="827" spans="3:29" x14ac:dyDescent="0.25"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Z827" s="24"/>
      <c r="AA827" s="24"/>
      <c r="AB827" s="24"/>
      <c r="AC827" s="24"/>
    </row>
    <row r="828" spans="3:29" x14ac:dyDescent="0.25"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Z828" s="24"/>
      <c r="AA828" s="24"/>
      <c r="AB828" s="24"/>
      <c r="AC828" s="24"/>
    </row>
    <row r="829" spans="3:29" x14ac:dyDescent="0.25"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Z829" s="24"/>
      <c r="AA829" s="24"/>
      <c r="AB829" s="24"/>
      <c r="AC829" s="24"/>
    </row>
    <row r="830" spans="3:29" x14ac:dyDescent="0.25"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Z830" s="24"/>
      <c r="AA830" s="24"/>
      <c r="AB830" s="24"/>
      <c r="AC830" s="24"/>
    </row>
    <row r="831" spans="3:29" x14ac:dyDescent="0.25"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Z831" s="24"/>
      <c r="AA831" s="24"/>
      <c r="AB831" s="24"/>
      <c r="AC831" s="24"/>
    </row>
    <row r="832" spans="3:29" x14ac:dyDescent="0.25"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Z832" s="24"/>
      <c r="AA832" s="24"/>
      <c r="AB832" s="24"/>
      <c r="AC832" s="24"/>
    </row>
    <row r="833" spans="3:29" x14ac:dyDescent="0.25"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Z833" s="24"/>
      <c r="AA833" s="24"/>
      <c r="AB833" s="24"/>
      <c r="AC833" s="24"/>
    </row>
    <row r="834" spans="3:29" x14ac:dyDescent="0.25"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Z834" s="24"/>
      <c r="AA834" s="24"/>
      <c r="AB834" s="24"/>
      <c r="AC834" s="24"/>
    </row>
    <row r="835" spans="3:29" x14ac:dyDescent="0.25"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Z835" s="24"/>
      <c r="AA835" s="24"/>
      <c r="AB835" s="24"/>
      <c r="AC835" s="24"/>
    </row>
    <row r="836" spans="3:29" x14ac:dyDescent="0.25"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Z836" s="24"/>
      <c r="AA836" s="24"/>
      <c r="AB836" s="24"/>
      <c r="AC836" s="24"/>
    </row>
    <row r="837" spans="3:29" x14ac:dyDescent="0.25"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Z837" s="24"/>
      <c r="AA837" s="24"/>
      <c r="AB837" s="24"/>
      <c r="AC837" s="24"/>
    </row>
    <row r="838" spans="3:29" x14ac:dyDescent="0.25"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Z838" s="24"/>
      <c r="AA838" s="24"/>
      <c r="AB838" s="24"/>
      <c r="AC838" s="24"/>
    </row>
    <row r="839" spans="3:29" x14ac:dyDescent="0.25"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Z839" s="24"/>
      <c r="AA839" s="24"/>
      <c r="AB839" s="24"/>
      <c r="AC839" s="24"/>
    </row>
    <row r="840" spans="3:29" x14ac:dyDescent="0.25"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Z840" s="24"/>
      <c r="AA840" s="24"/>
      <c r="AB840" s="24"/>
      <c r="AC840" s="24"/>
    </row>
    <row r="841" spans="3:29" x14ac:dyDescent="0.25"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Z841" s="24"/>
      <c r="AA841" s="24"/>
      <c r="AB841" s="24"/>
      <c r="AC841" s="24"/>
    </row>
    <row r="842" spans="3:29" x14ac:dyDescent="0.25"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Z842" s="24"/>
      <c r="AA842" s="24"/>
      <c r="AB842" s="24"/>
      <c r="AC842" s="24"/>
    </row>
    <row r="843" spans="3:29" x14ac:dyDescent="0.25"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Z843" s="24"/>
      <c r="AA843" s="24"/>
      <c r="AB843" s="24"/>
      <c r="AC843" s="24"/>
    </row>
    <row r="844" spans="3:29" x14ac:dyDescent="0.25"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Z844" s="24"/>
      <c r="AA844" s="24"/>
      <c r="AB844" s="24"/>
      <c r="AC844" s="24"/>
    </row>
    <row r="845" spans="3:29" x14ac:dyDescent="0.25"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Z845" s="24"/>
      <c r="AA845" s="24"/>
      <c r="AB845" s="24"/>
      <c r="AC845" s="24"/>
    </row>
    <row r="846" spans="3:29" x14ac:dyDescent="0.25"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Z846" s="24"/>
      <c r="AA846" s="24"/>
      <c r="AB846" s="24"/>
      <c r="AC846" s="24"/>
    </row>
    <row r="847" spans="3:29" x14ac:dyDescent="0.25"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Z847" s="24"/>
      <c r="AA847" s="24"/>
      <c r="AB847" s="24"/>
      <c r="AC847" s="24"/>
    </row>
    <row r="848" spans="3:29" x14ac:dyDescent="0.25"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Z848" s="24"/>
      <c r="AA848" s="24"/>
      <c r="AB848" s="24"/>
      <c r="AC848" s="24"/>
    </row>
    <row r="849" spans="3:29" x14ac:dyDescent="0.25"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Z849" s="24"/>
      <c r="AA849" s="24"/>
      <c r="AB849" s="24"/>
      <c r="AC849" s="24"/>
    </row>
    <row r="850" spans="3:29" x14ac:dyDescent="0.25"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Z850" s="24"/>
      <c r="AA850" s="24"/>
      <c r="AB850" s="24"/>
      <c r="AC850" s="24"/>
    </row>
    <row r="851" spans="3:29" x14ac:dyDescent="0.25"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Z851" s="24"/>
      <c r="AA851" s="24"/>
      <c r="AB851" s="24"/>
      <c r="AC851" s="24"/>
    </row>
    <row r="852" spans="3:29" x14ac:dyDescent="0.25"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Z852" s="24"/>
      <c r="AA852" s="24"/>
      <c r="AB852" s="24"/>
      <c r="AC852" s="24"/>
    </row>
    <row r="853" spans="3:29" x14ac:dyDescent="0.25"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Z853" s="24"/>
      <c r="AA853" s="24"/>
      <c r="AB853" s="24"/>
      <c r="AC853" s="24"/>
    </row>
    <row r="854" spans="3:29" x14ac:dyDescent="0.25"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Z854" s="24"/>
      <c r="AA854" s="24"/>
      <c r="AB854" s="24"/>
      <c r="AC854" s="24"/>
    </row>
    <row r="855" spans="3:29" x14ac:dyDescent="0.25"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Z855" s="24"/>
      <c r="AA855" s="24"/>
      <c r="AB855" s="24"/>
      <c r="AC855" s="24"/>
    </row>
    <row r="856" spans="3:29" x14ac:dyDescent="0.25"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Z856" s="24"/>
      <c r="AA856" s="24"/>
      <c r="AB856" s="24"/>
      <c r="AC856" s="24"/>
    </row>
    <row r="857" spans="3:29" x14ac:dyDescent="0.25"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Z857" s="24"/>
      <c r="AA857" s="24"/>
      <c r="AB857" s="24"/>
      <c r="AC857" s="24"/>
    </row>
    <row r="858" spans="3:29" x14ac:dyDescent="0.25"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Z858" s="24"/>
      <c r="AA858" s="24"/>
      <c r="AB858" s="24"/>
      <c r="AC858" s="24"/>
    </row>
    <row r="859" spans="3:29" x14ac:dyDescent="0.25"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Z859" s="24"/>
      <c r="AA859" s="24"/>
      <c r="AB859" s="24"/>
      <c r="AC859" s="24"/>
    </row>
    <row r="860" spans="3:29" x14ac:dyDescent="0.25"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Z860" s="24"/>
      <c r="AA860" s="24"/>
      <c r="AB860" s="24"/>
      <c r="AC860" s="24"/>
    </row>
    <row r="861" spans="3:29" x14ac:dyDescent="0.25"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Z861" s="24"/>
      <c r="AA861" s="24"/>
      <c r="AB861" s="24"/>
      <c r="AC861" s="24"/>
    </row>
    <row r="862" spans="3:29" x14ac:dyDescent="0.25"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Z862" s="24"/>
      <c r="AA862" s="24"/>
      <c r="AB862" s="24"/>
      <c r="AC862" s="24"/>
    </row>
    <row r="863" spans="3:29" x14ac:dyDescent="0.25"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Z863" s="24"/>
      <c r="AA863" s="24"/>
      <c r="AB863" s="24"/>
      <c r="AC863" s="24"/>
    </row>
    <row r="864" spans="3:29" x14ac:dyDescent="0.25"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Z864" s="24"/>
      <c r="AA864" s="24"/>
      <c r="AB864" s="24"/>
      <c r="AC864" s="24"/>
    </row>
    <row r="865" spans="3:29" x14ac:dyDescent="0.25"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Z865" s="24"/>
      <c r="AA865" s="24"/>
      <c r="AB865" s="24"/>
      <c r="AC865" s="24"/>
    </row>
    <row r="866" spans="3:29" x14ac:dyDescent="0.25"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Z866" s="24"/>
      <c r="AA866" s="24"/>
      <c r="AB866" s="24"/>
      <c r="AC866" s="24"/>
    </row>
    <row r="867" spans="3:29" x14ac:dyDescent="0.25"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Z867" s="24"/>
      <c r="AA867" s="24"/>
      <c r="AB867" s="24"/>
      <c r="AC867" s="24"/>
    </row>
    <row r="868" spans="3:29" x14ac:dyDescent="0.25"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Z868" s="24"/>
      <c r="AA868" s="24"/>
      <c r="AB868" s="24"/>
      <c r="AC868" s="24"/>
    </row>
    <row r="869" spans="3:29" x14ac:dyDescent="0.25"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Z869" s="24"/>
      <c r="AA869" s="24"/>
      <c r="AB869" s="24"/>
      <c r="AC869" s="24"/>
    </row>
    <row r="870" spans="3:29" x14ac:dyDescent="0.25"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Z870" s="24"/>
      <c r="AA870" s="24"/>
      <c r="AB870" s="24"/>
      <c r="AC870" s="24"/>
    </row>
    <row r="871" spans="3:29" x14ac:dyDescent="0.25"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Z871" s="24"/>
      <c r="AA871" s="24"/>
      <c r="AB871" s="24"/>
      <c r="AC871" s="24"/>
    </row>
    <row r="872" spans="3:29" x14ac:dyDescent="0.25"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Z872" s="24"/>
      <c r="AA872" s="24"/>
      <c r="AB872" s="24"/>
      <c r="AC872" s="24"/>
    </row>
    <row r="873" spans="3:29" x14ac:dyDescent="0.25"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Z873" s="24"/>
      <c r="AA873" s="24"/>
      <c r="AB873" s="24"/>
      <c r="AC873" s="24"/>
    </row>
    <row r="874" spans="3:29" x14ac:dyDescent="0.25"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Z874" s="24"/>
      <c r="AA874" s="24"/>
      <c r="AB874" s="24"/>
      <c r="AC874" s="24"/>
    </row>
    <row r="875" spans="3:29" x14ac:dyDescent="0.25"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Z875" s="24"/>
      <c r="AA875" s="24"/>
      <c r="AB875" s="24"/>
      <c r="AC875" s="24"/>
    </row>
    <row r="876" spans="3:29" x14ac:dyDescent="0.25"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Z876" s="24"/>
      <c r="AA876" s="24"/>
      <c r="AB876" s="24"/>
      <c r="AC876" s="24"/>
    </row>
    <row r="877" spans="3:29" x14ac:dyDescent="0.25"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Z877" s="24"/>
      <c r="AA877" s="24"/>
      <c r="AB877" s="24"/>
      <c r="AC877" s="24"/>
    </row>
    <row r="878" spans="3:29" x14ac:dyDescent="0.25"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Z878" s="24"/>
      <c r="AA878" s="24"/>
      <c r="AB878" s="24"/>
      <c r="AC878" s="24"/>
    </row>
    <row r="879" spans="3:29" x14ac:dyDescent="0.25"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Z879" s="24"/>
      <c r="AA879" s="24"/>
      <c r="AB879" s="24"/>
      <c r="AC879" s="24"/>
    </row>
    <row r="880" spans="3:29" x14ac:dyDescent="0.25"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Z880" s="24"/>
      <c r="AA880" s="24"/>
      <c r="AB880" s="24"/>
      <c r="AC880" s="24"/>
    </row>
    <row r="881" spans="3:29" x14ac:dyDescent="0.25"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Z881" s="24"/>
      <c r="AA881" s="24"/>
      <c r="AB881" s="24"/>
      <c r="AC881" s="24"/>
    </row>
    <row r="882" spans="3:29" x14ac:dyDescent="0.25"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Z882" s="24"/>
      <c r="AA882" s="24"/>
      <c r="AB882" s="24"/>
      <c r="AC882" s="24"/>
    </row>
    <row r="883" spans="3:29" x14ac:dyDescent="0.25"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Z883" s="24"/>
      <c r="AA883" s="24"/>
      <c r="AB883" s="24"/>
      <c r="AC883" s="24"/>
    </row>
    <row r="884" spans="3:29" x14ac:dyDescent="0.25"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Z884" s="24"/>
      <c r="AA884" s="24"/>
      <c r="AB884" s="24"/>
      <c r="AC884" s="24"/>
    </row>
    <row r="885" spans="3:29" x14ac:dyDescent="0.25"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Z885" s="24"/>
      <c r="AA885" s="24"/>
      <c r="AB885" s="24"/>
      <c r="AC885" s="24"/>
    </row>
    <row r="886" spans="3:29" x14ac:dyDescent="0.25"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Z886" s="24"/>
      <c r="AA886" s="24"/>
      <c r="AB886" s="24"/>
      <c r="AC886" s="24"/>
    </row>
    <row r="887" spans="3:29" x14ac:dyDescent="0.25"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Z887" s="24"/>
      <c r="AA887" s="24"/>
      <c r="AB887" s="24"/>
      <c r="AC887" s="24"/>
    </row>
    <row r="888" spans="3:29" x14ac:dyDescent="0.25"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Z888" s="24"/>
      <c r="AA888" s="24"/>
      <c r="AB888" s="24"/>
      <c r="AC888" s="24"/>
    </row>
    <row r="889" spans="3:29" x14ac:dyDescent="0.25"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Z889" s="24"/>
      <c r="AA889" s="24"/>
      <c r="AB889" s="24"/>
      <c r="AC889" s="24"/>
    </row>
    <row r="890" spans="3:29" x14ac:dyDescent="0.25"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Z890" s="24"/>
      <c r="AA890" s="24"/>
      <c r="AB890" s="24"/>
      <c r="AC890" s="24"/>
    </row>
    <row r="891" spans="3:29" x14ac:dyDescent="0.25"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Z891" s="24"/>
      <c r="AA891" s="24"/>
      <c r="AB891" s="24"/>
      <c r="AC891" s="24"/>
    </row>
    <row r="892" spans="3:29" x14ac:dyDescent="0.25"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Z892" s="24"/>
      <c r="AA892" s="24"/>
      <c r="AB892" s="24"/>
      <c r="AC892" s="24"/>
    </row>
    <row r="893" spans="3:29" x14ac:dyDescent="0.25"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Z893" s="24"/>
      <c r="AA893" s="24"/>
      <c r="AB893" s="24"/>
      <c r="AC893" s="24"/>
    </row>
    <row r="894" spans="3:29" x14ac:dyDescent="0.25"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Z894" s="24"/>
      <c r="AA894" s="24"/>
      <c r="AB894" s="24"/>
      <c r="AC894" s="24"/>
    </row>
    <row r="895" spans="3:29" x14ac:dyDescent="0.25"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Z895" s="24"/>
      <c r="AA895" s="24"/>
      <c r="AB895" s="24"/>
      <c r="AC895" s="24"/>
    </row>
    <row r="896" spans="3:29" x14ac:dyDescent="0.25"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Z896" s="24"/>
      <c r="AA896" s="24"/>
      <c r="AB896" s="24"/>
      <c r="AC896" s="24"/>
    </row>
    <row r="897" spans="3:29" x14ac:dyDescent="0.25"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Z897" s="24"/>
      <c r="AA897" s="24"/>
      <c r="AB897" s="24"/>
      <c r="AC897" s="24"/>
    </row>
    <row r="898" spans="3:29" x14ac:dyDescent="0.25"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Z898" s="24"/>
      <c r="AA898" s="24"/>
      <c r="AB898" s="24"/>
      <c r="AC898" s="24"/>
    </row>
    <row r="899" spans="3:29" x14ac:dyDescent="0.25"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Z899" s="24"/>
      <c r="AA899" s="24"/>
      <c r="AB899" s="24"/>
      <c r="AC899" s="24"/>
    </row>
    <row r="900" spans="3:29" x14ac:dyDescent="0.25"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Z900" s="24"/>
      <c r="AA900" s="24"/>
      <c r="AB900" s="24"/>
      <c r="AC900" s="24"/>
    </row>
    <row r="901" spans="3:29" x14ac:dyDescent="0.25"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Z901" s="24"/>
      <c r="AA901" s="24"/>
      <c r="AB901" s="24"/>
      <c r="AC901" s="24"/>
    </row>
    <row r="902" spans="3:29" x14ac:dyDescent="0.25"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Z902" s="24"/>
      <c r="AA902" s="24"/>
      <c r="AB902" s="24"/>
      <c r="AC902" s="24"/>
    </row>
    <row r="903" spans="3:29" x14ac:dyDescent="0.25"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Z903" s="24"/>
      <c r="AA903" s="24"/>
      <c r="AB903" s="24"/>
      <c r="AC903" s="24"/>
    </row>
    <row r="904" spans="3:29" x14ac:dyDescent="0.25"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Z904" s="24"/>
      <c r="AA904" s="24"/>
      <c r="AB904" s="24"/>
      <c r="AC904" s="24"/>
    </row>
    <row r="905" spans="3:29" x14ac:dyDescent="0.25"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Z905" s="24"/>
      <c r="AA905" s="24"/>
      <c r="AB905" s="24"/>
      <c r="AC905" s="24"/>
    </row>
    <row r="906" spans="3:29" x14ac:dyDescent="0.25"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Z906" s="24"/>
      <c r="AA906" s="24"/>
      <c r="AB906" s="24"/>
      <c r="AC906" s="24"/>
    </row>
    <row r="907" spans="3:29" x14ac:dyDescent="0.25"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Z907" s="24"/>
      <c r="AA907" s="24"/>
      <c r="AB907" s="24"/>
      <c r="AC907" s="24"/>
    </row>
    <row r="908" spans="3:29" x14ac:dyDescent="0.25"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Z908" s="24"/>
      <c r="AA908" s="24"/>
      <c r="AB908" s="24"/>
      <c r="AC908" s="24"/>
    </row>
    <row r="909" spans="3:29" x14ac:dyDescent="0.25"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Z909" s="24"/>
      <c r="AA909" s="24"/>
      <c r="AB909" s="24"/>
      <c r="AC909" s="24"/>
    </row>
    <row r="910" spans="3:29" x14ac:dyDescent="0.25"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Z910" s="24"/>
      <c r="AA910" s="24"/>
      <c r="AB910" s="24"/>
      <c r="AC910" s="24"/>
    </row>
    <row r="911" spans="3:29" x14ac:dyDescent="0.25"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Z911" s="24"/>
      <c r="AA911" s="24"/>
      <c r="AB911" s="24"/>
      <c r="AC911" s="24"/>
    </row>
    <row r="912" spans="3:29" x14ac:dyDescent="0.25"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Z912" s="24"/>
      <c r="AA912" s="24"/>
      <c r="AB912" s="24"/>
      <c r="AC912" s="24"/>
    </row>
    <row r="913" spans="3:29" x14ac:dyDescent="0.25"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Z913" s="24"/>
      <c r="AA913" s="24"/>
      <c r="AB913" s="24"/>
      <c r="AC913" s="24"/>
    </row>
    <row r="914" spans="3:29" x14ac:dyDescent="0.25"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Z914" s="24"/>
      <c r="AA914" s="24"/>
      <c r="AB914" s="24"/>
      <c r="AC914" s="24"/>
    </row>
    <row r="915" spans="3:29" x14ac:dyDescent="0.25"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Z915" s="24"/>
      <c r="AA915" s="24"/>
      <c r="AB915" s="24"/>
      <c r="AC915" s="24"/>
    </row>
    <row r="916" spans="3:29" x14ac:dyDescent="0.25"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Z916" s="24"/>
      <c r="AA916" s="24"/>
      <c r="AB916" s="24"/>
      <c r="AC916" s="24"/>
    </row>
    <row r="917" spans="3:29" x14ac:dyDescent="0.25"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Z917" s="24"/>
      <c r="AA917" s="24"/>
      <c r="AB917" s="24"/>
      <c r="AC917" s="24"/>
    </row>
    <row r="918" spans="3:29" x14ac:dyDescent="0.25"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Z918" s="24"/>
      <c r="AA918" s="24"/>
      <c r="AB918" s="24"/>
      <c r="AC918" s="24"/>
    </row>
    <row r="919" spans="3:29" x14ac:dyDescent="0.25"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Z919" s="24"/>
      <c r="AA919" s="24"/>
      <c r="AB919" s="24"/>
      <c r="AC919" s="24"/>
    </row>
    <row r="920" spans="3:29" x14ac:dyDescent="0.25"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Z920" s="24"/>
      <c r="AA920" s="24"/>
      <c r="AB920" s="24"/>
      <c r="AC920" s="24"/>
    </row>
    <row r="921" spans="3:29" x14ac:dyDescent="0.25"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Z921" s="24"/>
      <c r="AA921" s="24"/>
      <c r="AB921" s="24"/>
      <c r="AC921" s="24"/>
    </row>
    <row r="922" spans="3:29" x14ac:dyDescent="0.25"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Z922" s="24"/>
      <c r="AA922" s="24"/>
      <c r="AB922" s="24"/>
      <c r="AC922" s="24"/>
    </row>
    <row r="923" spans="3:29" x14ac:dyDescent="0.25"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Z923" s="24"/>
      <c r="AA923" s="24"/>
      <c r="AB923" s="24"/>
      <c r="AC923" s="24"/>
    </row>
    <row r="924" spans="3:29" x14ac:dyDescent="0.25"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Z924" s="24"/>
      <c r="AA924" s="24"/>
      <c r="AB924" s="24"/>
      <c r="AC924" s="24"/>
    </row>
    <row r="925" spans="3:29" x14ac:dyDescent="0.25"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Z925" s="24"/>
      <c r="AA925" s="24"/>
      <c r="AB925" s="24"/>
      <c r="AC925" s="24"/>
    </row>
    <row r="926" spans="3:29" x14ac:dyDescent="0.25"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Z926" s="24"/>
      <c r="AA926" s="24"/>
      <c r="AB926" s="24"/>
      <c r="AC926" s="24"/>
    </row>
    <row r="927" spans="3:29" x14ac:dyDescent="0.25"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Z927" s="24"/>
      <c r="AA927" s="24"/>
      <c r="AB927" s="24"/>
      <c r="AC927" s="24"/>
    </row>
    <row r="928" spans="3:29" x14ac:dyDescent="0.25"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Z928" s="24"/>
      <c r="AA928" s="24"/>
      <c r="AB928" s="24"/>
      <c r="AC928" s="24"/>
    </row>
    <row r="929" spans="3:29" x14ac:dyDescent="0.25"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Z929" s="24"/>
      <c r="AA929" s="24"/>
      <c r="AB929" s="24"/>
      <c r="AC929" s="24"/>
    </row>
    <row r="930" spans="3:29" x14ac:dyDescent="0.25"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Z930" s="24"/>
      <c r="AA930" s="24"/>
      <c r="AB930" s="24"/>
      <c r="AC930" s="24"/>
    </row>
    <row r="931" spans="3:29" x14ac:dyDescent="0.25"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Z931" s="24"/>
      <c r="AA931" s="24"/>
      <c r="AB931" s="24"/>
      <c r="AC931" s="24"/>
    </row>
    <row r="932" spans="3:29" x14ac:dyDescent="0.25"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Z932" s="24"/>
      <c r="AA932" s="24"/>
      <c r="AB932" s="24"/>
      <c r="AC932" s="24"/>
    </row>
    <row r="933" spans="3:29" x14ac:dyDescent="0.25"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Z933" s="24"/>
      <c r="AA933" s="24"/>
      <c r="AB933" s="24"/>
      <c r="AC933" s="24"/>
    </row>
    <row r="934" spans="3:29" x14ac:dyDescent="0.25"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Z934" s="24"/>
      <c r="AA934" s="24"/>
      <c r="AB934" s="24"/>
      <c r="AC934" s="24"/>
    </row>
    <row r="935" spans="3:29" x14ac:dyDescent="0.25"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Z935" s="24"/>
      <c r="AA935" s="24"/>
      <c r="AB935" s="24"/>
      <c r="AC935" s="24"/>
    </row>
    <row r="936" spans="3:29" x14ac:dyDescent="0.25"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Z936" s="24"/>
      <c r="AA936" s="24"/>
      <c r="AB936" s="24"/>
      <c r="AC936" s="24"/>
    </row>
    <row r="937" spans="3:29" x14ac:dyDescent="0.25"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Z937" s="24"/>
      <c r="AA937" s="24"/>
      <c r="AB937" s="24"/>
      <c r="AC937" s="24"/>
    </row>
    <row r="938" spans="3:29" x14ac:dyDescent="0.25"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Z938" s="24"/>
      <c r="AA938" s="24"/>
      <c r="AB938" s="24"/>
      <c r="AC938" s="24"/>
    </row>
    <row r="939" spans="3:29" x14ac:dyDescent="0.25"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Z939" s="24"/>
      <c r="AA939" s="24"/>
      <c r="AB939" s="24"/>
      <c r="AC939" s="24"/>
    </row>
    <row r="940" spans="3:29" x14ac:dyDescent="0.25"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Z940" s="24"/>
      <c r="AA940" s="24"/>
      <c r="AB940" s="24"/>
      <c r="AC940" s="24"/>
    </row>
    <row r="941" spans="3:29" x14ac:dyDescent="0.25"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Z941" s="24"/>
      <c r="AA941" s="24"/>
      <c r="AB941" s="24"/>
      <c r="AC941" s="24"/>
    </row>
    <row r="942" spans="3:29" x14ac:dyDescent="0.25"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Z942" s="24"/>
      <c r="AA942" s="24"/>
      <c r="AB942" s="24"/>
      <c r="AC942" s="24"/>
    </row>
    <row r="943" spans="3:29" x14ac:dyDescent="0.25"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Z943" s="24"/>
      <c r="AA943" s="24"/>
      <c r="AB943" s="24"/>
      <c r="AC943" s="24"/>
    </row>
    <row r="944" spans="3:29" x14ac:dyDescent="0.25"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Z944" s="24"/>
      <c r="AA944" s="24"/>
      <c r="AB944" s="24"/>
      <c r="AC944" s="24"/>
    </row>
    <row r="945" spans="3:29" x14ac:dyDescent="0.25"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Z945" s="24"/>
      <c r="AA945" s="24"/>
      <c r="AB945" s="24"/>
      <c r="AC945" s="24"/>
    </row>
    <row r="946" spans="3:29" x14ac:dyDescent="0.25"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Z946" s="24"/>
      <c r="AA946" s="24"/>
      <c r="AB946" s="24"/>
      <c r="AC946" s="24"/>
    </row>
    <row r="947" spans="3:29" x14ac:dyDescent="0.25"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Z947" s="24"/>
      <c r="AA947" s="24"/>
      <c r="AB947" s="24"/>
      <c r="AC947" s="24"/>
    </row>
    <row r="948" spans="3:29" x14ac:dyDescent="0.25"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Z948" s="24"/>
      <c r="AA948" s="24"/>
      <c r="AB948" s="24"/>
      <c r="AC948" s="24"/>
    </row>
    <row r="949" spans="3:29" x14ac:dyDescent="0.25"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Z949" s="24"/>
      <c r="AA949" s="24"/>
      <c r="AB949" s="24"/>
      <c r="AC949" s="24"/>
    </row>
    <row r="950" spans="3:29" x14ac:dyDescent="0.25"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Z950" s="24"/>
      <c r="AA950" s="24"/>
      <c r="AB950" s="24"/>
      <c r="AC950" s="24"/>
    </row>
    <row r="951" spans="3:29" x14ac:dyDescent="0.25"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Z951" s="24"/>
      <c r="AA951" s="24"/>
      <c r="AB951" s="24"/>
      <c r="AC951" s="24"/>
    </row>
    <row r="952" spans="3:29" x14ac:dyDescent="0.25"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Z952" s="24"/>
      <c r="AA952" s="24"/>
      <c r="AB952" s="24"/>
      <c r="AC952" s="24"/>
    </row>
    <row r="953" spans="3:29" x14ac:dyDescent="0.25"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Z953" s="24"/>
      <c r="AA953" s="24"/>
      <c r="AB953" s="24"/>
      <c r="AC953" s="24"/>
    </row>
    <row r="954" spans="3:29" x14ac:dyDescent="0.25"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Z954" s="24"/>
      <c r="AA954" s="24"/>
      <c r="AB954" s="24"/>
      <c r="AC954" s="24"/>
    </row>
    <row r="955" spans="3:29" x14ac:dyDescent="0.25"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Z955" s="24"/>
      <c r="AA955" s="24"/>
      <c r="AB955" s="24"/>
      <c r="AC955" s="24"/>
    </row>
    <row r="956" spans="3:29" x14ac:dyDescent="0.25"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Z956" s="24"/>
      <c r="AA956" s="24"/>
      <c r="AB956" s="24"/>
      <c r="AC956" s="24"/>
    </row>
    <row r="957" spans="3:29" x14ac:dyDescent="0.25"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Z957" s="24"/>
      <c r="AA957" s="24"/>
      <c r="AB957" s="24"/>
      <c r="AC957" s="24"/>
    </row>
    <row r="958" spans="3:29" x14ac:dyDescent="0.25"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Z958" s="24"/>
      <c r="AA958" s="24"/>
      <c r="AB958" s="24"/>
      <c r="AC958" s="24"/>
    </row>
    <row r="959" spans="3:29" x14ac:dyDescent="0.25"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Z959" s="24"/>
      <c r="AA959" s="24"/>
      <c r="AB959" s="24"/>
      <c r="AC959" s="24"/>
    </row>
    <row r="960" spans="3:29" x14ac:dyDescent="0.25"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Z960" s="24"/>
      <c r="AA960" s="24"/>
      <c r="AB960" s="24"/>
      <c r="AC960" s="24"/>
    </row>
    <row r="961" spans="3:29" x14ac:dyDescent="0.25"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Z961" s="24"/>
      <c r="AA961" s="24"/>
      <c r="AB961" s="24"/>
      <c r="AC961" s="24"/>
    </row>
    <row r="962" spans="3:29" x14ac:dyDescent="0.25"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Z962" s="24"/>
      <c r="AA962" s="24"/>
      <c r="AB962" s="24"/>
      <c r="AC962" s="24"/>
    </row>
    <row r="963" spans="3:29" x14ac:dyDescent="0.25"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Z963" s="24"/>
      <c r="AA963" s="24"/>
      <c r="AB963" s="24"/>
      <c r="AC963" s="24"/>
    </row>
    <row r="964" spans="3:29" x14ac:dyDescent="0.25"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Z964" s="24"/>
      <c r="AA964" s="24"/>
      <c r="AB964" s="24"/>
      <c r="AC964" s="24"/>
    </row>
    <row r="965" spans="3:29" x14ac:dyDescent="0.25"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Z965" s="24"/>
      <c r="AA965" s="24"/>
      <c r="AB965" s="24"/>
      <c r="AC965" s="24"/>
    </row>
    <row r="966" spans="3:29" x14ac:dyDescent="0.25"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Z966" s="24"/>
      <c r="AA966" s="24"/>
      <c r="AB966" s="24"/>
      <c r="AC966" s="24"/>
    </row>
    <row r="967" spans="3:29" x14ac:dyDescent="0.25"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Z967" s="24"/>
      <c r="AA967" s="24"/>
      <c r="AB967" s="24"/>
      <c r="AC967" s="24"/>
    </row>
    <row r="968" spans="3:29" x14ac:dyDescent="0.25"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Z968" s="24"/>
      <c r="AA968" s="24"/>
      <c r="AB968" s="24"/>
      <c r="AC968" s="24"/>
    </row>
    <row r="969" spans="3:29" x14ac:dyDescent="0.25"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Z969" s="24"/>
      <c r="AA969" s="24"/>
      <c r="AB969" s="24"/>
      <c r="AC969" s="24"/>
    </row>
    <row r="970" spans="3:29" x14ac:dyDescent="0.25"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Z970" s="24"/>
      <c r="AA970" s="24"/>
      <c r="AB970" s="24"/>
      <c r="AC970" s="24"/>
    </row>
    <row r="971" spans="3:29" x14ac:dyDescent="0.25"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Z971" s="24"/>
      <c r="AA971" s="24"/>
      <c r="AB971" s="24"/>
      <c r="AC971" s="24"/>
    </row>
    <row r="972" spans="3:29" x14ac:dyDescent="0.25"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Z972" s="24"/>
      <c r="AA972" s="24"/>
      <c r="AB972" s="24"/>
      <c r="AC972" s="24"/>
    </row>
    <row r="973" spans="3:29" x14ac:dyDescent="0.25"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Z973" s="24"/>
      <c r="AA973" s="24"/>
      <c r="AB973" s="24"/>
      <c r="AC973" s="24"/>
    </row>
    <row r="974" spans="3:29" x14ac:dyDescent="0.25"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Z974" s="24"/>
      <c r="AA974" s="24"/>
      <c r="AB974" s="24"/>
      <c r="AC974" s="24"/>
    </row>
    <row r="975" spans="3:29" x14ac:dyDescent="0.25"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Z975" s="24"/>
      <c r="AA975" s="24"/>
      <c r="AB975" s="24"/>
      <c r="AC975" s="24"/>
    </row>
    <row r="976" spans="3:29" x14ac:dyDescent="0.25"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Z976" s="24"/>
      <c r="AA976" s="24"/>
      <c r="AB976" s="24"/>
      <c r="AC976" s="24"/>
    </row>
    <row r="977" spans="3:29" x14ac:dyDescent="0.25"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Z977" s="24"/>
      <c r="AA977" s="24"/>
      <c r="AB977" s="24"/>
      <c r="AC977" s="24"/>
    </row>
    <row r="978" spans="3:29" x14ac:dyDescent="0.25"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Z978" s="24"/>
      <c r="AA978" s="24"/>
      <c r="AB978" s="24"/>
      <c r="AC978" s="24"/>
    </row>
    <row r="979" spans="3:29" x14ac:dyDescent="0.25"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Z979" s="24"/>
      <c r="AA979" s="24"/>
      <c r="AB979" s="24"/>
      <c r="AC979" s="24"/>
    </row>
    <row r="980" spans="3:29" x14ac:dyDescent="0.25"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Z980" s="24"/>
      <c r="AA980" s="24"/>
      <c r="AB980" s="24"/>
      <c r="AC980" s="24"/>
    </row>
    <row r="981" spans="3:29" x14ac:dyDescent="0.25"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Z981" s="24"/>
      <c r="AA981" s="24"/>
      <c r="AB981" s="24"/>
      <c r="AC981" s="24"/>
    </row>
    <row r="982" spans="3:29" x14ac:dyDescent="0.25"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Z982" s="24"/>
      <c r="AA982" s="24"/>
      <c r="AB982" s="24"/>
      <c r="AC982" s="24"/>
    </row>
    <row r="983" spans="3:29" x14ac:dyDescent="0.25"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Z983" s="24"/>
      <c r="AA983" s="24"/>
      <c r="AB983" s="24"/>
      <c r="AC983" s="24"/>
    </row>
    <row r="984" spans="3:29" x14ac:dyDescent="0.25"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Z984" s="24"/>
      <c r="AA984" s="24"/>
      <c r="AB984" s="24"/>
      <c r="AC984" s="24"/>
    </row>
    <row r="985" spans="3:29" x14ac:dyDescent="0.25"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Z985" s="24"/>
      <c r="AA985" s="24"/>
      <c r="AB985" s="24"/>
      <c r="AC985" s="24"/>
    </row>
    <row r="986" spans="3:29" x14ac:dyDescent="0.25"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Z986" s="24"/>
      <c r="AA986" s="24"/>
      <c r="AB986" s="24"/>
      <c r="AC986" s="24"/>
    </row>
    <row r="987" spans="3:29" x14ac:dyDescent="0.25"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Z987" s="24"/>
      <c r="AA987" s="24"/>
      <c r="AB987" s="24"/>
      <c r="AC987" s="24"/>
    </row>
    <row r="988" spans="3:29" x14ac:dyDescent="0.25"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Z988" s="24"/>
      <c r="AA988" s="24"/>
      <c r="AB988" s="24"/>
      <c r="AC988" s="24"/>
    </row>
    <row r="989" spans="3:29" x14ac:dyDescent="0.25"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Z989" s="24"/>
      <c r="AA989" s="24"/>
      <c r="AB989" s="24"/>
      <c r="AC989" s="24"/>
    </row>
    <row r="990" spans="3:29" x14ac:dyDescent="0.25"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Z990" s="24"/>
      <c r="AA990" s="24"/>
      <c r="AB990" s="24"/>
      <c r="AC990" s="24"/>
    </row>
    <row r="991" spans="3:29" x14ac:dyDescent="0.25"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Z991" s="24"/>
      <c r="AA991" s="24"/>
      <c r="AB991" s="24"/>
      <c r="AC991" s="24"/>
    </row>
    <row r="992" spans="3:29" x14ac:dyDescent="0.25"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Z992" s="24"/>
      <c r="AA992" s="24"/>
      <c r="AB992" s="24"/>
      <c r="AC992" s="24"/>
    </row>
    <row r="993" spans="3:29" x14ac:dyDescent="0.25"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Z993" s="24"/>
      <c r="AA993" s="24"/>
      <c r="AB993" s="24"/>
      <c r="AC993" s="24"/>
    </row>
    <row r="994" spans="3:29" x14ac:dyDescent="0.25"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Z994" s="24"/>
      <c r="AA994" s="24"/>
      <c r="AB994" s="24"/>
      <c r="AC994" s="24"/>
    </row>
    <row r="995" spans="3:29" x14ac:dyDescent="0.25"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Z995" s="24"/>
      <c r="AA995" s="24"/>
      <c r="AB995" s="24"/>
      <c r="AC995" s="24"/>
    </row>
    <row r="996" spans="3:29" x14ac:dyDescent="0.25"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Z996" s="24"/>
      <c r="AA996" s="24"/>
      <c r="AB996" s="24"/>
      <c r="AC996" s="24"/>
    </row>
    <row r="997" spans="3:29" x14ac:dyDescent="0.25"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Z997" s="24"/>
      <c r="AA997" s="24"/>
      <c r="AB997" s="24"/>
      <c r="AC997" s="24"/>
    </row>
    <row r="998" spans="3:29" x14ac:dyDescent="0.25"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Z998" s="24"/>
      <c r="AA998" s="24"/>
      <c r="AB998" s="24"/>
      <c r="AC998" s="24"/>
    </row>
    <row r="999" spans="3:29" x14ac:dyDescent="0.25"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Z999" s="24"/>
      <c r="AA999" s="24"/>
      <c r="AB999" s="24"/>
      <c r="AC999" s="24"/>
    </row>
    <row r="1000" spans="3:29" x14ac:dyDescent="0.25"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Z1000" s="24"/>
      <c r="AA1000" s="24"/>
      <c r="AB1000" s="24"/>
      <c r="AC1000" s="24"/>
    </row>
    <row r="1001" spans="3:29" x14ac:dyDescent="0.25"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Z1001" s="24"/>
      <c r="AA1001" s="24"/>
      <c r="AB1001" s="24"/>
      <c r="AC1001" s="24"/>
    </row>
    <row r="1002" spans="3:29" x14ac:dyDescent="0.25"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Z1002" s="24"/>
      <c r="AA1002" s="24"/>
      <c r="AB1002" s="24"/>
      <c r="AC1002" s="24"/>
    </row>
    <row r="1003" spans="3:29" x14ac:dyDescent="0.25"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Z1003" s="24"/>
      <c r="AA1003" s="24"/>
      <c r="AB1003" s="24"/>
      <c r="AC1003" s="24"/>
    </row>
    <row r="1004" spans="3:29" x14ac:dyDescent="0.25"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Z1004" s="24"/>
      <c r="AA1004" s="24"/>
      <c r="AB1004" s="24"/>
      <c r="AC1004" s="24"/>
    </row>
    <row r="1005" spans="3:29" x14ac:dyDescent="0.25"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Z1005" s="24"/>
      <c r="AA1005" s="24"/>
      <c r="AB1005" s="24"/>
      <c r="AC1005" s="24"/>
    </row>
    <row r="1006" spans="3:29" x14ac:dyDescent="0.25"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Z1006" s="24"/>
      <c r="AA1006" s="24"/>
      <c r="AB1006" s="24"/>
      <c r="AC1006" s="24"/>
    </row>
    <row r="1007" spans="3:29" x14ac:dyDescent="0.25"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Z1007" s="24"/>
      <c r="AA1007" s="24"/>
      <c r="AB1007" s="24"/>
      <c r="AC1007" s="24"/>
    </row>
    <row r="1008" spans="3:29" x14ac:dyDescent="0.25"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Z1008" s="24"/>
      <c r="AA1008" s="24"/>
      <c r="AB1008" s="24"/>
      <c r="AC1008" s="24"/>
    </row>
    <row r="1009" spans="3:29" x14ac:dyDescent="0.25"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Z1009" s="24"/>
      <c r="AA1009" s="24"/>
      <c r="AB1009" s="24"/>
      <c r="AC1009" s="24"/>
    </row>
    <row r="1010" spans="3:29" x14ac:dyDescent="0.25"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Z1010" s="24"/>
      <c r="AA1010" s="24"/>
      <c r="AB1010" s="24"/>
      <c r="AC1010" s="24"/>
    </row>
    <row r="1011" spans="3:29" x14ac:dyDescent="0.25"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Z1011" s="24"/>
      <c r="AA1011" s="24"/>
      <c r="AB1011" s="24"/>
      <c r="AC1011" s="24"/>
    </row>
    <row r="1012" spans="3:29" x14ac:dyDescent="0.25"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Z1012" s="24"/>
      <c r="AA1012" s="24"/>
      <c r="AB1012" s="24"/>
      <c r="AC1012" s="24"/>
    </row>
    <row r="1013" spans="3:29" x14ac:dyDescent="0.25"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Z1013" s="24"/>
      <c r="AA1013" s="24"/>
      <c r="AB1013" s="24"/>
      <c r="AC1013" s="24"/>
    </row>
    <row r="1014" spans="3:29" x14ac:dyDescent="0.25"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Z1014" s="24"/>
      <c r="AA1014" s="24"/>
      <c r="AB1014" s="24"/>
      <c r="AC1014" s="24"/>
    </row>
    <row r="1015" spans="3:29" x14ac:dyDescent="0.25"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Z1015" s="24"/>
      <c r="AA1015" s="24"/>
      <c r="AB1015" s="24"/>
      <c r="AC1015" s="24"/>
    </row>
    <row r="1016" spans="3:29" x14ac:dyDescent="0.25"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Z1016" s="24"/>
      <c r="AA1016" s="24"/>
      <c r="AB1016" s="24"/>
      <c r="AC1016" s="24"/>
    </row>
    <row r="1017" spans="3:29" x14ac:dyDescent="0.25"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Z1017" s="24"/>
      <c r="AA1017" s="24"/>
      <c r="AB1017" s="24"/>
      <c r="AC1017" s="24"/>
    </row>
    <row r="1018" spans="3:29" x14ac:dyDescent="0.25"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Z1018" s="24"/>
      <c r="AA1018" s="24"/>
      <c r="AB1018" s="24"/>
      <c r="AC1018" s="24"/>
    </row>
    <row r="1019" spans="3:29" x14ac:dyDescent="0.25"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Z1019" s="24"/>
      <c r="AA1019" s="24"/>
      <c r="AB1019" s="24"/>
      <c r="AC1019" s="24"/>
    </row>
    <row r="1020" spans="3:29" x14ac:dyDescent="0.25"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Z1020" s="24"/>
      <c r="AA1020" s="24"/>
      <c r="AB1020" s="24"/>
      <c r="AC1020" s="24"/>
    </row>
    <row r="1021" spans="3:29" x14ac:dyDescent="0.25"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Z1021" s="24"/>
      <c r="AA1021" s="24"/>
      <c r="AB1021" s="24"/>
      <c r="AC1021" s="24"/>
    </row>
    <row r="1022" spans="3:29" x14ac:dyDescent="0.25"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Z1022" s="24"/>
      <c r="AA1022" s="24"/>
      <c r="AB1022" s="24"/>
      <c r="AC1022" s="24"/>
    </row>
    <row r="1023" spans="3:29" x14ac:dyDescent="0.25"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Z1023" s="24"/>
      <c r="AA1023" s="24"/>
      <c r="AB1023" s="24"/>
      <c r="AC1023" s="24"/>
    </row>
    <row r="1024" spans="3:29" x14ac:dyDescent="0.25"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Z1024" s="24"/>
      <c r="AA1024" s="24"/>
      <c r="AB1024" s="24"/>
      <c r="AC1024" s="24"/>
    </row>
    <row r="1025" spans="3:29" x14ac:dyDescent="0.25"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Z1025" s="24"/>
      <c r="AA1025" s="24"/>
      <c r="AB1025" s="24"/>
      <c r="AC1025" s="24"/>
    </row>
    <row r="1026" spans="3:29" x14ac:dyDescent="0.25"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Z1026" s="24"/>
      <c r="AA1026" s="24"/>
      <c r="AB1026" s="24"/>
      <c r="AC1026" s="24"/>
    </row>
    <row r="1027" spans="3:29" x14ac:dyDescent="0.25"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Z1027" s="24"/>
      <c r="AA1027" s="24"/>
      <c r="AB1027" s="24"/>
      <c r="AC1027" s="24"/>
    </row>
    <row r="1028" spans="3:29" x14ac:dyDescent="0.25"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Z1028" s="24"/>
      <c r="AA1028" s="24"/>
      <c r="AB1028" s="24"/>
      <c r="AC1028" s="24"/>
    </row>
    <row r="1029" spans="3:29" x14ac:dyDescent="0.25"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Z1029" s="24"/>
      <c r="AA1029" s="24"/>
      <c r="AB1029" s="24"/>
      <c r="AC1029" s="24"/>
    </row>
    <row r="1030" spans="3:29" x14ac:dyDescent="0.25"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Z1030" s="24"/>
      <c r="AA1030" s="24"/>
      <c r="AB1030" s="24"/>
      <c r="AC1030" s="24"/>
    </row>
    <row r="1031" spans="3:29" x14ac:dyDescent="0.25"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Z1031" s="24"/>
      <c r="AA1031" s="24"/>
      <c r="AB1031" s="24"/>
      <c r="AC1031" s="24"/>
    </row>
    <row r="1032" spans="3:29" x14ac:dyDescent="0.25"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Z1032" s="24"/>
      <c r="AA1032" s="24"/>
      <c r="AB1032" s="24"/>
      <c r="AC1032" s="24"/>
    </row>
    <row r="1033" spans="3:29" x14ac:dyDescent="0.25"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Z1033" s="24"/>
      <c r="AA1033" s="24"/>
      <c r="AB1033" s="24"/>
      <c r="AC1033" s="24"/>
    </row>
    <row r="1034" spans="3:29" x14ac:dyDescent="0.25"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Z1034" s="24"/>
      <c r="AA1034" s="24"/>
      <c r="AB1034" s="24"/>
      <c r="AC1034" s="24"/>
    </row>
    <row r="1035" spans="3:29" x14ac:dyDescent="0.25"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Z1035" s="24"/>
      <c r="AA1035" s="24"/>
      <c r="AB1035" s="24"/>
      <c r="AC1035" s="24"/>
    </row>
    <row r="1036" spans="3:29" x14ac:dyDescent="0.25"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Z1036" s="24"/>
      <c r="AA1036" s="24"/>
      <c r="AB1036" s="24"/>
      <c r="AC1036" s="24"/>
    </row>
    <row r="1037" spans="3:29" x14ac:dyDescent="0.25"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Z1037" s="24"/>
      <c r="AA1037" s="24"/>
      <c r="AB1037" s="24"/>
      <c r="AC1037" s="24"/>
    </row>
    <row r="1038" spans="3:29" x14ac:dyDescent="0.25"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Z1038" s="24"/>
      <c r="AA1038" s="24"/>
      <c r="AB1038" s="24"/>
      <c r="AC1038" s="24"/>
    </row>
    <row r="1039" spans="3:29" x14ac:dyDescent="0.25"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Z1039" s="24"/>
      <c r="AA1039" s="24"/>
      <c r="AB1039" s="24"/>
      <c r="AC1039" s="24"/>
    </row>
    <row r="1040" spans="3:29" x14ac:dyDescent="0.25"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Z1040" s="24"/>
      <c r="AA1040" s="24"/>
      <c r="AB1040" s="24"/>
      <c r="AC1040" s="24"/>
    </row>
    <row r="1041" spans="3:29" x14ac:dyDescent="0.25"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Z1041" s="24"/>
      <c r="AA1041" s="24"/>
      <c r="AB1041" s="24"/>
      <c r="AC1041" s="24"/>
    </row>
    <row r="1042" spans="3:29" x14ac:dyDescent="0.25"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Z1042" s="24"/>
      <c r="AA1042" s="24"/>
      <c r="AB1042" s="24"/>
      <c r="AC1042" s="24"/>
    </row>
    <row r="1043" spans="3:29" x14ac:dyDescent="0.25"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Z1043" s="24"/>
      <c r="AA1043" s="24"/>
      <c r="AB1043" s="24"/>
      <c r="AC1043" s="24"/>
    </row>
    <row r="1044" spans="3:29" x14ac:dyDescent="0.25"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Z1044" s="24"/>
      <c r="AA1044" s="24"/>
      <c r="AB1044" s="24"/>
      <c r="AC1044" s="24"/>
    </row>
    <row r="1045" spans="3:29" x14ac:dyDescent="0.25"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Z1045" s="24"/>
      <c r="AA1045" s="24"/>
      <c r="AB1045" s="24"/>
      <c r="AC1045" s="24"/>
    </row>
    <row r="1046" spans="3:29" x14ac:dyDescent="0.25"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Z1046" s="24"/>
      <c r="AA1046" s="24"/>
      <c r="AB1046" s="24"/>
      <c r="AC1046" s="24"/>
    </row>
    <row r="1047" spans="3:29" x14ac:dyDescent="0.25"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Z1047" s="24"/>
      <c r="AA1047" s="24"/>
      <c r="AB1047" s="24"/>
      <c r="AC1047" s="24"/>
    </row>
    <row r="1048" spans="3:29" x14ac:dyDescent="0.25"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Z1048" s="24"/>
      <c r="AA1048" s="24"/>
      <c r="AB1048" s="24"/>
      <c r="AC1048" s="24"/>
    </row>
    <row r="1049" spans="3:29" x14ac:dyDescent="0.25"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Z1049" s="24"/>
      <c r="AA1049" s="24"/>
      <c r="AB1049" s="24"/>
      <c r="AC1049" s="24"/>
    </row>
    <row r="1050" spans="3:29" x14ac:dyDescent="0.25"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Z1050" s="24"/>
      <c r="AA1050" s="24"/>
      <c r="AB1050" s="24"/>
      <c r="AC1050" s="24"/>
    </row>
    <row r="1051" spans="3:29" x14ac:dyDescent="0.25"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Z1051" s="24"/>
      <c r="AA1051" s="24"/>
      <c r="AB1051" s="24"/>
      <c r="AC1051" s="24"/>
    </row>
    <row r="1052" spans="3:29" x14ac:dyDescent="0.25"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Z1052" s="24"/>
      <c r="AA1052" s="24"/>
      <c r="AB1052" s="24"/>
      <c r="AC1052" s="24"/>
    </row>
    <row r="1053" spans="3:29" x14ac:dyDescent="0.25"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Z1053" s="24"/>
      <c r="AA1053" s="24"/>
      <c r="AB1053" s="24"/>
      <c r="AC1053" s="24"/>
    </row>
    <row r="1054" spans="3:29" x14ac:dyDescent="0.25"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Z1054" s="24"/>
      <c r="AA1054" s="24"/>
      <c r="AB1054" s="24"/>
      <c r="AC1054" s="24"/>
    </row>
    <row r="1055" spans="3:29" x14ac:dyDescent="0.25"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Z1055" s="24"/>
      <c r="AA1055" s="24"/>
      <c r="AB1055" s="24"/>
      <c r="AC1055" s="24"/>
    </row>
    <row r="1056" spans="3:29" x14ac:dyDescent="0.25"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Z1056" s="24"/>
      <c r="AA1056" s="24"/>
      <c r="AB1056" s="24"/>
      <c r="AC1056" s="24"/>
    </row>
    <row r="1057" spans="3:29" x14ac:dyDescent="0.25"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Z1057" s="24"/>
      <c r="AA1057" s="24"/>
      <c r="AB1057" s="24"/>
      <c r="AC1057" s="24"/>
    </row>
    <row r="1058" spans="3:29" x14ac:dyDescent="0.25"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Z1058" s="24"/>
      <c r="AA1058" s="24"/>
      <c r="AB1058" s="24"/>
      <c r="AC1058" s="24"/>
    </row>
    <row r="1059" spans="3:29" x14ac:dyDescent="0.25"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Z1059" s="24"/>
      <c r="AA1059" s="24"/>
      <c r="AB1059" s="24"/>
      <c r="AC1059" s="24"/>
    </row>
    <row r="1060" spans="3:29" x14ac:dyDescent="0.25"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Z1060" s="24"/>
      <c r="AA1060" s="24"/>
      <c r="AB1060" s="24"/>
      <c r="AC1060" s="24"/>
    </row>
    <row r="1061" spans="3:29" x14ac:dyDescent="0.25"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Z1061" s="24"/>
      <c r="AA1061" s="24"/>
      <c r="AB1061" s="24"/>
      <c r="AC1061" s="24"/>
    </row>
    <row r="1062" spans="3:29" x14ac:dyDescent="0.25"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Z1062" s="24"/>
      <c r="AA1062" s="24"/>
      <c r="AB1062" s="24"/>
      <c r="AC1062" s="24"/>
    </row>
    <row r="1063" spans="3:29" x14ac:dyDescent="0.25"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Z1063" s="24"/>
      <c r="AA1063" s="24"/>
      <c r="AB1063" s="24"/>
      <c r="AC1063" s="24"/>
    </row>
    <row r="1064" spans="3:29" x14ac:dyDescent="0.25"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Z1064" s="24"/>
      <c r="AA1064" s="24"/>
      <c r="AB1064" s="24"/>
      <c r="AC1064" s="24"/>
    </row>
    <row r="1065" spans="3:29" x14ac:dyDescent="0.25"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Z1065" s="24"/>
      <c r="AA1065" s="24"/>
      <c r="AB1065" s="24"/>
      <c r="AC1065" s="24"/>
    </row>
    <row r="1066" spans="3:29" x14ac:dyDescent="0.25"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Z1066" s="24"/>
      <c r="AA1066" s="24"/>
      <c r="AB1066" s="24"/>
      <c r="AC1066" s="24"/>
    </row>
    <row r="1067" spans="3:29" x14ac:dyDescent="0.25"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Z1067" s="24"/>
      <c r="AA1067" s="24"/>
      <c r="AB1067" s="24"/>
      <c r="AC1067" s="24"/>
    </row>
    <row r="1068" spans="3:29" x14ac:dyDescent="0.25"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Z1068" s="24"/>
      <c r="AA1068" s="24"/>
      <c r="AB1068" s="24"/>
      <c r="AC1068" s="24"/>
    </row>
    <row r="1069" spans="3:29" x14ac:dyDescent="0.25"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Z1069" s="24"/>
      <c r="AA1069" s="24"/>
      <c r="AB1069" s="24"/>
      <c r="AC1069" s="24"/>
    </row>
    <row r="1070" spans="3:29" x14ac:dyDescent="0.25"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Z1070" s="24"/>
      <c r="AA1070" s="24"/>
      <c r="AB1070" s="24"/>
      <c r="AC1070" s="24"/>
    </row>
    <row r="1071" spans="3:29" x14ac:dyDescent="0.25"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Z1071" s="24"/>
      <c r="AA1071" s="24"/>
      <c r="AB1071" s="24"/>
      <c r="AC1071" s="24"/>
    </row>
    <row r="1072" spans="3:29" x14ac:dyDescent="0.25"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Z1072" s="24"/>
      <c r="AA1072" s="24"/>
      <c r="AB1072" s="24"/>
      <c r="AC1072" s="24"/>
    </row>
    <row r="1073" spans="3:29" x14ac:dyDescent="0.25"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Z1073" s="24"/>
      <c r="AA1073" s="24"/>
      <c r="AB1073" s="24"/>
      <c r="AC1073" s="24"/>
    </row>
    <row r="1074" spans="3:29" x14ac:dyDescent="0.25"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Z1074" s="24"/>
      <c r="AA1074" s="24"/>
      <c r="AB1074" s="24"/>
      <c r="AC1074" s="24"/>
    </row>
    <row r="1075" spans="3:29" x14ac:dyDescent="0.25"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Z1075" s="24"/>
      <c r="AA1075" s="24"/>
      <c r="AB1075" s="24"/>
      <c r="AC1075" s="24"/>
    </row>
    <row r="1076" spans="3:29" x14ac:dyDescent="0.25"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Z1076" s="24"/>
      <c r="AA1076" s="24"/>
      <c r="AB1076" s="24"/>
      <c r="AC1076" s="24"/>
    </row>
    <row r="1077" spans="3:29" x14ac:dyDescent="0.25"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Z1077" s="24"/>
      <c r="AA1077" s="24"/>
      <c r="AB1077" s="24"/>
      <c r="AC1077" s="24"/>
    </row>
    <row r="1078" spans="3:29" x14ac:dyDescent="0.25"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Z1078" s="24"/>
      <c r="AA1078" s="24"/>
      <c r="AB1078" s="24"/>
      <c r="AC1078" s="24"/>
    </row>
    <row r="1079" spans="3:29" x14ac:dyDescent="0.25"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Z1079" s="24"/>
      <c r="AA1079" s="24"/>
      <c r="AB1079" s="24"/>
      <c r="AC1079" s="24"/>
    </row>
    <row r="1080" spans="3:29" x14ac:dyDescent="0.25"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Z1080" s="24"/>
      <c r="AA1080" s="24"/>
      <c r="AB1080" s="24"/>
      <c r="AC1080" s="24"/>
    </row>
    <row r="1081" spans="3:29" x14ac:dyDescent="0.25"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Z1081" s="24"/>
      <c r="AA1081" s="24"/>
      <c r="AB1081" s="24"/>
      <c r="AC1081" s="24"/>
    </row>
    <row r="1082" spans="3:29" x14ac:dyDescent="0.25"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Z1082" s="24"/>
      <c r="AA1082" s="24"/>
      <c r="AB1082" s="24"/>
      <c r="AC1082" s="24"/>
    </row>
    <row r="1083" spans="3:29" x14ac:dyDescent="0.25"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Z1083" s="24"/>
      <c r="AA1083" s="24"/>
      <c r="AB1083" s="24"/>
      <c r="AC1083" s="24"/>
    </row>
    <row r="1084" spans="3:29" x14ac:dyDescent="0.25"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Z1084" s="24"/>
      <c r="AA1084" s="24"/>
      <c r="AB1084" s="24"/>
      <c r="AC1084" s="24"/>
    </row>
    <row r="1085" spans="3:29" x14ac:dyDescent="0.25"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Z1085" s="24"/>
      <c r="AA1085" s="24"/>
      <c r="AB1085" s="24"/>
      <c r="AC1085" s="24"/>
    </row>
    <row r="1086" spans="3:29" x14ac:dyDescent="0.25"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Z1086" s="24"/>
      <c r="AA1086" s="24"/>
      <c r="AB1086" s="24"/>
      <c r="AC1086" s="24"/>
    </row>
    <row r="1087" spans="3:29" x14ac:dyDescent="0.25"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Z1087" s="24"/>
      <c r="AA1087" s="24"/>
      <c r="AB1087" s="24"/>
      <c r="AC1087" s="24"/>
    </row>
    <row r="1088" spans="3:29" x14ac:dyDescent="0.25"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Z1088" s="24"/>
      <c r="AA1088" s="24"/>
      <c r="AB1088" s="24"/>
      <c r="AC1088" s="24"/>
    </row>
    <row r="1089" spans="3:29" x14ac:dyDescent="0.25"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Z1089" s="24"/>
      <c r="AA1089" s="24"/>
      <c r="AB1089" s="24"/>
      <c r="AC1089" s="24"/>
    </row>
    <row r="1090" spans="3:29" x14ac:dyDescent="0.25"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Z1090" s="24"/>
      <c r="AA1090" s="24"/>
      <c r="AB1090" s="24"/>
      <c r="AC1090" s="24"/>
    </row>
    <row r="1091" spans="3:29" x14ac:dyDescent="0.25"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Z1091" s="24"/>
      <c r="AA1091" s="24"/>
      <c r="AB1091" s="24"/>
      <c r="AC1091" s="24"/>
    </row>
    <row r="1092" spans="3:29" x14ac:dyDescent="0.25"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Z1092" s="24"/>
      <c r="AA1092" s="24"/>
      <c r="AB1092" s="24"/>
      <c r="AC1092" s="24"/>
    </row>
    <row r="1093" spans="3:29" x14ac:dyDescent="0.25"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Z1093" s="24"/>
      <c r="AA1093" s="24"/>
      <c r="AB1093" s="24"/>
      <c r="AC1093" s="24"/>
    </row>
    <row r="1094" spans="3:29" x14ac:dyDescent="0.25"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Z1094" s="24"/>
      <c r="AA1094" s="24"/>
      <c r="AB1094" s="24"/>
      <c r="AC1094" s="24"/>
    </row>
    <row r="1095" spans="3:29" x14ac:dyDescent="0.25"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Z1095" s="24"/>
      <c r="AA1095" s="24"/>
      <c r="AB1095" s="24"/>
      <c r="AC1095" s="24"/>
    </row>
    <row r="1096" spans="3:29" x14ac:dyDescent="0.25"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Z1096" s="24"/>
      <c r="AA1096" s="24"/>
      <c r="AB1096" s="24"/>
      <c r="AC1096" s="24"/>
    </row>
    <row r="1097" spans="3:29" x14ac:dyDescent="0.25"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Z1097" s="24"/>
      <c r="AA1097" s="24"/>
      <c r="AB1097" s="24"/>
      <c r="AC1097" s="24"/>
    </row>
    <row r="1098" spans="3:29" x14ac:dyDescent="0.25"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Z1098" s="24"/>
      <c r="AA1098" s="24"/>
      <c r="AB1098" s="24"/>
      <c r="AC1098" s="24"/>
    </row>
    <row r="1099" spans="3:29" x14ac:dyDescent="0.25"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Z1099" s="24"/>
      <c r="AA1099" s="24"/>
      <c r="AB1099" s="24"/>
      <c r="AC1099" s="24"/>
    </row>
    <row r="1100" spans="3:29" x14ac:dyDescent="0.25"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Z1100" s="24"/>
      <c r="AA1100" s="24"/>
      <c r="AB1100" s="24"/>
      <c r="AC1100" s="24"/>
    </row>
    <row r="1101" spans="3:29" x14ac:dyDescent="0.25"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Z1101" s="24"/>
      <c r="AA1101" s="24"/>
      <c r="AB1101" s="24"/>
      <c r="AC1101" s="24"/>
    </row>
    <row r="1102" spans="3:29" x14ac:dyDescent="0.25"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Z1102" s="24"/>
      <c r="AA1102" s="24"/>
      <c r="AB1102" s="24"/>
      <c r="AC1102" s="24"/>
    </row>
    <row r="1103" spans="3:29" x14ac:dyDescent="0.25"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Z1103" s="24"/>
      <c r="AA1103" s="24"/>
      <c r="AB1103" s="24"/>
      <c r="AC1103" s="24"/>
    </row>
    <row r="1104" spans="3:29" x14ac:dyDescent="0.25"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Z1104" s="24"/>
      <c r="AA1104" s="24"/>
      <c r="AB1104" s="24"/>
      <c r="AC1104" s="24"/>
    </row>
    <row r="1105" spans="3:29" x14ac:dyDescent="0.25"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Z1105" s="24"/>
      <c r="AA1105" s="24"/>
      <c r="AB1105" s="24"/>
      <c r="AC1105" s="24"/>
    </row>
    <row r="1106" spans="3:29" x14ac:dyDescent="0.25"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Z1106" s="24"/>
      <c r="AA1106" s="24"/>
      <c r="AB1106" s="24"/>
      <c r="AC1106" s="24"/>
    </row>
    <row r="1107" spans="3:29" x14ac:dyDescent="0.25"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Z1107" s="24"/>
      <c r="AA1107" s="24"/>
      <c r="AB1107" s="24"/>
      <c r="AC1107" s="24"/>
    </row>
    <row r="1108" spans="3:29" x14ac:dyDescent="0.25"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Z1108" s="24"/>
      <c r="AA1108" s="24"/>
      <c r="AB1108" s="24"/>
      <c r="AC1108" s="24"/>
    </row>
    <row r="1109" spans="3:29" x14ac:dyDescent="0.25"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Z1109" s="24"/>
      <c r="AA1109" s="24"/>
      <c r="AB1109" s="24"/>
      <c r="AC1109" s="24"/>
    </row>
    <row r="1110" spans="3:29" x14ac:dyDescent="0.25"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Z1110" s="24"/>
      <c r="AA1110" s="24"/>
      <c r="AB1110" s="24"/>
      <c r="AC1110" s="24"/>
    </row>
    <row r="1111" spans="3:29" x14ac:dyDescent="0.25"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Z1111" s="24"/>
      <c r="AA1111" s="24"/>
      <c r="AB1111" s="24"/>
      <c r="AC1111" s="24"/>
    </row>
    <row r="1112" spans="3:29" x14ac:dyDescent="0.25"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Z1112" s="24"/>
      <c r="AA1112" s="24"/>
      <c r="AB1112" s="24"/>
      <c r="AC1112" s="24"/>
    </row>
    <row r="1113" spans="3:29" x14ac:dyDescent="0.25"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Z1113" s="24"/>
      <c r="AA1113" s="24"/>
      <c r="AB1113" s="24"/>
      <c r="AC1113" s="24"/>
    </row>
    <row r="1114" spans="3:29" x14ac:dyDescent="0.25"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Z1114" s="24"/>
      <c r="AA1114" s="24"/>
      <c r="AB1114" s="24"/>
      <c r="AC1114" s="24"/>
    </row>
    <row r="1115" spans="3:29" x14ac:dyDescent="0.25"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Z1115" s="24"/>
      <c r="AA1115" s="24"/>
      <c r="AB1115" s="24"/>
      <c r="AC1115" s="24"/>
    </row>
    <row r="1116" spans="3:29" x14ac:dyDescent="0.25"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Z1116" s="24"/>
      <c r="AA1116" s="24"/>
      <c r="AB1116" s="24"/>
      <c r="AC1116" s="24"/>
    </row>
    <row r="1117" spans="3:29" x14ac:dyDescent="0.25"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Z1117" s="24"/>
      <c r="AA1117" s="24"/>
      <c r="AB1117" s="24"/>
      <c r="AC1117" s="24"/>
    </row>
    <row r="1118" spans="3:29" x14ac:dyDescent="0.25"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Z1118" s="24"/>
      <c r="AA1118" s="24"/>
      <c r="AB1118" s="24"/>
      <c r="AC1118" s="24"/>
    </row>
    <row r="1119" spans="3:29" x14ac:dyDescent="0.25"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Z1119" s="24"/>
      <c r="AA1119" s="24"/>
      <c r="AB1119" s="24"/>
      <c r="AC1119" s="24"/>
    </row>
    <row r="1120" spans="3:29" x14ac:dyDescent="0.25"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Z1120" s="24"/>
      <c r="AA1120" s="24"/>
      <c r="AB1120" s="24"/>
      <c r="AC1120" s="24"/>
    </row>
    <row r="1121" spans="3:29" x14ac:dyDescent="0.25"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Z1121" s="24"/>
      <c r="AA1121" s="24"/>
      <c r="AB1121" s="24"/>
      <c r="AC1121" s="24"/>
    </row>
    <row r="1122" spans="3:29" x14ac:dyDescent="0.25"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Z1122" s="24"/>
      <c r="AA1122" s="24"/>
      <c r="AB1122" s="24"/>
      <c r="AC1122" s="24"/>
    </row>
    <row r="1123" spans="3:29" x14ac:dyDescent="0.25"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Z1123" s="24"/>
      <c r="AA1123" s="24"/>
      <c r="AB1123" s="24"/>
      <c r="AC1123" s="24"/>
    </row>
    <row r="1124" spans="3:29" x14ac:dyDescent="0.25"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Z1124" s="24"/>
      <c r="AA1124" s="24"/>
      <c r="AB1124" s="24"/>
      <c r="AC1124" s="24"/>
    </row>
    <row r="1125" spans="3:29" x14ac:dyDescent="0.25"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Z1125" s="24"/>
      <c r="AA1125" s="24"/>
      <c r="AB1125" s="24"/>
      <c r="AC1125" s="24"/>
    </row>
    <row r="1126" spans="3:29" x14ac:dyDescent="0.25"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Z1126" s="24"/>
      <c r="AA1126" s="24"/>
      <c r="AB1126" s="24"/>
      <c r="AC1126" s="24"/>
    </row>
    <row r="1127" spans="3:29" x14ac:dyDescent="0.25"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Z1127" s="24"/>
      <c r="AA1127" s="24"/>
      <c r="AB1127" s="24"/>
      <c r="AC1127" s="24"/>
    </row>
    <row r="1128" spans="3:29" x14ac:dyDescent="0.25"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Z1128" s="24"/>
      <c r="AA1128" s="24"/>
      <c r="AB1128" s="24"/>
      <c r="AC1128" s="24"/>
    </row>
    <row r="1129" spans="3:29" x14ac:dyDescent="0.25"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Z1129" s="24"/>
      <c r="AA1129" s="24"/>
      <c r="AB1129" s="24"/>
      <c r="AC1129" s="24"/>
    </row>
    <row r="1130" spans="3:29" x14ac:dyDescent="0.25"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Z1130" s="24"/>
      <c r="AA1130" s="24"/>
      <c r="AB1130" s="24"/>
      <c r="AC1130" s="24"/>
    </row>
    <row r="1131" spans="3:29" x14ac:dyDescent="0.25"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Z1131" s="24"/>
      <c r="AA1131" s="24"/>
      <c r="AB1131" s="24"/>
      <c r="AC1131" s="24"/>
    </row>
    <row r="1132" spans="3:29" x14ac:dyDescent="0.25"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Z1132" s="24"/>
      <c r="AA1132" s="24"/>
      <c r="AB1132" s="24"/>
      <c r="AC1132" s="24"/>
    </row>
    <row r="1133" spans="3:29" x14ac:dyDescent="0.25"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Z1133" s="24"/>
      <c r="AA1133" s="24"/>
      <c r="AB1133" s="24"/>
      <c r="AC1133" s="24"/>
    </row>
    <row r="1134" spans="3:29" x14ac:dyDescent="0.25"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Z1134" s="24"/>
      <c r="AA1134" s="24"/>
      <c r="AB1134" s="24"/>
      <c r="AC1134" s="24"/>
    </row>
    <row r="1135" spans="3:29" x14ac:dyDescent="0.25"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Z1135" s="24"/>
      <c r="AA1135" s="24"/>
      <c r="AB1135" s="24"/>
      <c r="AC1135" s="24"/>
    </row>
    <row r="1136" spans="3:29" x14ac:dyDescent="0.25"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Z1136" s="24"/>
      <c r="AA1136" s="24"/>
      <c r="AB1136" s="24"/>
      <c r="AC1136" s="24"/>
    </row>
    <row r="1137" spans="3:29" x14ac:dyDescent="0.25"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Z1137" s="24"/>
      <c r="AA1137" s="24"/>
      <c r="AB1137" s="24"/>
      <c r="AC1137" s="24"/>
    </row>
    <row r="1138" spans="3:29" x14ac:dyDescent="0.25"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Z1138" s="24"/>
      <c r="AA1138" s="24"/>
      <c r="AB1138" s="24"/>
      <c r="AC1138" s="24"/>
    </row>
    <row r="1139" spans="3:29" x14ac:dyDescent="0.25"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Z1139" s="24"/>
      <c r="AA1139" s="24"/>
      <c r="AB1139" s="24"/>
      <c r="AC1139" s="24"/>
    </row>
    <row r="1140" spans="3:29" x14ac:dyDescent="0.25"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Z1140" s="24"/>
      <c r="AA1140" s="24"/>
      <c r="AB1140" s="24"/>
      <c r="AC1140" s="24"/>
    </row>
    <row r="1141" spans="3:29" x14ac:dyDescent="0.25"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Z1141" s="24"/>
      <c r="AA1141" s="24"/>
      <c r="AB1141" s="24"/>
      <c r="AC1141" s="24"/>
    </row>
    <row r="1142" spans="3:29" x14ac:dyDescent="0.25"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Z1142" s="24"/>
      <c r="AA1142" s="24"/>
      <c r="AB1142" s="24"/>
      <c r="AC1142" s="24"/>
    </row>
    <row r="1143" spans="3:29" x14ac:dyDescent="0.25"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Z1143" s="24"/>
      <c r="AA1143" s="24"/>
      <c r="AB1143" s="24"/>
      <c r="AC1143" s="24"/>
    </row>
    <row r="1144" spans="3:29" x14ac:dyDescent="0.25"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Z1144" s="24"/>
      <c r="AA1144" s="24"/>
      <c r="AB1144" s="24"/>
      <c r="AC1144" s="24"/>
    </row>
    <row r="1145" spans="3:29" x14ac:dyDescent="0.25"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Z1145" s="24"/>
      <c r="AA1145" s="24"/>
      <c r="AB1145" s="24"/>
      <c r="AC1145" s="24"/>
    </row>
    <row r="1146" spans="3:29" x14ac:dyDescent="0.25"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Z1146" s="24"/>
      <c r="AA1146" s="24"/>
      <c r="AB1146" s="24"/>
      <c r="AC1146" s="24"/>
    </row>
    <row r="1147" spans="3:29" x14ac:dyDescent="0.25"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Z1147" s="24"/>
      <c r="AA1147" s="24"/>
      <c r="AB1147" s="24"/>
      <c r="AC1147" s="24"/>
    </row>
    <row r="1148" spans="3:29" x14ac:dyDescent="0.25"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Z1148" s="24"/>
      <c r="AA1148" s="24"/>
      <c r="AB1148" s="24"/>
      <c r="AC1148" s="24"/>
    </row>
    <row r="1149" spans="3:29" x14ac:dyDescent="0.25"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Z1149" s="24"/>
      <c r="AA1149" s="24"/>
      <c r="AB1149" s="24"/>
      <c r="AC1149" s="24"/>
    </row>
    <row r="1150" spans="3:29" x14ac:dyDescent="0.25"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Z1150" s="24"/>
      <c r="AA1150" s="24"/>
      <c r="AB1150" s="24"/>
      <c r="AC1150" s="24"/>
    </row>
    <row r="1151" spans="3:29" x14ac:dyDescent="0.25"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Z1151" s="24"/>
      <c r="AA1151" s="24"/>
      <c r="AB1151" s="24"/>
      <c r="AC1151" s="24"/>
    </row>
    <row r="1152" spans="3:29" x14ac:dyDescent="0.25"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Z1152" s="24"/>
      <c r="AA1152" s="24"/>
      <c r="AB1152" s="24"/>
      <c r="AC1152" s="24"/>
    </row>
    <row r="1153" spans="3:29" x14ac:dyDescent="0.25"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Z1153" s="24"/>
      <c r="AA1153" s="24"/>
      <c r="AB1153" s="24"/>
      <c r="AC1153" s="24"/>
    </row>
    <row r="1154" spans="3:29" x14ac:dyDescent="0.25"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Z1154" s="24"/>
      <c r="AA1154" s="24"/>
      <c r="AB1154" s="24"/>
      <c r="AC1154" s="24"/>
    </row>
    <row r="1155" spans="3:29" x14ac:dyDescent="0.25"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Z1155" s="24"/>
      <c r="AA1155" s="24"/>
      <c r="AB1155" s="24"/>
      <c r="AC1155" s="24"/>
    </row>
    <row r="1156" spans="3:29" x14ac:dyDescent="0.25"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Z1156" s="24"/>
      <c r="AA1156" s="24"/>
      <c r="AB1156" s="24"/>
      <c r="AC1156" s="24"/>
    </row>
    <row r="1157" spans="3:29" x14ac:dyDescent="0.25"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Z1157" s="24"/>
      <c r="AA1157" s="24"/>
      <c r="AB1157" s="24"/>
      <c r="AC1157" s="24"/>
    </row>
    <row r="1158" spans="3:29" x14ac:dyDescent="0.25"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Z1158" s="24"/>
      <c r="AA1158" s="24"/>
      <c r="AB1158" s="24"/>
      <c r="AC1158" s="24"/>
    </row>
    <row r="1159" spans="3:29" x14ac:dyDescent="0.25"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Z1159" s="24"/>
      <c r="AA1159" s="24"/>
      <c r="AB1159" s="24"/>
      <c r="AC1159" s="24"/>
    </row>
    <row r="1160" spans="3:29" x14ac:dyDescent="0.25"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Z1160" s="24"/>
      <c r="AA1160" s="24"/>
      <c r="AB1160" s="24"/>
      <c r="AC1160" s="24"/>
    </row>
    <row r="1161" spans="3:29" x14ac:dyDescent="0.25"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Z1161" s="24"/>
      <c r="AA1161" s="24"/>
      <c r="AB1161" s="24"/>
      <c r="AC1161" s="24"/>
    </row>
    <row r="1162" spans="3:29" x14ac:dyDescent="0.25"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Z1162" s="24"/>
      <c r="AA1162" s="24"/>
      <c r="AB1162" s="24"/>
      <c r="AC1162" s="24"/>
    </row>
    <row r="1163" spans="3:29" x14ac:dyDescent="0.25"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Z1163" s="24"/>
      <c r="AA1163" s="24"/>
      <c r="AB1163" s="24"/>
      <c r="AC1163" s="24"/>
    </row>
    <row r="1164" spans="3:29" x14ac:dyDescent="0.25"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Z1164" s="24"/>
      <c r="AA1164" s="24"/>
      <c r="AB1164" s="24"/>
      <c r="AC1164" s="24"/>
    </row>
    <row r="1165" spans="3:29" x14ac:dyDescent="0.25"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Z1165" s="24"/>
      <c r="AA1165" s="24"/>
      <c r="AB1165" s="24"/>
      <c r="AC1165" s="24"/>
    </row>
    <row r="1166" spans="3:29" x14ac:dyDescent="0.25"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Z1166" s="24"/>
      <c r="AA1166" s="24"/>
      <c r="AB1166" s="24"/>
      <c r="AC1166" s="24"/>
    </row>
    <row r="1167" spans="3:29" x14ac:dyDescent="0.25"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Z1167" s="24"/>
      <c r="AA1167" s="24"/>
      <c r="AB1167" s="24"/>
      <c r="AC1167" s="24"/>
    </row>
    <row r="1168" spans="3:29" x14ac:dyDescent="0.25"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Z1168" s="24"/>
      <c r="AA1168" s="24"/>
      <c r="AB1168" s="24"/>
      <c r="AC1168" s="24"/>
    </row>
    <row r="1169" spans="3:29" x14ac:dyDescent="0.25"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Z1169" s="24"/>
      <c r="AA1169" s="24"/>
      <c r="AB1169" s="24"/>
      <c r="AC1169" s="24"/>
    </row>
    <row r="1170" spans="3:29" x14ac:dyDescent="0.25"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Z1170" s="24"/>
      <c r="AA1170" s="24"/>
      <c r="AB1170" s="24"/>
      <c r="AC1170" s="24"/>
    </row>
    <row r="1171" spans="3:29" x14ac:dyDescent="0.25"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Z1171" s="24"/>
      <c r="AA1171" s="24"/>
      <c r="AB1171" s="24"/>
      <c r="AC1171" s="24"/>
    </row>
    <row r="1172" spans="3:29" x14ac:dyDescent="0.25"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Z1172" s="24"/>
      <c r="AA1172" s="24"/>
      <c r="AB1172" s="24"/>
      <c r="AC1172" s="24"/>
    </row>
    <row r="1173" spans="3:29" x14ac:dyDescent="0.25"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Z1173" s="24"/>
      <c r="AA1173" s="24"/>
      <c r="AB1173" s="24"/>
      <c r="AC1173" s="24"/>
    </row>
    <row r="1174" spans="3:29" x14ac:dyDescent="0.25"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Z1174" s="24"/>
      <c r="AA1174" s="24"/>
      <c r="AB1174" s="24"/>
      <c r="AC1174" s="24"/>
    </row>
    <row r="1175" spans="3:29" x14ac:dyDescent="0.25"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Z1175" s="24"/>
      <c r="AA1175" s="24"/>
      <c r="AB1175" s="24"/>
      <c r="AC1175" s="24"/>
    </row>
    <row r="1176" spans="3:29" x14ac:dyDescent="0.25"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Z1176" s="24"/>
      <c r="AA1176" s="24"/>
      <c r="AB1176" s="24"/>
      <c r="AC1176" s="24"/>
    </row>
    <row r="1177" spans="3:29" x14ac:dyDescent="0.25"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Z1177" s="24"/>
      <c r="AA1177" s="24"/>
      <c r="AB1177" s="24"/>
      <c r="AC1177" s="24"/>
    </row>
    <row r="1178" spans="3:29" x14ac:dyDescent="0.25"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Z1178" s="24"/>
      <c r="AA1178" s="24"/>
      <c r="AB1178" s="24"/>
      <c r="AC1178" s="24"/>
    </row>
    <row r="1179" spans="3:29" x14ac:dyDescent="0.25"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Z1179" s="24"/>
      <c r="AA1179" s="24"/>
      <c r="AB1179" s="24"/>
      <c r="AC1179" s="24"/>
    </row>
    <row r="1180" spans="3:29" x14ac:dyDescent="0.25"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Z1180" s="24"/>
      <c r="AA1180" s="24"/>
      <c r="AB1180" s="24"/>
      <c r="AC1180" s="24"/>
    </row>
    <row r="1181" spans="3:29" x14ac:dyDescent="0.25"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Z1181" s="24"/>
      <c r="AA1181" s="24"/>
      <c r="AB1181" s="24"/>
      <c r="AC1181" s="24"/>
    </row>
    <row r="1182" spans="3:29" x14ac:dyDescent="0.25"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Z1182" s="24"/>
      <c r="AA1182" s="24"/>
      <c r="AB1182" s="24"/>
      <c r="AC1182" s="24"/>
    </row>
    <row r="1183" spans="3:29" x14ac:dyDescent="0.25"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Z1183" s="24"/>
      <c r="AA1183" s="24"/>
      <c r="AB1183" s="24"/>
      <c r="AC1183" s="24"/>
    </row>
    <row r="1184" spans="3:29" x14ac:dyDescent="0.25"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Z1184" s="24"/>
      <c r="AA1184" s="24"/>
      <c r="AB1184" s="24"/>
      <c r="AC1184" s="24"/>
    </row>
    <row r="1185" spans="3:29" x14ac:dyDescent="0.25"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Z1185" s="24"/>
      <c r="AA1185" s="24"/>
      <c r="AB1185" s="24"/>
      <c r="AC1185" s="24"/>
    </row>
    <row r="1186" spans="3:29" x14ac:dyDescent="0.25"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Z1186" s="24"/>
      <c r="AA1186" s="24"/>
      <c r="AB1186" s="24"/>
      <c r="AC1186" s="24"/>
    </row>
    <row r="1187" spans="3:29" x14ac:dyDescent="0.25"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Z1187" s="24"/>
      <c r="AA1187" s="24"/>
      <c r="AB1187" s="24"/>
      <c r="AC1187" s="24"/>
    </row>
    <row r="1188" spans="3:29" x14ac:dyDescent="0.25"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Z1188" s="24"/>
      <c r="AA1188" s="24"/>
      <c r="AB1188" s="24"/>
      <c r="AC1188" s="24"/>
    </row>
    <row r="1189" spans="3:29" x14ac:dyDescent="0.25"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Z1189" s="24"/>
      <c r="AA1189" s="24"/>
      <c r="AB1189" s="24"/>
      <c r="AC1189" s="24"/>
    </row>
    <row r="1190" spans="3:29" x14ac:dyDescent="0.25"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Z1190" s="24"/>
      <c r="AA1190" s="24"/>
      <c r="AB1190" s="24"/>
      <c r="AC1190" s="24"/>
    </row>
    <row r="1191" spans="3:29" x14ac:dyDescent="0.25"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Z1191" s="24"/>
      <c r="AA1191" s="24"/>
      <c r="AB1191" s="24"/>
      <c r="AC1191" s="24"/>
    </row>
    <row r="1192" spans="3:29" x14ac:dyDescent="0.25"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Z1192" s="24"/>
      <c r="AA1192" s="24"/>
      <c r="AB1192" s="24"/>
      <c r="AC1192" s="24"/>
    </row>
    <row r="1193" spans="3:29" x14ac:dyDescent="0.25"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Z1193" s="24"/>
      <c r="AA1193" s="24"/>
      <c r="AB1193" s="24"/>
      <c r="AC1193" s="24"/>
    </row>
    <row r="1194" spans="3:29" x14ac:dyDescent="0.25"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Z1194" s="24"/>
      <c r="AA1194" s="24"/>
      <c r="AB1194" s="24"/>
      <c r="AC1194" s="24"/>
    </row>
    <row r="1195" spans="3:29" x14ac:dyDescent="0.25"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Z1195" s="24"/>
      <c r="AA1195" s="24"/>
      <c r="AB1195" s="24"/>
      <c r="AC1195" s="24"/>
    </row>
    <row r="1196" spans="3:29" x14ac:dyDescent="0.25"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Z1196" s="24"/>
      <c r="AA1196" s="24"/>
      <c r="AB1196" s="24"/>
      <c r="AC1196" s="24"/>
    </row>
    <row r="1197" spans="3:29" x14ac:dyDescent="0.25"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Z1197" s="24"/>
      <c r="AA1197" s="24"/>
      <c r="AB1197" s="24"/>
      <c r="AC1197" s="24"/>
    </row>
    <row r="1198" spans="3:29" x14ac:dyDescent="0.25"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Z1198" s="24"/>
      <c r="AA1198" s="24"/>
      <c r="AB1198" s="24"/>
      <c r="AC1198" s="24"/>
    </row>
    <row r="1199" spans="3:29" x14ac:dyDescent="0.25"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Z1199" s="24"/>
      <c r="AA1199" s="24"/>
      <c r="AB1199" s="24"/>
      <c r="AC1199" s="24"/>
    </row>
    <row r="1200" spans="3:29" x14ac:dyDescent="0.25"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Z1200" s="24"/>
      <c r="AA1200" s="24"/>
      <c r="AB1200" s="24"/>
      <c r="AC1200" s="24"/>
    </row>
    <row r="1201" spans="3:29" x14ac:dyDescent="0.25"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Z1201" s="24"/>
      <c r="AA1201" s="24"/>
      <c r="AB1201" s="24"/>
      <c r="AC1201" s="24"/>
    </row>
    <row r="1202" spans="3:29" x14ac:dyDescent="0.25"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Z1202" s="24"/>
      <c r="AA1202" s="24"/>
      <c r="AB1202" s="24"/>
      <c r="AC1202" s="24"/>
    </row>
    <row r="1203" spans="3:29" x14ac:dyDescent="0.25"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Z1203" s="24"/>
      <c r="AA1203" s="24"/>
      <c r="AB1203" s="24"/>
      <c r="AC1203" s="24"/>
    </row>
    <row r="1204" spans="3:29" x14ac:dyDescent="0.25"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Z1204" s="24"/>
      <c r="AA1204" s="24"/>
      <c r="AB1204" s="24"/>
      <c r="AC1204" s="24"/>
    </row>
    <row r="1205" spans="3:29" x14ac:dyDescent="0.25"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Z1205" s="24"/>
      <c r="AA1205" s="24"/>
      <c r="AB1205" s="24"/>
      <c r="AC1205" s="24"/>
    </row>
    <row r="1206" spans="3:29" x14ac:dyDescent="0.25"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Z1206" s="24"/>
      <c r="AA1206" s="24"/>
      <c r="AB1206" s="24"/>
      <c r="AC1206" s="24"/>
    </row>
    <row r="1207" spans="3:29" x14ac:dyDescent="0.25"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Z1207" s="24"/>
      <c r="AA1207" s="24"/>
      <c r="AB1207" s="24"/>
      <c r="AC1207" s="24"/>
    </row>
    <row r="1208" spans="3:29" x14ac:dyDescent="0.25"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Z1208" s="24"/>
      <c r="AA1208" s="24"/>
      <c r="AB1208" s="24"/>
      <c r="AC1208" s="24"/>
    </row>
    <row r="1209" spans="3:29" x14ac:dyDescent="0.25"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Z1209" s="24"/>
      <c r="AA1209" s="24"/>
      <c r="AB1209" s="24"/>
      <c r="AC1209" s="24"/>
    </row>
    <row r="1210" spans="3:29" x14ac:dyDescent="0.25"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Z1210" s="24"/>
      <c r="AA1210" s="24"/>
      <c r="AB1210" s="24"/>
      <c r="AC1210" s="24"/>
    </row>
    <row r="1211" spans="3:29" x14ac:dyDescent="0.25"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Z1211" s="24"/>
      <c r="AA1211" s="24"/>
      <c r="AB1211" s="24"/>
      <c r="AC1211" s="24"/>
    </row>
    <row r="1212" spans="3:29" x14ac:dyDescent="0.25"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Z1212" s="24"/>
      <c r="AA1212" s="24"/>
      <c r="AB1212" s="24"/>
      <c r="AC1212" s="24"/>
    </row>
    <row r="1213" spans="3:29" x14ac:dyDescent="0.25"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Z1213" s="24"/>
      <c r="AA1213" s="24"/>
      <c r="AB1213" s="24"/>
      <c r="AC1213" s="24"/>
    </row>
    <row r="1214" spans="3:29" x14ac:dyDescent="0.25"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Z1214" s="24"/>
      <c r="AA1214" s="24"/>
      <c r="AB1214" s="24"/>
      <c r="AC1214" s="24"/>
    </row>
    <row r="1215" spans="3:29" x14ac:dyDescent="0.25"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Z1215" s="24"/>
      <c r="AA1215" s="24"/>
      <c r="AB1215" s="24"/>
      <c r="AC1215" s="24"/>
    </row>
    <row r="1216" spans="3:29" x14ac:dyDescent="0.25"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Z1216" s="24"/>
      <c r="AA1216" s="24"/>
      <c r="AB1216" s="24"/>
      <c r="AC1216" s="24"/>
    </row>
    <row r="1217" spans="3:29" x14ac:dyDescent="0.25"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Z1217" s="24"/>
      <c r="AA1217" s="24"/>
      <c r="AB1217" s="24"/>
      <c r="AC1217" s="24"/>
    </row>
    <row r="1218" spans="3:29" x14ac:dyDescent="0.25"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Z1218" s="24"/>
      <c r="AA1218" s="24"/>
      <c r="AB1218" s="24"/>
      <c r="AC1218" s="24"/>
    </row>
    <row r="1219" spans="3:29" x14ac:dyDescent="0.25"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Z1219" s="24"/>
      <c r="AA1219" s="24"/>
      <c r="AB1219" s="24"/>
      <c r="AC1219" s="24"/>
    </row>
    <row r="1220" spans="3:29" x14ac:dyDescent="0.25"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Z1220" s="24"/>
      <c r="AA1220" s="24"/>
      <c r="AB1220" s="24"/>
      <c r="AC1220" s="24"/>
    </row>
    <row r="1221" spans="3:29" x14ac:dyDescent="0.25"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Z1221" s="24"/>
      <c r="AA1221" s="24"/>
      <c r="AB1221" s="24"/>
      <c r="AC1221" s="24"/>
    </row>
    <row r="1222" spans="3:29" x14ac:dyDescent="0.25"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Z1222" s="24"/>
      <c r="AA1222" s="24"/>
      <c r="AB1222" s="24"/>
      <c r="AC1222" s="24"/>
    </row>
    <row r="1223" spans="3:29" x14ac:dyDescent="0.25"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Z1223" s="24"/>
      <c r="AA1223" s="24"/>
      <c r="AB1223" s="24"/>
      <c r="AC1223" s="24"/>
    </row>
    <row r="1224" spans="3:29" x14ac:dyDescent="0.25"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Z1224" s="24"/>
      <c r="AA1224" s="24"/>
      <c r="AB1224" s="24"/>
      <c r="AC1224" s="24"/>
    </row>
    <row r="1225" spans="3:29" x14ac:dyDescent="0.25"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Z1225" s="24"/>
      <c r="AA1225" s="24"/>
      <c r="AB1225" s="24"/>
      <c r="AC1225" s="24"/>
    </row>
    <row r="1226" spans="3:29" x14ac:dyDescent="0.25"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Z1226" s="24"/>
      <c r="AA1226" s="24"/>
      <c r="AB1226" s="24"/>
      <c r="AC1226" s="24"/>
    </row>
    <row r="1227" spans="3:29" x14ac:dyDescent="0.25"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Z1227" s="24"/>
      <c r="AA1227" s="24"/>
      <c r="AB1227" s="24"/>
      <c r="AC1227" s="24"/>
    </row>
    <row r="1228" spans="3:29" x14ac:dyDescent="0.25"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Z1228" s="24"/>
      <c r="AA1228" s="24"/>
      <c r="AB1228" s="24"/>
      <c r="AC1228" s="24"/>
    </row>
    <row r="1229" spans="3:29" x14ac:dyDescent="0.25"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Z1229" s="24"/>
      <c r="AA1229" s="24"/>
      <c r="AB1229" s="24"/>
      <c r="AC1229" s="24"/>
    </row>
    <row r="1230" spans="3:29" x14ac:dyDescent="0.25"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Z1230" s="24"/>
      <c r="AA1230" s="24"/>
      <c r="AB1230" s="24"/>
      <c r="AC1230" s="24"/>
    </row>
    <row r="1231" spans="3:29" x14ac:dyDescent="0.25"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Z1231" s="24"/>
      <c r="AA1231" s="24"/>
      <c r="AB1231" s="24"/>
      <c r="AC1231" s="24"/>
    </row>
    <row r="1232" spans="3:29" x14ac:dyDescent="0.25"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Z1232" s="24"/>
      <c r="AA1232" s="24"/>
      <c r="AB1232" s="24"/>
      <c r="AC1232" s="24"/>
    </row>
    <row r="1233" spans="3:29" x14ac:dyDescent="0.25"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Z1233" s="24"/>
      <c r="AA1233" s="24"/>
      <c r="AB1233" s="24"/>
      <c r="AC1233" s="24"/>
    </row>
    <row r="1234" spans="3:29" x14ac:dyDescent="0.25"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Z1234" s="24"/>
      <c r="AA1234" s="24"/>
      <c r="AB1234" s="24"/>
      <c r="AC1234" s="24"/>
    </row>
    <row r="1235" spans="3:29" x14ac:dyDescent="0.25"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Z1235" s="24"/>
      <c r="AA1235" s="24"/>
      <c r="AB1235" s="24"/>
      <c r="AC1235" s="24"/>
    </row>
    <row r="1236" spans="3:29" x14ac:dyDescent="0.25"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Z1236" s="24"/>
      <c r="AA1236" s="24"/>
      <c r="AB1236" s="24"/>
      <c r="AC1236" s="24"/>
    </row>
    <row r="1237" spans="3:29" x14ac:dyDescent="0.25"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Z1237" s="24"/>
      <c r="AA1237" s="24"/>
      <c r="AB1237" s="24"/>
      <c r="AC1237" s="24"/>
    </row>
    <row r="1238" spans="3:29" x14ac:dyDescent="0.25"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Z1238" s="24"/>
      <c r="AA1238" s="24"/>
      <c r="AB1238" s="24"/>
      <c r="AC1238" s="24"/>
    </row>
    <row r="1239" spans="3:29" x14ac:dyDescent="0.25"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Z1239" s="24"/>
      <c r="AA1239" s="24"/>
      <c r="AB1239" s="24"/>
      <c r="AC1239" s="24"/>
    </row>
    <row r="1240" spans="3:29" x14ac:dyDescent="0.25"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Z1240" s="24"/>
      <c r="AA1240" s="24"/>
      <c r="AB1240" s="24"/>
      <c r="AC1240" s="24"/>
    </row>
    <row r="1241" spans="3:29" x14ac:dyDescent="0.25"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Z1241" s="24"/>
      <c r="AA1241" s="24"/>
      <c r="AB1241" s="24"/>
      <c r="AC1241" s="24"/>
    </row>
    <row r="1242" spans="3:29" x14ac:dyDescent="0.25"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Z1242" s="24"/>
      <c r="AA1242" s="24"/>
      <c r="AB1242" s="24"/>
      <c r="AC1242" s="24"/>
    </row>
    <row r="1243" spans="3:29" x14ac:dyDescent="0.25"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Z1243" s="24"/>
      <c r="AA1243" s="24"/>
      <c r="AB1243" s="24"/>
      <c r="AC1243" s="24"/>
    </row>
    <row r="1244" spans="3:29" x14ac:dyDescent="0.25"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Z1244" s="24"/>
      <c r="AA1244" s="24"/>
      <c r="AB1244" s="24"/>
      <c r="AC1244" s="24"/>
    </row>
    <row r="1245" spans="3:29" x14ac:dyDescent="0.25"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Z1245" s="24"/>
      <c r="AA1245" s="24"/>
      <c r="AB1245" s="24"/>
      <c r="AC1245" s="24"/>
    </row>
    <row r="1246" spans="3:29" x14ac:dyDescent="0.25"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Z1246" s="24"/>
      <c r="AA1246" s="24"/>
      <c r="AB1246" s="24"/>
      <c r="AC1246" s="24"/>
    </row>
    <row r="1247" spans="3:29" x14ac:dyDescent="0.25"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Z1247" s="24"/>
      <c r="AA1247" s="24"/>
      <c r="AB1247" s="24"/>
      <c r="AC1247" s="24"/>
    </row>
    <row r="1248" spans="3:29" x14ac:dyDescent="0.25"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Z1248" s="24"/>
      <c r="AA1248" s="24"/>
      <c r="AB1248" s="24"/>
      <c r="AC1248" s="24"/>
    </row>
    <row r="1249" spans="3:29" x14ac:dyDescent="0.25"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Z1249" s="24"/>
      <c r="AA1249" s="24"/>
      <c r="AB1249" s="24"/>
      <c r="AC1249" s="24"/>
    </row>
    <row r="1250" spans="3:29" x14ac:dyDescent="0.25"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Z1250" s="24"/>
      <c r="AA1250" s="24"/>
      <c r="AB1250" s="24"/>
      <c r="AC1250" s="24"/>
    </row>
    <row r="1251" spans="3:29" x14ac:dyDescent="0.25"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Z1251" s="24"/>
      <c r="AA1251" s="24"/>
      <c r="AB1251" s="24"/>
      <c r="AC1251" s="24"/>
    </row>
    <row r="1252" spans="3:29" x14ac:dyDescent="0.25"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Z1252" s="24"/>
      <c r="AA1252" s="24"/>
      <c r="AB1252" s="24"/>
      <c r="AC1252" s="24"/>
    </row>
    <row r="1253" spans="3:29" x14ac:dyDescent="0.25"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Z1253" s="24"/>
      <c r="AA1253" s="24"/>
      <c r="AB1253" s="24"/>
      <c r="AC1253" s="24"/>
    </row>
    <row r="1254" spans="3:29" x14ac:dyDescent="0.25"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Z1254" s="24"/>
      <c r="AA1254" s="24"/>
      <c r="AB1254" s="24"/>
      <c r="AC1254" s="24"/>
    </row>
    <row r="1255" spans="3:29" x14ac:dyDescent="0.25"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Z1255" s="24"/>
      <c r="AA1255" s="24"/>
      <c r="AB1255" s="24"/>
      <c r="AC1255" s="24"/>
    </row>
    <row r="1256" spans="3:29" x14ac:dyDescent="0.25"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Z1256" s="24"/>
      <c r="AA1256" s="24"/>
      <c r="AB1256" s="24"/>
      <c r="AC1256" s="24"/>
    </row>
    <row r="1257" spans="3:29" x14ac:dyDescent="0.25"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Z1257" s="24"/>
      <c r="AA1257" s="24"/>
      <c r="AB1257" s="24"/>
      <c r="AC1257" s="24"/>
    </row>
    <row r="1258" spans="3:29" x14ac:dyDescent="0.25"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Z1258" s="24"/>
      <c r="AA1258" s="24"/>
      <c r="AB1258" s="24"/>
      <c r="AC1258" s="24"/>
    </row>
    <row r="1259" spans="3:29" x14ac:dyDescent="0.25"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Z1259" s="24"/>
      <c r="AA1259" s="24"/>
      <c r="AB1259" s="24"/>
      <c r="AC1259" s="24"/>
    </row>
    <row r="1260" spans="3:29" x14ac:dyDescent="0.25"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Z1260" s="24"/>
      <c r="AA1260" s="24"/>
      <c r="AB1260" s="24"/>
      <c r="AC1260" s="24"/>
    </row>
    <row r="1261" spans="3:29" x14ac:dyDescent="0.25"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Z1261" s="24"/>
      <c r="AA1261" s="24"/>
      <c r="AB1261" s="24"/>
      <c r="AC1261" s="24"/>
    </row>
    <row r="1262" spans="3:29" x14ac:dyDescent="0.25"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Z1262" s="24"/>
      <c r="AA1262" s="24"/>
      <c r="AB1262" s="24"/>
      <c r="AC1262" s="24"/>
    </row>
    <row r="1263" spans="3:29" x14ac:dyDescent="0.25"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Z1263" s="24"/>
      <c r="AA1263" s="24"/>
      <c r="AB1263" s="24"/>
      <c r="AC1263" s="24"/>
    </row>
    <row r="1264" spans="3:29" x14ac:dyDescent="0.25"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Z1264" s="24"/>
      <c r="AA1264" s="24"/>
      <c r="AB1264" s="24"/>
      <c r="AC1264" s="24"/>
    </row>
    <row r="1265" spans="3:29" x14ac:dyDescent="0.25"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Z1265" s="24"/>
      <c r="AA1265" s="24"/>
      <c r="AB1265" s="24"/>
      <c r="AC1265" s="24"/>
    </row>
    <row r="1266" spans="3:29" x14ac:dyDescent="0.25"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Z1266" s="24"/>
      <c r="AA1266" s="24"/>
      <c r="AB1266" s="24"/>
      <c r="AC1266" s="24"/>
    </row>
    <row r="1267" spans="3:29" x14ac:dyDescent="0.25"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Z1267" s="24"/>
      <c r="AA1267" s="24"/>
      <c r="AB1267" s="24"/>
      <c r="AC1267" s="24"/>
    </row>
    <row r="1268" spans="3:29" x14ac:dyDescent="0.25"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Z1268" s="24"/>
      <c r="AA1268" s="24"/>
      <c r="AB1268" s="24"/>
      <c r="AC1268" s="24"/>
    </row>
    <row r="1269" spans="3:29" x14ac:dyDescent="0.25"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Z1269" s="24"/>
      <c r="AA1269" s="24"/>
      <c r="AB1269" s="24"/>
      <c r="AC1269" s="24"/>
    </row>
    <row r="1270" spans="3:29" x14ac:dyDescent="0.25"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Z1270" s="24"/>
      <c r="AA1270" s="24"/>
      <c r="AB1270" s="24"/>
      <c r="AC1270" s="24"/>
    </row>
    <row r="1271" spans="3:29" x14ac:dyDescent="0.25"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Z1271" s="24"/>
      <c r="AA1271" s="24"/>
      <c r="AB1271" s="24"/>
      <c r="AC1271" s="24"/>
    </row>
    <row r="1272" spans="3:29" x14ac:dyDescent="0.25"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Z1272" s="24"/>
      <c r="AA1272" s="24"/>
      <c r="AB1272" s="24"/>
      <c r="AC1272" s="24"/>
    </row>
    <row r="1273" spans="3:29" x14ac:dyDescent="0.25"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Z1273" s="24"/>
      <c r="AA1273" s="24"/>
      <c r="AB1273" s="24"/>
      <c r="AC1273" s="24"/>
    </row>
    <row r="1274" spans="3:29" x14ac:dyDescent="0.25"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Z1274" s="24"/>
      <c r="AA1274" s="24"/>
      <c r="AB1274" s="24"/>
      <c r="AC1274" s="24"/>
    </row>
    <row r="1275" spans="3:29" x14ac:dyDescent="0.25"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Z1275" s="24"/>
      <c r="AA1275" s="24"/>
      <c r="AB1275" s="24"/>
      <c r="AC1275" s="24"/>
    </row>
    <row r="1276" spans="3:29" x14ac:dyDescent="0.25"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Z1276" s="24"/>
      <c r="AA1276" s="24"/>
      <c r="AB1276" s="24"/>
      <c r="AC1276" s="24"/>
    </row>
    <row r="1277" spans="3:29" x14ac:dyDescent="0.25"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Z1277" s="24"/>
      <c r="AA1277" s="24"/>
      <c r="AB1277" s="24"/>
      <c r="AC1277" s="24"/>
    </row>
    <row r="1278" spans="3:29" x14ac:dyDescent="0.25"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Z1278" s="24"/>
      <c r="AA1278" s="24"/>
      <c r="AB1278" s="24"/>
      <c r="AC1278" s="24"/>
    </row>
    <row r="1279" spans="3:29" x14ac:dyDescent="0.25"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Z1279" s="24"/>
      <c r="AA1279" s="24"/>
      <c r="AB1279" s="24"/>
      <c r="AC1279" s="24"/>
    </row>
    <row r="1280" spans="3:29" x14ac:dyDescent="0.25"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Z1280" s="24"/>
      <c r="AA1280" s="24"/>
      <c r="AB1280" s="24"/>
      <c r="AC1280" s="24"/>
    </row>
    <row r="1281" spans="3:29" x14ac:dyDescent="0.25"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Z1281" s="24"/>
      <c r="AA1281" s="24"/>
      <c r="AB1281" s="24"/>
      <c r="AC1281" s="24"/>
    </row>
    <row r="1282" spans="3:29" x14ac:dyDescent="0.25"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Z1282" s="24"/>
      <c r="AA1282" s="24"/>
      <c r="AB1282" s="24"/>
      <c r="AC1282" s="24"/>
    </row>
    <row r="1283" spans="3:29" x14ac:dyDescent="0.25"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Z1283" s="24"/>
      <c r="AA1283" s="24"/>
      <c r="AB1283" s="24"/>
      <c r="AC1283" s="24"/>
    </row>
    <row r="1284" spans="3:29" x14ac:dyDescent="0.25"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Z1284" s="24"/>
      <c r="AA1284" s="24"/>
      <c r="AB1284" s="24"/>
      <c r="AC1284" s="24"/>
    </row>
    <row r="1285" spans="3:29" x14ac:dyDescent="0.25"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Z1285" s="24"/>
      <c r="AA1285" s="24"/>
      <c r="AB1285" s="24"/>
      <c r="AC1285" s="24"/>
    </row>
    <row r="1286" spans="3:29" x14ac:dyDescent="0.25"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Z1286" s="24"/>
      <c r="AA1286" s="24"/>
      <c r="AB1286" s="24"/>
      <c r="AC1286" s="24"/>
    </row>
    <row r="1287" spans="3:29" x14ac:dyDescent="0.25"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Z1287" s="24"/>
      <c r="AA1287" s="24"/>
      <c r="AB1287" s="24"/>
      <c r="AC1287" s="24"/>
    </row>
    <row r="1288" spans="3:29" x14ac:dyDescent="0.25"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Z1288" s="24"/>
      <c r="AA1288" s="24"/>
      <c r="AB1288" s="24"/>
      <c r="AC1288" s="24"/>
    </row>
    <row r="1289" spans="3:29" x14ac:dyDescent="0.25"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Z1289" s="24"/>
      <c r="AA1289" s="24"/>
      <c r="AB1289" s="24"/>
      <c r="AC1289" s="24"/>
    </row>
    <row r="1290" spans="3:29" x14ac:dyDescent="0.25"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Z1290" s="24"/>
      <c r="AA1290" s="24"/>
      <c r="AB1290" s="24"/>
      <c r="AC1290" s="24"/>
    </row>
    <row r="1291" spans="3:29" x14ac:dyDescent="0.25"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Z1291" s="24"/>
      <c r="AA1291" s="24"/>
      <c r="AB1291" s="24"/>
      <c r="AC1291" s="24"/>
    </row>
    <row r="1292" spans="3:29" x14ac:dyDescent="0.25"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Z1292" s="24"/>
      <c r="AA1292" s="24"/>
      <c r="AB1292" s="24"/>
      <c r="AC1292" s="24"/>
    </row>
    <row r="1293" spans="3:29" x14ac:dyDescent="0.25"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Z1293" s="24"/>
      <c r="AA1293" s="24"/>
      <c r="AB1293" s="24"/>
      <c r="AC1293" s="24"/>
    </row>
    <row r="1294" spans="3:29" x14ac:dyDescent="0.25"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Z1294" s="24"/>
      <c r="AA1294" s="24"/>
      <c r="AB1294" s="24"/>
      <c r="AC1294" s="24"/>
    </row>
    <row r="1295" spans="3:29" x14ac:dyDescent="0.25"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Z1295" s="24"/>
      <c r="AA1295" s="24"/>
      <c r="AB1295" s="24"/>
      <c r="AC1295" s="24"/>
    </row>
    <row r="1296" spans="3:29" x14ac:dyDescent="0.25"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Z1296" s="24"/>
      <c r="AA1296" s="24"/>
      <c r="AB1296" s="24"/>
      <c r="AC1296" s="24"/>
    </row>
    <row r="1297" spans="3:29" x14ac:dyDescent="0.25"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Z1297" s="24"/>
      <c r="AA1297" s="24"/>
      <c r="AB1297" s="24"/>
      <c r="AC1297" s="24"/>
    </row>
    <row r="1298" spans="3:29" x14ac:dyDescent="0.25"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Z1298" s="24"/>
      <c r="AA1298" s="24"/>
      <c r="AB1298" s="24"/>
      <c r="AC1298" s="24"/>
    </row>
    <row r="1299" spans="3:29" x14ac:dyDescent="0.25"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Z1299" s="24"/>
      <c r="AA1299" s="24"/>
      <c r="AB1299" s="24"/>
      <c r="AC1299" s="24"/>
    </row>
    <row r="1300" spans="3:29" x14ac:dyDescent="0.25"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Z1300" s="24"/>
      <c r="AA1300" s="24"/>
      <c r="AB1300" s="24"/>
      <c r="AC1300" s="24"/>
    </row>
    <row r="1301" spans="3:29" x14ac:dyDescent="0.25"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Z1301" s="24"/>
      <c r="AA1301" s="24"/>
      <c r="AB1301" s="24"/>
      <c r="AC1301" s="24"/>
    </row>
    <row r="1302" spans="3:29" x14ac:dyDescent="0.25"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Z1302" s="24"/>
      <c r="AA1302" s="24"/>
      <c r="AB1302" s="24"/>
      <c r="AC1302" s="24"/>
    </row>
    <row r="1303" spans="3:29" x14ac:dyDescent="0.25"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Z1303" s="24"/>
      <c r="AA1303" s="24"/>
      <c r="AB1303" s="24"/>
      <c r="AC1303" s="24"/>
    </row>
    <row r="1304" spans="3:29" x14ac:dyDescent="0.25"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Z1304" s="24"/>
      <c r="AA1304" s="24"/>
      <c r="AB1304" s="24"/>
      <c r="AC1304" s="24"/>
    </row>
    <row r="1305" spans="3:29" x14ac:dyDescent="0.25"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Z1305" s="24"/>
      <c r="AA1305" s="24"/>
      <c r="AB1305" s="24"/>
      <c r="AC1305" s="24"/>
    </row>
    <row r="1306" spans="3:29" x14ac:dyDescent="0.25"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Z1306" s="24"/>
      <c r="AA1306" s="24"/>
      <c r="AB1306" s="24"/>
      <c r="AC1306" s="24"/>
    </row>
    <row r="1307" spans="3:29" x14ac:dyDescent="0.25"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Z1307" s="24"/>
      <c r="AA1307" s="24"/>
      <c r="AB1307" s="24"/>
      <c r="AC1307" s="24"/>
    </row>
    <row r="1308" spans="3:29" x14ac:dyDescent="0.25"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Z1308" s="24"/>
      <c r="AA1308" s="24"/>
      <c r="AB1308" s="24"/>
      <c r="AC1308" s="24"/>
    </row>
    <row r="1309" spans="3:29" x14ac:dyDescent="0.25"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Z1309" s="24"/>
      <c r="AA1309" s="24"/>
      <c r="AB1309" s="24"/>
      <c r="AC1309" s="24"/>
    </row>
    <row r="1310" spans="3:29" x14ac:dyDescent="0.25"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Z1310" s="24"/>
      <c r="AA1310" s="24"/>
      <c r="AB1310" s="24"/>
      <c r="AC1310" s="24"/>
    </row>
    <row r="1311" spans="3:29" x14ac:dyDescent="0.25"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Z1311" s="24"/>
      <c r="AA1311" s="24"/>
      <c r="AB1311" s="24"/>
      <c r="AC1311" s="24"/>
    </row>
    <row r="1312" spans="3:29" x14ac:dyDescent="0.25"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Z1312" s="24"/>
      <c r="AA1312" s="24"/>
      <c r="AB1312" s="24"/>
      <c r="AC1312" s="24"/>
    </row>
    <row r="1313" spans="3:29" x14ac:dyDescent="0.25"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Z1313" s="24"/>
      <c r="AA1313" s="24"/>
      <c r="AB1313" s="24"/>
      <c r="AC1313" s="24"/>
    </row>
    <row r="1314" spans="3:29" x14ac:dyDescent="0.25"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Z1314" s="24"/>
      <c r="AA1314" s="24"/>
      <c r="AB1314" s="24"/>
      <c r="AC1314" s="24"/>
    </row>
    <row r="1315" spans="3:29" x14ac:dyDescent="0.25"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Z1315" s="24"/>
      <c r="AA1315" s="24"/>
      <c r="AB1315" s="24"/>
      <c r="AC1315" s="24"/>
    </row>
    <row r="1316" spans="3:29" x14ac:dyDescent="0.25"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Z1316" s="24"/>
      <c r="AA1316" s="24"/>
      <c r="AB1316" s="24"/>
      <c r="AC1316" s="24"/>
    </row>
    <row r="1317" spans="3:29" x14ac:dyDescent="0.25"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Z1317" s="24"/>
      <c r="AA1317" s="24"/>
      <c r="AB1317" s="24"/>
      <c r="AC1317" s="24"/>
    </row>
    <row r="1318" spans="3:29" x14ac:dyDescent="0.25"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Z1318" s="24"/>
      <c r="AA1318" s="24"/>
      <c r="AB1318" s="24"/>
      <c r="AC1318" s="24"/>
    </row>
    <row r="1319" spans="3:29" x14ac:dyDescent="0.25"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Z1319" s="24"/>
      <c r="AA1319" s="24"/>
      <c r="AB1319" s="24"/>
      <c r="AC1319" s="24"/>
    </row>
    <row r="1320" spans="3:29" x14ac:dyDescent="0.25"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Z1320" s="24"/>
      <c r="AA1320" s="24"/>
      <c r="AB1320" s="24"/>
      <c r="AC1320" s="24"/>
    </row>
    <row r="1321" spans="3:29" x14ac:dyDescent="0.25"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Z1321" s="24"/>
      <c r="AA1321" s="24"/>
      <c r="AB1321" s="24"/>
      <c r="AC1321" s="24"/>
    </row>
    <row r="1322" spans="3:29" x14ac:dyDescent="0.25"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Z1322" s="24"/>
      <c r="AA1322" s="24"/>
      <c r="AB1322" s="24"/>
      <c r="AC1322" s="24"/>
    </row>
    <row r="1323" spans="3:29" x14ac:dyDescent="0.25"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Z1323" s="24"/>
      <c r="AA1323" s="24"/>
      <c r="AB1323" s="24"/>
      <c r="AC1323" s="24"/>
    </row>
    <row r="1324" spans="3:29" x14ac:dyDescent="0.25"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Z1324" s="24"/>
      <c r="AA1324" s="24"/>
      <c r="AB1324" s="24"/>
      <c r="AC1324" s="24"/>
    </row>
    <row r="1325" spans="3:29" x14ac:dyDescent="0.25"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Z1325" s="24"/>
      <c r="AA1325" s="24"/>
      <c r="AB1325" s="24"/>
      <c r="AC1325" s="24"/>
    </row>
    <row r="1326" spans="3:29" x14ac:dyDescent="0.25"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Z1326" s="24"/>
      <c r="AA1326" s="24"/>
      <c r="AB1326" s="24"/>
      <c r="AC1326" s="24"/>
    </row>
    <row r="1327" spans="3:29" x14ac:dyDescent="0.25"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Z1327" s="24"/>
      <c r="AA1327" s="24"/>
      <c r="AB1327" s="24"/>
      <c r="AC1327" s="24"/>
    </row>
    <row r="1328" spans="3:29" x14ac:dyDescent="0.25"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Z1328" s="24"/>
      <c r="AA1328" s="24"/>
      <c r="AB1328" s="24"/>
      <c r="AC1328" s="24"/>
    </row>
    <row r="1329" spans="3:29" x14ac:dyDescent="0.25"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Z1329" s="24"/>
      <c r="AA1329" s="24"/>
      <c r="AB1329" s="24"/>
      <c r="AC1329" s="24"/>
    </row>
    <row r="1330" spans="3:29" x14ac:dyDescent="0.25"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Z1330" s="24"/>
      <c r="AA1330" s="24"/>
      <c r="AB1330" s="24"/>
      <c r="AC1330" s="24"/>
    </row>
    <row r="1331" spans="3:29" x14ac:dyDescent="0.25"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Z1331" s="24"/>
      <c r="AA1331" s="24"/>
      <c r="AB1331" s="24"/>
      <c r="AC1331" s="24"/>
    </row>
    <row r="1332" spans="3:29" x14ac:dyDescent="0.25"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Z1332" s="24"/>
      <c r="AA1332" s="24"/>
      <c r="AB1332" s="24"/>
      <c r="AC1332" s="24"/>
    </row>
    <row r="1333" spans="3:29" x14ac:dyDescent="0.25"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Z1333" s="24"/>
      <c r="AA1333" s="24"/>
      <c r="AB1333" s="24"/>
      <c r="AC1333" s="24"/>
    </row>
    <row r="1334" spans="3:29" x14ac:dyDescent="0.25"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Z1334" s="24"/>
      <c r="AA1334" s="24"/>
      <c r="AB1334" s="24"/>
      <c r="AC1334" s="24"/>
    </row>
    <row r="1335" spans="3:29" x14ac:dyDescent="0.25"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Z1335" s="24"/>
      <c r="AA1335" s="24"/>
      <c r="AB1335" s="24"/>
      <c r="AC1335" s="24"/>
    </row>
    <row r="1336" spans="3:29" x14ac:dyDescent="0.25"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Z1336" s="24"/>
      <c r="AA1336" s="24"/>
      <c r="AB1336" s="24"/>
      <c r="AC1336" s="24"/>
    </row>
    <row r="1337" spans="3:29" x14ac:dyDescent="0.25"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Z1337" s="24"/>
      <c r="AA1337" s="24"/>
      <c r="AB1337" s="24"/>
      <c r="AC1337" s="24"/>
    </row>
    <row r="1338" spans="3:29" x14ac:dyDescent="0.25"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Z1338" s="24"/>
      <c r="AA1338" s="24"/>
      <c r="AB1338" s="24"/>
      <c r="AC1338" s="24"/>
    </row>
    <row r="1339" spans="3:29" x14ac:dyDescent="0.25"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Z1339" s="24"/>
      <c r="AA1339" s="24"/>
      <c r="AB1339" s="24"/>
      <c r="AC1339" s="24"/>
    </row>
    <row r="1340" spans="3:29" x14ac:dyDescent="0.25"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Z1340" s="24"/>
      <c r="AA1340" s="24"/>
      <c r="AB1340" s="24"/>
      <c r="AC1340" s="24"/>
    </row>
    <row r="1341" spans="3:29" x14ac:dyDescent="0.25"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Z1341" s="24"/>
      <c r="AA1341" s="24"/>
      <c r="AB1341" s="24"/>
      <c r="AC1341" s="24"/>
    </row>
    <row r="1342" spans="3:29" x14ac:dyDescent="0.25"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Z1342" s="24"/>
      <c r="AA1342" s="24"/>
      <c r="AB1342" s="24"/>
      <c r="AC1342" s="24"/>
    </row>
    <row r="1343" spans="3:29" x14ac:dyDescent="0.25"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Z1343" s="24"/>
      <c r="AA1343" s="24"/>
      <c r="AB1343" s="24"/>
      <c r="AC1343" s="24"/>
    </row>
    <row r="1344" spans="3:29" x14ac:dyDescent="0.25"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Z1344" s="24"/>
      <c r="AA1344" s="24"/>
      <c r="AB1344" s="24"/>
      <c r="AC1344" s="24"/>
    </row>
    <row r="1345" spans="3:29" x14ac:dyDescent="0.25"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Z1345" s="24"/>
      <c r="AA1345" s="24"/>
      <c r="AB1345" s="24"/>
      <c r="AC1345" s="24"/>
    </row>
    <row r="1346" spans="3:29" x14ac:dyDescent="0.25"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Z1346" s="24"/>
      <c r="AA1346" s="24"/>
      <c r="AB1346" s="24"/>
      <c r="AC1346" s="24"/>
    </row>
    <row r="1347" spans="3:29" x14ac:dyDescent="0.25"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Z1347" s="24"/>
      <c r="AA1347" s="24"/>
      <c r="AB1347" s="24"/>
      <c r="AC1347" s="24"/>
    </row>
    <row r="1348" spans="3:29" x14ac:dyDescent="0.25"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Z1348" s="24"/>
      <c r="AA1348" s="24"/>
      <c r="AB1348" s="24"/>
      <c r="AC1348" s="24"/>
    </row>
    <row r="1349" spans="3:29" x14ac:dyDescent="0.25"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Z1349" s="24"/>
      <c r="AA1349" s="24"/>
      <c r="AB1349" s="24"/>
      <c r="AC1349" s="24"/>
    </row>
    <row r="1350" spans="3:29" x14ac:dyDescent="0.25"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Z1350" s="24"/>
      <c r="AA1350" s="24"/>
      <c r="AB1350" s="24"/>
      <c r="AC1350" s="24"/>
    </row>
    <row r="1351" spans="3:29" x14ac:dyDescent="0.25"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Z1351" s="24"/>
      <c r="AA1351" s="24"/>
      <c r="AB1351" s="24"/>
      <c r="AC1351" s="24"/>
    </row>
    <row r="1352" spans="3:29" x14ac:dyDescent="0.25"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Z1352" s="24"/>
      <c r="AA1352" s="24"/>
      <c r="AB1352" s="24"/>
      <c r="AC1352" s="24"/>
    </row>
    <row r="1353" spans="3:29" x14ac:dyDescent="0.25"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Z1353" s="24"/>
      <c r="AA1353" s="24"/>
      <c r="AB1353" s="24"/>
      <c r="AC1353" s="24"/>
    </row>
    <row r="1354" spans="3:29" x14ac:dyDescent="0.25"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Z1354" s="24"/>
      <c r="AA1354" s="24"/>
      <c r="AB1354" s="24"/>
      <c r="AC1354" s="24"/>
    </row>
    <row r="1355" spans="3:29" x14ac:dyDescent="0.25"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Z1355" s="24"/>
      <c r="AA1355" s="24"/>
      <c r="AB1355" s="24"/>
      <c r="AC1355" s="24"/>
    </row>
    <row r="1356" spans="3:29" x14ac:dyDescent="0.25"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Z1356" s="24"/>
      <c r="AA1356" s="24"/>
      <c r="AB1356" s="24"/>
      <c r="AC1356" s="24"/>
    </row>
    <row r="1357" spans="3:29" x14ac:dyDescent="0.25"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Z1357" s="24"/>
      <c r="AA1357" s="24"/>
      <c r="AB1357" s="24"/>
      <c r="AC1357" s="24"/>
    </row>
    <row r="1358" spans="3:29" x14ac:dyDescent="0.25"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Z1358" s="24"/>
      <c r="AA1358" s="24"/>
      <c r="AB1358" s="24"/>
      <c r="AC1358" s="24"/>
    </row>
    <row r="1359" spans="3:29" x14ac:dyDescent="0.25"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Z1359" s="24"/>
      <c r="AA1359" s="24"/>
      <c r="AB1359" s="24"/>
      <c r="AC1359" s="24"/>
    </row>
    <row r="1360" spans="3:29" x14ac:dyDescent="0.25"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Z1360" s="24"/>
      <c r="AA1360" s="24"/>
      <c r="AB1360" s="24"/>
      <c r="AC1360" s="24"/>
    </row>
    <row r="1361" spans="3:29" x14ac:dyDescent="0.25"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Z1361" s="24"/>
      <c r="AA1361" s="24"/>
      <c r="AB1361" s="24"/>
      <c r="AC1361" s="24"/>
    </row>
    <row r="1362" spans="3:29" x14ac:dyDescent="0.25"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Z1362" s="24"/>
      <c r="AA1362" s="24"/>
      <c r="AB1362" s="24"/>
      <c r="AC1362" s="24"/>
    </row>
    <row r="1363" spans="3:29" x14ac:dyDescent="0.25"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Z1363" s="24"/>
      <c r="AA1363" s="24"/>
      <c r="AB1363" s="24"/>
      <c r="AC1363" s="24"/>
    </row>
    <row r="1364" spans="3:29" x14ac:dyDescent="0.25"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Z1364" s="24"/>
      <c r="AA1364" s="24"/>
      <c r="AB1364" s="24"/>
      <c r="AC1364" s="24"/>
    </row>
    <row r="1365" spans="3:29" x14ac:dyDescent="0.25"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Z1365" s="24"/>
      <c r="AA1365" s="24"/>
      <c r="AB1365" s="24"/>
      <c r="AC1365" s="24"/>
    </row>
    <row r="1366" spans="3:29" x14ac:dyDescent="0.25"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Z1366" s="24"/>
      <c r="AA1366" s="24"/>
      <c r="AB1366" s="24"/>
      <c r="AC1366" s="24"/>
    </row>
    <row r="1367" spans="3:29" x14ac:dyDescent="0.25"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Z1367" s="24"/>
      <c r="AA1367" s="24"/>
      <c r="AB1367" s="24"/>
      <c r="AC1367" s="24"/>
    </row>
    <row r="1368" spans="3:29" x14ac:dyDescent="0.25"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Z1368" s="24"/>
      <c r="AA1368" s="24"/>
      <c r="AB1368" s="24"/>
      <c r="AC1368" s="24"/>
    </row>
    <row r="1369" spans="3:29" x14ac:dyDescent="0.25"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Z1369" s="24"/>
      <c r="AA1369" s="24"/>
      <c r="AB1369" s="24"/>
      <c r="AC1369" s="24"/>
    </row>
    <row r="1370" spans="3:29" x14ac:dyDescent="0.25"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Z1370" s="24"/>
      <c r="AA1370" s="24"/>
      <c r="AB1370" s="24"/>
      <c r="AC1370" s="24"/>
    </row>
    <row r="1371" spans="3:29" x14ac:dyDescent="0.25"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Z1371" s="24"/>
      <c r="AA1371" s="24"/>
      <c r="AB1371" s="24"/>
      <c r="AC1371" s="24"/>
    </row>
    <row r="1372" spans="3:29" x14ac:dyDescent="0.25"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Z1372" s="24"/>
      <c r="AA1372" s="24"/>
      <c r="AB1372" s="24"/>
      <c r="AC1372" s="24"/>
    </row>
    <row r="1373" spans="3:29" x14ac:dyDescent="0.25"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Z1373" s="24"/>
      <c r="AA1373" s="24"/>
      <c r="AB1373" s="24"/>
      <c r="AC1373" s="24"/>
    </row>
    <row r="1374" spans="3:29" x14ac:dyDescent="0.25"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Z1374" s="24"/>
      <c r="AA1374" s="24"/>
      <c r="AB1374" s="24"/>
      <c r="AC1374" s="24"/>
    </row>
    <row r="1375" spans="3:29" x14ac:dyDescent="0.25"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Z1375" s="24"/>
      <c r="AA1375" s="24"/>
      <c r="AB1375" s="24"/>
      <c r="AC1375" s="24"/>
    </row>
    <row r="1376" spans="3:29" x14ac:dyDescent="0.25"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Z1376" s="24"/>
      <c r="AA1376" s="24"/>
      <c r="AB1376" s="24"/>
      <c r="AC1376" s="24"/>
    </row>
    <row r="1377" spans="3:29" x14ac:dyDescent="0.25"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Z1377" s="24"/>
      <c r="AA1377" s="24"/>
      <c r="AB1377" s="24"/>
      <c r="AC1377" s="24"/>
    </row>
    <row r="1378" spans="3:29" x14ac:dyDescent="0.25"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Z1378" s="24"/>
      <c r="AA1378" s="24"/>
      <c r="AB1378" s="24"/>
      <c r="AC1378" s="24"/>
    </row>
    <row r="1379" spans="3:29" x14ac:dyDescent="0.25"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Z1379" s="24"/>
      <c r="AA1379" s="24"/>
      <c r="AB1379" s="24"/>
      <c r="AC1379" s="24"/>
    </row>
    <row r="1380" spans="3:29" x14ac:dyDescent="0.25"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Z1380" s="24"/>
      <c r="AA1380" s="24"/>
      <c r="AB1380" s="24"/>
      <c r="AC1380" s="24"/>
    </row>
    <row r="1381" spans="3:29" x14ac:dyDescent="0.25"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Z1381" s="24"/>
      <c r="AA1381" s="24"/>
      <c r="AB1381" s="24"/>
      <c r="AC1381" s="24"/>
    </row>
    <row r="1382" spans="3:29" x14ac:dyDescent="0.25"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Z1382" s="24"/>
      <c r="AA1382" s="24"/>
      <c r="AB1382" s="24"/>
      <c r="AC1382" s="24"/>
    </row>
    <row r="1383" spans="3:29" x14ac:dyDescent="0.25"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Z1383" s="24"/>
      <c r="AA1383" s="24"/>
      <c r="AB1383" s="24"/>
      <c r="AC1383" s="24"/>
    </row>
    <row r="1384" spans="3:29" x14ac:dyDescent="0.25"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Z1384" s="24"/>
      <c r="AA1384" s="24"/>
      <c r="AB1384" s="24"/>
      <c r="AC1384" s="24"/>
    </row>
    <row r="1385" spans="3:29" x14ac:dyDescent="0.25"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Z1385" s="24"/>
      <c r="AA1385" s="24"/>
      <c r="AB1385" s="24"/>
      <c r="AC1385" s="24"/>
    </row>
    <row r="1386" spans="3:29" x14ac:dyDescent="0.25"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Z1386" s="24"/>
      <c r="AA1386" s="24"/>
      <c r="AB1386" s="24"/>
      <c r="AC1386" s="24"/>
    </row>
    <row r="1387" spans="3:29" x14ac:dyDescent="0.25"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Z1387" s="24"/>
      <c r="AA1387" s="24"/>
      <c r="AB1387" s="24"/>
      <c r="AC1387" s="24"/>
    </row>
    <row r="1388" spans="3:29" x14ac:dyDescent="0.25"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Z1388" s="24"/>
      <c r="AA1388" s="24"/>
      <c r="AB1388" s="24"/>
      <c r="AC1388" s="24"/>
    </row>
    <row r="1389" spans="3:29" x14ac:dyDescent="0.25"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Z1389" s="24"/>
      <c r="AA1389" s="24"/>
      <c r="AB1389" s="24"/>
      <c r="AC1389" s="24"/>
    </row>
    <row r="1390" spans="3:29" x14ac:dyDescent="0.25"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Z1390" s="24"/>
      <c r="AA1390" s="24"/>
      <c r="AB1390" s="24"/>
      <c r="AC1390" s="24"/>
    </row>
    <row r="1391" spans="3:29" x14ac:dyDescent="0.25"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Z1391" s="24"/>
      <c r="AA1391" s="24"/>
      <c r="AB1391" s="24"/>
      <c r="AC1391" s="24"/>
    </row>
    <row r="1392" spans="3:29" x14ac:dyDescent="0.25"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Z1392" s="24"/>
      <c r="AA1392" s="24"/>
      <c r="AB1392" s="24"/>
      <c r="AC1392" s="24"/>
    </row>
    <row r="1393" spans="3:29" x14ac:dyDescent="0.25"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Z1393" s="24"/>
      <c r="AA1393" s="24"/>
      <c r="AB1393" s="24"/>
      <c r="AC1393" s="24"/>
    </row>
    <row r="1394" spans="3:29" x14ac:dyDescent="0.25"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Z1394" s="24"/>
      <c r="AA1394" s="24"/>
      <c r="AB1394" s="24"/>
      <c r="AC1394" s="24"/>
    </row>
    <row r="1395" spans="3:29" x14ac:dyDescent="0.25"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Z1395" s="24"/>
      <c r="AA1395" s="24"/>
      <c r="AB1395" s="24"/>
      <c r="AC1395" s="24"/>
    </row>
    <row r="1396" spans="3:29" x14ac:dyDescent="0.25"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Z1396" s="24"/>
      <c r="AA1396" s="24"/>
      <c r="AB1396" s="24"/>
      <c r="AC1396" s="24"/>
    </row>
    <row r="1397" spans="3:29" x14ac:dyDescent="0.25"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Z1397" s="24"/>
      <c r="AA1397" s="24"/>
      <c r="AB1397" s="24"/>
      <c r="AC1397" s="24"/>
    </row>
    <row r="1398" spans="3:29" x14ac:dyDescent="0.25"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Z1398" s="24"/>
      <c r="AA1398" s="24"/>
      <c r="AB1398" s="24"/>
      <c r="AC1398" s="24"/>
    </row>
    <row r="1399" spans="3:29" x14ac:dyDescent="0.25"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Z1399" s="24"/>
      <c r="AA1399" s="24"/>
      <c r="AB1399" s="24"/>
      <c r="AC1399" s="24"/>
    </row>
    <row r="1400" spans="3:29" x14ac:dyDescent="0.25"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Z1400" s="24"/>
      <c r="AA1400" s="24"/>
      <c r="AB1400" s="24"/>
      <c r="AC1400" s="24"/>
    </row>
    <row r="1401" spans="3:29" x14ac:dyDescent="0.25"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Z1401" s="24"/>
      <c r="AA1401" s="24"/>
      <c r="AB1401" s="24"/>
      <c r="AC1401" s="24"/>
    </row>
    <row r="1402" spans="3:29" x14ac:dyDescent="0.25"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Z1402" s="24"/>
      <c r="AA1402" s="24"/>
      <c r="AB1402" s="24"/>
      <c r="AC1402" s="24"/>
    </row>
    <row r="1403" spans="3:29" x14ac:dyDescent="0.25"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Z1403" s="24"/>
      <c r="AA1403" s="24"/>
      <c r="AB1403" s="24"/>
      <c r="AC1403" s="24"/>
    </row>
    <row r="1404" spans="3:29" x14ac:dyDescent="0.25"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Z1404" s="24"/>
      <c r="AA1404" s="24"/>
      <c r="AB1404" s="24"/>
      <c r="AC1404" s="24"/>
    </row>
    <row r="1405" spans="3:29" x14ac:dyDescent="0.25"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Z1405" s="24"/>
      <c r="AA1405" s="24"/>
      <c r="AB1405" s="24"/>
      <c r="AC1405" s="24"/>
    </row>
    <row r="1406" spans="3:29" x14ac:dyDescent="0.25"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Z1406" s="24"/>
      <c r="AA1406" s="24"/>
      <c r="AB1406" s="24"/>
      <c r="AC1406" s="24"/>
    </row>
    <row r="1407" spans="3:29" x14ac:dyDescent="0.25"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Z1407" s="24"/>
      <c r="AA1407" s="24"/>
      <c r="AB1407" s="24"/>
      <c r="AC1407" s="24"/>
    </row>
    <row r="1408" spans="3:29" x14ac:dyDescent="0.25"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Z1408" s="24"/>
      <c r="AA1408" s="24"/>
      <c r="AB1408" s="24"/>
      <c r="AC1408" s="24"/>
    </row>
    <row r="1409" spans="3:29" x14ac:dyDescent="0.25"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Z1409" s="24"/>
      <c r="AA1409" s="24"/>
      <c r="AB1409" s="24"/>
      <c r="AC1409" s="24"/>
    </row>
    <row r="1410" spans="3:29" x14ac:dyDescent="0.25"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Z1410" s="24"/>
      <c r="AA1410" s="24"/>
      <c r="AB1410" s="24"/>
      <c r="AC1410" s="24"/>
    </row>
    <row r="1411" spans="3:29" x14ac:dyDescent="0.25"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Z1411" s="24"/>
      <c r="AA1411" s="24"/>
      <c r="AB1411" s="24"/>
      <c r="AC1411" s="24"/>
    </row>
    <row r="1412" spans="3:29" x14ac:dyDescent="0.25"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Z1412" s="24"/>
      <c r="AA1412" s="24"/>
      <c r="AB1412" s="24"/>
      <c r="AC1412" s="24"/>
    </row>
    <row r="1413" spans="3:29" x14ac:dyDescent="0.25"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Z1413" s="24"/>
      <c r="AA1413" s="24"/>
      <c r="AB1413" s="24"/>
      <c r="AC1413" s="24"/>
    </row>
    <row r="1414" spans="3:29" x14ac:dyDescent="0.25"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Z1414" s="24"/>
      <c r="AA1414" s="24"/>
      <c r="AB1414" s="24"/>
      <c r="AC1414" s="24"/>
    </row>
    <row r="1415" spans="3:29" x14ac:dyDescent="0.25"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Z1415" s="24"/>
      <c r="AA1415" s="24"/>
      <c r="AB1415" s="24"/>
      <c r="AC1415" s="24"/>
    </row>
    <row r="1416" spans="3:29" x14ac:dyDescent="0.25"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Z1416" s="24"/>
      <c r="AA1416" s="24"/>
      <c r="AB1416" s="24"/>
      <c r="AC1416" s="24"/>
    </row>
    <row r="1417" spans="3:29" x14ac:dyDescent="0.25"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Z1417" s="24"/>
      <c r="AA1417" s="24"/>
      <c r="AB1417" s="24"/>
      <c r="AC1417" s="24"/>
    </row>
    <row r="1418" spans="3:29" x14ac:dyDescent="0.25"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Z1418" s="24"/>
      <c r="AA1418" s="24"/>
      <c r="AB1418" s="24"/>
      <c r="AC1418" s="24"/>
    </row>
    <row r="1419" spans="3:29" x14ac:dyDescent="0.25"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Z1419" s="24"/>
      <c r="AA1419" s="24"/>
      <c r="AB1419" s="24"/>
      <c r="AC1419" s="24"/>
    </row>
    <row r="1420" spans="3:29" x14ac:dyDescent="0.25"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Z1420" s="24"/>
      <c r="AA1420" s="24"/>
      <c r="AB1420" s="24"/>
      <c r="AC1420" s="24"/>
    </row>
    <row r="1421" spans="3:29" x14ac:dyDescent="0.25"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Z1421" s="24"/>
      <c r="AA1421" s="24"/>
      <c r="AB1421" s="24"/>
      <c r="AC1421" s="24"/>
    </row>
    <row r="1422" spans="3:29" x14ac:dyDescent="0.25"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Z1422" s="24"/>
      <c r="AA1422" s="24"/>
      <c r="AB1422" s="24"/>
      <c r="AC1422" s="24"/>
    </row>
    <row r="1423" spans="3:29" x14ac:dyDescent="0.25"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Z1423" s="24"/>
      <c r="AA1423" s="24"/>
      <c r="AB1423" s="24"/>
      <c r="AC1423" s="24"/>
    </row>
    <row r="1424" spans="3:29" x14ac:dyDescent="0.25"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Z1424" s="24"/>
      <c r="AA1424" s="24"/>
      <c r="AB1424" s="24"/>
      <c r="AC1424" s="24"/>
    </row>
    <row r="1425" spans="3:29" x14ac:dyDescent="0.25"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Z1425" s="24"/>
      <c r="AA1425" s="24"/>
      <c r="AB1425" s="24"/>
      <c r="AC1425" s="24"/>
    </row>
    <row r="1426" spans="3:29" x14ac:dyDescent="0.25"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Z1426" s="24"/>
      <c r="AA1426" s="24"/>
      <c r="AB1426" s="24"/>
      <c r="AC1426" s="24"/>
    </row>
    <row r="1427" spans="3:29" x14ac:dyDescent="0.25"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Z1427" s="24"/>
      <c r="AA1427" s="24"/>
      <c r="AB1427" s="24"/>
      <c r="AC1427" s="24"/>
    </row>
    <row r="1428" spans="3:29" x14ac:dyDescent="0.25"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Z1428" s="24"/>
      <c r="AA1428" s="24"/>
      <c r="AB1428" s="24"/>
      <c r="AC1428" s="24"/>
    </row>
    <row r="1429" spans="3:29" x14ac:dyDescent="0.25"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Z1429" s="24"/>
      <c r="AA1429" s="24"/>
      <c r="AB1429" s="24"/>
      <c r="AC1429" s="24"/>
    </row>
    <row r="1430" spans="3:29" x14ac:dyDescent="0.25"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Z1430" s="24"/>
      <c r="AA1430" s="24"/>
      <c r="AB1430" s="24"/>
      <c r="AC1430" s="24"/>
    </row>
    <row r="1431" spans="3:29" x14ac:dyDescent="0.25"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Z1431" s="24"/>
      <c r="AA1431" s="24"/>
      <c r="AB1431" s="24"/>
      <c r="AC1431" s="24"/>
    </row>
    <row r="1432" spans="3:29" x14ac:dyDescent="0.25"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Z1432" s="24"/>
      <c r="AA1432" s="24"/>
      <c r="AB1432" s="24"/>
      <c r="AC1432" s="24"/>
    </row>
    <row r="1433" spans="3:29" x14ac:dyDescent="0.25"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Z1433" s="24"/>
      <c r="AA1433" s="24"/>
      <c r="AB1433" s="24"/>
      <c r="AC1433" s="24"/>
    </row>
    <row r="1434" spans="3:29" x14ac:dyDescent="0.25"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Z1434" s="24"/>
      <c r="AA1434" s="24"/>
      <c r="AB1434" s="24"/>
      <c r="AC1434" s="24"/>
    </row>
    <row r="1435" spans="3:29" x14ac:dyDescent="0.25"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Z1435" s="24"/>
      <c r="AA1435" s="24"/>
      <c r="AB1435" s="24"/>
      <c r="AC1435" s="24"/>
    </row>
    <row r="1436" spans="3:29" x14ac:dyDescent="0.25"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Z1436" s="24"/>
      <c r="AA1436" s="24"/>
      <c r="AB1436" s="24"/>
      <c r="AC1436" s="24"/>
    </row>
    <row r="1437" spans="3:29" x14ac:dyDescent="0.25"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Z1437" s="24"/>
      <c r="AA1437" s="24"/>
      <c r="AB1437" s="24"/>
      <c r="AC1437" s="24"/>
    </row>
    <row r="1438" spans="3:29" x14ac:dyDescent="0.25"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Z1438" s="24"/>
      <c r="AA1438" s="24"/>
      <c r="AB1438" s="24"/>
      <c r="AC1438" s="24"/>
    </row>
    <row r="1439" spans="3:29" x14ac:dyDescent="0.25"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Z1439" s="24"/>
      <c r="AA1439" s="24"/>
      <c r="AB1439" s="24"/>
      <c r="AC1439" s="24"/>
    </row>
    <row r="1440" spans="3:29" x14ac:dyDescent="0.25"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Z1440" s="24"/>
      <c r="AA1440" s="24"/>
      <c r="AB1440" s="24"/>
      <c r="AC1440" s="24"/>
    </row>
    <row r="1441" spans="3:29" x14ac:dyDescent="0.25"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Z1441" s="24"/>
      <c r="AA1441" s="24"/>
      <c r="AB1441" s="24"/>
      <c r="AC1441" s="24"/>
    </row>
    <row r="1442" spans="3:29" x14ac:dyDescent="0.25"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Z1442" s="24"/>
      <c r="AA1442" s="24"/>
      <c r="AB1442" s="24"/>
      <c r="AC1442" s="24"/>
    </row>
    <row r="1443" spans="3:29" x14ac:dyDescent="0.25"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Z1443" s="24"/>
      <c r="AA1443" s="24"/>
      <c r="AB1443" s="24"/>
      <c r="AC1443" s="24"/>
    </row>
    <row r="1444" spans="3:29" x14ac:dyDescent="0.25"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Z1444" s="24"/>
      <c r="AA1444" s="24"/>
      <c r="AB1444" s="24"/>
      <c r="AC1444" s="24"/>
    </row>
    <row r="1445" spans="3:29" x14ac:dyDescent="0.25"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Z1445" s="24"/>
      <c r="AA1445" s="24"/>
      <c r="AB1445" s="24"/>
      <c r="AC1445" s="24"/>
    </row>
    <row r="1446" spans="3:29" x14ac:dyDescent="0.25"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Z1446" s="24"/>
      <c r="AA1446" s="24"/>
      <c r="AB1446" s="24"/>
      <c r="AC1446" s="24"/>
    </row>
    <row r="1447" spans="3:29" x14ac:dyDescent="0.25"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Z1447" s="24"/>
      <c r="AA1447" s="24"/>
      <c r="AB1447" s="24"/>
      <c r="AC1447" s="24"/>
    </row>
    <row r="1448" spans="3:29" x14ac:dyDescent="0.25"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Z1448" s="24"/>
      <c r="AA1448" s="24"/>
      <c r="AB1448" s="24"/>
      <c r="AC1448" s="24"/>
    </row>
    <row r="1449" spans="3:29" x14ac:dyDescent="0.25"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Z1449" s="24"/>
      <c r="AA1449" s="24"/>
      <c r="AB1449" s="24"/>
      <c r="AC1449" s="24"/>
    </row>
    <row r="1450" spans="3:29" x14ac:dyDescent="0.25"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Z1450" s="24"/>
      <c r="AA1450" s="24"/>
      <c r="AB1450" s="24"/>
      <c r="AC1450" s="24"/>
    </row>
    <row r="1451" spans="3:29" x14ac:dyDescent="0.25"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Z1451" s="24"/>
      <c r="AA1451" s="24"/>
      <c r="AB1451" s="24"/>
      <c r="AC1451" s="24"/>
    </row>
    <row r="1452" spans="3:29" x14ac:dyDescent="0.25"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Z1452" s="24"/>
      <c r="AA1452" s="24"/>
      <c r="AB1452" s="24"/>
      <c r="AC1452" s="24"/>
    </row>
    <row r="1453" spans="3:29" x14ac:dyDescent="0.25"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Z1453" s="24"/>
      <c r="AA1453" s="24"/>
      <c r="AB1453" s="24"/>
      <c r="AC1453" s="24"/>
    </row>
  </sheetData>
  <autoFilter ref="C2:Y796" xr:uid="{87AF85C3-BA95-4D62-936F-F244DC204927}">
    <filterColumn colId="11">
      <customFilters>
        <customFilter val="*Савинова М.А.*"/>
      </customFilters>
    </filterColumn>
  </autoFilter>
  <mergeCells count="1">
    <mergeCell ref="D1:M1"/>
  </mergeCells>
  <phoneticPr fontId="6" type="noConversion"/>
  <conditionalFormatting sqref="D1 C1454:D1048576 T3:Y796 C2:D796">
    <cfRule type="cellIs" dxfId="5" priority="3" operator="equal">
      <formula>0</formula>
    </cfRule>
  </conditionalFormatting>
  <conditionalFormatting sqref="E1:S1048576">
    <cfRule type="cellIs" dxfId="4" priority="1" operator="equal">
      <formula>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7" r:id="rId4" name="Button 25">
              <controlPr defaultSize="0" print="0" autoFill="0" autoPict="0" macro="[0]!Макрос7">
                <anchor moveWithCells="1" sizeWithCells="1">
                  <from>
                    <xdr:col>15</xdr:col>
                    <xdr:colOff>47625</xdr:colOff>
                    <xdr:row>0</xdr:row>
                    <xdr:rowOff>47625</xdr:rowOff>
                  </from>
                  <to>
                    <xdr:col>15</xdr:col>
                    <xdr:colOff>904875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Drop Down 16">
              <controlPr defaultSize="0" autoLine="0" autoPict="0" macro="[0]!Макрос2">
                <anchor moveWithCells="1">
                  <from>
                    <xdr:col>12</xdr:col>
                    <xdr:colOff>66675</xdr:colOff>
                    <xdr:row>0</xdr:row>
                    <xdr:rowOff>66675</xdr:rowOff>
                  </from>
                  <to>
                    <xdr:col>13</xdr:col>
                    <xdr:colOff>942975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8F298-9960-4200-AE2E-3BA7835DA117}">
  <sheetPr codeName="Лист2">
    <pageSetUpPr fitToPage="1"/>
  </sheetPr>
  <dimension ref="A1:W77"/>
  <sheetViews>
    <sheetView view="pageBreakPreview" zoomScale="115" zoomScaleNormal="160" zoomScaleSheetLayoutView="115" zoomScalePageLayoutView="115" workbookViewId="0">
      <pane xSplit="1" ySplit="1" topLeftCell="B2" activePane="bottomRight" state="frozenSplit"/>
      <selection activeCell="D26" sqref="D26"/>
      <selection pane="topRight" activeCell="D26" sqref="D26"/>
      <selection pane="bottomLeft" activeCell="D26" sqref="D26"/>
      <selection pane="bottomRight" activeCell="V2" sqref="V2"/>
    </sheetView>
  </sheetViews>
  <sheetFormatPr defaultColWidth="8.5703125" defaultRowHeight="11.25" x14ac:dyDescent="0.25"/>
  <cols>
    <col min="1" max="1" width="19.42578125" style="1" customWidth="1"/>
    <col min="2" max="2" width="11.85546875" style="1" customWidth="1"/>
    <col min="3" max="3" width="8.42578125" style="1" bestFit="1" customWidth="1"/>
    <col min="4" max="4" width="4.5703125" style="1" customWidth="1"/>
    <col min="5" max="5" width="7.42578125" style="1" bestFit="1" customWidth="1"/>
    <col min="6" max="6" width="6.5703125" style="1" bestFit="1" customWidth="1"/>
    <col min="7" max="7" width="3.42578125" style="1" bestFit="1" customWidth="1"/>
    <col min="8" max="8" width="4.42578125" style="1" bestFit="1" customWidth="1"/>
    <col min="9" max="9" width="3.42578125" style="1" bestFit="1" customWidth="1"/>
    <col min="10" max="10" width="4.42578125" style="1" customWidth="1"/>
    <col min="11" max="11" width="4.5703125" style="1" customWidth="1"/>
    <col min="12" max="12" width="18.5703125" style="1" customWidth="1"/>
    <col min="13" max="13" width="9.85546875" style="1" customWidth="1"/>
    <col min="14" max="14" width="13.5703125" style="1" customWidth="1"/>
    <col min="15" max="15" width="4.42578125" style="1" customWidth="1"/>
    <col min="16" max="16" width="4.140625" style="1" customWidth="1"/>
    <col min="17" max="17" width="10.42578125" style="14" customWidth="1"/>
    <col min="18" max="18" width="5.140625" style="1" customWidth="1"/>
    <col min="19" max="19" width="7.85546875" style="14" customWidth="1"/>
    <col min="20" max="20" width="4.42578125" style="14" customWidth="1"/>
    <col min="21" max="21" width="7.5703125" style="14" customWidth="1"/>
    <col min="22" max="22" width="5.5703125" style="14" customWidth="1"/>
    <col min="23" max="23" width="21.140625" style="1" customWidth="1"/>
    <col min="24" max="16384" width="8.5703125" style="1"/>
  </cols>
  <sheetData>
    <row r="1" spans="1:23" ht="58.3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15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180</v>
      </c>
      <c r="O1" s="1" t="s">
        <v>210</v>
      </c>
      <c r="P1" s="1" t="s">
        <v>209</v>
      </c>
      <c r="Q1" s="1" t="s">
        <v>177</v>
      </c>
      <c r="R1" s="1" t="s">
        <v>178</v>
      </c>
      <c r="S1" s="1" t="s">
        <v>177</v>
      </c>
      <c r="T1" s="1" t="s">
        <v>178</v>
      </c>
      <c r="U1" s="1" t="s">
        <v>177</v>
      </c>
      <c r="V1" s="1" t="s">
        <v>178</v>
      </c>
      <c r="W1" s="1" t="s">
        <v>378</v>
      </c>
    </row>
    <row r="2" spans="1:23" ht="58.35" customHeight="1" x14ac:dyDescent="0.25">
      <c r="A2" s="6" t="s">
        <v>83</v>
      </c>
      <c r="B2" s="1" t="s">
        <v>14</v>
      </c>
      <c r="C2" s="1" t="s">
        <v>376</v>
      </c>
      <c r="D2" s="1">
        <v>1</v>
      </c>
      <c r="E2" s="1">
        <v>4</v>
      </c>
      <c r="F2" s="1">
        <v>101</v>
      </c>
      <c r="G2" s="1" t="s">
        <v>25</v>
      </c>
      <c r="H2" s="1">
        <v>4</v>
      </c>
      <c r="I2" s="1">
        <f>14*2</f>
        <v>28</v>
      </c>
      <c r="J2" s="1">
        <v>0</v>
      </c>
      <c r="K2" s="1">
        <f>42*4+42</f>
        <v>210</v>
      </c>
      <c r="L2" s="1" t="str">
        <f t="shared" ref="L2:L65" si="0">CONCATENATE(Q2,"",S2,"",U2)</f>
        <v>Алексеева Ю.В.Архипова Г.А.Алексеева Ю.В.</v>
      </c>
      <c r="M2" s="1" t="s">
        <v>344</v>
      </c>
      <c r="N2" s="1" t="s">
        <v>392</v>
      </c>
      <c r="O2" s="1">
        <v>63</v>
      </c>
      <c r="P2" s="1">
        <v>0</v>
      </c>
      <c r="Q2" s="14" t="s">
        <v>345</v>
      </c>
      <c r="R2" s="1">
        <f>I2+O2</f>
        <v>91</v>
      </c>
      <c r="S2" s="14" t="s">
        <v>75</v>
      </c>
      <c r="T2" s="14">
        <f>42*4</f>
        <v>168</v>
      </c>
      <c r="U2" s="14" t="s">
        <v>345</v>
      </c>
      <c r="V2" s="14">
        <v>42</v>
      </c>
      <c r="W2" s="1" t="s">
        <v>377</v>
      </c>
    </row>
    <row r="3" spans="1:23" s="23" customFormat="1" ht="45" x14ac:dyDescent="0.25">
      <c r="A3" s="59" t="s">
        <v>13</v>
      </c>
      <c r="B3" s="23" t="s">
        <v>14</v>
      </c>
      <c r="C3" s="23" t="s">
        <v>376</v>
      </c>
      <c r="D3" s="23">
        <v>1</v>
      </c>
      <c r="E3" s="23">
        <v>4</v>
      </c>
      <c r="F3" s="23">
        <v>101</v>
      </c>
      <c r="G3" s="23" t="s">
        <v>17</v>
      </c>
      <c r="H3" s="23">
        <v>8</v>
      </c>
      <c r="I3" s="23">
        <f>42*2</f>
        <v>84</v>
      </c>
      <c r="J3" s="23">
        <f>56*6</f>
        <v>336</v>
      </c>
      <c r="K3" s="23">
        <v>0</v>
      </c>
      <c r="L3" s="1" t="str">
        <f t="shared" si="0"/>
        <v>Винник Л.И.Иванов Д.Д.Кулаков И.Ю.</v>
      </c>
      <c r="N3" s="23" t="s">
        <v>269</v>
      </c>
      <c r="O3" s="23">
        <v>126</v>
      </c>
      <c r="P3" s="23">
        <v>84</v>
      </c>
      <c r="Q3" s="58" t="s">
        <v>77</v>
      </c>
      <c r="R3" s="23">
        <f>I3+O3/4-10</f>
        <v>105.5</v>
      </c>
      <c r="S3" s="58" t="s">
        <v>259</v>
      </c>
      <c r="T3" s="58">
        <f>56*2+P3/3+O3/4</f>
        <v>171.5</v>
      </c>
      <c r="U3" s="58" t="s">
        <v>81</v>
      </c>
      <c r="V3" s="58">
        <f>56*2+P3/3+O3/4</f>
        <v>171.5</v>
      </c>
      <c r="W3" s="23" t="s">
        <v>320</v>
      </c>
    </row>
    <row r="4" spans="1:23" ht="4.3499999999999996" customHeight="1" x14ac:dyDescent="0.25">
      <c r="L4" s="1" t="str">
        <f t="shared" si="0"/>
        <v/>
      </c>
    </row>
    <row r="5" spans="1:23" s="23" customFormat="1" ht="48.75" customHeight="1" x14ac:dyDescent="0.25">
      <c r="A5" s="23" t="s">
        <v>13</v>
      </c>
      <c r="B5" s="23" t="s">
        <v>14</v>
      </c>
      <c r="C5" s="23" t="s">
        <v>376</v>
      </c>
      <c r="D5" s="23">
        <v>1</v>
      </c>
      <c r="E5" s="23">
        <v>4</v>
      </c>
      <c r="F5" s="23">
        <v>101</v>
      </c>
      <c r="G5" s="23" t="s">
        <v>17</v>
      </c>
      <c r="H5" s="23">
        <v>8</v>
      </c>
      <c r="I5" s="23">
        <v>42</v>
      </c>
      <c r="J5" s="23">
        <f>56*3*2</f>
        <v>336</v>
      </c>
      <c r="K5" s="23">
        <v>0</v>
      </c>
      <c r="L5" s="1" t="str">
        <f t="shared" si="0"/>
        <v>Попов В.С.Цымбалюк Л.Н.</v>
      </c>
      <c r="Q5" s="58"/>
      <c r="S5" s="58" t="s">
        <v>327</v>
      </c>
      <c r="T5" s="58">
        <f>56*2+P3/3+O3/4</f>
        <v>171.5</v>
      </c>
      <c r="U5" s="58" t="s">
        <v>78</v>
      </c>
      <c r="V5" s="58">
        <v>10</v>
      </c>
      <c r="W5" s="23">
        <v>630</v>
      </c>
    </row>
    <row r="6" spans="1:23" s="23" customFormat="1" ht="45" x14ac:dyDescent="0.25">
      <c r="A6" s="23" t="s">
        <v>13</v>
      </c>
      <c r="B6" s="23" t="s">
        <v>14</v>
      </c>
      <c r="C6" s="23" t="s">
        <v>376</v>
      </c>
      <c r="D6" s="23">
        <v>2</v>
      </c>
      <c r="E6" s="23">
        <v>4</v>
      </c>
      <c r="F6" s="23">
        <v>101</v>
      </c>
      <c r="G6" s="23" t="s">
        <v>17</v>
      </c>
      <c r="H6" s="23">
        <v>8</v>
      </c>
      <c r="I6" s="23">
        <v>28</v>
      </c>
      <c r="J6" s="23">
        <f>42*5</f>
        <v>210</v>
      </c>
      <c r="K6" s="23">
        <f>42*5</f>
        <v>210</v>
      </c>
      <c r="L6" s="1" t="str">
        <f t="shared" si="0"/>
        <v>Винник Л.И.Кулаков И.Ю.Иванов Д.Д.</v>
      </c>
      <c r="N6" s="23" t="s">
        <v>379</v>
      </c>
      <c r="O6" s="23">
        <v>126</v>
      </c>
      <c r="P6" s="23">
        <v>84</v>
      </c>
      <c r="Q6" s="58" t="s">
        <v>77</v>
      </c>
      <c r="R6" s="23">
        <f>O6/4+I6*2-14</f>
        <v>73.5</v>
      </c>
      <c r="S6" s="58" t="s">
        <v>81</v>
      </c>
      <c r="T6" s="58">
        <f>42*4+P6/3+O6/4</f>
        <v>227.5</v>
      </c>
      <c r="U6" s="58" t="s">
        <v>259</v>
      </c>
      <c r="V6" s="58">
        <f>42*4+P6/3+O6/4</f>
        <v>227.5</v>
      </c>
    </row>
    <row r="7" spans="1:23" s="23" customFormat="1" ht="45" x14ac:dyDescent="0.25">
      <c r="A7" s="23" t="s">
        <v>13</v>
      </c>
      <c r="B7" s="23" t="s">
        <v>14</v>
      </c>
      <c r="C7" s="23" t="s">
        <v>376</v>
      </c>
      <c r="D7" s="23">
        <v>2</v>
      </c>
      <c r="E7" s="23">
        <v>4</v>
      </c>
      <c r="F7" s="23">
        <v>101</v>
      </c>
      <c r="L7" s="1" t="str">
        <f t="shared" si="0"/>
        <v>Попов В.С.Цымбалюк Л.Н.</v>
      </c>
      <c r="Q7" s="58"/>
      <c r="R7" s="58"/>
      <c r="S7" s="58" t="s">
        <v>327</v>
      </c>
      <c r="T7" s="58">
        <f>42+42+P5/5+O6/4</f>
        <v>115.5</v>
      </c>
      <c r="U7" s="58" t="s">
        <v>78</v>
      </c>
      <c r="V7" s="58">
        <v>14</v>
      </c>
      <c r="W7" s="23">
        <v>658</v>
      </c>
    </row>
    <row r="8" spans="1:23" s="23" customFormat="1" ht="45" x14ac:dyDescent="0.25">
      <c r="A8" s="23" t="s">
        <v>18</v>
      </c>
      <c r="B8" s="23" t="s">
        <v>14</v>
      </c>
      <c r="C8" s="23" t="s">
        <v>376</v>
      </c>
      <c r="D8" s="23">
        <v>2</v>
      </c>
      <c r="E8" s="23">
        <v>4</v>
      </c>
      <c r="F8" s="23">
        <v>101</v>
      </c>
      <c r="G8" s="23" t="s">
        <v>19</v>
      </c>
      <c r="H8" s="23">
        <v>3</v>
      </c>
      <c r="I8" s="23">
        <v>14</v>
      </c>
      <c r="J8" s="23">
        <v>0</v>
      </c>
      <c r="K8" s="23">
        <f>28*5</f>
        <v>140</v>
      </c>
      <c r="L8" s="1" t="str">
        <f>CONCATENATE(Q8,"",S8,"",U8)</f>
        <v>Шаклеин В.Г.Савинова М.А.Эрштейн Л.Б.</v>
      </c>
      <c r="N8" s="23" t="s">
        <v>351</v>
      </c>
      <c r="O8" s="23">
        <v>47.25</v>
      </c>
      <c r="P8" s="23">
        <v>0</v>
      </c>
      <c r="Q8" s="58" t="s">
        <v>179</v>
      </c>
      <c r="R8" s="23">
        <f>I8*2+O8</f>
        <v>75.25</v>
      </c>
      <c r="S8" s="58" t="s">
        <v>95</v>
      </c>
      <c r="T8" s="58">
        <f>28*4</f>
        <v>112</v>
      </c>
      <c r="U8" s="58" t="s">
        <v>67</v>
      </c>
      <c r="V8" s="58">
        <v>28</v>
      </c>
    </row>
    <row r="9" spans="1:23" s="23" customFormat="1" ht="45" x14ac:dyDescent="0.25">
      <c r="A9" s="23" t="s">
        <v>20</v>
      </c>
      <c r="B9" s="23" t="s">
        <v>14</v>
      </c>
      <c r="C9" s="23" t="s">
        <v>376</v>
      </c>
      <c r="D9" s="23">
        <v>2</v>
      </c>
      <c r="E9" s="23">
        <v>4</v>
      </c>
      <c r="F9" s="23">
        <v>101</v>
      </c>
      <c r="G9" s="23" t="s">
        <v>19</v>
      </c>
      <c r="H9" s="23">
        <v>2</v>
      </c>
      <c r="I9" s="23">
        <v>28</v>
      </c>
      <c r="J9" s="23">
        <f>14*5</f>
        <v>70</v>
      </c>
      <c r="K9" s="23">
        <v>0</v>
      </c>
      <c r="L9" s="1" t="str">
        <f t="shared" si="0"/>
        <v>Архипова Г.А.</v>
      </c>
      <c r="M9" s="23" t="s">
        <v>106</v>
      </c>
      <c r="N9" s="23" t="s">
        <v>352</v>
      </c>
      <c r="O9" s="23">
        <v>31.5</v>
      </c>
      <c r="P9" s="23">
        <v>0</v>
      </c>
      <c r="Q9" s="58" t="s">
        <v>75</v>
      </c>
      <c r="R9" s="23">
        <f>I9+J9+O9+P9</f>
        <v>129.5</v>
      </c>
      <c r="S9" s="58"/>
      <c r="T9" s="58"/>
      <c r="U9" s="58"/>
      <c r="V9" s="58"/>
    </row>
    <row r="10" spans="1:23" s="23" customFormat="1" ht="45" x14ac:dyDescent="0.25">
      <c r="A10" s="23" t="s">
        <v>84</v>
      </c>
      <c r="B10" s="23" t="s">
        <v>14</v>
      </c>
      <c r="C10" s="23" t="s">
        <v>376</v>
      </c>
      <c r="D10" s="23">
        <v>2</v>
      </c>
      <c r="E10" s="23">
        <v>4</v>
      </c>
      <c r="F10" s="23">
        <v>101</v>
      </c>
      <c r="G10" s="23" t="s">
        <v>25</v>
      </c>
      <c r="H10" s="23">
        <v>3</v>
      </c>
      <c r="I10" s="23">
        <v>0</v>
      </c>
      <c r="J10" s="23">
        <v>2</v>
      </c>
      <c r="K10" s="23">
        <v>0</v>
      </c>
      <c r="L10" s="1" t="str">
        <f t="shared" si="0"/>
        <v>Архипова Г.А.</v>
      </c>
      <c r="M10" s="23">
        <v>3315</v>
      </c>
      <c r="N10" s="23" t="s">
        <v>212</v>
      </c>
      <c r="O10" s="23">
        <v>252</v>
      </c>
      <c r="P10" s="23">
        <v>0</v>
      </c>
      <c r="Q10" s="58" t="s">
        <v>75</v>
      </c>
      <c r="R10" s="23">
        <f>O10-T10-V10</f>
        <v>252</v>
      </c>
      <c r="S10" s="58"/>
      <c r="T10" s="58"/>
      <c r="U10" s="58"/>
      <c r="V10" s="58"/>
    </row>
    <row r="11" spans="1:23" ht="4.3499999999999996" customHeight="1" x14ac:dyDescent="0.25">
      <c r="L11" s="1" t="str">
        <f t="shared" si="0"/>
        <v/>
      </c>
    </row>
    <row r="12" spans="1:23" ht="71.099999999999994" customHeight="1" x14ac:dyDescent="0.25">
      <c r="A12" s="6" t="s">
        <v>55</v>
      </c>
      <c r="B12" s="1" t="s">
        <v>14</v>
      </c>
      <c r="C12" s="1" t="s">
        <v>261</v>
      </c>
      <c r="D12" s="1">
        <v>3</v>
      </c>
      <c r="E12" s="1">
        <v>3</v>
      </c>
      <c r="F12" s="1">
        <v>89</v>
      </c>
      <c r="G12" s="1" t="s">
        <v>17</v>
      </c>
      <c r="H12" s="1">
        <v>8</v>
      </c>
      <c r="I12" s="1">
        <v>28</v>
      </c>
      <c r="J12" s="1">
        <f>35*3</f>
        <v>105</v>
      </c>
      <c r="K12" s="1">
        <f>35*3</f>
        <v>105</v>
      </c>
      <c r="L12" s="1" t="str">
        <f t="shared" si="0"/>
        <v>Довгалюк П.М.Кулаков И.Ю.</v>
      </c>
      <c r="N12" s="1" t="s">
        <v>290</v>
      </c>
      <c r="O12" s="1">
        <v>108</v>
      </c>
      <c r="P12" s="1">
        <v>72</v>
      </c>
      <c r="Q12" s="14" t="s">
        <v>82</v>
      </c>
      <c r="R12" s="1">
        <f>2+K12+P12</f>
        <v>179</v>
      </c>
      <c r="S12" s="14" t="s">
        <v>81</v>
      </c>
      <c r="T12" s="14">
        <f>K12+26</f>
        <v>131</v>
      </c>
      <c r="U12" s="64"/>
      <c r="V12" s="1">
        <f>J12+O12</f>
        <v>213</v>
      </c>
    </row>
    <row r="13" spans="1:23" s="6" customFormat="1" ht="22.5" x14ac:dyDescent="0.25">
      <c r="A13" s="6" t="s">
        <v>262</v>
      </c>
      <c r="B13" s="6" t="s">
        <v>14</v>
      </c>
      <c r="C13" s="6" t="s">
        <v>261</v>
      </c>
      <c r="D13" s="6">
        <v>3</v>
      </c>
      <c r="E13" s="6">
        <v>3</v>
      </c>
      <c r="F13" s="6">
        <v>89</v>
      </c>
      <c r="G13" s="6" t="s">
        <v>19</v>
      </c>
      <c r="H13" s="6">
        <v>2</v>
      </c>
      <c r="I13" s="6">
        <v>0</v>
      </c>
      <c r="J13" s="6">
        <f>28*3</f>
        <v>84</v>
      </c>
      <c r="K13" s="6">
        <v>0</v>
      </c>
      <c r="L13" s="1" t="str">
        <f t="shared" si="0"/>
        <v>Гареева Т.Ю.</v>
      </c>
      <c r="M13" s="6">
        <v>4207</v>
      </c>
      <c r="N13" s="6" t="s">
        <v>287</v>
      </c>
      <c r="O13" s="6">
        <v>27</v>
      </c>
      <c r="P13" s="6">
        <v>0</v>
      </c>
      <c r="Q13" s="61" t="s">
        <v>263</v>
      </c>
      <c r="R13" s="6">
        <f>J13+O13</f>
        <v>111</v>
      </c>
      <c r="S13" s="61"/>
      <c r="T13" s="61"/>
      <c r="U13" s="61"/>
      <c r="V13" s="61"/>
    </row>
    <row r="14" spans="1:23" ht="33.75" x14ac:dyDescent="0.25">
      <c r="A14" s="6" t="s">
        <v>172</v>
      </c>
      <c r="B14" s="1" t="s">
        <v>14</v>
      </c>
      <c r="C14" s="1" t="s">
        <v>261</v>
      </c>
      <c r="D14" s="1">
        <v>3</v>
      </c>
      <c r="E14" s="1">
        <v>3</v>
      </c>
      <c r="F14" s="1">
        <v>89</v>
      </c>
      <c r="G14" s="1" t="s">
        <v>25</v>
      </c>
      <c r="H14" s="1">
        <v>4</v>
      </c>
      <c r="I14" s="1">
        <v>28</v>
      </c>
      <c r="J14" s="1">
        <v>0</v>
      </c>
      <c r="K14" s="1">
        <f>28*3</f>
        <v>84</v>
      </c>
      <c r="L14" s="1" t="str">
        <f t="shared" si="0"/>
        <v>Жгун Т.В.</v>
      </c>
      <c r="M14" s="1" t="s">
        <v>173</v>
      </c>
      <c r="N14" s="1" t="s">
        <v>270</v>
      </c>
      <c r="O14" s="1">
        <v>54</v>
      </c>
      <c r="P14" s="1">
        <v>0</v>
      </c>
      <c r="Q14" s="14" t="s">
        <v>71</v>
      </c>
      <c r="R14" s="1">
        <f>I14+K14+O14+P14</f>
        <v>166</v>
      </c>
    </row>
    <row r="15" spans="1:23" ht="33.75" x14ac:dyDescent="0.25">
      <c r="A15" s="6" t="s">
        <v>172</v>
      </c>
      <c r="B15" s="1" t="s">
        <v>14</v>
      </c>
      <c r="C15" s="1" t="s">
        <v>261</v>
      </c>
      <c r="D15" s="1">
        <v>3</v>
      </c>
      <c r="E15" s="1">
        <v>3</v>
      </c>
      <c r="F15" s="1">
        <v>89</v>
      </c>
      <c r="G15" s="1" t="s">
        <v>25</v>
      </c>
      <c r="H15" s="1">
        <v>4</v>
      </c>
      <c r="I15" s="1">
        <v>28</v>
      </c>
      <c r="J15" s="1">
        <v>0</v>
      </c>
      <c r="K15" s="1">
        <f>28*3</f>
        <v>84</v>
      </c>
      <c r="L15" s="1" t="str">
        <f t="shared" si="0"/>
        <v>Цымбалюк А.Е.</v>
      </c>
      <c r="M15" s="1" t="s">
        <v>173</v>
      </c>
      <c r="N15" s="1" t="s">
        <v>270</v>
      </c>
      <c r="P15" s="1">
        <v>0</v>
      </c>
      <c r="Q15" s="14" t="s">
        <v>281</v>
      </c>
      <c r="R15" s="1">
        <f>K15</f>
        <v>84</v>
      </c>
      <c r="T15" s="1"/>
    </row>
    <row r="16" spans="1:23" ht="36" customHeight="1" x14ac:dyDescent="0.25">
      <c r="A16" s="6" t="s">
        <v>28</v>
      </c>
      <c r="B16" s="1" t="s">
        <v>14</v>
      </c>
      <c r="C16" s="1" t="s">
        <v>261</v>
      </c>
      <c r="D16" s="1">
        <v>3</v>
      </c>
      <c r="E16" s="1">
        <v>3</v>
      </c>
      <c r="F16" s="1">
        <v>89</v>
      </c>
      <c r="G16" s="1" t="s">
        <v>25</v>
      </c>
      <c r="H16" s="1">
        <v>4</v>
      </c>
      <c r="J16" s="1">
        <v>2</v>
      </c>
      <c r="L16" s="1" t="str">
        <f t="shared" si="0"/>
        <v>Архипова Г.А.Моркин С.А.</v>
      </c>
      <c r="O16" s="1">
        <v>72</v>
      </c>
      <c r="P16" s="1">
        <v>0</v>
      </c>
      <c r="Q16" s="14" t="s">
        <v>75</v>
      </c>
      <c r="R16" s="14">
        <v>4</v>
      </c>
      <c r="S16" s="14" t="s">
        <v>69</v>
      </c>
      <c r="T16" s="14">
        <v>68</v>
      </c>
    </row>
    <row r="17" spans="1:22" s="6" customFormat="1" ht="36" customHeight="1" x14ac:dyDescent="0.25">
      <c r="A17" s="6" t="s">
        <v>22</v>
      </c>
      <c r="B17" s="6" t="s">
        <v>14</v>
      </c>
      <c r="C17" s="6" t="s">
        <v>261</v>
      </c>
      <c r="D17" s="6">
        <v>3</v>
      </c>
      <c r="E17" s="6">
        <v>3</v>
      </c>
      <c r="F17" s="6">
        <v>89</v>
      </c>
      <c r="G17" s="6" t="s">
        <v>25</v>
      </c>
      <c r="H17" s="6">
        <v>4</v>
      </c>
      <c r="I17" s="6">
        <v>14</v>
      </c>
      <c r="J17" s="6">
        <v>0</v>
      </c>
      <c r="K17" s="6">
        <f>42*3</f>
        <v>126</v>
      </c>
      <c r="L17" s="1" t="str">
        <f t="shared" si="0"/>
        <v>Иванов А.Петров Р.В.</v>
      </c>
      <c r="N17" s="6" t="s">
        <v>272</v>
      </c>
      <c r="O17" s="6">
        <v>67.5</v>
      </c>
      <c r="P17" s="6">
        <v>45</v>
      </c>
      <c r="Q17" s="61" t="s">
        <v>169</v>
      </c>
      <c r="R17" s="6">
        <f>K17+O17+P17</f>
        <v>238.5</v>
      </c>
      <c r="S17" s="65"/>
      <c r="T17" s="61">
        <f>K17</f>
        <v>126</v>
      </c>
      <c r="U17" s="61" t="s">
        <v>80</v>
      </c>
      <c r="V17" s="61">
        <v>14</v>
      </c>
    </row>
    <row r="18" spans="1:22" ht="4.3499999999999996" customHeight="1" x14ac:dyDescent="0.25">
      <c r="L18" s="1" t="str">
        <f t="shared" si="0"/>
        <v/>
      </c>
    </row>
    <row r="19" spans="1:22" s="6" customFormat="1" ht="22.5" x14ac:dyDescent="0.2">
      <c r="A19" s="6" t="s">
        <v>168</v>
      </c>
      <c r="B19" s="6" t="s">
        <v>14</v>
      </c>
      <c r="C19" s="6" t="s">
        <v>362</v>
      </c>
      <c r="D19" s="6">
        <v>4</v>
      </c>
      <c r="E19" s="6">
        <v>3</v>
      </c>
      <c r="F19" s="6">
        <v>90</v>
      </c>
      <c r="G19" s="6" t="s">
        <v>17</v>
      </c>
      <c r="H19" s="6">
        <v>6</v>
      </c>
      <c r="I19" s="6">
        <v>28</v>
      </c>
      <c r="J19" s="6">
        <v>0</v>
      </c>
      <c r="K19" s="6">
        <f>28*3</f>
        <v>84</v>
      </c>
      <c r="L19" s="1" t="str">
        <f t="shared" si="0"/>
        <v>Иванов А.</v>
      </c>
      <c r="M19" s="6" t="s">
        <v>363</v>
      </c>
      <c r="N19" s="6" t="s">
        <v>107</v>
      </c>
      <c r="O19" s="6">
        <v>67.5</v>
      </c>
      <c r="P19" s="6">
        <v>45</v>
      </c>
      <c r="Q19" s="61" t="s">
        <v>169</v>
      </c>
      <c r="R19" s="6">
        <f>I19+K19+O19+P19</f>
        <v>224.5</v>
      </c>
      <c r="S19" s="68"/>
      <c r="T19" s="6">
        <f>28*3</f>
        <v>84</v>
      </c>
    </row>
    <row r="20" spans="1:22" ht="33.75" x14ac:dyDescent="0.25">
      <c r="A20" s="1" t="s">
        <v>61</v>
      </c>
      <c r="B20" s="1" t="s">
        <v>14</v>
      </c>
      <c r="C20" s="1" t="s">
        <v>362</v>
      </c>
      <c r="D20" s="1">
        <v>4</v>
      </c>
      <c r="E20" s="1">
        <v>3</v>
      </c>
      <c r="F20" s="1">
        <v>90</v>
      </c>
      <c r="G20" s="1" t="s">
        <v>23</v>
      </c>
      <c r="H20" s="1">
        <v>1</v>
      </c>
      <c r="L20" s="1" t="str">
        <f t="shared" si="0"/>
        <v>Иванов Д.Д.Кулаков И.Ю.</v>
      </c>
      <c r="O20" s="1">
        <v>135</v>
      </c>
      <c r="P20" s="1">
        <v>0</v>
      </c>
      <c r="Q20" s="14" t="s">
        <v>259</v>
      </c>
      <c r="R20" s="1">
        <f>O20/4*3</f>
        <v>101.25</v>
      </c>
      <c r="S20" s="14" t="s">
        <v>81</v>
      </c>
      <c r="T20" s="1">
        <f>O20/4</f>
        <v>33.75</v>
      </c>
    </row>
    <row r="21" spans="1:22" ht="22.5" x14ac:dyDescent="0.25">
      <c r="A21" s="1" t="s">
        <v>262</v>
      </c>
      <c r="B21" s="1" t="s">
        <v>14</v>
      </c>
      <c r="C21" s="1" t="s">
        <v>362</v>
      </c>
      <c r="D21" s="1">
        <v>4</v>
      </c>
      <c r="E21" s="1">
        <v>3</v>
      </c>
      <c r="F21" s="1">
        <v>90</v>
      </c>
      <c r="G21" s="1" t="s">
        <v>19</v>
      </c>
      <c r="H21" s="1">
        <v>2</v>
      </c>
      <c r="I21" s="1">
        <v>0</v>
      </c>
      <c r="J21" s="1">
        <f>28*3</f>
        <v>84</v>
      </c>
      <c r="K21" s="1">
        <v>0</v>
      </c>
      <c r="L21" s="1" t="str">
        <f t="shared" si="0"/>
        <v>Гареева Т.Ю.</v>
      </c>
      <c r="M21" s="1">
        <v>4207</v>
      </c>
      <c r="N21" s="1" t="s">
        <v>287</v>
      </c>
      <c r="O21" s="1">
        <v>27</v>
      </c>
      <c r="Q21" s="14" t="s">
        <v>263</v>
      </c>
      <c r="R21" s="1">
        <f>28*3+O21</f>
        <v>111</v>
      </c>
    </row>
    <row r="22" spans="1:22" ht="22.5" x14ac:dyDescent="0.25">
      <c r="A22" s="1" t="s">
        <v>26</v>
      </c>
      <c r="B22" s="1" t="s">
        <v>14</v>
      </c>
      <c r="C22" s="1" t="s">
        <v>362</v>
      </c>
      <c r="D22" s="1">
        <v>4</v>
      </c>
      <c r="E22" s="1">
        <v>3</v>
      </c>
      <c r="F22" s="1">
        <v>90</v>
      </c>
      <c r="G22" s="1" t="s">
        <v>25</v>
      </c>
      <c r="H22" s="1">
        <v>4</v>
      </c>
      <c r="I22" s="1">
        <v>14</v>
      </c>
      <c r="J22" s="1">
        <f>42*3</f>
        <v>126</v>
      </c>
      <c r="K22" s="1">
        <v>0</v>
      </c>
      <c r="L22" s="1" t="str">
        <f t="shared" si="0"/>
        <v>Эминов С.И.</v>
      </c>
      <c r="N22" s="1" t="s">
        <v>324</v>
      </c>
      <c r="O22" s="1">
        <v>54</v>
      </c>
      <c r="P22" s="1">
        <v>0</v>
      </c>
      <c r="Q22" s="14" t="s">
        <v>68</v>
      </c>
      <c r="R22" s="1">
        <f>I22+J22+K22+O22+P22</f>
        <v>194</v>
      </c>
    </row>
    <row r="23" spans="1:22" s="6" customFormat="1" ht="33.75" x14ac:dyDescent="0.2">
      <c r="A23" s="6" t="s">
        <v>61</v>
      </c>
      <c r="B23" s="6" t="s">
        <v>14</v>
      </c>
      <c r="C23" s="6" t="s">
        <v>362</v>
      </c>
      <c r="D23" s="6">
        <v>4</v>
      </c>
      <c r="E23" s="6">
        <v>3</v>
      </c>
      <c r="F23" s="6">
        <v>90</v>
      </c>
      <c r="G23" s="6" t="s">
        <v>25</v>
      </c>
      <c r="H23" s="6">
        <v>5</v>
      </c>
      <c r="I23" s="6">
        <v>14</v>
      </c>
      <c r="J23" s="6">
        <f>28*3</f>
        <v>84</v>
      </c>
      <c r="K23" s="6">
        <f>28*3</f>
        <v>84</v>
      </c>
      <c r="L23" s="1" t="str">
        <f t="shared" si="0"/>
        <v>Кулаков И.Ю.</v>
      </c>
      <c r="M23" s="6" t="s">
        <v>108</v>
      </c>
      <c r="N23" s="6" t="s">
        <v>288</v>
      </c>
      <c r="O23" s="6">
        <v>67.5</v>
      </c>
      <c r="P23" s="6">
        <v>0</v>
      </c>
      <c r="Q23" s="61" t="s">
        <v>81</v>
      </c>
      <c r="R23" s="6">
        <f>I23+K23+P23+J23+O23</f>
        <v>249.5</v>
      </c>
      <c r="S23" s="68"/>
      <c r="T23" s="61"/>
      <c r="U23" s="61"/>
      <c r="V23" s="61"/>
    </row>
    <row r="24" spans="1:22" ht="34.35" customHeight="1" x14ac:dyDescent="0.25">
      <c r="A24" s="1" t="s">
        <v>85</v>
      </c>
      <c r="B24" s="1" t="s">
        <v>14</v>
      </c>
      <c r="C24" s="1" t="s">
        <v>362</v>
      </c>
      <c r="D24" s="1">
        <v>4</v>
      </c>
      <c r="E24" s="1">
        <v>3</v>
      </c>
      <c r="F24" s="1">
        <v>90</v>
      </c>
      <c r="G24" s="1" t="s">
        <v>25</v>
      </c>
      <c r="H24" s="1">
        <v>3</v>
      </c>
      <c r="I24" s="1">
        <v>14</v>
      </c>
      <c r="J24" s="1">
        <v>0</v>
      </c>
      <c r="K24" s="1">
        <f>28*3</f>
        <v>84</v>
      </c>
      <c r="L24" s="1" t="str">
        <f t="shared" si="0"/>
        <v>Соколова Г.Ю.</v>
      </c>
      <c r="M24" s="1">
        <v>3300</v>
      </c>
      <c r="N24" s="1" t="s">
        <v>276</v>
      </c>
      <c r="O24" s="1">
        <v>40.5</v>
      </c>
      <c r="P24" s="1">
        <v>0</v>
      </c>
      <c r="Q24" s="14" t="s">
        <v>74</v>
      </c>
      <c r="R24" s="1">
        <f>I24+K24+P24+O24</f>
        <v>138.5</v>
      </c>
      <c r="S24" s="105"/>
      <c r="T24" s="14">
        <f>K24</f>
        <v>84</v>
      </c>
    </row>
    <row r="25" spans="1:22" ht="4.3499999999999996" customHeight="1" x14ac:dyDescent="0.25">
      <c r="L25" s="1" t="str">
        <f t="shared" si="0"/>
        <v/>
      </c>
    </row>
    <row r="26" spans="1:22" s="6" customFormat="1" ht="41.1" customHeight="1" x14ac:dyDescent="0.25">
      <c r="A26" s="6" t="s">
        <v>289</v>
      </c>
      <c r="B26" s="6" t="s">
        <v>14</v>
      </c>
      <c r="C26" s="6" t="s">
        <v>367</v>
      </c>
      <c r="D26" s="6">
        <v>5</v>
      </c>
      <c r="E26" s="6">
        <v>3</v>
      </c>
      <c r="F26" s="6">
        <v>57</v>
      </c>
      <c r="G26" s="6" t="s">
        <v>17</v>
      </c>
      <c r="H26" s="6">
        <v>5</v>
      </c>
      <c r="I26" s="6">
        <v>28</v>
      </c>
      <c r="J26" s="6">
        <v>0</v>
      </c>
      <c r="K26" s="6">
        <f>28*3</f>
        <v>84</v>
      </c>
      <c r="L26" s="1" t="str">
        <f t="shared" si="0"/>
        <v>Сидорин С.Н.</v>
      </c>
      <c r="M26" s="70"/>
      <c r="N26" s="6" t="s">
        <v>107</v>
      </c>
      <c r="O26" s="6">
        <v>42.8</v>
      </c>
      <c r="P26" s="6">
        <v>28.5</v>
      </c>
      <c r="Q26" s="71" t="s">
        <v>410</v>
      </c>
      <c r="R26" s="6">
        <f>I26+J26+K26+O26+P26</f>
        <v>183.3</v>
      </c>
      <c r="S26" s="61"/>
      <c r="T26" s="61"/>
      <c r="V26" s="61"/>
    </row>
    <row r="27" spans="1:22" s="6" customFormat="1" ht="33.75" x14ac:dyDescent="0.25">
      <c r="A27" s="6" t="s">
        <v>85</v>
      </c>
      <c r="B27" s="6" t="s">
        <v>14</v>
      </c>
      <c r="C27" s="6" t="s">
        <v>367</v>
      </c>
      <c r="D27" s="6">
        <v>5</v>
      </c>
      <c r="E27" s="6">
        <v>3</v>
      </c>
      <c r="F27" s="6">
        <v>57</v>
      </c>
      <c r="G27" s="6" t="s">
        <v>17</v>
      </c>
      <c r="H27" s="6">
        <v>4</v>
      </c>
      <c r="I27" s="6">
        <v>14</v>
      </c>
      <c r="J27" s="6">
        <v>0</v>
      </c>
      <c r="K27" s="6">
        <f>28*3</f>
        <v>84</v>
      </c>
      <c r="L27" s="1" t="str">
        <f t="shared" si="0"/>
        <v>Соколова Г.Ю.</v>
      </c>
      <c r="N27" s="6" t="s">
        <v>107</v>
      </c>
      <c r="O27" s="6">
        <v>25.7</v>
      </c>
      <c r="P27" s="6">
        <v>0</v>
      </c>
      <c r="Q27" s="61" t="s">
        <v>74</v>
      </c>
      <c r="R27" s="6">
        <f>I27+J27+K27+O27+P27</f>
        <v>123.7</v>
      </c>
      <c r="S27" s="61"/>
      <c r="T27" s="61"/>
      <c r="U27" s="61"/>
      <c r="V27" s="61"/>
    </row>
    <row r="28" spans="1:22" s="6" customFormat="1" ht="33.75" x14ac:dyDescent="0.25">
      <c r="A28" s="6" t="s">
        <v>63</v>
      </c>
      <c r="B28" s="6" t="s">
        <v>14</v>
      </c>
      <c r="C28" s="6" t="s">
        <v>367</v>
      </c>
      <c r="D28" s="6">
        <v>5</v>
      </c>
      <c r="E28" s="6">
        <v>3</v>
      </c>
      <c r="F28" s="6">
        <v>57</v>
      </c>
      <c r="G28" s="6" t="s">
        <v>17</v>
      </c>
      <c r="H28" s="6">
        <v>6</v>
      </c>
      <c r="I28" s="6">
        <v>28</v>
      </c>
      <c r="J28" s="6">
        <v>0</v>
      </c>
      <c r="K28" s="6">
        <f>42*3</f>
        <v>126</v>
      </c>
      <c r="L28" s="1" t="str">
        <f t="shared" si="0"/>
        <v>Цымбалюк Л.Н.Цымбалюк А.Е.</v>
      </c>
      <c r="M28" s="6">
        <v>124</v>
      </c>
      <c r="N28" s="6" t="s">
        <v>272</v>
      </c>
      <c r="O28" s="6">
        <v>51.3</v>
      </c>
      <c r="P28" s="6">
        <v>34.200000000000003</v>
      </c>
      <c r="Q28" s="61" t="s">
        <v>78</v>
      </c>
      <c r="R28" s="6">
        <f>I28+J28+K28+O28+P28-T28</f>
        <v>154</v>
      </c>
      <c r="S28" s="61" t="s">
        <v>281</v>
      </c>
      <c r="T28" s="61">
        <f>O28+P28</f>
        <v>85.5</v>
      </c>
      <c r="U28" s="61"/>
      <c r="V28" s="61"/>
    </row>
    <row r="29" spans="1:22" s="6" customFormat="1" ht="33.75" x14ac:dyDescent="0.25">
      <c r="A29" s="6" t="s">
        <v>63</v>
      </c>
      <c r="B29" s="6" t="s">
        <v>14</v>
      </c>
      <c r="C29" s="6" t="s">
        <v>367</v>
      </c>
      <c r="D29" s="6">
        <v>5</v>
      </c>
      <c r="E29" s="6">
        <v>3</v>
      </c>
      <c r="F29" s="6">
        <v>57</v>
      </c>
      <c r="G29" s="6" t="s">
        <v>23</v>
      </c>
      <c r="H29" s="6">
        <v>1</v>
      </c>
      <c r="L29" s="1" t="str">
        <f t="shared" si="0"/>
        <v>Цымбалюк Л.Н.Цымбалюк А.Е.</v>
      </c>
      <c r="M29" s="6">
        <v>124</v>
      </c>
      <c r="O29" s="6">
        <v>85.5</v>
      </c>
      <c r="P29" s="6">
        <v>0</v>
      </c>
      <c r="Q29" s="61" t="s">
        <v>78</v>
      </c>
      <c r="R29" s="6">
        <f>O29-T29</f>
        <v>25.5</v>
      </c>
      <c r="S29" s="61" t="s">
        <v>281</v>
      </c>
      <c r="T29" s="61">
        <v>60</v>
      </c>
      <c r="U29" s="61"/>
      <c r="V29" s="61"/>
    </row>
    <row r="30" spans="1:22" s="6" customFormat="1" ht="26.1" customHeight="1" x14ac:dyDescent="0.25">
      <c r="A30" s="6" t="s">
        <v>34</v>
      </c>
      <c r="B30" s="6" t="s">
        <v>14</v>
      </c>
      <c r="C30" s="6" t="s">
        <v>370</v>
      </c>
      <c r="D30" s="6">
        <v>5</v>
      </c>
      <c r="E30" s="6">
        <v>2</v>
      </c>
      <c r="F30" s="6">
        <v>37</v>
      </c>
      <c r="G30" s="6" t="s">
        <v>25</v>
      </c>
      <c r="H30" s="6">
        <v>4</v>
      </c>
      <c r="I30" s="6">
        <v>14</v>
      </c>
      <c r="J30" s="6">
        <v>0</v>
      </c>
      <c r="K30" s="6">
        <f>42*2</f>
        <v>84</v>
      </c>
      <c r="L30" s="1" t="str">
        <f t="shared" si="0"/>
        <v>Эминов С.И.</v>
      </c>
      <c r="N30" s="6" t="s">
        <v>201</v>
      </c>
      <c r="O30" s="6">
        <v>22.2</v>
      </c>
      <c r="P30" s="6">
        <v>0</v>
      </c>
      <c r="Q30" s="61" t="s">
        <v>68</v>
      </c>
      <c r="R30" s="6">
        <f t="shared" ref="R30:R38" si="1">I30+J30+K30+P30+O30</f>
        <v>120.2</v>
      </c>
      <c r="S30" s="61"/>
      <c r="T30" s="61"/>
      <c r="U30" s="61"/>
      <c r="V30" s="61"/>
    </row>
    <row r="31" spans="1:22" ht="26.1" customHeight="1" x14ac:dyDescent="0.25">
      <c r="A31" s="6" t="s">
        <v>34</v>
      </c>
      <c r="B31" s="6" t="s">
        <v>14</v>
      </c>
      <c r="C31" s="6">
        <v>3095</v>
      </c>
      <c r="D31" s="1">
        <v>5</v>
      </c>
      <c r="E31" s="1">
        <v>1</v>
      </c>
      <c r="F31" s="1">
        <v>20</v>
      </c>
      <c r="G31" s="1" t="s">
        <v>25</v>
      </c>
      <c r="H31" s="1">
        <v>4</v>
      </c>
      <c r="I31" s="1">
        <v>14</v>
      </c>
      <c r="J31" s="1">
        <v>0</v>
      </c>
      <c r="K31" s="1">
        <v>42</v>
      </c>
      <c r="L31" s="1" t="str">
        <f t="shared" si="0"/>
        <v>Эминов С.И.</v>
      </c>
      <c r="M31" s="6"/>
      <c r="N31" s="6" t="s">
        <v>224</v>
      </c>
      <c r="O31" s="1">
        <v>12</v>
      </c>
      <c r="P31" s="1">
        <v>0</v>
      </c>
      <c r="Q31" s="14" t="s">
        <v>68</v>
      </c>
      <c r="R31" s="32">
        <f>I31+J31+K31+P31+O31</f>
        <v>68</v>
      </c>
    </row>
    <row r="32" spans="1:22" s="6" customFormat="1" ht="33.75" x14ac:dyDescent="0.25">
      <c r="A32" s="6" t="s">
        <v>87</v>
      </c>
      <c r="B32" s="6" t="s">
        <v>14</v>
      </c>
      <c r="C32" s="6" t="s">
        <v>370</v>
      </c>
      <c r="D32" s="6">
        <v>5</v>
      </c>
      <c r="E32" s="6">
        <v>2</v>
      </c>
      <c r="F32" s="72">
        <v>23</v>
      </c>
      <c r="G32" s="6" t="s">
        <v>25</v>
      </c>
      <c r="H32" s="6">
        <v>4</v>
      </c>
      <c r="I32" s="6">
        <v>14</v>
      </c>
      <c r="J32" s="6">
        <v>14</v>
      </c>
      <c r="K32" s="6">
        <v>28</v>
      </c>
      <c r="L32" s="1" t="str">
        <f t="shared" si="0"/>
        <v>Яковлев Н.С.Яковлев Н.С.</v>
      </c>
      <c r="N32" s="6" t="s">
        <v>224</v>
      </c>
      <c r="O32" s="6">
        <v>13.8</v>
      </c>
      <c r="P32" s="6">
        <v>0</v>
      </c>
      <c r="Q32" s="108" t="s">
        <v>409</v>
      </c>
      <c r="R32" s="6">
        <f>I32+J32+K32+P32+O32</f>
        <v>69.8</v>
      </c>
      <c r="S32" s="108" t="s">
        <v>409</v>
      </c>
      <c r="T32" s="61">
        <f>K32</f>
        <v>28</v>
      </c>
      <c r="U32" s="61"/>
      <c r="V32" s="61"/>
    </row>
    <row r="33" spans="1:23" s="6" customFormat="1" ht="22.5" x14ac:dyDescent="0.25">
      <c r="A33" s="6" t="s">
        <v>65</v>
      </c>
      <c r="B33" s="6" t="s">
        <v>14</v>
      </c>
      <c r="C33" s="6" t="s">
        <v>370</v>
      </c>
      <c r="D33" s="6">
        <v>5</v>
      </c>
      <c r="E33" s="6">
        <v>2</v>
      </c>
      <c r="F33" s="72">
        <v>14</v>
      </c>
      <c r="G33" s="6" t="s">
        <v>25</v>
      </c>
      <c r="H33" s="6">
        <v>4</v>
      </c>
      <c r="I33" s="6">
        <v>14</v>
      </c>
      <c r="J33" s="6">
        <f>14</f>
        <v>14</v>
      </c>
      <c r="K33" s="6">
        <v>28</v>
      </c>
      <c r="L33" s="1" t="str">
        <f t="shared" si="0"/>
        <v>Эминов С.И.</v>
      </c>
      <c r="N33" s="6" t="s">
        <v>224</v>
      </c>
      <c r="O33" s="6">
        <v>12</v>
      </c>
      <c r="P33" s="6">
        <v>0</v>
      </c>
      <c r="Q33" s="61" t="s">
        <v>68</v>
      </c>
      <c r="R33" s="6">
        <f t="shared" si="1"/>
        <v>68</v>
      </c>
      <c r="S33" s="61"/>
      <c r="T33" s="61"/>
      <c r="U33" s="61"/>
      <c r="V33" s="61"/>
    </row>
    <row r="34" spans="1:23" s="6" customFormat="1" ht="22.5" x14ac:dyDescent="0.25">
      <c r="A34" s="6" t="s">
        <v>369</v>
      </c>
      <c r="B34" s="6" t="s">
        <v>14</v>
      </c>
      <c r="C34" s="6">
        <v>3093</v>
      </c>
      <c r="D34" s="6">
        <v>5</v>
      </c>
      <c r="E34" s="6">
        <v>2</v>
      </c>
      <c r="F34" s="6">
        <v>20</v>
      </c>
      <c r="G34" s="6" t="s">
        <v>17</v>
      </c>
      <c r="H34" s="6">
        <v>4</v>
      </c>
      <c r="I34" s="6">
        <v>14</v>
      </c>
      <c r="J34" s="6">
        <v>0</v>
      </c>
      <c r="K34" s="6">
        <v>28</v>
      </c>
      <c r="L34" s="1" t="str">
        <f t="shared" si="0"/>
        <v>Кулаков И.Ю.</v>
      </c>
      <c r="N34" s="6" t="s">
        <v>224</v>
      </c>
      <c r="O34" s="6">
        <v>12</v>
      </c>
      <c r="P34" s="6">
        <v>8</v>
      </c>
      <c r="Q34" s="61" t="s">
        <v>81</v>
      </c>
      <c r="R34" s="6">
        <f t="shared" si="1"/>
        <v>62</v>
      </c>
      <c r="S34" s="61"/>
      <c r="T34" s="61"/>
      <c r="U34" s="61"/>
      <c r="V34" s="61"/>
    </row>
    <row r="35" spans="1:23" s="6" customFormat="1" ht="22.5" x14ac:dyDescent="0.25">
      <c r="A35" s="6" t="s">
        <v>368</v>
      </c>
      <c r="B35" s="6" t="s">
        <v>14</v>
      </c>
      <c r="C35" s="6">
        <v>3093</v>
      </c>
      <c r="D35" s="6">
        <v>5</v>
      </c>
      <c r="E35" s="6">
        <v>2</v>
      </c>
      <c r="F35" s="6">
        <v>20</v>
      </c>
      <c r="G35" s="6" t="s">
        <v>25</v>
      </c>
      <c r="H35" s="6">
        <v>4</v>
      </c>
      <c r="I35" s="6">
        <v>14</v>
      </c>
      <c r="J35" s="6">
        <v>0</v>
      </c>
      <c r="K35" s="6">
        <v>42</v>
      </c>
      <c r="L35" s="1" t="str">
        <f t="shared" si="0"/>
        <v>Иванов Д.Д.</v>
      </c>
      <c r="N35" s="6" t="s">
        <v>224</v>
      </c>
      <c r="O35" s="6">
        <v>12</v>
      </c>
      <c r="P35" s="6">
        <v>0</v>
      </c>
      <c r="Q35" s="61" t="s">
        <v>259</v>
      </c>
      <c r="R35" s="6">
        <f t="shared" si="1"/>
        <v>68</v>
      </c>
      <c r="S35" s="61"/>
      <c r="T35" s="61"/>
      <c r="U35" s="61"/>
      <c r="V35" s="61"/>
    </row>
    <row r="36" spans="1:23" ht="22.5" x14ac:dyDescent="0.25">
      <c r="A36" s="6" t="s">
        <v>371</v>
      </c>
      <c r="B36" s="6" t="s">
        <v>14</v>
      </c>
      <c r="C36" s="6">
        <v>3093</v>
      </c>
      <c r="D36" s="1">
        <v>5</v>
      </c>
      <c r="E36" s="1">
        <v>2</v>
      </c>
      <c r="F36" s="1">
        <v>20</v>
      </c>
      <c r="G36" s="1" t="s">
        <v>25</v>
      </c>
      <c r="H36" s="1">
        <v>4</v>
      </c>
      <c r="I36" s="1">
        <v>14</v>
      </c>
      <c r="J36" s="1">
        <v>0</v>
      </c>
      <c r="K36" s="1">
        <v>28</v>
      </c>
      <c r="L36" s="1" t="str">
        <f t="shared" si="0"/>
        <v>Иванов Д.Д.</v>
      </c>
      <c r="N36" s="1" t="s">
        <v>224</v>
      </c>
      <c r="O36" s="1">
        <v>12</v>
      </c>
      <c r="P36" s="1">
        <v>8</v>
      </c>
      <c r="Q36" s="61" t="s">
        <v>259</v>
      </c>
      <c r="R36" s="1">
        <f t="shared" si="1"/>
        <v>62</v>
      </c>
    </row>
    <row r="37" spans="1:23" ht="33.75" x14ac:dyDescent="0.25">
      <c r="A37" s="6" t="s">
        <v>255</v>
      </c>
      <c r="B37" s="6" t="s">
        <v>14</v>
      </c>
      <c r="C37" s="6">
        <v>3093</v>
      </c>
      <c r="D37" s="1">
        <v>5</v>
      </c>
      <c r="E37" s="1">
        <v>2</v>
      </c>
      <c r="F37" s="1">
        <v>20</v>
      </c>
      <c r="G37" s="1" t="s">
        <v>25</v>
      </c>
      <c r="H37" s="1">
        <v>2</v>
      </c>
      <c r="I37" s="1">
        <v>7</v>
      </c>
      <c r="J37" s="1">
        <v>7</v>
      </c>
      <c r="K37" s="1">
        <v>14</v>
      </c>
      <c r="L37" s="1" t="str">
        <f t="shared" si="0"/>
        <v>Савинова М.А.</v>
      </c>
      <c r="M37" s="1" t="s">
        <v>273</v>
      </c>
      <c r="N37" s="1" t="s">
        <v>116</v>
      </c>
      <c r="O37" s="1">
        <v>6</v>
      </c>
      <c r="P37" s="1">
        <v>0</v>
      </c>
      <c r="Q37" s="14" t="s">
        <v>95</v>
      </c>
      <c r="R37" s="1">
        <f t="shared" si="1"/>
        <v>34</v>
      </c>
      <c r="T37" s="1"/>
    </row>
    <row r="38" spans="1:23" ht="45" x14ac:dyDescent="0.25">
      <c r="A38" s="6" t="s">
        <v>372</v>
      </c>
      <c r="B38" s="6" t="s">
        <v>14</v>
      </c>
      <c r="C38" s="6">
        <v>3093</v>
      </c>
      <c r="D38" s="1">
        <v>5</v>
      </c>
      <c r="E38" s="1">
        <v>2</v>
      </c>
      <c r="F38" s="1">
        <v>20</v>
      </c>
      <c r="G38" s="1" t="s">
        <v>25</v>
      </c>
      <c r="H38" s="1">
        <v>2</v>
      </c>
      <c r="I38" s="1">
        <v>14</v>
      </c>
      <c r="J38" s="1">
        <v>7</v>
      </c>
      <c r="K38" s="1">
        <v>7</v>
      </c>
      <c r="L38" s="1" t="str">
        <f t="shared" si="0"/>
        <v>Гареева Т.Ю.</v>
      </c>
      <c r="N38" s="1" t="s">
        <v>116</v>
      </c>
      <c r="O38" s="1">
        <v>6</v>
      </c>
      <c r="P38" s="1">
        <v>0</v>
      </c>
      <c r="Q38" s="14" t="s">
        <v>263</v>
      </c>
      <c r="R38" s="1">
        <f t="shared" si="1"/>
        <v>34</v>
      </c>
      <c r="T38" s="1"/>
    </row>
    <row r="39" spans="1:23" s="6" customFormat="1" ht="33.75" x14ac:dyDescent="0.25">
      <c r="A39" s="6" t="s">
        <v>260</v>
      </c>
      <c r="B39" s="6" t="s">
        <v>14</v>
      </c>
      <c r="C39" s="6" t="s">
        <v>367</v>
      </c>
      <c r="D39" s="6">
        <v>5</v>
      </c>
      <c r="E39" s="6">
        <v>3</v>
      </c>
      <c r="F39" s="6">
        <v>57</v>
      </c>
      <c r="G39" s="6" t="s">
        <v>25</v>
      </c>
      <c r="H39" s="6">
        <v>5</v>
      </c>
      <c r="I39" s="6">
        <v>28</v>
      </c>
      <c r="J39" s="6">
        <f>28*3</f>
        <v>84</v>
      </c>
      <c r="K39" s="6">
        <v>0</v>
      </c>
      <c r="L39" s="1" t="str">
        <f t="shared" si="0"/>
        <v>Сазонова Н.В.Залилов Р.Ю.</v>
      </c>
      <c r="N39" s="6" t="s">
        <v>107</v>
      </c>
      <c r="O39" s="6">
        <v>34.200000000000003</v>
      </c>
      <c r="P39" s="6">
        <v>0</v>
      </c>
      <c r="Q39" s="61" t="s">
        <v>325</v>
      </c>
      <c r="R39" s="61">
        <f>J39</f>
        <v>84</v>
      </c>
      <c r="S39" s="61" t="s">
        <v>186</v>
      </c>
      <c r="T39" s="61">
        <f>I39+O39</f>
        <v>62.2</v>
      </c>
      <c r="U39" s="61"/>
      <c r="V39" s="61"/>
    </row>
    <row r="40" spans="1:23" ht="33.75" x14ac:dyDescent="0.25">
      <c r="A40" s="6" t="s">
        <v>28</v>
      </c>
      <c r="B40" s="32" t="s">
        <v>14</v>
      </c>
      <c r="C40" s="1" t="s">
        <v>367</v>
      </c>
      <c r="D40" s="1">
        <v>5</v>
      </c>
      <c r="E40" s="1">
        <v>3</v>
      </c>
      <c r="F40" s="1">
        <v>57</v>
      </c>
      <c r="G40" s="1" t="s">
        <v>25</v>
      </c>
      <c r="H40" s="1">
        <v>1</v>
      </c>
      <c r="I40" s="1">
        <v>0</v>
      </c>
      <c r="J40" s="1">
        <v>2</v>
      </c>
      <c r="L40" s="1" t="str">
        <f t="shared" si="0"/>
        <v>Моркин С.А.Архипова Г.А.</v>
      </c>
      <c r="O40" s="1">
        <v>45.6</v>
      </c>
      <c r="P40" s="1">
        <v>0</v>
      </c>
      <c r="Q40" s="14" t="s">
        <v>69</v>
      </c>
      <c r="R40" s="1">
        <v>41.6</v>
      </c>
      <c r="S40" s="14" t="s">
        <v>75</v>
      </c>
      <c r="T40" s="14">
        <v>4</v>
      </c>
    </row>
    <row r="41" spans="1:23" ht="4.3499999999999996" customHeight="1" x14ac:dyDescent="0.25">
      <c r="L41" s="1" t="str">
        <f t="shared" si="0"/>
        <v/>
      </c>
      <c r="R41" s="14"/>
    </row>
    <row r="42" spans="1:23" ht="22.5" x14ac:dyDescent="0.25">
      <c r="A42" s="1" t="s">
        <v>33</v>
      </c>
      <c r="B42" s="1" t="s">
        <v>14</v>
      </c>
      <c r="C42" s="1" t="s">
        <v>370</v>
      </c>
      <c r="D42" s="1">
        <v>6</v>
      </c>
      <c r="E42" s="1">
        <v>3</v>
      </c>
      <c r="F42" s="1">
        <v>37</v>
      </c>
      <c r="G42" s="1" t="s">
        <v>17</v>
      </c>
      <c r="H42" s="1">
        <v>4</v>
      </c>
      <c r="I42" s="1">
        <v>14</v>
      </c>
      <c r="J42" s="1">
        <v>0</v>
      </c>
      <c r="K42" s="1">
        <v>28</v>
      </c>
      <c r="L42" s="1" t="str">
        <f t="shared" si="0"/>
        <v>Михайлов Д.В.</v>
      </c>
      <c r="M42" s="1">
        <v>3305</v>
      </c>
      <c r="O42" s="1">
        <v>22.2</v>
      </c>
      <c r="P42" s="1">
        <v>14.8</v>
      </c>
      <c r="Q42" s="14" t="s">
        <v>70</v>
      </c>
      <c r="R42" s="1">
        <f>I42+J42+K42*2+O42+P42</f>
        <v>107</v>
      </c>
    </row>
    <row r="43" spans="1:23" ht="33.75" x14ac:dyDescent="0.25">
      <c r="A43" s="1" t="s">
        <v>36</v>
      </c>
      <c r="B43" s="1" t="s">
        <v>14</v>
      </c>
      <c r="C43" s="1" t="s">
        <v>367</v>
      </c>
      <c r="D43" s="1">
        <v>6</v>
      </c>
      <c r="E43" s="1">
        <v>3</v>
      </c>
      <c r="F43" s="1">
        <v>57</v>
      </c>
      <c r="G43" s="1" t="s">
        <v>17</v>
      </c>
      <c r="H43" s="1">
        <v>5</v>
      </c>
      <c r="I43" s="1">
        <v>14</v>
      </c>
      <c r="J43" s="1">
        <v>0</v>
      </c>
      <c r="K43" s="1">
        <f>42*3</f>
        <v>126</v>
      </c>
      <c r="L43" s="1" t="str">
        <f t="shared" si="0"/>
        <v>Цымбалюк Л.Н.Цымбалюк А.Е.</v>
      </c>
      <c r="M43" s="1" t="s">
        <v>170</v>
      </c>
      <c r="N43" s="1" t="s">
        <v>107</v>
      </c>
      <c r="O43" s="1">
        <v>42.8</v>
      </c>
      <c r="P43" s="1">
        <v>28.5</v>
      </c>
      <c r="Q43" s="14" t="s">
        <v>78</v>
      </c>
      <c r="R43" s="1">
        <f>I43+K43+P43+O43+J43-T43</f>
        <v>140</v>
      </c>
      <c r="S43" s="61" t="s">
        <v>281</v>
      </c>
      <c r="T43" s="61">
        <f>O43+P43</f>
        <v>71.3</v>
      </c>
    </row>
    <row r="44" spans="1:23" ht="33.75" x14ac:dyDescent="0.25">
      <c r="A44" s="1" t="s">
        <v>36</v>
      </c>
      <c r="B44" s="1" t="s">
        <v>14</v>
      </c>
      <c r="C44" s="1" t="s">
        <v>367</v>
      </c>
      <c r="D44" s="1">
        <v>6</v>
      </c>
      <c r="E44" s="1">
        <v>3</v>
      </c>
      <c r="F44" s="1">
        <v>57</v>
      </c>
      <c r="G44" s="1" t="s">
        <v>23</v>
      </c>
      <c r="H44" s="1">
        <v>1</v>
      </c>
      <c r="L44" s="1" t="str">
        <f t="shared" si="0"/>
        <v>Цымбалюк Л.Н.Цымбалюк А.Е.</v>
      </c>
      <c r="M44" s="1">
        <v>124</v>
      </c>
      <c r="N44" s="1" t="s">
        <v>215</v>
      </c>
      <c r="O44" s="1">
        <v>85.5</v>
      </c>
      <c r="P44" s="1">
        <v>0</v>
      </c>
      <c r="Q44" s="14" t="s">
        <v>78</v>
      </c>
      <c r="R44" s="6">
        <f>O44-T44</f>
        <v>25.5</v>
      </c>
      <c r="S44" s="61" t="s">
        <v>281</v>
      </c>
      <c r="T44" s="61">
        <v>60</v>
      </c>
    </row>
    <row r="45" spans="1:23" ht="45" x14ac:dyDescent="0.25">
      <c r="A45" s="1" t="s">
        <v>27</v>
      </c>
      <c r="B45" s="1" t="s">
        <v>14</v>
      </c>
      <c r="C45" s="1" t="s">
        <v>370</v>
      </c>
      <c r="D45" s="1">
        <v>6</v>
      </c>
      <c r="E45" s="1">
        <v>2</v>
      </c>
      <c r="F45" s="1">
        <v>37</v>
      </c>
      <c r="G45" s="1" t="s">
        <v>25</v>
      </c>
      <c r="H45" s="1">
        <v>4</v>
      </c>
      <c r="I45" s="1">
        <v>14</v>
      </c>
      <c r="J45" s="1">
        <v>0</v>
      </c>
      <c r="K45" s="1">
        <f>42*2</f>
        <v>84</v>
      </c>
      <c r="L45" s="1" t="str">
        <f t="shared" si="0"/>
        <v>Килиба Ю.В.</v>
      </c>
      <c r="M45" s="1">
        <v>3312</v>
      </c>
      <c r="N45" s="1" t="s">
        <v>171</v>
      </c>
      <c r="O45" s="1">
        <v>22.2</v>
      </c>
      <c r="P45" s="1">
        <v>0</v>
      </c>
      <c r="Q45" s="14" t="s">
        <v>76</v>
      </c>
      <c r="R45" s="1">
        <f>I45+K45+P45+O45+J45</f>
        <v>120.2</v>
      </c>
      <c r="T45" s="1"/>
      <c r="W45" s="32"/>
    </row>
    <row r="46" spans="1:23" ht="33.75" x14ac:dyDescent="0.25">
      <c r="A46" s="1" t="s">
        <v>37</v>
      </c>
      <c r="B46" s="1" t="s">
        <v>14</v>
      </c>
      <c r="C46" s="1" t="s">
        <v>367</v>
      </c>
      <c r="D46" s="1">
        <v>6</v>
      </c>
      <c r="E46" s="1">
        <v>2</v>
      </c>
      <c r="F46" s="4">
        <v>29</v>
      </c>
      <c r="G46" s="1" t="s">
        <v>25</v>
      </c>
      <c r="H46" s="1">
        <v>4</v>
      </c>
      <c r="I46" s="1">
        <v>14</v>
      </c>
      <c r="J46" s="1">
        <f>14*2</f>
        <v>28</v>
      </c>
      <c r="K46" s="1">
        <f>14*2</f>
        <v>28</v>
      </c>
      <c r="L46" s="1" t="str">
        <f t="shared" si="0"/>
        <v>Алексеев П.С.</v>
      </c>
      <c r="M46" s="1">
        <v>3312</v>
      </c>
      <c r="N46" s="1" t="s">
        <v>40</v>
      </c>
      <c r="O46" s="1">
        <v>17.399999999999999</v>
      </c>
      <c r="P46" s="1">
        <v>11.6</v>
      </c>
      <c r="Q46" s="14" t="s">
        <v>408</v>
      </c>
      <c r="R46" s="1">
        <f>I46+J46+K46+P46+O46</f>
        <v>99</v>
      </c>
    </row>
    <row r="47" spans="1:23" ht="33.75" x14ac:dyDescent="0.25">
      <c r="A47" s="1" t="s">
        <v>38</v>
      </c>
      <c r="B47" s="1" t="s">
        <v>14</v>
      </c>
      <c r="C47" s="1" t="s">
        <v>367</v>
      </c>
      <c r="D47" s="1">
        <v>6</v>
      </c>
      <c r="E47" s="1">
        <v>1</v>
      </c>
      <c r="F47" s="4">
        <v>8</v>
      </c>
      <c r="G47" s="1" t="s">
        <v>25</v>
      </c>
      <c r="H47" s="1">
        <v>4</v>
      </c>
      <c r="I47" s="1">
        <v>14</v>
      </c>
      <c r="J47" s="1">
        <v>14</v>
      </c>
      <c r="K47" s="1">
        <v>14</v>
      </c>
      <c r="L47" s="1" t="str">
        <f t="shared" si="0"/>
        <v>Эминов С.И.</v>
      </c>
      <c r="M47" s="1">
        <v>3301</v>
      </c>
      <c r="N47" s="1" t="s">
        <v>254</v>
      </c>
      <c r="O47" s="1">
        <v>4.8</v>
      </c>
      <c r="P47" s="1">
        <v>3.2</v>
      </c>
      <c r="Q47" s="14" t="s">
        <v>68</v>
      </c>
      <c r="R47" s="1">
        <f t="shared" ref="R47" si="2">I47+J47+K47+P47+O47</f>
        <v>50</v>
      </c>
    </row>
    <row r="48" spans="1:23" s="23" customFormat="1" ht="45" x14ac:dyDescent="0.25">
      <c r="A48" s="23" t="s">
        <v>117</v>
      </c>
      <c r="B48" s="23" t="s">
        <v>14</v>
      </c>
      <c r="C48" s="23" t="s">
        <v>367</v>
      </c>
      <c r="D48" s="23">
        <v>6</v>
      </c>
      <c r="E48" s="23">
        <v>3</v>
      </c>
      <c r="F48" s="23">
        <v>57</v>
      </c>
      <c r="G48" s="23" t="s">
        <v>25</v>
      </c>
      <c r="H48" s="23">
        <v>3</v>
      </c>
      <c r="I48" s="23">
        <v>0</v>
      </c>
      <c r="J48" s="23">
        <v>2</v>
      </c>
      <c r="K48" s="23">
        <v>0</v>
      </c>
      <c r="L48" s="1" t="str">
        <f t="shared" si="0"/>
        <v>Соколова Г.Ю.Архипова Г.А.Цымбалюк А.Е.</v>
      </c>
      <c r="M48" s="23">
        <v>2407</v>
      </c>
      <c r="O48" s="23">
        <v>136.80000000000001</v>
      </c>
      <c r="P48" s="23">
        <v>0</v>
      </c>
      <c r="Q48" s="58" t="s">
        <v>74</v>
      </c>
      <c r="R48" s="23">
        <f>O48-T48-V48</f>
        <v>46.800000000000011</v>
      </c>
      <c r="S48" s="58" t="s">
        <v>75</v>
      </c>
      <c r="T48" s="58">
        <v>50</v>
      </c>
      <c r="U48" s="58" t="s">
        <v>281</v>
      </c>
      <c r="V48" s="58">
        <v>40</v>
      </c>
    </row>
    <row r="49" spans="1:23" ht="33.75" x14ac:dyDescent="0.25">
      <c r="A49" s="1" t="s">
        <v>28</v>
      </c>
      <c r="B49" s="1" t="s">
        <v>14</v>
      </c>
      <c r="C49" s="1" t="s">
        <v>367</v>
      </c>
      <c r="D49" s="1">
        <v>6</v>
      </c>
      <c r="E49" s="1">
        <v>3</v>
      </c>
      <c r="F49" s="1">
        <v>57</v>
      </c>
      <c r="G49" s="1" t="s">
        <v>25</v>
      </c>
      <c r="H49" s="1">
        <v>1</v>
      </c>
      <c r="I49" s="1">
        <v>0</v>
      </c>
      <c r="J49" s="1">
        <v>2</v>
      </c>
      <c r="K49" s="1">
        <v>0</v>
      </c>
      <c r="L49" s="1" t="str">
        <f t="shared" si="0"/>
        <v>Моркин С.А.Архипова Г.А.</v>
      </c>
      <c r="M49" s="1" t="s">
        <v>206</v>
      </c>
      <c r="O49" s="1">
        <v>45.6</v>
      </c>
      <c r="P49" s="1">
        <v>0</v>
      </c>
      <c r="Q49" s="14" t="s">
        <v>69</v>
      </c>
      <c r="R49" s="1">
        <f>O49-V49</f>
        <v>41.6</v>
      </c>
      <c r="U49" s="14" t="s">
        <v>75</v>
      </c>
      <c r="V49" s="14">
        <v>4</v>
      </c>
    </row>
    <row r="50" spans="1:23" ht="4.3499999999999996" customHeight="1" x14ac:dyDescent="0.25">
      <c r="L50" s="1" t="str">
        <f t="shared" si="0"/>
        <v/>
      </c>
    </row>
    <row r="51" spans="1:23" s="6" customFormat="1" ht="33.75" x14ac:dyDescent="0.25">
      <c r="A51" s="6" t="s">
        <v>262</v>
      </c>
      <c r="B51" s="6" t="s">
        <v>14</v>
      </c>
      <c r="C51" s="6" t="s">
        <v>16</v>
      </c>
      <c r="D51" s="6">
        <v>7</v>
      </c>
      <c r="E51" s="6">
        <v>3</v>
      </c>
      <c r="F51" s="6">
        <v>53</v>
      </c>
      <c r="G51" s="6" t="s">
        <v>17</v>
      </c>
      <c r="H51" s="6">
        <v>4</v>
      </c>
      <c r="I51" s="6">
        <v>14</v>
      </c>
      <c r="J51" s="6">
        <v>0</v>
      </c>
      <c r="K51" s="6">
        <f>28*2</f>
        <v>56</v>
      </c>
      <c r="L51" s="1" t="str">
        <f t="shared" si="0"/>
        <v>Гареева Т.Ю.</v>
      </c>
      <c r="M51" s="6">
        <v>4207</v>
      </c>
      <c r="N51" s="6" t="s">
        <v>389</v>
      </c>
      <c r="O51" s="6">
        <v>31.8</v>
      </c>
      <c r="P51" s="6">
        <v>21.2</v>
      </c>
      <c r="Q51" s="61" t="s">
        <v>263</v>
      </c>
      <c r="R51" s="6">
        <f>I51+J51+K51+O51+P51</f>
        <v>123</v>
      </c>
      <c r="S51" s="61"/>
      <c r="T51" s="61"/>
      <c r="U51" s="61"/>
      <c r="V51" s="61"/>
    </row>
    <row r="52" spans="1:23" s="6" customFormat="1" ht="22.35" customHeight="1" x14ac:dyDescent="0.25">
      <c r="A52" s="6" t="s">
        <v>274</v>
      </c>
      <c r="B52" s="6" t="s">
        <v>14</v>
      </c>
      <c r="C52" s="6" t="s">
        <v>271</v>
      </c>
      <c r="D52" s="6">
        <v>7</v>
      </c>
      <c r="E52" s="6">
        <v>2</v>
      </c>
      <c r="F52" s="32">
        <v>13</v>
      </c>
      <c r="G52" s="6" t="s">
        <v>25</v>
      </c>
      <c r="H52" s="6">
        <v>3</v>
      </c>
      <c r="I52" s="6">
        <v>14</v>
      </c>
      <c r="J52" s="6">
        <v>0</v>
      </c>
      <c r="K52" s="6">
        <v>28</v>
      </c>
      <c r="L52" s="1" t="str">
        <f t="shared" si="0"/>
        <v>Савинова М.А.</v>
      </c>
      <c r="M52" s="6" t="s">
        <v>275</v>
      </c>
      <c r="N52" s="6" t="s">
        <v>114</v>
      </c>
      <c r="O52" s="6">
        <v>5.9</v>
      </c>
      <c r="P52" s="6">
        <v>0</v>
      </c>
      <c r="Q52" s="61" t="s">
        <v>95</v>
      </c>
      <c r="R52" s="6">
        <f>I52+K52+O52+P52</f>
        <v>47.9</v>
      </c>
      <c r="S52" s="61"/>
      <c r="U52" s="61"/>
      <c r="V52" s="61"/>
    </row>
    <row r="53" spans="1:23" ht="35.450000000000003" customHeight="1" x14ac:dyDescent="0.25">
      <c r="A53" s="6" t="s">
        <v>139</v>
      </c>
      <c r="B53" s="1" t="s">
        <v>14</v>
      </c>
      <c r="C53" s="1" t="s">
        <v>271</v>
      </c>
      <c r="D53" s="1">
        <v>7</v>
      </c>
      <c r="E53" s="1">
        <v>2</v>
      </c>
      <c r="F53" s="32">
        <v>23</v>
      </c>
      <c r="G53" s="1" t="s">
        <v>25</v>
      </c>
      <c r="H53" s="1">
        <v>3</v>
      </c>
      <c r="I53" s="1">
        <v>14</v>
      </c>
      <c r="J53" s="1">
        <v>0</v>
      </c>
      <c r="K53" s="1">
        <f>28*2</f>
        <v>56</v>
      </c>
      <c r="L53" s="1" t="str">
        <f t="shared" si="0"/>
        <v>Цымбалюк Л.Н.Иванов Д.Д.</v>
      </c>
      <c r="M53" s="1">
        <v>3317</v>
      </c>
      <c r="N53" s="1" t="s">
        <v>175</v>
      </c>
      <c r="O53" s="1">
        <v>10.4</v>
      </c>
      <c r="P53" s="1">
        <v>0</v>
      </c>
      <c r="Q53" s="14" t="s">
        <v>78</v>
      </c>
      <c r="R53" s="1">
        <f>I53+O53/2</f>
        <v>19.2</v>
      </c>
      <c r="S53" s="14" t="s">
        <v>259</v>
      </c>
      <c r="T53" s="14">
        <f>28*2+O53/2</f>
        <v>61.2</v>
      </c>
      <c r="V53" s="1"/>
    </row>
    <row r="54" spans="1:23" s="6" customFormat="1" ht="45" x14ac:dyDescent="0.25">
      <c r="A54" s="6" t="s">
        <v>280</v>
      </c>
      <c r="B54" s="6" t="s">
        <v>14</v>
      </c>
      <c r="C54" s="6" t="s">
        <v>271</v>
      </c>
      <c r="D54" s="6">
        <v>7</v>
      </c>
      <c r="E54" s="6">
        <v>2</v>
      </c>
      <c r="F54" s="6">
        <v>37</v>
      </c>
      <c r="G54" s="6" t="s">
        <v>19</v>
      </c>
      <c r="H54" s="6">
        <v>3</v>
      </c>
      <c r="I54" s="6">
        <v>14</v>
      </c>
      <c r="J54" s="6">
        <v>0</v>
      </c>
      <c r="K54" s="6">
        <f>28*2</f>
        <v>56</v>
      </c>
      <c r="L54" s="1" t="str">
        <f t="shared" si="0"/>
        <v>Цымбалюк А.Е.</v>
      </c>
      <c r="N54" s="6" t="s">
        <v>175</v>
      </c>
      <c r="O54" s="6">
        <v>16.2</v>
      </c>
      <c r="P54" s="6">
        <v>0</v>
      </c>
      <c r="Q54" s="61" t="s">
        <v>281</v>
      </c>
      <c r="R54" s="6">
        <f>14+28*2+O54</f>
        <v>86.2</v>
      </c>
      <c r="S54" s="61"/>
      <c r="U54" s="61"/>
    </row>
    <row r="55" spans="1:23" s="6" customFormat="1" ht="35.450000000000003" customHeight="1" x14ac:dyDescent="0.25">
      <c r="A55" s="6" t="s">
        <v>277</v>
      </c>
      <c r="B55" s="6" t="s">
        <v>14</v>
      </c>
      <c r="C55" s="73">
        <v>2093</v>
      </c>
      <c r="D55" s="6">
        <v>7</v>
      </c>
      <c r="E55" s="6">
        <v>2</v>
      </c>
      <c r="F55" s="6">
        <v>12</v>
      </c>
      <c r="G55" s="6" t="s">
        <v>19</v>
      </c>
      <c r="H55" s="6">
        <v>3</v>
      </c>
      <c r="I55" s="6">
        <v>14</v>
      </c>
      <c r="J55" s="6">
        <v>0</v>
      </c>
      <c r="K55" s="6">
        <v>28</v>
      </c>
      <c r="L55" s="1" t="str">
        <f t="shared" si="0"/>
        <v>Кулаков И.Ю.</v>
      </c>
      <c r="M55" s="6">
        <v>3315</v>
      </c>
      <c r="N55" s="6" t="s">
        <v>114</v>
      </c>
      <c r="O55" s="6">
        <v>7.7</v>
      </c>
      <c r="P55" s="6">
        <v>0</v>
      </c>
      <c r="Q55" s="61" t="s">
        <v>81</v>
      </c>
      <c r="R55" s="6">
        <f>I55+K55+O55</f>
        <v>49.7</v>
      </c>
      <c r="S55" s="61"/>
      <c r="T55" s="61"/>
      <c r="U55" s="61"/>
      <c r="V55" s="61"/>
    </row>
    <row r="56" spans="1:23" s="6" customFormat="1" ht="22.5" x14ac:dyDescent="0.25">
      <c r="A56" s="6" t="s">
        <v>278</v>
      </c>
      <c r="B56" s="6" t="s">
        <v>14</v>
      </c>
      <c r="C56" s="73">
        <v>2093</v>
      </c>
      <c r="D56" s="6">
        <v>7</v>
      </c>
      <c r="E56" s="6">
        <v>2</v>
      </c>
      <c r="F56" s="6">
        <v>12</v>
      </c>
      <c r="G56" s="6" t="s">
        <v>19</v>
      </c>
      <c r="H56" s="6">
        <v>3</v>
      </c>
      <c r="I56" s="6">
        <v>14</v>
      </c>
      <c r="J56" s="6">
        <v>0</v>
      </c>
      <c r="K56" s="6">
        <v>28</v>
      </c>
      <c r="L56" s="1" t="str">
        <f t="shared" si="0"/>
        <v>Кулаков И.Ю.</v>
      </c>
      <c r="M56" s="6">
        <v>3315</v>
      </c>
      <c r="N56" s="6" t="s">
        <v>114</v>
      </c>
      <c r="O56" s="6">
        <v>7.7</v>
      </c>
      <c r="P56" s="6">
        <v>0</v>
      </c>
      <c r="Q56" s="61" t="s">
        <v>81</v>
      </c>
      <c r="R56" s="6">
        <f t="shared" ref="R56:R57" si="3">I56+K56+O56</f>
        <v>49.7</v>
      </c>
      <c r="S56" s="61"/>
      <c r="T56" s="61"/>
      <c r="U56" s="61"/>
      <c r="V56" s="61"/>
    </row>
    <row r="57" spans="1:23" s="6" customFormat="1" ht="22.5" x14ac:dyDescent="0.25">
      <c r="A57" s="6" t="s">
        <v>279</v>
      </c>
      <c r="B57" s="6" t="s">
        <v>14</v>
      </c>
      <c r="C57" s="73">
        <v>2093</v>
      </c>
      <c r="D57" s="6">
        <v>7</v>
      </c>
      <c r="E57" s="6">
        <v>2</v>
      </c>
      <c r="F57" s="6">
        <v>12</v>
      </c>
      <c r="G57" s="6" t="s">
        <v>19</v>
      </c>
      <c r="H57" s="6">
        <v>3</v>
      </c>
      <c r="I57" s="6">
        <v>14</v>
      </c>
      <c r="J57" s="6">
        <v>0</v>
      </c>
      <c r="K57" s="6">
        <v>28</v>
      </c>
      <c r="L57" s="1" t="str">
        <f t="shared" si="0"/>
        <v>Кулаков И.Ю.</v>
      </c>
      <c r="M57" s="6">
        <v>3315</v>
      </c>
      <c r="N57" s="6" t="s">
        <v>114</v>
      </c>
      <c r="O57" s="6">
        <v>7.7</v>
      </c>
      <c r="P57" s="6">
        <v>0</v>
      </c>
      <c r="Q57" s="61" t="s">
        <v>81</v>
      </c>
      <c r="R57" s="6">
        <f t="shared" si="3"/>
        <v>49.7</v>
      </c>
      <c r="S57" s="61"/>
      <c r="T57" s="61"/>
      <c r="U57" s="61"/>
      <c r="V57" s="61"/>
    </row>
    <row r="58" spans="1:23" s="6" customFormat="1" ht="33.75" x14ac:dyDescent="0.25">
      <c r="A58" s="6" t="s">
        <v>58</v>
      </c>
      <c r="B58" s="6" t="s">
        <v>14</v>
      </c>
      <c r="C58" s="6" t="s">
        <v>271</v>
      </c>
      <c r="D58" s="6">
        <v>7</v>
      </c>
      <c r="E58" s="6">
        <v>2</v>
      </c>
      <c r="F58" s="6">
        <v>37</v>
      </c>
      <c r="G58" s="6" t="s">
        <v>19</v>
      </c>
      <c r="H58" s="6">
        <v>3</v>
      </c>
      <c r="I58" s="6">
        <v>14</v>
      </c>
      <c r="J58" s="6">
        <f>14*2</f>
        <v>28</v>
      </c>
      <c r="K58" s="6">
        <f>14*2</f>
        <v>28</v>
      </c>
      <c r="L58" s="1" t="str">
        <f t="shared" si="0"/>
        <v>Михайлов Д.В.</v>
      </c>
      <c r="N58" s="6" t="s">
        <v>175</v>
      </c>
      <c r="O58" s="6">
        <v>16.2</v>
      </c>
      <c r="P58" s="6">
        <v>0</v>
      </c>
      <c r="Q58" s="61" t="s">
        <v>70</v>
      </c>
      <c r="R58" s="6">
        <f>I58+J58+K58+O58</f>
        <v>86.2</v>
      </c>
      <c r="S58" s="61"/>
      <c r="T58" s="61"/>
      <c r="U58" s="61"/>
      <c r="V58" s="61"/>
    </row>
    <row r="59" spans="1:23" s="6" customFormat="1" ht="33" customHeight="1" x14ac:dyDescent="0.25">
      <c r="A59" s="6" t="s">
        <v>90</v>
      </c>
      <c r="B59" s="6" t="s">
        <v>14</v>
      </c>
      <c r="C59" s="6" t="s">
        <v>16</v>
      </c>
      <c r="D59" s="6">
        <v>7</v>
      </c>
      <c r="E59" s="6">
        <v>3</v>
      </c>
      <c r="F59" s="6">
        <v>49</v>
      </c>
      <c r="G59" s="6" t="s">
        <v>17</v>
      </c>
      <c r="H59" s="6">
        <v>6</v>
      </c>
      <c r="I59" s="6">
        <v>28</v>
      </c>
      <c r="J59" s="6">
        <v>0</v>
      </c>
      <c r="K59" s="6">
        <f>42*3</f>
        <v>126</v>
      </c>
      <c r="L59" s="1" t="str">
        <f t="shared" si="0"/>
        <v>Соколова Г.Ю.</v>
      </c>
      <c r="M59" s="6" t="s">
        <v>197</v>
      </c>
      <c r="N59" s="6" t="s">
        <v>276</v>
      </c>
      <c r="O59" s="6">
        <v>47.7</v>
      </c>
      <c r="P59" s="6">
        <v>31.8</v>
      </c>
      <c r="Q59" s="61" t="s">
        <v>74</v>
      </c>
      <c r="R59" s="6">
        <f>I59+O59+P59+K59</f>
        <v>233.5</v>
      </c>
      <c r="S59" s="61"/>
      <c r="T59" s="61"/>
      <c r="U59" s="61"/>
      <c r="V59" s="61"/>
    </row>
    <row r="60" spans="1:23" s="6" customFormat="1" ht="32.450000000000003" customHeight="1" x14ac:dyDescent="0.25">
      <c r="A60" s="6" t="s">
        <v>59</v>
      </c>
      <c r="B60" s="6" t="s">
        <v>14</v>
      </c>
      <c r="C60" s="6" t="s">
        <v>16</v>
      </c>
      <c r="D60" s="6">
        <v>7</v>
      </c>
      <c r="E60" s="6">
        <v>3</v>
      </c>
      <c r="F60" s="6">
        <v>49</v>
      </c>
      <c r="G60" s="6" t="s">
        <v>25</v>
      </c>
      <c r="H60" s="6">
        <v>3</v>
      </c>
      <c r="I60" s="6">
        <v>0</v>
      </c>
      <c r="J60" s="6">
        <v>2</v>
      </c>
      <c r="K60" s="6">
        <v>0</v>
      </c>
      <c r="L60" s="1" t="str">
        <f t="shared" si="0"/>
        <v>Соколова Г.Ю.Архипова Г.А.</v>
      </c>
      <c r="M60" s="6">
        <v>3300</v>
      </c>
      <c r="O60" s="6">
        <v>127.2</v>
      </c>
      <c r="P60" s="6">
        <v>0</v>
      </c>
      <c r="Q60" s="61" t="s">
        <v>74</v>
      </c>
      <c r="R60" s="6">
        <f>O60+J60-T60-2</f>
        <v>65.199999999999989</v>
      </c>
      <c r="S60" s="61" t="s">
        <v>75</v>
      </c>
      <c r="T60" s="6">
        <v>62</v>
      </c>
      <c r="U60" s="61"/>
      <c r="V60" s="61"/>
    </row>
    <row r="61" spans="1:23" s="6" customFormat="1" ht="34.35" customHeight="1" x14ac:dyDescent="0.25">
      <c r="A61" s="6" t="s">
        <v>39</v>
      </c>
      <c r="B61" s="6" t="s">
        <v>14</v>
      </c>
      <c r="C61" s="6" t="s">
        <v>16</v>
      </c>
      <c r="D61" s="6">
        <v>7</v>
      </c>
      <c r="E61" s="6">
        <v>3</v>
      </c>
      <c r="F61" s="6">
        <v>49</v>
      </c>
      <c r="G61" s="6" t="s">
        <v>25</v>
      </c>
      <c r="H61" s="6">
        <v>3</v>
      </c>
      <c r="I61" s="6">
        <v>0</v>
      </c>
      <c r="J61" s="6">
        <v>2</v>
      </c>
      <c r="K61" s="6">
        <v>0</v>
      </c>
      <c r="L61" s="1" t="str">
        <f t="shared" si="0"/>
        <v>Цымбалюк Л.Н.Архипова Г.А.Моркин С.А.</v>
      </c>
      <c r="M61" s="6">
        <v>2407</v>
      </c>
      <c r="O61" s="6">
        <v>127.2</v>
      </c>
      <c r="P61" s="6">
        <v>0</v>
      </c>
      <c r="Q61" s="61" t="s">
        <v>78</v>
      </c>
      <c r="R61" s="6">
        <f>O61+J61-T61-2-V61</f>
        <v>23.199999999999989</v>
      </c>
      <c r="S61" s="61" t="s">
        <v>75</v>
      </c>
      <c r="T61" s="6">
        <v>4</v>
      </c>
      <c r="U61" s="61" t="s">
        <v>69</v>
      </c>
      <c r="V61" s="61">
        <v>100</v>
      </c>
    </row>
    <row r="62" spans="1:23" ht="4.3499999999999996" customHeight="1" x14ac:dyDescent="0.25">
      <c r="L62" s="1" t="str">
        <f t="shared" si="0"/>
        <v/>
      </c>
      <c r="R62" s="14"/>
    </row>
    <row r="63" spans="1:23" ht="22.5" x14ac:dyDescent="0.25">
      <c r="A63" s="1" t="s">
        <v>42</v>
      </c>
      <c r="B63" s="1" t="s">
        <v>14</v>
      </c>
      <c r="C63" s="1" t="s">
        <v>271</v>
      </c>
      <c r="D63" s="1">
        <v>8</v>
      </c>
      <c r="E63" s="1">
        <v>2</v>
      </c>
      <c r="F63" s="1">
        <v>36</v>
      </c>
      <c r="G63" s="1" t="s">
        <v>17</v>
      </c>
      <c r="H63" s="1">
        <v>5</v>
      </c>
      <c r="I63" s="1">
        <v>21</v>
      </c>
      <c r="J63" s="1">
        <f>35*2</f>
        <v>70</v>
      </c>
      <c r="K63" s="1">
        <v>0</v>
      </c>
      <c r="L63" s="1" t="str">
        <f t="shared" si="0"/>
        <v>Корнышев Н.П.</v>
      </c>
      <c r="M63" s="1" t="s">
        <v>110</v>
      </c>
      <c r="N63" s="1" t="s">
        <v>335</v>
      </c>
      <c r="O63" s="1">
        <v>27</v>
      </c>
      <c r="P63" s="1">
        <v>18</v>
      </c>
      <c r="Q63" s="14" t="s">
        <v>105</v>
      </c>
      <c r="R63" s="1">
        <f>I63+J63+O63+P63</f>
        <v>136</v>
      </c>
    </row>
    <row r="64" spans="1:23" s="6" customFormat="1" ht="33.75" x14ac:dyDescent="0.25">
      <c r="A64" s="6" t="s">
        <v>354</v>
      </c>
      <c r="B64" s="6" t="s">
        <v>14</v>
      </c>
      <c r="C64" s="6" t="s">
        <v>16</v>
      </c>
      <c r="D64" s="6">
        <v>8</v>
      </c>
      <c r="E64" s="6">
        <v>3</v>
      </c>
      <c r="F64" s="6">
        <v>53</v>
      </c>
      <c r="G64" s="6" t="s">
        <v>19</v>
      </c>
      <c r="H64" s="6">
        <v>3</v>
      </c>
      <c r="I64" s="6">
        <v>14</v>
      </c>
      <c r="J64" s="6">
        <v>28</v>
      </c>
      <c r="K64" s="6">
        <v>0</v>
      </c>
      <c r="L64" s="1" t="str">
        <f t="shared" si="0"/>
        <v>Телина И.С.Филиппов И.И.</v>
      </c>
      <c r="N64" s="6" t="s">
        <v>282</v>
      </c>
      <c r="O64" s="6">
        <v>23.9</v>
      </c>
      <c r="Q64" s="61" t="s">
        <v>79</v>
      </c>
      <c r="R64" s="6">
        <f>I64</f>
        <v>14</v>
      </c>
      <c r="S64" s="61" t="s">
        <v>381</v>
      </c>
      <c r="T64" s="6">
        <f>J64*3+O64</f>
        <v>107.9</v>
      </c>
      <c r="U64" s="61"/>
      <c r="V64" s="61"/>
      <c r="W64" s="6" t="s">
        <v>391</v>
      </c>
    </row>
    <row r="65" spans="1:23" ht="22.5" x14ac:dyDescent="0.25">
      <c r="A65" s="1" t="s">
        <v>283</v>
      </c>
      <c r="B65" s="1" t="s">
        <v>14</v>
      </c>
      <c r="C65" s="1">
        <v>2093</v>
      </c>
      <c r="D65" s="1">
        <v>8</v>
      </c>
      <c r="E65" s="1">
        <v>1</v>
      </c>
      <c r="F65" s="1">
        <v>12</v>
      </c>
      <c r="G65" s="1" t="s">
        <v>17</v>
      </c>
      <c r="H65" s="1">
        <v>5</v>
      </c>
      <c r="I65" s="1">
        <v>21</v>
      </c>
      <c r="J65" s="1">
        <v>35</v>
      </c>
      <c r="K65" s="1">
        <v>0</v>
      </c>
      <c r="L65" s="1" t="str">
        <f t="shared" si="0"/>
        <v>Кулаков И.Ю.</v>
      </c>
      <c r="N65" s="1" t="s">
        <v>282</v>
      </c>
      <c r="O65" s="1">
        <v>12.75</v>
      </c>
      <c r="P65" s="1">
        <v>8.5</v>
      </c>
      <c r="Q65" s="14" t="s">
        <v>81</v>
      </c>
      <c r="R65" s="1">
        <f>I65+J65+K65+P65+O65</f>
        <v>77.25</v>
      </c>
    </row>
    <row r="66" spans="1:23" ht="31.5" customHeight="1" x14ac:dyDescent="0.25">
      <c r="A66" s="1" t="s">
        <v>44</v>
      </c>
      <c r="B66" s="1" t="s">
        <v>14</v>
      </c>
      <c r="C66" s="6" t="s">
        <v>16</v>
      </c>
      <c r="D66" s="1">
        <v>8</v>
      </c>
      <c r="E66" s="1">
        <v>3</v>
      </c>
      <c r="F66" s="1">
        <v>53</v>
      </c>
      <c r="G66" s="1" t="s">
        <v>25</v>
      </c>
      <c r="H66" s="1">
        <v>12</v>
      </c>
      <c r="I66" s="1">
        <v>0</v>
      </c>
      <c r="J66" s="1">
        <v>2</v>
      </c>
      <c r="K66" s="1">
        <v>0</v>
      </c>
      <c r="L66" s="1" t="str">
        <f t="shared" ref="L66:L75" si="4">CONCATENATE(Q66,"",S66,"",U66)</f>
        <v>Соколова Г.Ю.Архипова Г.А.Моркин С.А.</v>
      </c>
      <c r="N66" s="1" t="s">
        <v>218</v>
      </c>
      <c r="O66" s="1">
        <f>SUM(R66:V66)</f>
        <v>158.80000000000001</v>
      </c>
      <c r="P66" s="1">
        <v>0</v>
      </c>
      <c r="Q66" s="14" t="s">
        <v>74</v>
      </c>
      <c r="R66" s="1">
        <v>58.8</v>
      </c>
      <c r="S66" s="14" t="s">
        <v>75</v>
      </c>
      <c r="T66" s="1">
        <v>50</v>
      </c>
      <c r="U66" s="14" t="s">
        <v>69</v>
      </c>
      <c r="V66" s="14">
        <v>50</v>
      </c>
      <c r="W66" s="1">
        <v>508.8</v>
      </c>
    </row>
    <row r="67" spans="1:23" ht="31.5" customHeight="1" x14ac:dyDescent="0.25">
      <c r="A67" s="1" t="s">
        <v>44</v>
      </c>
      <c r="B67" s="1" t="s">
        <v>14</v>
      </c>
      <c r="C67" s="6" t="s">
        <v>16</v>
      </c>
      <c r="D67" s="1">
        <v>8</v>
      </c>
      <c r="E67" s="1">
        <v>3</v>
      </c>
      <c r="F67" s="1">
        <v>53</v>
      </c>
      <c r="G67" s="1" t="s">
        <v>25</v>
      </c>
      <c r="H67" s="1">
        <v>12</v>
      </c>
      <c r="I67" s="1">
        <v>0</v>
      </c>
      <c r="J67" s="1">
        <v>0</v>
      </c>
      <c r="K67" s="1">
        <v>0</v>
      </c>
      <c r="L67" s="1" t="str">
        <f t="shared" si="4"/>
        <v>Моркин С.А.Архипова Г.А.</v>
      </c>
      <c r="N67" s="1" t="s">
        <v>218</v>
      </c>
      <c r="O67" s="1">
        <f>SUM(R67:V67)</f>
        <v>200</v>
      </c>
      <c r="P67" s="1">
        <v>0</v>
      </c>
      <c r="Q67" s="14" t="s">
        <v>69</v>
      </c>
      <c r="R67" s="1">
        <v>150</v>
      </c>
      <c r="S67" s="14" t="s">
        <v>75</v>
      </c>
      <c r="T67" s="14">
        <v>50</v>
      </c>
    </row>
    <row r="68" spans="1:23" ht="31.5" customHeight="1" x14ac:dyDescent="0.25">
      <c r="A68" s="1" t="s">
        <v>44</v>
      </c>
      <c r="B68" s="1" t="s">
        <v>14</v>
      </c>
      <c r="C68" s="6" t="s">
        <v>16</v>
      </c>
      <c r="D68" s="1">
        <v>8</v>
      </c>
      <c r="E68" s="1">
        <v>3</v>
      </c>
      <c r="F68" s="1">
        <v>53</v>
      </c>
      <c r="G68" s="1" t="s">
        <v>25</v>
      </c>
      <c r="H68" s="1">
        <v>12</v>
      </c>
      <c r="I68" s="1">
        <v>0</v>
      </c>
      <c r="J68" s="1">
        <v>0</v>
      </c>
      <c r="K68" s="1">
        <v>0</v>
      </c>
      <c r="L68" s="1" t="str">
        <f t="shared" si="4"/>
        <v>Соколова Г.Ю.Архипова Г.А.Винник Л.И.</v>
      </c>
      <c r="N68" s="1" t="s">
        <v>218</v>
      </c>
      <c r="O68" s="1">
        <f>SUM(R68:V68)</f>
        <v>150</v>
      </c>
      <c r="P68" s="1">
        <v>0</v>
      </c>
      <c r="Q68" s="14" t="s">
        <v>74</v>
      </c>
      <c r="R68" s="1">
        <v>50</v>
      </c>
      <c r="S68" s="14" t="s">
        <v>75</v>
      </c>
      <c r="T68" s="14">
        <v>50</v>
      </c>
      <c r="U68" s="14" t="s">
        <v>77</v>
      </c>
      <c r="V68" s="14">
        <v>50</v>
      </c>
    </row>
    <row r="69" spans="1:23" ht="45" x14ac:dyDescent="0.25">
      <c r="A69" s="1" t="s">
        <v>216</v>
      </c>
      <c r="B69" s="1" t="s">
        <v>195</v>
      </c>
      <c r="C69" s="6" t="s">
        <v>16</v>
      </c>
      <c r="D69" s="1">
        <v>8</v>
      </c>
      <c r="E69" s="1">
        <v>3</v>
      </c>
      <c r="F69" s="1">
        <v>53</v>
      </c>
      <c r="G69" s="1" t="s">
        <v>25</v>
      </c>
      <c r="H69" s="1">
        <v>9</v>
      </c>
      <c r="I69" s="1">
        <v>0</v>
      </c>
      <c r="J69" s="1">
        <v>2</v>
      </c>
      <c r="K69" s="1">
        <v>0</v>
      </c>
      <c r="L69" s="1" t="str">
        <f t="shared" si="4"/>
        <v>Эминов С.И.Соколова Г.Ю.Архипова Г.А.</v>
      </c>
      <c r="M69" s="1">
        <v>3300</v>
      </c>
      <c r="N69" s="1" t="s">
        <v>382</v>
      </c>
      <c r="O69" s="77">
        <v>540.6</v>
      </c>
      <c r="Q69" s="14" t="s">
        <v>68</v>
      </c>
      <c r="R69" s="1">
        <v>6</v>
      </c>
      <c r="S69" s="14" t="s">
        <v>74</v>
      </c>
      <c r="T69" s="1">
        <v>6.6</v>
      </c>
      <c r="U69" s="14" t="s">
        <v>75</v>
      </c>
      <c r="V69" s="1">
        <v>6</v>
      </c>
    </row>
    <row r="70" spans="1:23" ht="45" x14ac:dyDescent="0.25">
      <c r="A70" s="1" t="s">
        <v>216</v>
      </c>
      <c r="B70" s="1" t="s">
        <v>195</v>
      </c>
      <c r="C70" s="6" t="s">
        <v>16</v>
      </c>
      <c r="D70" s="1">
        <v>8</v>
      </c>
      <c r="E70" s="1">
        <v>3</v>
      </c>
      <c r="F70" s="1">
        <v>53</v>
      </c>
      <c r="G70" s="1" t="s">
        <v>25</v>
      </c>
      <c r="H70" s="1">
        <v>9</v>
      </c>
      <c r="I70" s="1">
        <v>0</v>
      </c>
      <c r="J70" s="1">
        <v>2</v>
      </c>
      <c r="K70" s="1">
        <v>0</v>
      </c>
      <c r="L70" s="1" t="str">
        <f t="shared" si="4"/>
        <v>ЧленКомиссииЧленКомиссииЧленКомиссии</v>
      </c>
      <c r="M70" s="1">
        <v>3300</v>
      </c>
      <c r="N70" s="1" t="s">
        <v>383</v>
      </c>
      <c r="O70" s="1">
        <f>SUM(Q69:V76)</f>
        <v>540.6</v>
      </c>
      <c r="Q70" s="14" t="s">
        <v>385</v>
      </c>
      <c r="R70" s="1">
        <v>6</v>
      </c>
      <c r="S70" s="14" t="s">
        <v>385</v>
      </c>
      <c r="T70" s="1">
        <v>6</v>
      </c>
      <c r="U70" s="14" t="s">
        <v>385</v>
      </c>
      <c r="V70" s="1">
        <v>6</v>
      </c>
    </row>
    <row r="71" spans="1:23" ht="45" x14ac:dyDescent="0.25">
      <c r="A71" s="1" t="s">
        <v>216</v>
      </c>
      <c r="B71" s="1" t="s">
        <v>195</v>
      </c>
      <c r="C71" s="6" t="s">
        <v>16</v>
      </c>
      <c r="D71" s="1">
        <v>8</v>
      </c>
      <c r="E71" s="1">
        <v>3</v>
      </c>
      <c r="F71" s="1">
        <v>53</v>
      </c>
      <c r="G71" s="1" t="s">
        <v>25</v>
      </c>
      <c r="H71" s="1">
        <v>9</v>
      </c>
      <c r="I71" s="1">
        <v>0</v>
      </c>
      <c r="J71" s="1">
        <v>0</v>
      </c>
      <c r="K71" s="1">
        <v>0</v>
      </c>
      <c r="L71" s="1" t="str">
        <f t="shared" si="4"/>
        <v>Попов В.С.Петров Р.В.Эрштейн Л.Б.</v>
      </c>
      <c r="M71" s="1">
        <v>3300</v>
      </c>
      <c r="N71" s="1" t="s">
        <v>390</v>
      </c>
      <c r="O71" s="1">
        <f>R71+T71+V71</f>
        <v>72</v>
      </c>
      <c r="Q71" s="14" t="s">
        <v>327</v>
      </c>
      <c r="R71" s="1">
        <f>6*4</f>
        <v>24</v>
      </c>
      <c r="S71" s="14" t="s">
        <v>80</v>
      </c>
      <c r="T71" s="1">
        <f>6*4</f>
        <v>24</v>
      </c>
      <c r="U71" s="14" t="s">
        <v>67</v>
      </c>
      <c r="V71" s="1">
        <f>6*4</f>
        <v>24</v>
      </c>
      <c r="W71" s="1" t="s">
        <v>386</v>
      </c>
    </row>
    <row r="72" spans="1:23" ht="45" x14ac:dyDescent="0.25">
      <c r="A72" s="1" t="s">
        <v>216</v>
      </c>
      <c r="B72" s="1" t="s">
        <v>195</v>
      </c>
      <c r="C72" s="6" t="s">
        <v>16</v>
      </c>
      <c r="D72" s="1">
        <v>8</v>
      </c>
      <c r="E72" s="1">
        <v>3</v>
      </c>
      <c r="F72" s="1">
        <v>53</v>
      </c>
      <c r="G72" s="1" t="s">
        <v>25</v>
      </c>
      <c r="H72" s="1">
        <v>9</v>
      </c>
      <c r="I72" s="1">
        <v>0</v>
      </c>
      <c r="J72" s="1">
        <v>0</v>
      </c>
      <c r="K72" s="1">
        <v>0</v>
      </c>
      <c r="L72" s="1" t="str">
        <f t="shared" si="4"/>
        <v>Михайлов Д.В.Цымбалюк Л.Н.Довгалюк П.М.</v>
      </c>
      <c r="M72" s="1">
        <v>3300</v>
      </c>
      <c r="N72" s="1" t="s">
        <v>390</v>
      </c>
      <c r="O72" s="1">
        <f t="shared" ref="O72" si="5">R72+T72+V72</f>
        <v>54</v>
      </c>
      <c r="Q72" s="14" t="s">
        <v>70</v>
      </c>
      <c r="R72" s="1">
        <f>3*6</f>
        <v>18</v>
      </c>
      <c r="S72" s="14" t="s">
        <v>78</v>
      </c>
      <c r="T72" s="1">
        <f>3*6</f>
        <v>18</v>
      </c>
      <c r="U72" s="14" t="s">
        <v>82</v>
      </c>
      <c r="V72" s="1">
        <f>3*6</f>
        <v>18</v>
      </c>
      <c r="W72" s="1" t="s">
        <v>386</v>
      </c>
    </row>
    <row r="73" spans="1:23" ht="45" x14ac:dyDescent="0.25">
      <c r="A73" s="1" t="s">
        <v>216</v>
      </c>
      <c r="B73" s="1" t="s">
        <v>195</v>
      </c>
      <c r="C73" s="6" t="s">
        <v>16</v>
      </c>
      <c r="D73" s="1">
        <v>8</v>
      </c>
      <c r="E73" s="1">
        <v>3</v>
      </c>
      <c r="F73" s="1">
        <v>53</v>
      </c>
      <c r="G73" s="1" t="s">
        <v>25</v>
      </c>
      <c r="H73" s="1">
        <v>9</v>
      </c>
      <c r="I73" s="1">
        <v>0</v>
      </c>
      <c r="J73" s="1">
        <v>0</v>
      </c>
      <c r="K73" s="1">
        <v>0</v>
      </c>
      <c r="L73" s="1" t="str">
        <f t="shared" si="4"/>
        <v>Журавлева М.П.Сазонова Н.В.Телина И.С.</v>
      </c>
      <c r="M73" s="1">
        <v>3300</v>
      </c>
      <c r="N73" s="1" t="s">
        <v>390</v>
      </c>
      <c r="O73" s="1">
        <f>R73+T73+V73</f>
        <v>108</v>
      </c>
      <c r="Q73" s="14" t="s">
        <v>72</v>
      </c>
      <c r="R73" s="1">
        <f>6*6</f>
        <v>36</v>
      </c>
      <c r="S73" s="14" t="s">
        <v>325</v>
      </c>
      <c r="T73" s="1">
        <f>6*6</f>
        <v>36</v>
      </c>
      <c r="U73" s="14" t="s">
        <v>79</v>
      </c>
      <c r="V73" s="1">
        <f>6*6</f>
        <v>36</v>
      </c>
      <c r="W73" s="1" t="s">
        <v>331</v>
      </c>
    </row>
    <row r="74" spans="1:23" ht="45" x14ac:dyDescent="0.25">
      <c r="A74" s="1" t="s">
        <v>216</v>
      </c>
      <c r="B74" s="1" t="s">
        <v>195</v>
      </c>
      <c r="C74" s="6" t="s">
        <v>16</v>
      </c>
      <c r="D74" s="1">
        <v>8</v>
      </c>
      <c r="E74" s="1">
        <v>3</v>
      </c>
      <c r="F74" s="1">
        <v>53</v>
      </c>
      <c r="G74" s="1" t="s">
        <v>25</v>
      </c>
      <c r="H74" s="1">
        <v>9</v>
      </c>
      <c r="I74" s="1">
        <v>0</v>
      </c>
      <c r="J74" s="1">
        <v>0</v>
      </c>
      <c r="K74" s="1">
        <v>0</v>
      </c>
      <c r="L74" s="1" t="str">
        <f t="shared" si="4"/>
        <v>Соколова Г.Ю.Иванов Д.Д.Иванов И.</v>
      </c>
      <c r="M74" s="1">
        <v>3300</v>
      </c>
      <c r="N74" s="1" t="s">
        <v>390</v>
      </c>
      <c r="O74" s="1">
        <f t="shared" ref="O74" si="6">R74+T74+V74</f>
        <v>54</v>
      </c>
      <c r="Q74" s="14" t="s">
        <v>74</v>
      </c>
      <c r="R74" s="1">
        <f>3*6</f>
        <v>18</v>
      </c>
      <c r="S74" s="14" t="s">
        <v>259</v>
      </c>
      <c r="T74" s="1">
        <f>3*6</f>
        <v>18</v>
      </c>
      <c r="U74" s="14" t="s">
        <v>384</v>
      </c>
      <c r="V74" s="1">
        <f>3*6</f>
        <v>18</v>
      </c>
      <c r="W74" s="1" t="s">
        <v>386</v>
      </c>
    </row>
    <row r="75" spans="1:23" ht="45" x14ac:dyDescent="0.25">
      <c r="A75" s="1" t="s">
        <v>216</v>
      </c>
      <c r="B75" s="1" t="s">
        <v>195</v>
      </c>
      <c r="C75" s="6" t="s">
        <v>16</v>
      </c>
      <c r="D75" s="1">
        <v>8</v>
      </c>
      <c r="E75" s="1">
        <v>3</v>
      </c>
      <c r="F75" s="1">
        <v>53</v>
      </c>
      <c r="G75" s="1" t="s">
        <v>25</v>
      </c>
      <c r="H75" s="1">
        <v>9</v>
      </c>
      <c r="I75" s="1">
        <v>0</v>
      </c>
      <c r="J75" s="1">
        <v>0</v>
      </c>
      <c r="K75" s="1">
        <v>0</v>
      </c>
      <c r="L75" s="1" t="str">
        <f t="shared" si="4"/>
        <v>Цымбалюк А.Е.Кулаков И.Ю.Моркин С.А.</v>
      </c>
      <c r="M75" s="1">
        <v>3300</v>
      </c>
      <c r="N75" s="1" t="s">
        <v>390</v>
      </c>
      <c r="O75" s="1">
        <f>R75+T75+V75</f>
        <v>108</v>
      </c>
      <c r="Q75" s="14" t="s">
        <v>281</v>
      </c>
      <c r="R75" s="1">
        <f>6*6</f>
        <v>36</v>
      </c>
      <c r="S75" s="14" t="s">
        <v>81</v>
      </c>
      <c r="T75" s="1">
        <f>6*6</f>
        <v>36</v>
      </c>
      <c r="U75" s="14" t="s">
        <v>69</v>
      </c>
      <c r="V75" s="1">
        <f>6*6</f>
        <v>36</v>
      </c>
      <c r="W75" s="1" t="s">
        <v>331</v>
      </c>
    </row>
    <row r="76" spans="1:23" ht="45" x14ac:dyDescent="0.25">
      <c r="A76" s="1" t="s">
        <v>216</v>
      </c>
      <c r="B76" s="1" t="s">
        <v>195</v>
      </c>
      <c r="C76" s="6" t="s">
        <v>16</v>
      </c>
      <c r="D76" s="1">
        <v>8</v>
      </c>
      <c r="E76" s="1">
        <v>3</v>
      </c>
      <c r="F76" s="1">
        <v>53</v>
      </c>
      <c r="G76" s="1" t="s">
        <v>25</v>
      </c>
      <c r="H76" s="1">
        <v>9</v>
      </c>
      <c r="I76" s="1">
        <v>0</v>
      </c>
      <c r="J76" s="1">
        <v>0</v>
      </c>
      <c r="K76" s="1">
        <v>0</v>
      </c>
      <c r="L76" s="1" t="str">
        <f t="shared" ref="L76" si="7">CONCATENATE(Q76,"",S76,"",U76)</f>
        <v>Залилов Р.Ю.Сазонова Н.В.Эминов С.И.</v>
      </c>
      <c r="M76" s="1">
        <v>3300</v>
      </c>
      <c r="N76" s="1" t="s">
        <v>390</v>
      </c>
      <c r="O76" s="1">
        <f t="shared" ref="O76" si="8">R76+T76+V76</f>
        <v>108</v>
      </c>
      <c r="P76" s="1">
        <f>SUM(R71:V76)/10</f>
        <v>50.4</v>
      </c>
      <c r="Q76" s="14" t="s">
        <v>186</v>
      </c>
      <c r="R76" s="1">
        <f>6*6</f>
        <v>36</v>
      </c>
      <c r="S76" s="14" t="s">
        <v>325</v>
      </c>
      <c r="T76" s="1">
        <f>6*6</f>
        <v>36</v>
      </c>
      <c r="U76" s="14" t="s">
        <v>68</v>
      </c>
      <c r="V76" s="1">
        <f>6*6</f>
        <v>36</v>
      </c>
      <c r="W76" s="1" t="s">
        <v>331</v>
      </c>
    </row>
    <row r="77" spans="1:23" ht="5.85" customHeight="1" x14ac:dyDescent="0.25">
      <c r="R77" s="14"/>
    </row>
  </sheetData>
  <autoFilter ref="A1:N77" xr:uid="{6758F298-9960-4200-AE2E-3BA7835DA117}"/>
  <phoneticPr fontId="6" type="noConversion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3A23-800D-413E-B7A1-332CD5ACD333}">
  <sheetPr codeName="Лист10">
    <pageSetUpPr fitToPage="1"/>
  </sheetPr>
  <dimension ref="A1:W39"/>
  <sheetViews>
    <sheetView view="pageBreakPreview" zoomScale="130" zoomScaleNormal="160" zoomScaleSheetLayoutView="130" zoomScalePageLayoutView="115" workbookViewId="0">
      <pane xSplit="1" ySplit="1" topLeftCell="B32" activePane="bottomRight" state="frozenSplit"/>
      <selection sqref="A1:XFD1048576"/>
      <selection pane="topRight" sqref="A1:XFD1048576"/>
      <selection pane="bottomLeft" sqref="A1:XFD1048576"/>
      <selection pane="bottomRight" activeCell="Q16" sqref="Q16"/>
    </sheetView>
  </sheetViews>
  <sheetFormatPr defaultColWidth="8.5703125" defaultRowHeight="11.25" x14ac:dyDescent="0.25"/>
  <cols>
    <col min="1" max="1" width="19.42578125" style="1" customWidth="1"/>
    <col min="2" max="2" width="11.85546875" style="1" customWidth="1"/>
    <col min="3" max="3" width="8.42578125" style="1" bestFit="1" customWidth="1"/>
    <col min="4" max="4" width="3.5703125" style="1" bestFit="1" customWidth="1"/>
    <col min="5" max="5" width="7.42578125" style="1" bestFit="1" customWidth="1"/>
    <col min="6" max="6" width="6.5703125" style="1" bestFit="1" customWidth="1"/>
    <col min="7" max="7" width="3.42578125" style="1" bestFit="1" customWidth="1"/>
    <col min="8" max="8" width="4.42578125" style="1" bestFit="1" customWidth="1"/>
    <col min="9" max="9" width="3.42578125" style="1" bestFit="1" customWidth="1"/>
    <col min="10" max="10" width="4.42578125" style="1" customWidth="1"/>
    <col min="11" max="11" width="4.5703125" style="1" customWidth="1"/>
    <col min="12" max="12" width="17.140625" style="1" customWidth="1"/>
    <col min="13" max="13" width="9.85546875" style="1" customWidth="1"/>
    <col min="14" max="14" width="13.5703125" style="1" customWidth="1"/>
    <col min="15" max="15" width="4.42578125" style="1" customWidth="1"/>
    <col min="16" max="16" width="4.140625" style="1" customWidth="1"/>
    <col min="17" max="17" width="11" style="14" customWidth="1"/>
    <col min="18" max="18" width="4.42578125" style="1" customWidth="1"/>
    <col min="19" max="19" width="9.5703125" style="14" customWidth="1"/>
    <col min="20" max="20" width="4.42578125" style="14" customWidth="1"/>
    <col min="21" max="21" width="10.42578125" style="14" customWidth="1"/>
    <col min="22" max="22" width="4" style="14" customWidth="1"/>
    <col min="23" max="23" width="8.42578125" style="1" customWidth="1"/>
    <col min="24" max="16384" width="8.5703125" style="1"/>
  </cols>
  <sheetData>
    <row r="1" spans="1:22" ht="67.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15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180</v>
      </c>
      <c r="O1" s="1" t="s">
        <v>210</v>
      </c>
      <c r="P1" s="1" t="s">
        <v>209</v>
      </c>
      <c r="Q1" s="1" t="s">
        <v>177</v>
      </c>
      <c r="R1" s="1" t="s">
        <v>178</v>
      </c>
      <c r="S1" s="1" t="s">
        <v>177</v>
      </c>
      <c r="T1" s="1" t="s">
        <v>178</v>
      </c>
      <c r="U1" s="1" t="s">
        <v>177</v>
      </c>
      <c r="V1" s="1" t="s">
        <v>178</v>
      </c>
    </row>
    <row r="2" spans="1:22" s="6" customFormat="1" ht="33.75" x14ac:dyDescent="0.25">
      <c r="A2" s="60" t="s">
        <v>18</v>
      </c>
      <c r="B2" s="6" t="s">
        <v>195</v>
      </c>
      <c r="C2" s="6">
        <v>5097</v>
      </c>
      <c r="D2" s="6">
        <v>1</v>
      </c>
      <c r="E2" s="6">
        <v>1</v>
      </c>
      <c r="F2" s="6">
        <v>15</v>
      </c>
      <c r="G2" s="6" t="s">
        <v>347</v>
      </c>
      <c r="H2" s="6">
        <v>2</v>
      </c>
      <c r="I2" s="6">
        <v>14</v>
      </c>
      <c r="J2" s="6">
        <v>0</v>
      </c>
      <c r="K2" s="6">
        <v>14</v>
      </c>
      <c r="L2" s="1" t="str">
        <f t="shared" ref="L2:L37" si="0">CONCATENATE(Q2,"",S2,"",U2)</f>
        <v>Савинова М.А.</v>
      </c>
      <c r="M2" s="6">
        <v>108</v>
      </c>
      <c r="N2" s="6">
        <v>1</v>
      </c>
      <c r="O2" s="6">
        <v>4.5</v>
      </c>
      <c r="P2" s="6">
        <v>0</v>
      </c>
      <c r="Q2" s="6" t="s">
        <v>95</v>
      </c>
      <c r="R2" s="6">
        <f>I2+J2+K2+O2+P2</f>
        <v>32.5</v>
      </c>
    </row>
    <row r="3" spans="1:22" s="6" customFormat="1" ht="52.5" customHeight="1" x14ac:dyDescent="0.25">
      <c r="A3" s="6" t="s">
        <v>55</v>
      </c>
      <c r="B3" s="6" t="s">
        <v>195</v>
      </c>
      <c r="C3" s="6">
        <v>5097</v>
      </c>
      <c r="D3" s="6">
        <v>1</v>
      </c>
      <c r="E3" s="6">
        <v>1</v>
      </c>
      <c r="F3" s="6">
        <v>15</v>
      </c>
      <c r="G3" s="6" t="s">
        <v>17</v>
      </c>
      <c r="H3" s="6">
        <v>8</v>
      </c>
      <c r="I3" s="6">
        <v>28</v>
      </c>
      <c r="J3" s="6">
        <v>35</v>
      </c>
      <c r="K3" s="6">
        <v>35</v>
      </c>
      <c r="L3" s="1" t="str">
        <f>CONCATENATE(Q3,"",S3,"",U3)</f>
        <v>Довгалюк П.М.Кулаков И.Ю.</v>
      </c>
      <c r="N3" s="6" t="s">
        <v>224</v>
      </c>
      <c r="O3" s="6">
        <v>18</v>
      </c>
      <c r="P3" s="6">
        <v>12</v>
      </c>
      <c r="Q3" s="61" t="s">
        <v>82</v>
      </c>
      <c r="R3" s="6">
        <f>2+35+P3/2+O3/2</f>
        <v>52</v>
      </c>
      <c r="S3" s="61" t="s">
        <v>81</v>
      </c>
      <c r="T3" s="61">
        <f>26+35+O3/2+P3/2</f>
        <v>76</v>
      </c>
      <c r="U3" s="61"/>
      <c r="V3" s="61"/>
    </row>
    <row r="4" spans="1:22" s="59" customFormat="1" ht="22.5" x14ac:dyDescent="0.25">
      <c r="A4" s="59" t="s">
        <v>262</v>
      </c>
      <c r="B4" s="59" t="s">
        <v>195</v>
      </c>
      <c r="C4" s="59">
        <v>5097</v>
      </c>
      <c r="D4" s="59">
        <v>1</v>
      </c>
      <c r="E4" s="59">
        <v>1</v>
      </c>
      <c r="F4" s="6">
        <v>15</v>
      </c>
      <c r="G4" s="59" t="s">
        <v>25</v>
      </c>
      <c r="H4" s="59">
        <v>2</v>
      </c>
      <c r="I4" s="59">
        <v>0</v>
      </c>
      <c r="J4" s="59">
        <v>14</v>
      </c>
      <c r="K4" s="59">
        <v>14</v>
      </c>
      <c r="L4" s="1" t="str">
        <f t="shared" si="0"/>
        <v>Гареева Т.Ю.</v>
      </c>
      <c r="N4" s="59">
        <v>1</v>
      </c>
      <c r="O4" s="59">
        <v>4.5</v>
      </c>
      <c r="P4" s="59">
        <v>0</v>
      </c>
      <c r="Q4" s="62" t="s">
        <v>263</v>
      </c>
      <c r="R4" s="59">
        <f>I4+J4+K4+O4+P4</f>
        <v>32.5</v>
      </c>
    </row>
    <row r="5" spans="1:22" ht="33" customHeight="1" x14ac:dyDescent="0.25">
      <c r="A5" s="1" t="s">
        <v>61</v>
      </c>
      <c r="B5" s="1" t="s">
        <v>195</v>
      </c>
      <c r="C5" s="1">
        <v>5097</v>
      </c>
      <c r="D5" s="1">
        <v>2</v>
      </c>
      <c r="E5" s="1">
        <v>1</v>
      </c>
      <c r="F5" s="1">
        <v>15</v>
      </c>
      <c r="G5" s="1" t="s">
        <v>17</v>
      </c>
      <c r="H5" s="1">
        <v>4</v>
      </c>
      <c r="I5" s="1">
        <v>14</v>
      </c>
      <c r="J5" s="1">
        <v>14</v>
      </c>
      <c r="K5" s="1">
        <v>28</v>
      </c>
      <c r="L5" s="1" t="str">
        <f t="shared" si="0"/>
        <v>Кулаков И.Ю.</v>
      </c>
      <c r="M5" s="1" t="s">
        <v>196</v>
      </c>
      <c r="N5" s="1" t="s">
        <v>171</v>
      </c>
      <c r="O5" s="1">
        <v>11.3</v>
      </c>
      <c r="P5" s="1">
        <v>7.5</v>
      </c>
      <c r="Q5" s="14" t="s">
        <v>81</v>
      </c>
      <c r="R5" s="1">
        <f>I5+J5+K5+O5+P5</f>
        <v>74.8</v>
      </c>
      <c r="T5" s="1"/>
    </row>
    <row r="6" spans="1:22" ht="4.3499999999999996" customHeight="1" x14ac:dyDescent="0.25">
      <c r="L6" s="1" t="str">
        <f t="shared" si="0"/>
        <v/>
      </c>
    </row>
    <row r="7" spans="1:22" s="23" customFormat="1" ht="18" customHeight="1" x14ac:dyDescent="0.25">
      <c r="A7" s="23" t="s">
        <v>172</v>
      </c>
      <c r="B7" s="23" t="s">
        <v>195</v>
      </c>
      <c r="C7" s="23">
        <v>5097</v>
      </c>
      <c r="D7" s="23">
        <v>2</v>
      </c>
      <c r="E7" s="23">
        <v>1</v>
      </c>
      <c r="F7" s="23">
        <v>15</v>
      </c>
      <c r="G7" s="23" t="s">
        <v>25</v>
      </c>
      <c r="H7" s="23">
        <v>4</v>
      </c>
      <c r="I7" s="23">
        <v>14</v>
      </c>
      <c r="J7" s="23">
        <v>0</v>
      </c>
      <c r="K7" s="23">
        <v>42</v>
      </c>
      <c r="L7" s="1" t="str">
        <f t="shared" si="0"/>
        <v>Жгун Т.В.</v>
      </c>
      <c r="N7" s="23">
        <v>1</v>
      </c>
      <c r="O7" s="23">
        <v>9</v>
      </c>
      <c r="P7" s="23">
        <v>0</v>
      </c>
      <c r="Q7" s="58" t="s">
        <v>71</v>
      </c>
      <c r="R7" s="23">
        <f>I7+K7+O7+P7</f>
        <v>65</v>
      </c>
      <c r="S7" s="58"/>
      <c r="T7" s="58"/>
      <c r="U7" s="58"/>
      <c r="V7" s="58"/>
    </row>
    <row r="8" spans="1:22" ht="18" customHeight="1" x14ac:dyDescent="0.25">
      <c r="A8" s="1" t="s">
        <v>22</v>
      </c>
      <c r="B8" s="1" t="s">
        <v>195</v>
      </c>
      <c r="C8" s="1">
        <v>5097</v>
      </c>
      <c r="D8" s="1">
        <v>2</v>
      </c>
      <c r="E8" s="1">
        <v>1</v>
      </c>
      <c r="F8" s="1">
        <v>15</v>
      </c>
      <c r="G8" s="1" t="s">
        <v>17</v>
      </c>
      <c r="H8" s="1">
        <v>2</v>
      </c>
      <c r="I8" s="1">
        <v>14</v>
      </c>
      <c r="J8" s="1">
        <v>0</v>
      </c>
      <c r="K8" s="1">
        <v>14</v>
      </c>
      <c r="L8" s="1" t="str">
        <f t="shared" si="0"/>
        <v>Иванов А.</v>
      </c>
      <c r="N8" s="1">
        <v>1</v>
      </c>
      <c r="O8" s="1">
        <v>4.5</v>
      </c>
      <c r="P8" s="1">
        <v>3</v>
      </c>
      <c r="Q8" s="14" t="s">
        <v>169</v>
      </c>
      <c r="R8" s="1">
        <f>I8+K8+O8+P8</f>
        <v>35.5</v>
      </c>
    </row>
    <row r="9" spans="1:22" s="23" customFormat="1" ht="22.5" x14ac:dyDescent="0.25">
      <c r="A9" s="23" t="s">
        <v>86</v>
      </c>
      <c r="B9" s="23" t="s">
        <v>195</v>
      </c>
      <c r="C9" s="23">
        <v>5097</v>
      </c>
      <c r="D9" s="23">
        <v>2</v>
      </c>
      <c r="E9" s="23">
        <v>1</v>
      </c>
      <c r="F9" s="23">
        <v>15</v>
      </c>
      <c r="G9" s="23" t="s">
        <v>25</v>
      </c>
      <c r="H9" s="23">
        <v>4</v>
      </c>
      <c r="I9" s="23">
        <v>14</v>
      </c>
      <c r="J9" s="23">
        <v>14</v>
      </c>
      <c r="K9" s="23">
        <v>0</v>
      </c>
      <c r="L9" s="1" t="str">
        <f t="shared" si="0"/>
        <v>Журавлева М.П.</v>
      </c>
      <c r="M9" s="23">
        <v>3317</v>
      </c>
      <c r="N9" s="23" t="s">
        <v>253</v>
      </c>
      <c r="O9" s="23">
        <v>4.5</v>
      </c>
      <c r="P9" s="23">
        <v>0</v>
      </c>
      <c r="Q9" s="58" t="s">
        <v>72</v>
      </c>
      <c r="R9" s="23">
        <f>I9+K9+O9+P9+J9</f>
        <v>32.5</v>
      </c>
      <c r="S9" s="58"/>
      <c r="U9" s="58"/>
      <c r="V9" s="58"/>
    </row>
    <row r="10" spans="1:22" ht="33.75" x14ac:dyDescent="0.25">
      <c r="A10" s="1" t="s">
        <v>61</v>
      </c>
      <c r="B10" s="1" t="s">
        <v>195</v>
      </c>
      <c r="C10" s="1">
        <v>5097</v>
      </c>
      <c r="D10" s="1">
        <v>2</v>
      </c>
      <c r="E10" s="1">
        <v>1</v>
      </c>
      <c r="F10" s="1">
        <v>15</v>
      </c>
      <c r="G10" s="1" t="s">
        <v>23</v>
      </c>
      <c r="H10" s="1">
        <v>1</v>
      </c>
      <c r="I10" s="1">
        <v>0</v>
      </c>
      <c r="J10" s="1">
        <v>0</v>
      </c>
      <c r="K10" s="1">
        <v>0</v>
      </c>
      <c r="L10" s="1" t="str">
        <f t="shared" si="0"/>
        <v>Кулаков И.Ю.Иванов Д.Д.</v>
      </c>
      <c r="M10" s="1">
        <v>3315</v>
      </c>
      <c r="N10" s="1" t="s">
        <v>213</v>
      </c>
      <c r="O10" s="1">
        <v>22.5</v>
      </c>
      <c r="P10" s="1">
        <v>0</v>
      </c>
      <c r="Q10" s="14" t="s">
        <v>81</v>
      </c>
      <c r="R10" s="1">
        <f>I10+J10+K10+P10+O10</f>
        <v>22.5</v>
      </c>
      <c r="S10" s="14" t="s">
        <v>259</v>
      </c>
      <c r="T10" s="1">
        <v>20</v>
      </c>
    </row>
    <row r="11" spans="1:22" ht="56.25" x14ac:dyDescent="0.25">
      <c r="A11" s="1" t="s">
        <v>318</v>
      </c>
      <c r="B11" s="1" t="s">
        <v>195</v>
      </c>
      <c r="C11" s="1">
        <v>5097</v>
      </c>
      <c r="D11" s="1">
        <v>2</v>
      </c>
      <c r="E11" s="1">
        <v>1</v>
      </c>
      <c r="F11" s="1">
        <v>21</v>
      </c>
      <c r="G11" s="1" t="s">
        <v>25</v>
      </c>
      <c r="H11" s="1">
        <v>4</v>
      </c>
      <c r="I11" s="1">
        <v>14</v>
      </c>
      <c r="J11" s="1">
        <v>14</v>
      </c>
      <c r="K11" s="1">
        <v>0</v>
      </c>
      <c r="L11" s="1" t="str">
        <f t="shared" si="0"/>
        <v>Телина И.С.</v>
      </c>
      <c r="M11" s="1" t="s">
        <v>205</v>
      </c>
      <c r="N11" s="1">
        <v>1</v>
      </c>
      <c r="O11" s="1">
        <v>4.5</v>
      </c>
      <c r="P11" s="1">
        <v>0</v>
      </c>
      <c r="Q11" s="14" t="s">
        <v>79</v>
      </c>
      <c r="R11" s="1">
        <f>I11+J11+K11+P11+O11</f>
        <v>32.5</v>
      </c>
    </row>
    <row r="12" spans="1:22" ht="4.3499999999999996" customHeight="1" x14ac:dyDescent="0.25">
      <c r="L12" s="1" t="str">
        <f t="shared" si="0"/>
        <v/>
      </c>
    </row>
    <row r="13" spans="1:22" s="6" customFormat="1" ht="38.1" customHeight="1" x14ac:dyDescent="0.25">
      <c r="A13" s="6" t="s">
        <v>172</v>
      </c>
      <c r="B13" s="6" t="s">
        <v>195</v>
      </c>
      <c r="C13" s="6">
        <v>4097</v>
      </c>
      <c r="D13" s="6">
        <v>3</v>
      </c>
      <c r="E13" s="6">
        <v>1</v>
      </c>
      <c r="F13" s="6">
        <v>23</v>
      </c>
      <c r="G13" s="6" t="s">
        <v>25</v>
      </c>
      <c r="H13" s="6">
        <v>4</v>
      </c>
      <c r="I13" s="6">
        <v>14</v>
      </c>
      <c r="J13" s="6">
        <v>0</v>
      </c>
      <c r="K13" s="6">
        <v>42</v>
      </c>
      <c r="L13" s="1" t="str">
        <f t="shared" si="0"/>
        <v>Жгун Т.В.</v>
      </c>
      <c r="M13" s="6" t="s">
        <v>173</v>
      </c>
      <c r="N13" s="6" t="s">
        <v>291</v>
      </c>
      <c r="O13" s="6">
        <v>13.8</v>
      </c>
      <c r="P13" s="6">
        <v>0</v>
      </c>
      <c r="Q13" s="61" t="s">
        <v>71</v>
      </c>
      <c r="R13" s="6">
        <f>I13+K13+O13+P13</f>
        <v>69.8</v>
      </c>
      <c r="S13" s="61"/>
      <c r="T13" s="61"/>
      <c r="U13" s="61"/>
      <c r="V13" s="61"/>
    </row>
    <row r="14" spans="1:22" s="6" customFormat="1" ht="38.1" customHeight="1" x14ac:dyDescent="0.25">
      <c r="A14" s="6" t="s">
        <v>172</v>
      </c>
      <c r="B14" s="6" t="s">
        <v>195</v>
      </c>
      <c r="C14" s="6">
        <v>4097</v>
      </c>
      <c r="D14" s="6">
        <v>3</v>
      </c>
      <c r="E14" s="6">
        <v>1</v>
      </c>
      <c r="F14" s="6">
        <v>23</v>
      </c>
      <c r="G14" s="6" t="s">
        <v>25</v>
      </c>
      <c r="H14" s="6">
        <v>4</v>
      </c>
      <c r="I14" s="6">
        <v>14</v>
      </c>
      <c r="J14" s="6">
        <v>0</v>
      </c>
      <c r="K14" s="6">
        <v>42</v>
      </c>
      <c r="L14" s="1" t="str">
        <f t="shared" si="0"/>
        <v>Цымбалюк А.Е.</v>
      </c>
      <c r="M14" s="6" t="s">
        <v>173</v>
      </c>
      <c r="N14" s="6" t="s">
        <v>291</v>
      </c>
      <c r="O14" s="6">
        <v>13.8</v>
      </c>
      <c r="P14" s="6">
        <v>0</v>
      </c>
      <c r="Q14" s="61" t="s">
        <v>281</v>
      </c>
      <c r="R14" s="6">
        <f>K14</f>
        <v>42</v>
      </c>
      <c r="S14" s="61"/>
      <c r="T14" s="61"/>
      <c r="U14" s="61"/>
      <c r="V14" s="61"/>
    </row>
    <row r="15" spans="1:22" s="6" customFormat="1" ht="38.1" customHeight="1" x14ac:dyDescent="0.25">
      <c r="A15" s="6" t="s">
        <v>37</v>
      </c>
      <c r="B15" s="6" t="s">
        <v>195</v>
      </c>
      <c r="C15" s="6">
        <v>4097</v>
      </c>
      <c r="D15" s="6">
        <v>3</v>
      </c>
      <c r="E15" s="6">
        <v>1</v>
      </c>
      <c r="F15" s="6">
        <v>23</v>
      </c>
      <c r="G15" s="6" t="s">
        <v>25</v>
      </c>
      <c r="H15" s="6">
        <v>4</v>
      </c>
      <c r="I15" s="6">
        <v>14</v>
      </c>
      <c r="J15" s="6">
        <v>21</v>
      </c>
      <c r="K15" s="6">
        <v>21</v>
      </c>
      <c r="L15" s="1" t="str">
        <f t="shared" si="0"/>
        <v>Алексеев П.С.</v>
      </c>
      <c r="M15" s="6">
        <v>3312</v>
      </c>
      <c r="N15" s="6" t="s">
        <v>224</v>
      </c>
      <c r="O15" s="6">
        <v>13.8</v>
      </c>
      <c r="P15" s="6">
        <v>9.1999999999999993</v>
      </c>
      <c r="Q15" s="61" t="s">
        <v>408</v>
      </c>
      <c r="R15" s="6">
        <f>I15+J15+K15+P15+O15</f>
        <v>79</v>
      </c>
      <c r="S15" s="61"/>
      <c r="T15" s="61"/>
      <c r="U15" s="61"/>
      <c r="V15" s="61"/>
    </row>
    <row r="16" spans="1:22" s="6" customFormat="1" ht="44.1" customHeight="1" x14ac:dyDescent="0.25">
      <c r="A16" s="6" t="s">
        <v>36</v>
      </c>
      <c r="B16" s="6" t="s">
        <v>195</v>
      </c>
      <c r="C16" s="6">
        <v>4097</v>
      </c>
      <c r="D16" s="6">
        <v>3</v>
      </c>
      <c r="E16" s="6">
        <v>1</v>
      </c>
      <c r="F16" s="6">
        <v>23</v>
      </c>
      <c r="G16" s="6" t="s">
        <v>17</v>
      </c>
      <c r="H16" s="6">
        <v>5</v>
      </c>
      <c r="I16" s="6">
        <v>14</v>
      </c>
      <c r="J16" s="6">
        <v>0</v>
      </c>
      <c r="K16" s="6">
        <v>42</v>
      </c>
      <c r="L16" s="1" t="str">
        <f t="shared" si="0"/>
        <v>Цымбалюк Л.Н.Цымбалюк А.Е.</v>
      </c>
      <c r="M16" s="6" t="s">
        <v>170</v>
      </c>
      <c r="N16" s="6" t="s">
        <v>30</v>
      </c>
      <c r="O16" s="6">
        <v>17.3</v>
      </c>
      <c r="P16" s="6">
        <v>11.5</v>
      </c>
      <c r="Q16" s="61" t="s">
        <v>78</v>
      </c>
      <c r="R16" s="6">
        <f>I16+K16+P16</f>
        <v>67.5</v>
      </c>
      <c r="S16" s="61" t="s">
        <v>281</v>
      </c>
      <c r="T16" s="61">
        <f>K16+O16</f>
        <v>59.3</v>
      </c>
      <c r="U16" s="61"/>
      <c r="V16" s="61"/>
    </row>
    <row r="17" spans="1:22" s="6" customFormat="1" ht="44.1" customHeight="1" x14ac:dyDescent="0.25">
      <c r="A17" s="6" t="s">
        <v>36</v>
      </c>
      <c r="B17" s="6" t="s">
        <v>195</v>
      </c>
      <c r="C17" s="6">
        <v>4097</v>
      </c>
      <c r="D17" s="6">
        <v>3</v>
      </c>
      <c r="E17" s="6">
        <v>1</v>
      </c>
      <c r="F17" s="6">
        <v>11</v>
      </c>
      <c r="G17" s="6" t="s">
        <v>23</v>
      </c>
      <c r="H17" s="6">
        <v>1</v>
      </c>
      <c r="L17" s="1" t="str">
        <f t="shared" si="0"/>
        <v>Цымбалюк Л.Н.Цымбалюк А.Е.</v>
      </c>
      <c r="M17" s="6">
        <v>124</v>
      </c>
      <c r="N17" s="6" t="s">
        <v>215</v>
      </c>
      <c r="O17" s="6">
        <v>34.5</v>
      </c>
      <c r="P17" s="6">
        <v>0</v>
      </c>
      <c r="Q17" s="61" t="s">
        <v>78</v>
      </c>
      <c r="R17" s="6">
        <f>O17-T17</f>
        <v>4.5</v>
      </c>
      <c r="S17" s="61" t="s">
        <v>281</v>
      </c>
      <c r="T17" s="61">
        <v>30</v>
      </c>
      <c r="U17" s="61"/>
      <c r="V17" s="61"/>
    </row>
    <row r="18" spans="1:22" s="6" customFormat="1" ht="38.1" customHeight="1" x14ac:dyDescent="0.25">
      <c r="A18" s="6" t="s">
        <v>139</v>
      </c>
      <c r="B18" s="6" t="s">
        <v>195</v>
      </c>
      <c r="C18" s="6">
        <v>4097</v>
      </c>
      <c r="D18" s="6">
        <v>3</v>
      </c>
      <c r="E18" s="6">
        <v>1</v>
      </c>
      <c r="F18" s="6">
        <v>11</v>
      </c>
      <c r="G18" s="6" t="s">
        <v>25</v>
      </c>
      <c r="H18" s="6">
        <v>3</v>
      </c>
      <c r="I18" s="6">
        <v>14</v>
      </c>
      <c r="J18" s="6">
        <v>0</v>
      </c>
      <c r="K18" s="6">
        <v>28</v>
      </c>
      <c r="L18" s="1" t="str">
        <f t="shared" si="0"/>
        <v>Цымбалюк Л.Н.Иванов Д.Д.</v>
      </c>
      <c r="M18" s="6">
        <v>3317</v>
      </c>
      <c r="N18" s="6" t="s">
        <v>175</v>
      </c>
      <c r="O18" s="6">
        <v>10.4</v>
      </c>
      <c r="P18" s="6">
        <v>0</v>
      </c>
      <c r="Q18" s="61" t="s">
        <v>78</v>
      </c>
      <c r="R18" s="6">
        <f>I18+O18/2</f>
        <v>19.2</v>
      </c>
      <c r="S18" s="61" t="s">
        <v>259</v>
      </c>
      <c r="T18" s="61">
        <f>K18*2+O18/2</f>
        <v>61.2</v>
      </c>
      <c r="U18" s="61"/>
      <c r="V18" s="61"/>
    </row>
    <row r="19" spans="1:22" ht="33.75" x14ac:dyDescent="0.25">
      <c r="A19" s="1" t="s">
        <v>33</v>
      </c>
      <c r="B19" s="1" t="s">
        <v>195</v>
      </c>
      <c r="C19" s="1">
        <v>4097</v>
      </c>
      <c r="D19" s="1">
        <v>4</v>
      </c>
      <c r="E19" s="1">
        <v>1</v>
      </c>
      <c r="F19" s="1">
        <v>23</v>
      </c>
      <c r="G19" s="1" t="s">
        <v>17</v>
      </c>
      <c r="H19" s="1">
        <v>4</v>
      </c>
      <c r="I19" s="1">
        <v>14</v>
      </c>
      <c r="J19" s="1">
        <v>0</v>
      </c>
      <c r="K19" s="1">
        <v>28</v>
      </c>
      <c r="L19" s="1" t="str">
        <f t="shared" si="0"/>
        <v>Михайлов Д.В.</v>
      </c>
      <c r="M19" s="1" t="s">
        <v>109</v>
      </c>
      <c r="O19" s="1">
        <v>13.8</v>
      </c>
      <c r="P19" s="1">
        <v>9.1999999999999993</v>
      </c>
      <c r="Q19" s="14" t="s">
        <v>70</v>
      </c>
      <c r="R19" s="1">
        <f>I19+J19+K19+O19+P19</f>
        <v>65</v>
      </c>
      <c r="S19" s="63"/>
      <c r="T19" s="1">
        <f>K19</f>
        <v>28</v>
      </c>
    </row>
    <row r="20" spans="1:22" s="6" customFormat="1" ht="33.75" x14ac:dyDescent="0.25">
      <c r="A20" s="6" t="s">
        <v>58</v>
      </c>
      <c r="B20" s="6" t="s">
        <v>195</v>
      </c>
      <c r="C20" s="6">
        <v>4097</v>
      </c>
      <c r="D20" s="6">
        <v>3</v>
      </c>
      <c r="E20" s="6">
        <v>1</v>
      </c>
      <c r="F20" s="6">
        <v>11</v>
      </c>
      <c r="G20" s="6" t="s">
        <v>19</v>
      </c>
      <c r="H20" s="6">
        <v>3</v>
      </c>
      <c r="I20" s="6">
        <v>14</v>
      </c>
      <c r="J20" s="6">
        <v>14</v>
      </c>
      <c r="K20" s="6">
        <v>14</v>
      </c>
      <c r="L20" s="1" t="str">
        <f t="shared" si="0"/>
        <v>Михайлов Д.В.</v>
      </c>
      <c r="N20" s="6" t="s">
        <v>292</v>
      </c>
      <c r="O20" s="6">
        <v>10.4</v>
      </c>
      <c r="P20" s="6">
        <v>0</v>
      </c>
      <c r="Q20" s="61" t="s">
        <v>70</v>
      </c>
      <c r="R20" s="6">
        <f>I20+J20+K20+O20+P20</f>
        <v>52.4</v>
      </c>
      <c r="S20" s="66"/>
      <c r="T20" s="104">
        <v>14</v>
      </c>
      <c r="U20" s="61"/>
      <c r="V20" s="61"/>
    </row>
    <row r="21" spans="1:22" s="6" customFormat="1" ht="22.5" x14ac:dyDescent="0.25">
      <c r="A21" s="6" t="s">
        <v>24</v>
      </c>
      <c r="B21" s="6" t="s">
        <v>195</v>
      </c>
      <c r="C21" s="6">
        <v>4097</v>
      </c>
      <c r="D21" s="6">
        <v>3</v>
      </c>
      <c r="E21" s="6">
        <v>1</v>
      </c>
      <c r="F21" s="6">
        <v>11</v>
      </c>
      <c r="G21" s="6" t="s">
        <v>25</v>
      </c>
      <c r="H21" s="6">
        <v>4</v>
      </c>
      <c r="I21" s="6">
        <v>14</v>
      </c>
      <c r="J21" s="6">
        <v>0</v>
      </c>
      <c r="K21" s="6">
        <v>28</v>
      </c>
      <c r="L21" s="1" t="str">
        <f t="shared" si="0"/>
        <v>Макевич П.В.</v>
      </c>
      <c r="O21" s="6">
        <v>10.4</v>
      </c>
      <c r="P21" s="6">
        <v>0</v>
      </c>
      <c r="Q21" s="6" t="s">
        <v>54</v>
      </c>
      <c r="R21" s="6">
        <f>I21+J21+K21+O21+P21+K21</f>
        <v>80.400000000000006</v>
      </c>
      <c r="S21" s="61"/>
      <c r="T21" s="61"/>
      <c r="U21" s="61"/>
      <c r="V21" s="61"/>
    </row>
    <row r="22" spans="1:22" s="6" customFormat="1" ht="22.5" x14ac:dyDescent="0.25">
      <c r="A22" s="6" t="s">
        <v>42</v>
      </c>
      <c r="B22" s="6" t="s">
        <v>195</v>
      </c>
      <c r="C22" s="6">
        <v>4097</v>
      </c>
      <c r="D22" s="6">
        <v>3</v>
      </c>
      <c r="E22" s="6">
        <v>1</v>
      </c>
      <c r="F22" s="6">
        <v>11</v>
      </c>
      <c r="G22" s="6" t="s">
        <v>17</v>
      </c>
      <c r="H22" s="6">
        <v>4</v>
      </c>
      <c r="I22" s="6">
        <v>28</v>
      </c>
      <c r="J22" s="6">
        <v>28</v>
      </c>
      <c r="K22" s="6">
        <v>0</v>
      </c>
      <c r="L22" s="1" t="str">
        <f t="shared" si="0"/>
        <v>Корнышев Н.П.</v>
      </c>
      <c r="O22" s="6">
        <v>17.3</v>
      </c>
      <c r="P22" s="6">
        <v>11.5</v>
      </c>
      <c r="Q22" s="6" t="s">
        <v>105</v>
      </c>
      <c r="R22" s="6">
        <f>I22+J22+K22+O22+P22+K22</f>
        <v>84.8</v>
      </c>
      <c r="S22" s="61"/>
      <c r="T22" s="61"/>
      <c r="U22" s="61"/>
      <c r="V22" s="61"/>
    </row>
    <row r="23" spans="1:22" s="6" customFormat="1" ht="45" x14ac:dyDescent="0.25">
      <c r="A23" s="6" t="s">
        <v>318</v>
      </c>
      <c r="B23" s="6" t="s">
        <v>195</v>
      </c>
      <c r="C23" s="6">
        <v>4097</v>
      </c>
      <c r="D23" s="6">
        <v>3</v>
      </c>
      <c r="E23" s="6">
        <v>1</v>
      </c>
      <c r="F23" s="6">
        <v>11</v>
      </c>
      <c r="G23" s="6" t="s">
        <v>25</v>
      </c>
      <c r="H23" s="6">
        <v>4</v>
      </c>
      <c r="I23" s="6">
        <v>14</v>
      </c>
      <c r="J23" s="6">
        <v>0</v>
      </c>
      <c r="K23" s="6">
        <v>28</v>
      </c>
      <c r="L23" s="1" t="str">
        <f t="shared" si="0"/>
        <v>Телина И.С.Филиппов И.И.</v>
      </c>
      <c r="O23" s="6">
        <v>10.4</v>
      </c>
      <c r="P23" s="6">
        <v>0</v>
      </c>
      <c r="Q23" s="6" t="s">
        <v>79</v>
      </c>
      <c r="R23" s="6">
        <f>I23+O23/2</f>
        <v>19.2</v>
      </c>
      <c r="S23" s="61" t="s">
        <v>381</v>
      </c>
      <c r="T23" s="61">
        <f>K23+O23/2</f>
        <v>33.200000000000003</v>
      </c>
      <c r="U23" s="61"/>
      <c r="V23" s="61"/>
    </row>
    <row r="24" spans="1:22" s="6" customFormat="1" ht="20.45" customHeight="1" x14ac:dyDescent="0.25">
      <c r="A24" s="6" t="s">
        <v>356</v>
      </c>
      <c r="B24" s="6" t="s">
        <v>195</v>
      </c>
      <c r="C24" s="6">
        <v>4097</v>
      </c>
      <c r="D24" s="6">
        <v>3</v>
      </c>
      <c r="E24" s="6">
        <v>1</v>
      </c>
      <c r="F24" s="6">
        <v>11</v>
      </c>
      <c r="G24" s="6" t="s">
        <v>25</v>
      </c>
      <c r="H24" s="6">
        <v>4</v>
      </c>
      <c r="I24" s="6">
        <v>14</v>
      </c>
      <c r="J24" s="6">
        <v>0</v>
      </c>
      <c r="K24" s="6">
        <v>28</v>
      </c>
      <c r="L24" s="1" t="str">
        <f t="shared" si="0"/>
        <v>Цымбалюк А.Е.</v>
      </c>
      <c r="O24" s="6">
        <v>10.4</v>
      </c>
      <c r="P24" s="6">
        <v>0</v>
      </c>
      <c r="Q24" s="6" t="s">
        <v>281</v>
      </c>
      <c r="R24" s="6">
        <f>I24+J24+K24+O24+P24+K24</f>
        <v>80.400000000000006</v>
      </c>
      <c r="S24" s="61"/>
      <c r="T24" s="61"/>
      <c r="U24" s="61"/>
      <c r="V24" s="61"/>
    </row>
    <row r="25" spans="1:22" ht="22.5" x14ac:dyDescent="0.25">
      <c r="A25" s="1" t="s">
        <v>354</v>
      </c>
      <c r="B25" s="1" t="s">
        <v>195</v>
      </c>
      <c r="C25" s="1">
        <v>4097</v>
      </c>
      <c r="D25" s="1">
        <v>4</v>
      </c>
      <c r="E25" s="1">
        <v>1</v>
      </c>
      <c r="F25" s="1">
        <v>23</v>
      </c>
      <c r="G25" s="1" t="s">
        <v>19</v>
      </c>
      <c r="H25" s="1">
        <v>3</v>
      </c>
      <c r="I25" s="1">
        <v>14</v>
      </c>
      <c r="J25" s="1">
        <v>0</v>
      </c>
      <c r="K25" s="1">
        <v>28</v>
      </c>
      <c r="L25" s="1" t="str">
        <f t="shared" si="0"/>
        <v>Филиппов И.И.Телина И.С.</v>
      </c>
      <c r="N25" s="1" t="s">
        <v>364</v>
      </c>
      <c r="O25" s="1">
        <v>10.4</v>
      </c>
      <c r="P25" s="1">
        <v>0</v>
      </c>
      <c r="Q25" s="1" t="s">
        <v>381</v>
      </c>
      <c r="R25" s="1">
        <f>K25+O25</f>
        <v>38.4</v>
      </c>
      <c r="S25" s="14" t="s">
        <v>79</v>
      </c>
      <c r="T25" s="14">
        <v>14</v>
      </c>
    </row>
    <row r="26" spans="1:22" ht="4.3499999999999996" customHeight="1" x14ac:dyDescent="0.25">
      <c r="L26" s="1" t="str">
        <f t="shared" si="0"/>
        <v/>
      </c>
      <c r="R26" s="14"/>
    </row>
    <row r="27" spans="1:22" ht="22.5" x14ac:dyDescent="0.25">
      <c r="A27" s="1" t="s">
        <v>365</v>
      </c>
      <c r="B27" s="1" t="s">
        <v>195</v>
      </c>
      <c r="C27" s="1">
        <v>4097</v>
      </c>
      <c r="D27" s="1">
        <v>4</v>
      </c>
      <c r="E27" s="1">
        <v>1</v>
      </c>
      <c r="F27" s="1">
        <v>23</v>
      </c>
      <c r="G27" s="1" t="s">
        <v>17</v>
      </c>
      <c r="H27" s="1">
        <v>2</v>
      </c>
      <c r="I27" s="1">
        <v>14</v>
      </c>
      <c r="J27" s="1">
        <v>14</v>
      </c>
      <c r="K27" s="1">
        <v>0</v>
      </c>
      <c r="L27" s="1" t="str">
        <f t="shared" si="0"/>
        <v>Винник Л.И.</v>
      </c>
      <c r="M27" s="1" t="s">
        <v>110</v>
      </c>
      <c r="N27" s="1" t="s">
        <v>224</v>
      </c>
      <c r="O27" s="1">
        <v>6.9</v>
      </c>
      <c r="P27" s="1">
        <v>0</v>
      </c>
      <c r="Q27" s="69" t="s">
        <v>77</v>
      </c>
      <c r="R27" s="1">
        <f>I27+J27+K27+P27+O27</f>
        <v>34.9</v>
      </c>
      <c r="T27" s="1"/>
    </row>
    <row r="28" spans="1:22" ht="22.5" x14ac:dyDescent="0.25">
      <c r="A28" s="1" t="s">
        <v>293</v>
      </c>
      <c r="B28" s="1" t="s">
        <v>195</v>
      </c>
      <c r="C28" s="1">
        <v>4097</v>
      </c>
      <c r="D28" s="1">
        <v>4</v>
      </c>
      <c r="E28" s="1">
        <v>1</v>
      </c>
      <c r="F28" s="1">
        <v>23</v>
      </c>
      <c r="G28" s="1" t="s">
        <v>19</v>
      </c>
      <c r="H28" s="1">
        <v>3</v>
      </c>
      <c r="I28" s="1">
        <v>28</v>
      </c>
      <c r="J28" s="1">
        <v>14</v>
      </c>
      <c r="K28" s="1">
        <v>0</v>
      </c>
      <c r="L28" s="1" t="str">
        <f t="shared" si="0"/>
        <v>Цымбалюк А.Е.</v>
      </c>
      <c r="M28" s="1" t="s">
        <v>111</v>
      </c>
      <c r="N28" s="1" t="s">
        <v>224</v>
      </c>
      <c r="O28" s="1">
        <v>13.8</v>
      </c>
      <c r="P28" s="1">
        <v>9.1999999999999993</v>
      </c>
      <c r="Q28" s="14" t="s">
        <v>281</v>
      </c>
      <c r="R28" s="1">
        <f>I28+J28+K28+P28+O28</f>
        <v>65</v>
      </c>
    </row>
    <row r="29" spans="1:22" ht="31.5" customHeight="1" x14ac:dyDescent="0.25">
      <c r="A29" s="1" t="s">
        <v>44</v>
      </c>
      <c r="B29" s="1" t="s">
        <v>195</v>
      </c>
      <c r="C29" s="1">
        <v>4097</v>
      </c>
      <c r="D29" s="1">
        <v>4</v>
      </c>
      <c r="E29" s="1">
        <v>1</v>
      </c>
      <c r="F29" s="1">
        <v>23</v>
      </c>
      <c r="G29" s="1" t="s">
        <v>25</v>
      </c>
      <c r="H29" s="1">
        <v>18</v>
      </c>
      <c r="I29" s="1">
        <v>0</v>
      </c>
      <c r="J29" s="1">
        <v>2</v>
      </c>
      <c r="K29" s="1">
        <v>0</v>
      </c>
      <c r="L29" s="1" t="str">
        <f t="shared" si="0"/>
        <v>Соколова Г.Ю.Архипова Г.А.Винник Л.И.</v>
      </c>
      <c r="M29" s="1">
        <v>3300</v>
      </c>
      <c r="N29" s="1" t="s">
        <v>218</v>
      </c>
      <c r="O29" s="1">
        <v>165.6</v>
      </c>
      <c r="P29" s="1">
        <v>0</v>
      </c>
      <c r="Q29" s="14" t="s">
        <v>74</v>
      </c>
      <c r="R29" s="1">
        <f>O29-T29-V29</f>
        <v>73.599999999999994</v>
      </c>
      <c r="S29" s="14" t="s">
        <v>75</v>
      </c>
      <c r="T29" s="14">
        <v>46</v>
      </c>
      <c r="U29" s="14" t="s">
        <v>77</v>
      </c>
      <c r="V29" s="69">
        <f>23*2</f>
        <v>46</v>
      </c>
    </row>
    <row r="30" spans="1:22" ht="45" x14ac:dyDescent="0.25">
      <c r="A30" s="1" t="s">
        <v>216</v>
      </c>
      <c r="B30" s="1" t="s">
        <v>195</v>
      </c>
      <c r="C30" s="1">
        <v>4097</v>
      </c>
      <c r="D30" s="1">
        <v>4</v>
      </c>
      <c r="E30" s="1">
        <v>1</v>
      </c>
      <c r="F30" s="1">
        <v>23</v>
      </c>
      <c r="G30" s="1" t="s">
        <v>25</v>
      </c>
      <c r="H30" s="1">
        <v>9</v>
      </c>
      <c r="I30" s="1">
        <v>0</v>
      </c>
      <c r="J30" s="1">
        <v>2</v>
      </c>
      <c r="K30" s="1">
        <v>0</v>
      </c>
      <c r="L30" s="1" t="str">
        <f t="shared" si="0"/>
        <v>Моркин С.А.Соколова Г.Ю.Архипова Г.А.</v>
      </c>
      <c r="M30" s="1">
        <v>3300</v>
      </c>
      <c r="N30" s="1" t="s">
        <v>382</v>
      </c>
      <c r="O30" s="1">
        <v>288</v>
      </c>
      <c r="Q30" s="14" t="s">
        <v>69</v>
      </c>
      <c r="R30" s="1">
        <v>4</v>
      </c>
      <c r="S30" s="14" t="s">
        <v>74</v>
      </c>
      <c r="T30" s="1">
        <v>4</v>
      </c>
      <c r="U30" s="14" t="s">
        <v>75</v>
      </c>
      <c r="V30" s="1">
        <v>4</v>
      </c>
    </row>
    <row r="31" spans="1:22" ht="45" x14ac:dyDescent="0.25">
      <c r="A31" s="1" t="s">
        <v>216</v>
      </c>
      <c r="B31" s="1" t="s">
        <v>195</v>
      </c>
      <c r="C31" s="1">
        <v>4097</v>
      </c>
      <c r="D31" s="1">
        <v>4</v>
      </c>
      <c r="E31" s="1">
        <v>1</v>
      </c>
      <c r="F31" s="1">
        <v>23</v>
      </c>
      <c r="G31" s="1" t="s">
        <v>25</v>
      </c>
      <c r="H31" s="1">
        <v>9</v>
      </c>
      <c r="I31" s="1">
        <v>0</v>
      </c>
      <c r="J31" s="1">
        <v>2</v>
      </c>
      <c r="K31" s="1">
        <v>0</v>
      </c>
      <c r="L31" s="1" t="str">
        <f t="shared" si="0"/>
        <v>ЧленКомиссииЧленКомиссииЧленКомиссии</v>
      </c>
      <c r="M31" s="1">
        <v>3300</v>
      </c>
      <c r="N31" s="1" t="s">
        <v>383</v>
      </c>
      <c r="O31" s="1">
        <f>SUM(Q30:V38)</f>
        <v>288</v>
      </c>
      <c r="Q31" s="14" t="s">
        <v>385</v>
      </c>
      <c r="R31" s="1">
        <v>6</v>
      </c>
      <c r="S31" s="14" t="s">
        <v>385</v>
      </c>
      <c r="T31" s="1">
        <v>6</v>
      </c>
      <c r="U31" s="14" t="s">
        <v>385</v>
      </c>
      <c r="V31" s="1">
        <v>6</v>
      </c>
    </row>
    <row r="32" spans="1:22" ht="45" x14ac:dyDescent="0.25">
      <c r="A32" s="1" t="s">
        <v>216</v>
      </c>
      <c r="B32" s="1" t="s">
        <v>195</v>
      </c>
      <c r="C32" s="1">
        <v>4097</v>
      </c>
      <c r="D32" s="1">
        <v>4</v>
      </c>
      <c r="E32" s="1">
        <v>1</v>
      </c>
      <c r="F32" s="1">
        <v>23</v>
      </c>
      <c r="G32" s="1" t="s">
        <v>25</v>
      </c>
      <c r="H32" s="1">
        <v>9</v>
      </c>
      <c r="I32" s="1">
        <v>0</v>
      </c>
      <c r="J32" s="1">
        <v>2</v>
      </c>
      <c r="K32" s="1">
        <v>0</v>
      </c>
      <c r="L32" s="1" t="str">
        <f t="shared" si="0"/>
        <v>Соколова Г.Ю.Соколова Г.Ю.</v>
      </c>
      <c r="M32" s="1">
        <v>3300</v>
      </c>
      <c r="N32" s="1" t="s">
        <v>388</v>
      </c>
      <c r="O32" s="1">
        <f>R32+T32+V32</f>
        <v>28</v>
      </c>
      <c r="Q32" s="14" t="s">
        <v>74</v>
      </c>
      <c r="R32" s="1">
        <v>23</v>
      </c>
      <c r="S32" s="14" t="s">
        <v>74</v>
      </c>
      <c r="T32" s="1">
        <v>5</v>
      </c>
      <c r="V32" s="1"/>
    </row>
    <row r="33" spans="1:23" ht="45" x14ac:dyDescent="0.25">
      <c r="A33" s="1" t="s">
        <v>216</v>
      </c>
      <c r="B33" s="1" t="s">
        <v>195</v>
      </c>
      <c r="C33" s="1">
        <v>4097</v>
      </c>
      <c r="D33" s="1">
        <v>4</v>
      </c>
      <c r="E33" s="1">
        <v>1</v>
      </c>
      <c r="F33" s="1">
        <v>23</v>
      </c>
      <c r="G33" s="1" t="s">
        <v>25</v>
      </c>
      <c r="H33" s="1">
        <v>9</v>
      </c>
      <c r="I33" s="1">
        <v>0</v>
      </c>
      <c r="J33" s="1">
        <v>0</v>
      </c>
      <c r="K33" s="1">
        <v>0</v>
      </c>
      <c r="L33" s="1" t="str">
        <f t="shared" si="0"/>
        <v>Попов В.С.Петров Р.В.Телина И.С.</v>
      </c>
      <c r="M33" s="1">
        <v>3300</v>
      </c>
      <c r="N33" s="1" t="s">
        <v>329</v>
      </c>
      <c r="O33" s="1">
        <f>R33+T33+V33</f>
        <v>48</v>
      </c>
      <c r="Q33" s="14" t="s">
        <v>327</v>
      </c>
      <c r="R33" s="1">
        <f>4*4</f>
        <v>16</v>
      </c>
      <c r="S33" s="14" t="s">
        <v>80</v>
      </c>
      <c r="T33" s="1">
        <f>4*4</f>
        <v>16</v>
      </c>
      <c r="U33" s="14" t="s">
        <v>79</v>
      </c>
      <c r="V33" s="1">
        <f>4*4</f>
        <v>16</v>
      </c>
      <c r="W33" s="1" t="s">
        <v>387</v>
      </c>
    </row>
    <row r="34" spans="1:23" ht="45" x14ac:dyDescent="0.25">
      <c r="A34" s="1" t="s">
        <v>216</v>
      </c>
      <c r="B34" s="1" t="s">
        <v>195</v>
      </c>
      <c r="C34" s="1">
        <v>4097</v>
      </c>
      <c r="D34" s="1">
        <v>4</v>
      </c>
      <c r="E34" s="1">
        <v>1</v>
      </c>
      <c r="F34" s="1">
        <v>23</v>
      </c>
      <c r="G34" s="1" t="s">
        <v>25</v>
      </c>
      <c r="H34" s="1">
        <v>9</v>
      </c>
      <c r="I34" s="1">
        <v>0</v>
      </c>
      <c r="J34" s="1">
        <v>0</v>
      </c>
      <c r="K34" s="1">
        <v>0</v>
      </c>
      <c r="L34" s="1" t="str">
        <f t="shared" si="0"/>
        <v>Кулаков И.Ю.Иванов Д.Д.Цымбалюк Л.Н.</v>
      </c>
      <c r="M34" s="1">
        <v>3300</v>
      </c>
      <c r="N34" s="1" t="s">
        <v>330</v>
      </c>
      <c r="O34" s="1">
        <f t="shared" ref="O34" si="1">R34+T34+V34</f>
        <v>36</v>
      </c>
      <c r="Q34" s="14" t="s">
        <v>81</v>
      </c>
      <c r="R34" s="1">
        <f>4*3</f>
        <v>12</v>
      </c>
      <c r="S34" s="14" t="s">
        <v>259</v>
      </c>
      <c r="T34" s="1">
        <f>4*3</f>
        <v>12</v>
      </c>
      <c r="U34" s="14" t="s">
        <v>78</v>
      </c>
      <c r="V34" s="1">
        <f>4*3</f>
        <v>12</v>
      </c>
      <c r="W34" s="1" t="s">
        <v>387</v>
      </c>
    </row>
    <row r="35" spans="1:23" ht="45" x14ac:dyDescent="0.25">
      <c r="A35" s="1" t="s">
        <v>216</v>
      </c>
      <c r="B35" s="1" t="s">
        <v>195</v>
      </c>
      <c r="C35" s="1">
        <v>4097</v>
      </c>
      <c r="D35" s="1">
        <v>4</v>
      </c>
      <c r="E35" s="1">
        <v>1</v>
      </c>
      <c r="F35" s="1">
        <v>23</v>
      </c>
      <c r="G35" s="1" t="s">
        <v>25</v>
      </c>
      <c r="H35" s="1">
        <v>9</v>
      </c>
      <c r="I35" s="1">
        <v>0</v>
      </c>
      <c r="J35" s="1">
        <v>0</v>
      </c>
      <c r="K35" s="1">
        <v>0</v>
      </c>
      <c r="L35" s="1" t="str">
        <f t="shared" si="0"/>
        <v>Иванов И.Моркин С.А.Соколова Г.Ю.</v>
      </c>
      <c r="M35" s="1">
        <v>3300</v>
      </c>
      <c r="N35" s="1" t="s">
        <v>329</v>
      </c>
      <c r="O35" s="1">
        <f>R35+T35+V35</f>
        <v>72</v>
      </c>
      <c r="Q35" s="14" t="s">
        <v>384</v>
      </c>
      <c r="R35" s="1">
        <f>6*4</f>
        <v>24</v>
      </c>
      <c r="S35" s="14" t="s">
        <v>69</v>
      </c>
      <c r="T35" s="1">
        <f>6*4</f>
        <v>24</v>
      </c>
      <c r="U35" s="14" t="s">
        <v>74</v>
      </c>
      <c r="V35" s="1">
        <f>6*4</f>
        <v>24</v>
      </c>
      <c r="W35" s="1" t="s">
        <v>331</v>
      </c>
    </row>
    <row r="36" spans="1:23" ht="45" x14ac:dyDescent="0.25">
      <c r="A36" s="1" t="s">
        <v>216</v>
      </c>
      <c r="B36" s="1" t="s">
        <v>195</v>
      </c>
      <c r="C36" s="1">
        <v>4097</v>
      </c>
      <c r="D36" s="1">
        <v>4</v>
      </c>
      <c r="E36" s="1">
        <v>1</v>
      </c>
      <c r="F36" s="1">
        <v>23</v>
      </c>
      <c r="G36" s="1" t="s">
        <v>25</v>
      </c>
      <c r="H36" s="1">
        <v>9</v>
      </c>
      <c r="I36" s="1">
        <v>0</v>
      </c>
      <c r="J36" s="1">
        <v>0</v>
      </c>
      <c r="K36" s="1">
        <v>0</v>
      </c>
      <c r="L36" s="1" t="str">
        <f t="shared" si="0"/>
        <v>Залилов Р.Ю.Сазонова Н.В.Эминов С.И.</v>
      </c>
      <c r="M36" s="1">
        <v>3300</v>
      </c>
      <c r="N36" s="1" t="s">
        <v>330</v>
      </c>
      <c r="O36" s="1">
        <f t="shared" ref="O36:O38" si="2">R36+T36+V36</f>
        <v>54</v>
      </c>
      <c r="Q36" s="14" t="s">
        <v>186</v>
      </c>
      <c r="R36" s="1">
        <f>6*3</f>
        <v>18</v>
      </c>
      <c r="S36" s="14" t="s">
        <v>325</v>
      </c>
      <c r="T36" s="1">
        <f>6*3</f>
        <v>18</v>
      </c>
      <c r="U36" s="14" t="s">
        <v>68</v>
      </c>
      <c r="V36" s="1">
        <f>6*3</f>
        <v>18</v>
      </c>
      <c r="W36" s="1" t="s">
        <v>331</v>
      </c>
    </row>
    <row r="37" spans="1:23" ht="45" x14ac:dyDescent="0.25">
      <c r="A37" s="1" t="s">
        <v>216</v>
      </c>
      <c r="B37" s="1" t="s">
        <v>195</v>
      </c>
      <c r="C37" s="1">
        <v>4097</v>
      </c>
      <c r="D37" s="1">
        <v>4</v>
      </c>
      <c r="E37" s="1">
        <v>1</v>
      </c>
      <c r="F37" s="1">
        <v>23</v>
      </c>
      <c r="G37" s="1" t="s">
        <v>25</v>
      </c>
      <c r="H37" s="1">
        <v>9</v>
      </c>
      <c r="I37" s="1">
        <v>0</v>
      </c>
      <c r="J37" s="1">
        <v>0</v>
      </c>
      <c r="K37" s="1">
        <v>0</v>
      </c>
      <c r="L37" s="1" t="str">
        <f t="shared" si="0"/>
        <v>Михайлов Д.В.</v>
      </c>
      <c r="M37" s="1">
        <v>3305</v>
      </c>
      <c r="N37" s="1" t="s">
        <v>299</v>
      </c>
      <c r="O37" s="1">
        <f t="shared" ref="O37" si="3">R37+T37+V37</f>
        <v>8</v>
      </c>
      <c r="Q37" s="14" t="s">
        <v>70</v>
      </c>
      <c r="R37" s="1">
        <f>4*2</f>
        <v>8</v>
      </c>
      <c r="T37" s="1"/>
      <c r="W37" s="1" t="s">
        <v>387</v>
      </c>
    </row>
    <row r="38" spans="1:23" ht="45" x14ac:dyDescent="0.25">
      <c r="A38" s="1" t="s">
        <v>216</v>
      </c>
      <c r="B38" s="1" t="s">
        <v>195</v>
      </c>
      <c r="C38" s="1">
        <v>4097</v>
      </c>
      <c r="D38" s="1">
        <v>4</v>
      </c>
      <c r="E38" s="1">
        <v>1</v>
      </c>
      <c r="F38" s="1">
        <v>23</v>
      </c>
      <c r="G38" s="1" t="s">
        <v>25</v>
      </c>
      <c r="H38" s="1">
        <v>9</v>
      </c>
      <c r="I38" s="1">
        <v>0</v>
      </c>
      <c r="J38" s="1">
        <v>0</v>
      </c>
      <c r="K38" s="1">
        <v>0</v>
      </c>
      <c r="L38" s="1" t="str">
        <f t="shared" ref="L38" si="4">CONCATENATE(Q38,"",S38,"",U38)</f>
        <v>Журавлева М.П.</v>
      </c>
      <c r="M38" s="1">
        <v>3305</v>
      </c>
      <c r="N38" s="1" t="s">
        <v>299</v>
      </c>
      <c r="O38" s="1">
        <f t="shared" si="2"/>
        <v>12</v>
      </c>
      <c r="Q38" s="14" t="s">
        <v>72</v>
      </c>
      <c r="R38" s="1">
        <f>6*2</f>
        <v>12</v>
      </c>
      <c r="T38" s="1"/>
      <c r="W38" s="1" t="s">
        <v>331</v>
      </c>
    </row>
    <row r="39" spans="1:23" x14ac:dyDescent="0.25">
      <c r="C39" s="5"/>
    </row>
  </sheetData>
  <autoFilter ref="A1:N39" xr:uid="{6758F298-9960-4200-AE2E-3BA7835DA117}"/>
  <pageMargins left="0.70866141732283472" right="0.70866141732283472" top="0.74803149606299213" bottom="0.74803149606299213" header="0.31496062992125984" footer="0.31496062992125984"/>
  <pageSetup paperSize="9" scale="73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BCEC-BD3F-4AA9-A1B1-C43BCFA796BB}">
  <sheetPr codeName="Лист14">
    <pageSetUpPr fitToPage="1"/>
  </sheetPr>
  <dimension ref="A1:V41"/>
  <sheetViews>
    <sheetView view="pageBreakPreview" zoomScale="145" zoomScaleNormal="160" zoomScaleSheetLayoutView="145" zoomScalePageLayoutView="115" workbookViewId="0">
      <pane xSplit="1" ySplit="1" topLeftCell="B38" activePane="bottomRight" state="frozenSplit"/>
      <selection activeCell="D26" sqref="D26"/>
      <selection pane="topRight" activeCell="D26" sqref="D26"/>
      <selection pane="bottomLeft" activeCell="D26" sqref="D26"/>
      <selection pane="bottomRight" activeCell="Q22" sqref="Q22"/>
    </sheetView>
  </sheetViews>
  <sheetFormatPr defaultColWidth="8.5703125" defaultRowHeight="11.25" x14ac:dyDescent="0.25"/>
  <cols>
    <col min="1" max="1" width="19.42578125" style="1" customWidth="1"/>
    <col min="2" max="2" width="11.85546875" style="1" customWidth="1"/>
    <col min="3" max="3" width="8.42578125" style="1" bestFit="1" customWidth="1"/>
    <col min="4" max="4" width="3.5703125" style="1" bestFit="1" customWidth="1"/>
    <col min="5" max="5" width="7.42578125" style="1" customWidth="1"/>
    <col min="6" max="6" width="6.5703125" style="1" bestFit="1" customWidth="1"/>
    <col min="7" max="7" width="3.42578125" style="1" bestFit="1" customWidth="1"/>
    <col min="8" max="8" width="4.42578125" style="1" bestFit="1" customWidth="1"/>
    <col min="9" max="9" width="3.42578125" style="1" bestFit="1" customWidth="1"/>
    <col min="10" max="10" width="4.42578125" style="1" customWidth="1"/>
    <col min="11" max="11" width="4.5703125" style="1" customWidth="1"/>
    <col min="12" max="12" width="17.140625" style="1" customWidth="1"/>
    <col min="13" max="13" width="9.85546875" style="1" customWidth="1"/>
    <col min="14" max="14" width="13.5703125" style="1" customWidth="1"/>
    <col min="15" max="15" width="4.42578125" style="1" customWidth="1"/>
    <col min="16" max="16" width="5.5703125" style="1" customWidth="1"/>
    <col min="17" max="17" width="11.42578125" style="14" customWidth="1"/>
    <col min="18" max="18" width="4.42578125" style="1" customWidth="1"/>
    <col min="19" max="19" width="7.85546875" style="14" customWidth="1"/>
    <col min="20" max="20" width="6.42578125" style="14" customWidth="1"/>
    <col min="21" max="21" width="8.42578125" style="14" customWidth="1"/>
    <col min="22" max="22" width="8.5703125" style="14" customWidth="1"/>
    <col min="23" max="23" width="5.85546875" style="1" customWidth="1"/>
    <col min="24" max="16384" width="8.5703125" style="1"/>
  </cols>
  <sheetData>
    <row r="1" spans="1:22" ht="67.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15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180</v>
      </c>
      <c r="O1" s="1" t="s">
        <v>210</v>
      </c>
      <c r="P1" s="1" t="s">
        <v>209</v>
      </c>
      <c r="Q1" s="1" t="s">
        <v>177</v>
      </c>
      <c r="R1" s="1" t="s">
        <v>178</v>
      </c>
      <c r="S1" s="1" t="s">
        <v>177</v>
      </c>
      <c r="T1" s="1" t="s">
        <v>178</v>
      </c>
      <c r="U1" s="1" t="s">
        <v>177</v>
      </c>
      <c r="V1" s="1" t="s">
        <v>178</v>
      </c>
    </row>
    <row r="2" spans="1:22" s="6" customFormat="1" ht="33.75" x14ac:dyDescent="0.25">
      <c r="A2" s="6" t="s">
        <v>96</v>
      </c>
      <c r="B2" s="6" t="s">
        <v>48</v>
      </c>
      <c r="C2" s="6">
        <v>5095</v>
      </c>
      <c r="D2" s="6">
        <v>1</v>
      </c>
      <c r="E2" s="6">
        <v>1</v>
      </c>
      <c r="F2" s="6">
        <v>11</v>
      </c>
      <c r="G2" s="6" t="s">
        <v>17</v>
      </c>
      <c r="H2" s="6">
        <v>8</v>
      </c>
      <c r="I2" s="6">
        <v>18</v>
      </c>
      <c r="J2" s="6">
        <v>54</v>
      </c>
      <c r="K2" s="6">
        <v>0</v>
      </c>
      <c r="L2" s="1" t="str">
        <f t="shared" ref="L2:L40" si="0">CONCATENATE(Q2,"",S2,"",U2)</f>
        <v>Эминов С.И.</v>
      </c>
      <c r="M2" s="6">
        <v>3312</v>
      </c>
      <c r="N2" s="6">
        <v>1</v>
      </c>
      <c r="O2" s="6">
        <v>27</v>
      </c>
      <c r="P2" s="6">
        <v>18</v>
      </c>
      <c r="Q2" s="61" t="s">
        <v>68</v>
      </c>
      <c r="R2" s="6">
        <f t="shared" ref="R2:R31" si="1">I2+J2+K2+P2+O2</f>
        <v>117</v>
      </c>
      <c r="S2" s="61"/>
      <c r="T2" s="61"/>
      <c r="U2" s="61"/>
      <c r="V2" s="61"/>
    </row>
    <row r="3" spans="1:22" s="6" customFormat="1" ht="25.35" customHeight="1" x14ac:dyDescent="0.25">
      <c r="A3" s="6" t="s">
        <v>91</v>
      </c>
      <c r="B3" s="6" t="s">
        <v>48</v>
      </c>
      <c r="C3" s="6">
        <v>5095</v>
      </c>
      <c r="D3" s="6">
        <v>1</v>
      </c>
      <c r="E3" s="6">
        <v>1</v>
      </c>
      <c r="F3" s="6">
        <v>11</v>
      </c>
      <c r="G3" s="6" t="s">
        <v>17</v>
      </c>
      <c r="H3" s="6">
        <v>8</v>
      </c>
      <c r="I3" s="6">
        <v>9</v>
      </c>
      <c r="J3" s="6">
        <v>18</v>
      </c>
      <c r="K3" s="6">
        <v>18</v>
      </c>
      <c r="L3" s="1" t="str">
        <f t="shared" si="0"/>
        <v>Кулаков И.Ю.</v>
      </c>
      <c r="M3" s="6">
        <v>3315</v>
      </c>
      <c r="N3" s="6" t="s">
        <v>338</v>
      </c>
      <c r="O3" s="6">
        <v>9.6</v>
      </c>
      <c r="P3" s="6">
        <v>6.6</v>
      </c>
      <c r="Q3" s="61" t="s">
        <v>81</v>
      </c>
      <c r="R3" s="6">
        <f t="shared" ref="R3" si="2">I3+J3+K3+P3+O3</f>
        <v>61.2</v>
      </c>
      <c r="S3" s="61"/>
      <c r="T3" s="61"/>
      <c r="U3" s="61"/>
      <c r="V3" s="61"/>
    </row>
    <row r="4" spans="1:22" s="6" customFormat="1" ht="31.5" customHeight="1" x14ac:dyDescent="0.25">
      <c r="A4" s="6" t="s">
        <v>101</v>
      </c>
      <c r="B4" s="6" t="s">
        <v>48</v>
      </c>
      <c r="C4" s="6">
        <v>5095</v>
      </c>
      <c r="D4" s="6">
        <v>1</v>
      </c>
      <c r="E4" s="6">
        <v>1</v>
      </c>
      <c r="F4" s="6">
        <v>11</v>
      </c>
      <c r="G4" s="6" t="s">
        <v>19</v>
      </c>
      <c r="H4" s="6">
        <v>4</v>
      </c>
      <c r="I4" s="6">
        <v>9</v>
      </c>
      <c r="J4" s="6">
        <v>0</v>
      </c>
      <c r="K4" s="6">
        <v>27</v>
      </c>
      <c r="L4" s="1" t="str">
        <f t="shared" si="0"/>
        <v>Бритвина Л.Е.</v>
      </c>
      <c r="N4" s="6" t="s">
        <v>298</v>
      </c>
      <c r="O4" s="6">
        <v>6.6</v>
      </c>
      <c r="P4" s="6">
        <v>4.4000000000000004</v>
      </c>
      <c r="Q4" s="61" t="s">
        <v>73</v>
      </c>
      <c r="R4" s="6">
        <f t="shared" si="1"/>
        <v>47</v>
      </c>
      <c r="S4" s="61"/>
      <c r="T4" s="61"/>
      <c r="U4" s="61"/>
      <c r="V4" s="61"/>
    </row>
    <row r="5" spans="1:22" s="6" customFormat="1" ht="22.5" x14ac:dyDescent="0.25">
      <c r="A5" s="6" t="s">
        <v>348</v>
      </c>
      <c r="B5" s="6" t="s">
        <v>48</v>
      </c>
      <c r="C5" s="6">
        <v>5096</v>
      </c>
      <c r="D5" s="6">
        <v>1</v>
      </c>
      <c r="E5" s="6">
        <v>1</v>
      </c>
      <c r="F5" s="6">
        <v>11</v>
      </c>
      <c r="G5" s="6" t="s">
        <v>17</v>
      </c>
      <c r="H5" s="6">
        <v>6</v>
      </c>
      <c r="I5" s="6">
        <v>9</v>
      </c>
      <c r="J5" s="6">
        <v>36</v>
      </c>
      <c r="K5" s="6">
        <v>0</v>
      </c>
      <c r="L5" s="1" t="str">
        <f t="shared" si="0"/>
        <v>Эминов С.И.</v>
      </c>
      <c r="M5" s="6">
        <v>3312</v>
      </c>
      <c r="O5" s="6">
        <v>9.9</v>
      </c>
      <c r="P5" s="6">
        <v>6.6</v>
      </c>
      <c r="Q5" s="61" t="s">
        <v>68</v>
      </c>
      <c r="R5" s="6">
        <f t="shared" si="1"/>
        <v>61.5</v>
      </c>
      <c r="S5" s="61"/>
      <c r="T5" s="61"/>
      <c r="U5" s="61"/>
      <c r="V5" s="61"/>
    </row>
    <row r="6" spans="1:22" s="6" customFormat="1" ht="33.75" x14ac:dyDescent="0.25">
      <c r="A6" s="6" t="s">
        <v>349</v>
      </c>
      <c r="B6" s="6" t="s">
        <v>48</v>
      </c>
      <c r="C6" s="6">
        <v>5096</v>
      </c>
      <c r="D6" s="6">
        <v>1</v>
      </c>
      <c r="E6" s="6">
        <v>1</v>
      </c>
      <c r="F6" s="6">
        <v>11</v>
      </c>
      <c r="G6" s="6" t="s">
        <v>17</v>
      </c>
      <c r="H6" s="6">
        <v>6</v>
      </c>
      <c r="I6" s="6">
        <v>9</v>
      </c>
      <c r="J6" s="6">
        <v>9</v>
      </c>
      <c r="K6" s="6">
        <v>27</v>
      </c>
      <c r="L6" s="1" t="str">
        <f t="shared" si="0"/>
        <v>Доагалюк П.М.</v>
      </c>
      <c r="M6" s="6">
        <v>3305</v>
      </c>
      <c r="O6" s="6">
        <v>9.9</v>
      </c>
      <c r="P6" s="6">
        <v>6.6</v>
      </c>
      <c r="Q6" s="61" t="s">
        <v>350</v>
      </c>
      <c r="R6" s="6">
        <f t="shared" si="1"/>
        <v>61.5</v>
      </c>
      <c r="S6" s="61"/>
      <c r="T6" s="61"/>
      <c r="U6" s="61"/>
      <c r="V6" s="61"/>
    </row>
    <row r="7" spans="1:22" s="6" customFormat="1" ht="33.75" x14ac:dyDescent="0.25">
      <c r="A7" s="6" t="s">
        <v>91</v>
      </c>
      <c r="B7" s="6" t="s">
        <v>48</v>
      </c>
      <c r="C7" s="6">
        <v>5096</v>
      </c>
      <c r="D7" s="6">
        <v>1</v>
      </c>
      <c r="E7" s="6">
        <v>1</v>
      </c>
      <c r="F7" s="6">
        <v>11</v>
      </c>
      <c r="G7" s="6" t="s">
        <v>17</v>
      </c>
      <c r="H7" s="6">
        <v>8</v>
      </c>
      <c r="I7" s="6">
        <v>9</v>
      </c>
      <c r="J7" s="6">
        <v>18</v>
      </c>
      <c r="K7" s="6">
        <v>36</v>
      </c>
      <c r="L7" s="1" t="str">
        <f>CONCATENATE(Q7,"",S7,"",U7)</f>
        <v>Кулаков И.Ю.</v>
      </c>
      <c r="M7" s="6">
        <v>3315</v>
      </c>
      <c r="O7" s="6">
        <v>13.2</v>
      </c>
      <c r="P7" s="6">
        <v>8.8000000000000007</v>
      </c>
      <c r="Q7" s="61" t="s">
        <v>81</v>
      </c>
      <c r="R7" s="6">
        <f>I7+J7+K7+P7+O7</f>
        <v>85</v>
      </c>
      <c r="S7" s="61"/>
      <c r="T7" s="61"/>
      <c r="U7" s="61"/>
      <c r="V7" s="61"/>
    </row>
    <row r="8" spans="1:22" s="6" customFormat="1" ht="33.6" customHeight="1" x14ac:dyDescent="0.25">
      <c r="A8" s="6" t="s">
        <v>49</v>
      </c>
      <c r="B8" s="6" t="s">
        <v>48</v>
      </c>
      <c r="C8" s="6">
        <v>5096</v>
      </c>
      <c r="D8" s="6">
        <v>1</v>
      </c>
      <c r="E8" s="6">
        <v>1</v>
      </c>
      <c r="F8" s="6">
        <v>11</v>
      </c>
      <c r="G8" s="6" t="s">
        <v>25</v>
      </c>
      <c r="H8" s="6">
        <v>2</v>
      </c>
      <c r="I8" s="6">
        <v>0</v>
      </c>
      <c r="J8" s="6">
        <v>2</v>
      </c>
      <c r="K8" s="6">
        <v>0</v>
      </c>
      <c r="L8" s="1" t="str">
        <f t="shared" si="0"/>
        <v>Кулаков И.Ю.Архипова Г.А.</v>
      </c>
      <c r="M8" s="6">
        <v>3315</v>
      </c>
      <c r="O8" s="6">
        <v>17.600000000000001</v>
      </c>
      <c r="P8" s="6">
        <v>0</v>
      </c>
      <c r="Q8" s="61" t="s">
        <v>81</v>
      </c>
      <c r="R8" s="6">
        <v>13.6</v>
      </c>
      <c r="S8" s="61" t="s">
        <v>75</v>
      </c>
      <c r="T8" s="61">
        <v>4</v>
      </c>
      <c r="U8" s="61"/>
      <c r="V8" s="61"/>
    </row>
    <row r="9" spans="1:22" ht="5.85" customHeight="1" x14ac:dyDescent="0.25">
      <c r="L9" s="1" t="str">
        <f t="shared" si="0"/>
        <v/>
      </c>
      <c r="R9" s="14"/>
    </row>
    <row r="10" spans="1:22" ht="22.5" x14ac:dyDescent="0.25">
      <c r="A10" s="1" t="s">
        <v>47</v>
      </c>
      <c r="B10" s="1" t="s">
        <v>48</v>
      </c>
      <c r="C10" s="1">
        <v>5096</v>
      </c>
      <c r="D10" s="1">
        <v>2</v>
      </c>
      <c r="E10" s="1">
        <v>1</v>
      </c>
      <c r="F10" s="1">
        <v>11</v>
      </c>
      <c r="G10" s="1" t="s">
        <v>17</v>
      </c>
      <c r="H10" s="1">
        <v>4</v>
      </c>
      <c r="I10" s="1">
        <v>9</v>
      </c>
      <c r="J10" s="1">
        <v>36</v>
      </c>
      <c r="K10" s="1">
        <v>0</v>
      </c>
      <c r="L10" s="1" t="str">
        <f t="shared" si="0"/>
        <v>Журавлева М.П.</v>
      </c>
      <c r="M10" s="1">
        <v>2309</v>
      </c>
      <c r="N10" s="1" t="s">
        <v>292</v>
      </c>
      <c r="O10" s="1">
        <v>9.9</v>
      </c>
      <c r="P10" s="1">
        <v>6.6</v>
      </c>
      <c r="Q10" s="14" t="s">
        <v>72</v>
      </c>
      <c r="R10" s="1">
        <f>I10+J10+K10+P10+O10</f>
        <v>61.5</v>
      </c>
    </row>
    <row r="11" spans="1:22" ht="22.5" x14ac:dyDescent="0.25">
      <c r="A11" s="1" t="s">
        <v>353</v>
      </c>
      <c r="B11" s="1" t="s">
        <v>48</v>
      </c>
      <c r="C11" s="1">
        <v>5096</v>
      </c>
      <c r="D11" s="1">
        <v>2</v>
      </c>
      <c r="E11" s="1">
        <v>1</v>
      </c>
      <c r="F11" s="1">
        <v>11</v>
      </c>
      <c r="G11" s="1" t="s">
        <v>17</v>
      </c>
      <c r="H11" s="1">
        <v>4</v>
      </c>
      <c r="I11" s="1">
        <v>9</v>
      </c>
      <c r="J11" s="1">
        <v>36</v>
      </c>
      <c r="K11" s="1">
        <v>0</v>
      </c>
      <c r="L11" s="1" t="str">
        <f t="shared" si="0"/>
        <v/>
      </c>
      <c r="M11" s="1">
        <v>2309</v>
      </c>
      <c r="N11" s="1" t="s">
        <v>292</v>
      </c>
      <c r="O11" s="1">
        <v>9.9</v>
      </c>
      <c r="P11" s="1">
        <v>6.6</v>
      </c>
      <c r="Q11" s="63"/>
      <c r="R11" s="1">
        <f>I11+J11+K11+P11+O11</f>
        <v>61.5</v>
      </c>
    </row>
    <row r="12" spans="1:22" ht="22.5" x14ac:dyDescent="0.25">
      <c r="A12" s="1" t="s">
        <v>47</v>
      </c>
      <c r="B12" s="1" t="s">
        <v>48</v>
      </c>
      <c r="C12" s="1">
        <v>5095</v>
      </c>
      <c r="D12" s="1">
        <v>2</v>
      </c>
      <c r="E12" s="1">
        <v>1</v>
      </c>
      <c r="F12" s="1">
        <v>11</v>
      </c>
      <c r="G12" s="1" t="s">
        <v>17</v>
      </c>
      <c r="H12" s="1">
        <v>4</v>
      </c>
      <c r="I12" s="1">
        <v>9</v>
      </c>
      <c r="J12" s="1">
        <v>0</v>
      </c>
      <c r="K12" s="1">
        <v>18</v>
      </c>
      <c r="L12" s="1" t="str">
        <f t="shared" si="0"/>
        <v>Журавлева М.П.</v>
      </c>
      <c r="M12" s="1">
        <v>2309</v>
      </c>
      <c r="N12" s="1" t="s">
        <v>292</v>
      </c>
      <c r="O12" s="1">
        <v>6.6</v>
      </c>
      <c r="P12" s="1">
        <v>4.4000000000000004</v>
      </c>
      <c r="Q12" s="14" t="s">
        <v>72</v>
      </c>
      <c r="R12" s="1">
        <f>I12+J12+K12+P12+O12</f>
        <v>38</v>
      </c>
    </row>
    <row r="13" spans="1:22" ht="44.85" customHeight="1" x14ac:dyDescent="0.25">
      <c r="A13" s="1" t="s">
        <v>99</v>
      </c>
      <c r="B13" s="1" t="s">
        <v>48</v>
      </c>
      <c r="C13" s="1">
        <v>5095</v>
      </c>
      <c r="D13" s="1">
        <v>2</v>
      </c>
      <c r="E13" s="1">
        <v>1</v>
      </c>
      <c r="F13" s="1">
        <v>11</v>
      </c>
      <c r="G13" s="1" t="s">
        <v>17</v>
      </c>
      <c r="H13" s="1">
        <v>6</v>
      </c>
      <c r="I13" s="1">
        <v>18</v>
      </c>
      <c r="J13" s="1">
        <v>0</v>
      </c>
      <c r="K13" s="1">
        <v>27</v>
      </c>
      <c r="L13" s="1" t="str">
        <f t="shared" si="0"/>
        <v>Телина И.С.</v>
      </c>
      <c r="N13" s="5"/>
      <c r="O13" s="1">
        <v>9.9</v>
      </c>
      <c r="P13" s="1">
        <v>6.6</v>
      </c>
      <c r="Q13" s="14" t="s">
        <v>79</v>
      </c>
      <c r="R13" s="1">
        <f t="shared" si="1"/>
        <v>61.5</v>
      </c>
    </row>
    <row r="14" spans="1:22" ht="44.85" customHeight="1" x14ac:dyDescent="0.25">
      <c r="A14" s="1" t="s">
        <v>99</v>
      </c>
      <c r="B14" s="1" t="s">
        <v>48</v>
      </c>
      <c r="C14" s="1">
        <v>5095</v>
      </c>
      <c r="D14" s="1">
        <v>2</v>
      </c>
      <c r="E14" s="1">
        <v>1</v>
      </c>
      <c r="F14" s="1">
        <v>11</v>
      </c>
      <c r="G14" s="1" t="s">
        <v>123</v>
      </c>
      <c r="H14" s="1">
        <v>1</v>
      </c>
      <c r="I14" s="1">
        <v>0</v>
      </c>
      <c r="J14" s="1">
        <v>0</v>
      </c>
      <c r="K14" s="1">
        <v>0</v>
      </c>
      <c r="L14" s="1" t="str">
        <f t="shared" si="0"/>
        <v>Телина И.С.</v>
      </c>
      <c r="M14" s="1">
        <v>3312.3314999999998</v>
      </c>
      <c r="N14" s="5" t="s">
        <v>219</v>
      </c>
      <c r="O14" s="1">
        <v>16.5</v>
      </c>
      <c r="P14" s="1">
        <v>0</v>
      </c>
      <c r="Q14" s="14" t="s">
        <v>79</v>
      </c>
      <c r="R14" s="1">
        <f t="shared" si="1"/>
        <v>16.5</v>
      </c>
    </row>
    <row r="15" spans="1:22" ht="44.85" customHeight="1" x14ac:dyDescent="0.25">
      <c r="A15" s="1" t="s">
        <v>380</v>
      </c>
      <c r="B15" s="1" t="s">
        <v>48</v>
      </c>
      <c r="C15" s="1">
        <v>5096</v>
      </c>
      <c r="D15" s="1">
        <v>2</v>
      </c>
      <c r="E15" s="1">
        <v>1</v>
      </c>
      <c r="F15" s="1">
        <v>11</v>
      </c>
      <c r="G15" s="1" t="s">
        <v>17</v>
      </c>
      <c r="H15" s="1">
        <v>6</v>
      </c>
      <c r="I15" s="1">
        <v>9</v>
      </c>
      <c r="J15" s="1">
        <v>45</v>
      </c>
      <c r="K15" s="1">
        <v>0</v>
      </c>
      <c r="L15" s="1" t="str">
        <f t="shared" si="0"/>
        <v>Телина И.С.</v>
      </c>
      <c r="N15" s="5"/>
      <c r="O15" s="1">
        <v>9.9</v>
      </c>
      <c r="P15" s="1">
        <v>0</v>
      </c>
      <c r="Q15" s="14" t="s">
        <v>79</v>
      </c>
      <c r="R15" s="1">
        <f t="shared" ref="R15" si="3">I15+J15+K15+P15+O15</f>
        <v>63.9</v>
      </c>
    </row>
    <row r="16" spans="1:22" ht="45" x14ac:dyDescent="0.25">
      <c r="A16" s="1" t="s">
        <v>49</v>
      </c>
      <c r="B16" s="1" t="s">
        <v>48</v>
      </c>
      <c r="C16" s="1">
        <v>5096</v>
      </c>
      <c r="D16" s="1">
        <v>2</v>
      </c>
      <c r="E16" s="1">
        <v>1</v>
      </c>
      <c r="F16" s="1">
        <v>11</v>
      </c>
      <c r="G16" s="1" t="s">
        <v>25</v>
      </c>
      <c r="H16" s="1">
        <v>1</v>
      </c>
      <c r="I16" s="1">
        <v>0</v>
      </c>
      <c r="J16" s="1">
        <v>2</v>
      </c>
      <c r="K16" s="1">
        <v>0</v>
      </c>
      <c r="L16" s="1" t="str">
        <f t="shared" si="0"/>
        <v>Кулаков И.Ю.Архипова Г.А.</v>
      </c>
      <c r="M16" s="1">
        <v>3312</v>
      </c>
      <c r="N16" s="1" t="s">
        <v>214</v>
      </c>
      <c r="O16" s="1">
        <v>17.600000000000001</v>
      </c>
      <c r="P16" s="1">
        <v>0</v>
      </c>
      <c r="Q16" s="14" t="s">
        <v>81</v>
      </c>
      <c r="R16" s="1">
        <v>13.6</v>
      </c>
      <c r="S16" s="14" t="s">
        <v>75</v>
      </c>
      <c r="T16" s="14">
        <v>4</v>
      </c>
    </row>
    <row r="17" spans="1:22" ht="33.75" x14ac:dyDescent="0.25">
      <c r="A17" s="1" t="s">
        <v>28</v>
      </c>
      <c r="B17" s="1" t="s">
        <v>48</v>
      </c>
      <c r="C17" s="1">
        <v>5095</v>
      </c>
      <c r="D17" s="1">
        <v>2</v>
      </c>
      <c r="E17" s="1">
        <v>1</v>
      </c>
      <c r="F17" s="1">
        <v>11</v>
      </c>
      <c r="G17" s="1" t="s">
        <v>25</v>
      </c>
      <c r="H17" s="1">
        <v>1</v>
      </c>
      <c r="I17" s="1">
        <v>0</v>
      </c>
      <c r="J17" s="1">
        <v>2</v>
      </c>
      <c r="K17" s="1">
        <v>0</v>
      </c>
      <c r="L17" s="1" t="str">
        <f t="shared" si="0"/>
        <v>Кулаков И.Ю.Архипова Г.А.</v>
      </c>
      <c r="M17" s="1">
        <v>3312</v>
      </c>
      <c r="N17" s="1" t="s">
        <v>214</v>
      </c>
      <c r="O17" s="1">
        <v>8.8000000000000007</v>
      </c>
      <c r="P17" s="1">
        <v>0</v>
      </c>
      <c r="Q17" s="14" t="s">
        <v>81</v>
      </c>
      <c r="R17" s="1">
        <v>6.8</v>
      </c>
      <c r="S17" s="14" t="s">
        <v>75</v>
      </c>
      <c r="T17" s="14">
        <v>2</v>
      </c>
    </row>
    <row r="18" spans="1:22" ht="45" x14ac:dyDescent="0.25">
      <c r="A18" s="1" t="s">
        <v>98</v>
      </c>
      <c r="B18" s="1" t="s">
        <v>48</v>
      </c>
      <c r="C18" s="1">
        <v>5095</v>
      </c>
      <c r="D18" s="1">
        <v>2</v>
      </c>
      <c r="E18" s="1">
        <v>1</v>
      </c>
      <c r="F18" s="1">
        <v>11</v>
      </c>
      <c r="G18" s="1" t="s">
        <v>19</v>
      </c>
      <c r="H18" s="1">
        <v>2</v>
      </c>
      <c r="I18" s="1">
        <v>9</v>
      </c>
      <c r="J18" s="1">
        <v>0</v>
      </c>
      <c r="K18" s="1">
        <v>9</v>
      </c>
      <c r="L18" s="1" t="str">
        <f t="shared" si="0"/>
        <v>Телина И.С.</v>
      </c>
      <c r="M18" s="1">
        <v>3305</v>
      </c>
      <c r="N18" s="1" t="s">
        <v>112</v>
      </c>
      <c r="O18" s="1">
        <v>3.3</v>
      </c>
      <c r="P18" s="1">
        <v>0</v>
      </c>
      <c r="Q18" s="14" t="s">
        <v>79</v>
      </c>
      <c r="R18" s="1">
        <f t="shared" si="1"/>
        <v>21.3</v>
      </c>
    </row>
    <row r="19" spans="1:22" ht="22.5" x14ac:dyDescent="0.25">
      <c r="A19" s="1" t="s">
        <v>97</v>
      </c>
      <c r="B19" s="1" t="s">
        <v>48</v>
      </c>
      <c r="C19" s="1">
        <v>5095</v>
      </c>
      <c r="D19" s="1">
        <v>2</v>
      </c>
      <c r="E19" s="1">
        <v>1</v>
      </c>
      <c r="F19" s="1">
        <v>11</v>
      </c>
      <c r="G19" s="1" t="s">
        <v>17</v>
      </c>
      <c r="H19" s="1">
        <v>4</v>
      </c>
      <c r="I19" s="1">
        <v>18</v>
      </c>
      <c r="J19" s="1">
        <v>0</v>
      </c>
      <c r="K19" s="1">
        <v>18</v>
      </c>
      <c r="L19" s="1" t="str">
        <f t="shared" si="0"/>
        <v>Эминов С.И.</v>
      </c>
      <c r="M19" s="1">
        <v>3301</v>
      </c>
      <c r="N19" s="1" t="s">
        <v>112</v>
      </c>
      <c r="O19" s="1">
        <v>8.3000000000000007</v>
      </c>
      <c r="P19" s="1">
        <v>5.5</v>
      </c>
      <c r="Q19" s="14" t="s">
        <v>68</v>
      </c>
      <c r="R19" s="1">
        <f t="shared" si="1"/>
        <v>49.8</v>
      </c>
    </row>
    <row r="20" spans="1:22" ht="33.75" x14ac:dyDescent="0.25">
      <c r="A20" s="1" t="s">
        <v>100</v>
      </c>
      <c r="B20" s="1" t="s">
        <v>48</v>
      </c>
      <c r="C20" s="1">
        <v>5095</v>
      </c>
      <c r="D20" s="1">
        <v>2</v>
      </c>
      <c r="E20" s="1">
        <v>1</v>
      </c>
      <c r="F20" s="1">
        <v>11</v>
      </c>
      <c r="G20" s="1" t="s">
        <v>19</v>
      </c>
      <c r="H20" s="1">
        <v>3</v>
      </c>
      <c r="I20" s="1">
        <v>9</v>
      </c>
      <c r="J20" s="1">
        <v>0</v>
      </c>
      <c r="K20" s="1">
        <v>18</v>
      </c>
      <c r="L20" s="1" t="str">
        <f t="shared" si="0"/>
        <v>Михайлов Д.В.</v>
      </c>
      <c r="M20" s="1">
        <v>3305</v>
      </c>
      <c r="N20" s="1" t="s">
        <v>112</v>
      </c>
      <c r="O20" s="1">
        <v>5</v>
      </c>
      <c r="P20" s="1">
        <v>0</v>
      </c>
      <c r="Q20" s="14" t="s">
        <v>70</v>
      </c>
      <c r="R20" s="1">
        <f t="shared" si="1"/>
        <v>32</v>
      </c>
    </row>
    <row r="21" spans="1:22" ht="22.5" x14ac:dyDescent="0.25">
      <c r="A21" s="1" t="s">
        <v>354</v>
      </c>
      <c r="B21" s="1" t="s">
        <v>48</v>
      </c>
      <c r="C21" s="1">
        <v>5096</v>
      </c>
      <c r="D21" s="1">
        <v>2</v>
      </c>
      <c r="E21" s="1">
        <v>1</v>
      </c>
      <c r="F21" s="1">
        <v>11</v>
      </c>
      <c r="G21" s="1" t="s">
        <v>19</v>
      </c>
      <c r="H21" s="1">
        <v>3</v>
      </c>
      <c r="I21" s="1">
        <v>9</v>
      </c>
      <c r="J21" s="1">
        <v>0</v>
      </c>
      <c r="K21" s="1">
        <v>36</v>
      </c>
      <c r="L21" s="1" t="str">
        <f t="shared" si="0"/>
        <v>Телина И.С.</v>
      </c>
      <c r="M21" s="1">
        <v>3305</v>
      </c>
      <c r="N21" s="1" t="s">
        <v>112</v>
      </c>
      <c r="O21" s="1">
        <v>9.9</v>
      </c>
      <c r="P21" s="1">
        <v>6.6</v>
      </c>
      <c r="Q21" s="1" t="s">
        <v>79</v>
      </c>
      <c r="R21" s="1">
        <f t="shared" ref="R21" si="4">I21+J21+K21+P21+O21</f>
        <v>61.5</v>
      </c>
    </row>
    <row r="22" spans="1:22" ht="33.75" x14ac:dyDescent="0.25">
      <c r="A22" s="1" t="s">
        <v>102</v>
      </c>
      <c r="B22" s="1" t="s">
        <v>48</v>
      </c>
      <c r="C22" s="1">
        <v>5095</v>
      </c>
      <c r="D22" s="1">
        <v>2</v>
      </c>
      <c r="E22" s="1">
        <v>1</v>
      </c>
      <c r="F22" s="1">
        <v>11</v>
      </c>
      <c r="G22" s="1" t="s">
        <v>17</v>
      </c>
      <c r="H22" s="1">
        <v>6</v>
      </c>
      <c r="I22" s="1">
        <v>18</v>
      </c>
      <c r="J22" s="1">
        <v>0</v>
      </c>
      <c r="K22" s="1">
        <v>27</v>
      </c>
      <c r="L22" s="1" t="str">
        <f t="shared" si="0"/>
        <v>Яковлев Н.С.</v>
      </c>
      <c r="M22" s="1" t="s">
        <v>220</v>
      </c>
      <c r="N22" s="1" t="s">
        <v>171</v>
      </c>
      <c r="O22" s="1">
        <v>9.9</v>
      </c>
      <c r="P22" s="1">
        <v>6.6</v>
      </c>
      <c r="Q22" s="109" t="s">
        <v>409</v>
      </c>
      <c r="R22" s="1">
        <f t="shared" si="1"/>
        <v>61.5</v>
      </c>
    </row>
    <row r="23" spans="1:22" ht="5.85" customHeight="1" x14ac:dyDescent="0.25">
      <c r="L23" s="1" t="str">
        <f t="shared" si="0"/>
        <v/>
      </c>
      <c r="Q23" s="1"/>
    </row>
    <row r="24" spans="1:22" s="6" customFormat="1" ht="45.6" customHeight="1" x14ac:dyDescent="0.25">
      <c r="A24" s="6" t="s">
        <v>361</v>
      </c>
      <c r="B24" s="6" t="s">
        <v>48</v>
      </c>
      <c r="C24" s="6">
        <v>4095</v>
      </c>
      <c r="D24" s="6">
        <v>3</v>
      </c>
      <c r="E24" s="6">
        <v>1</v>
      </c>
      <c r="F24" s="6">
        <v>20</v>
      </c>
      <c r="G24" s="6" t="s">
        <v>17</v>
      </c>
      <c r="H24" s="6">
        <v>6</v>
      </c>
      <c r="I24" s="6">
        <v>18</v>
      </c>
      <c r="J24" s="6">
        <v>0</v>
      </c>
      <c r="K24" s="6">
        <v>27</v>
      </c>
      <c r="L24" s="1" t="str">
        <f t="shared" si="0"/>
        <v>Макевич П.В.</v>
      </c>
      <c r="N24" s="6" t="s">
        <v>112</v>
      </c>
      <c r="O24" s="6">
        <v>18</v>
      </c>
      <c r="P24" s="6">
        <v>12</v>
      </c>
      <c r="Q24" s="61" t="s">
        <v>54</v>
      </c>
      <c r="R24" s="6">
        <f>I24+J24+K24+P24+O24</f>
        <v>75</v>
      </c>
      <c r="S24" s="61"/>
      <c r="T24" s="61"/>
      <c r="U24" s="61"/>
      <c r="V24" s="61"/>
    </row>
    <row r="25" spans="1:22" s="6" customFormat="1" ht="45" x14ac:dyDescent="0.25">
      <c r="A25" s="6" t="s">
        <v>361</v>
      </c>
      <c r="B25" s="6" t="s">
        <v>48</v>
      </c>
      <c r="C25" s="6">
        <v>4095</v>
      </c>
      <c r="D25" s="6">
        <v>3</v>
      </c>
      <c r="E25" s="6">
        <v>1</v>
      </c>
      <c r="F25" s="6">
        <v>20</v>
      </c>
      <c r="G25" s="6" t="s">
        <v>120</v>
      </c>
      <c r="H25" s="6">
        <v>1</v>
      </c>
      <c r="I25" s="6">
        <v>0</v>
      </c>
      <c r="J25" s="6">
        <v>0</v>
      </c>
      <c r="K25" s="6">
        <v>0</v>
      </c>
      <c r="L25" s="1" t="str">
        <f t="shared" si="0"/>
        <v>Макевич П.В.</v>
      </c>
      <c r="M25" s="6" t="s">
        <v>199</v>
      </c>
      <c r="O25" s="6">
        <v>30</v>
      </c>
      <c r="P25" s="6">
        <v>0</v>
      </c>
      <c r="Q25" s="61" t="s">
        <v>54</v>
      </c>
      <c r="R25" s="6">
        <f t="shared" si="1"/>
        <v>30</v>
      </c>
      <c r="S25" s="61"/>
      <c r="T25" s="61"/>
      <c r="U25" s="61"/>
      <c r="V25" s="61"/>
    </row>
    <row r="26" spans="1:22" s="6" customFormat="1" ht="23.1" customHeight="1" x14ac:dyDescent="0.25">
      <c r="A26" s="6" t="s">
        <v>121</v>
      </c>
      <c r="B26" s="6" t="s">
        <v>48</v>
      </c>
      <c r="C26" s="6">
        <v>4095</v>
      </c>
      <c r="D26" s="6">
        <v>3</v>
      </c>
      <c r="E26" s="6">
        <v>1</v>
      </c>
      <c r="F26" s="6">
        <v>20</v>
      </c>
      <c r="G26" s="6" t="s">
        <v>17</v>
      </c>
      <c r="H26" s="6">
        <v>4</v>
      </c>
      <c r="I26" s="6">
        <v>18</v>
      </c>
      <c r="J26" s="6">
        <v>0</v>
      </c>
      <c r="K26" s="6">
        <v>18</v>
      </c>
      <c r="L26" s="1" t="str">
        <f t="shared" si="0"/>
        <v>Попов В.С.</v>
      </c>
      <c r="M26" s="6">
        <v>3312</v>
      </c>
      <c r="N26" s="6" t="s">
        <v>112</v>
      </c>
      <c r="O26" s="6">
        <v>12</v>
      </c>
      <c r="P26" s="6">
        <v>0</v>
      </c>
      <c r="Q26" s="61" t="s">
        <v>327</v>
      </c>
      <c r="R26" s="6">
        <f>I26+J26+K26+P26+O26</f>
        <v>48</v>
      </c>
      <c r="S26" s="61"/>
      <c r="T26" s="61"/>
      <c r="U26" s="61"/>
      <c r="V26" s="61"/>
    </row>
    <row r="27" spans="1:22" s="6" customFormat="1" ht="22.5" x14ac:dyDescent="0.25">
      <c r="A27" s="6" t="s">
        <v>122</v>
      </c>
      <c r="B27" s="6" t="s">
        <v>48</v>
      </c>
      <c r="C27" s="6">
        <v>4095</v>
      </c>
      <c r="D27" s="6">
        <v>3</v>
      </c>
      <c r="E27" s="6">
        <v>1</v>
      </c>
      <c r="F27" s="6">
        <v>20</v>
      </c>
      <c r="G27" s="6" t="s">
        <v>19</v>
      </c>
      <c r="H27" s="6">
        <v>4</v>
      </c>
      <c r="I27" s="6">
        <v>18</v>
      </c>
      <c r="J27" s="6">
        <v>0</v>
      </c>
      <c r="K27" s="6">
        <v>18</v>
      </c>
      <c r="L27" s="1" t="str">
        <f t="shared" si="0"/>
        <v>Цымбалюк Л.Н.Цымбалюк А.Е.</v>
      </c>
      <c r="O27" s="6">
        <v>12</v>
      </c>
      <c r="P27" s="6">
        <v>0</v>
      </c>
      <c r="Q27" s="61" t="s">
        <v>78</v>
      </c>
      <c r="R27" s="6">
        <f>I27+J27+K27+P27+O27-T27</f>
        <v>36</v>
      </c>
      <c r="S27" s="61" t="s">
        <v>281</v>
      </c>
      <c r="T27" s="61">
        <f>O27</f>
        <v>12</v>
      </c>
      <c r="U27" s="61"/>
      <c r="V27" s="61"/>
    </row>
    <row r="28" spans="1:22" s="6" customFormat="1" ht="22.5" x14ac:dyDescent="0.25">
      <c r="A28" s="6" t="s">
        <v>122</v>
      </c>
      <c r="B28" s="6" t="s">
        <v>48</v>
      </c>
      <c r="C28" s="6">
        <v>4095</v>
      </c>
      <c r="D28" s="6">
        <v>3</v>
      </c>
      <c r="E28" s="6">
        <v>1</v>
      </c>
      <c r="F28" s="6">
        <v>20</v>
      </c>
      <c r="G28" s="6" t="s">
        <v>123</v>
      </c>
      <c r="H28" s="6">
        <v>4</v>
      </c>
      <c r="I28" s="6">
        <v>0</v>
      </c>
      <c r="J28" s="6">
        <v>0</v>
      </c>
      <c r="K28" s="6">
        <v>0</v>
      </c>
      <c r="L28" s="1" t="str">
        <f t="shared" si="0"/>
        <v>Цымбалюк Л.Н.Цымбалюк А.Е.</v>
      </c>
      <c r="O28" s="6">
        <v>30</v>
      </c>
      <c r="P28" s="6">
        <v>0</v>
      </c>
      <c r="Q28" s="61" t="s">
        <v>78</v>
      </c>
      <c r="R28" s="6">
        <f>I28+J28+K28+P28+O28-T28</f>
        <v>10</v>
      </c>
      <c r="S28" s="61" t="s">
        <v>281</v>
      </c>
      <c r="T28" s="61">
        <v>20</v>
      </c>
      <c r="U28" s="61"/>
      <c r="V28" s="61"/>
    </row>
    <row r="29" spans="1:22" s="6" customFormat="1" ht="33" customHeight="1" x14ac:dyDescent="0.25">
      <c r="A29" s="6" t="s">
        <v>124</v>
      </c>
      <c r="B29" s="6" t="s">
        <v>48</v>
      </c>
      <c r="C29" s="6">
        <v>4095</v>
      </c>
      <c r="D29" s="6">
        <v>3</v>
      </c>
      <c r="E29" s="6">
        <v>1</v>
      </c>
      <c r="F29" s="6">
        <v>20</v>
      </c>
      <c r="G29" s="6" t="s">
        <v>19</v>
      </c>
      <c r="H29" s="6">
        <v>4</v>
      </c>
      <c r="I29" s="6">
        <v>18</v>
      </c>
      <c r="J29" s="6">
        <v>0</v>
      </c>
      <c r="K29" s="6">
        <v>18</v>
      </c>
      <c r="L29" s="1" t="str">
        <f t="shared" si="0"/>
        <v>Телина И.С.</v>
      </c>
      <c r="M29" s="6">
        <v>3312</v>
      </c>
      <c r="N29" s="6" t="s">
        <v>112</v>
      </c>
      <c r="O29" s="6">
        <v>12</v>
      </c>
      <c r="P29" s="6">
        <v>0</v>
      </c>
      <c r="Q29" s="61" t="s">
        <v>79</v>
      </c>
      <c r="R29" s="6">
        <f>I29+O29+K29</f>
        <v>48</v>
      </c>
      <c r="S29" s="61"/>
      <c r="T29" s="61"/>
      <c r="U29" s="61"/>
      <c r="V29" s="61"/>
    </row>
    <row r="30" spans="1:22" s="6" customFormat="1" ht="33" customHeight="1" x14ac:dyDescent="0.25">
      <c r="A30" s="6" t="s">
        <v>125</v>
      </c>
      <c r="B30" s="6" t="s">
        <v>48</v>
      </c>
      <c r="C30" s="6">
        <v>4095</v>
      </c>
      <c r="D30" s="6">
        <v>3</v>
      </c>
      <c r="E30" s="6">
        <v>1</v>
      </c>
      <c r="F30" s="6">
        <v>20</v>
      </c>
      <c r="G30" s="6" t="s">
        <v>19</v>
      </c>
      <c r="H30" s="6">
        <v>4</v>
      </c>
      <c r="I30" s="6">
        <v>9</v>
      </c>
      <c r="J30" s="6">
        <v>0</v>
      </c>
      <c r="K30" s="6">
        <v>18</v>
      </c>
      <c r="L30" s="1" t="str">
        <f t="shared" si="0"/>
        <v>Телина И.С.</v>
      </c>
      <c r="M30" s="6">
        <v>2407</v>
      </c>
      <c r="N30" s="6" t="s">
        <v>112</v>
      </c>
      <c r="O30" s="6">
        <v>9</v>
      </c>
      <c r="P30" s="6">
        <v>0</v>
      </c>
      <c r="Q30" s="61" t="s">
        <v>79</v>
      </c>
      <c r="R30" s="6">
        <f t="shared" si="1"/>
        <v>36</v>
      </c>
      <c r="S30" s="61"/>
      <c r="T30" s="61"/>
      <c r="U30" s="61"/>
      <c r="V30" s="61"/>
    </row>
    <row r="31" spans="1:22" s="6" customFormat="1" ht="33" customHeight="1" x14ac:dyDescent="0.25">
      <c r="A31" s="6" t="s">
        <v>126</v>
      </c>
      <c r="B31" s="6" t="s">
        <v>48</v>
      </c>
      <c r="C31" s="6">
        <v>4095</v>
      </c>
      <c r="D31" s="6">
        <v>3</v>
      </c>
      <c r="E31" s="6">
        <v>1</v>
      </c>
      <c r="F31" s="6">
        <v>20</v>
      </c>
      <c r="G31" s="6" t="s">
        <v>19</v>
      </c>
      <c r="H31" s="6">
        <v>3</v>
      </c>
      <c r="I31" s="6">
        <v>9</v>
      </c>
      <c r="J31" s="6">
        <v>0</v>
      </c>
      <c r="K31" s="6">
        <v>18</v>
      </c>
      <c r="L31" s="1" t="str">
        <f t="shared" si="0"/>
        <v>Попов В.С.</v>
      </c>
      <c r="M31" s="6">
        <v>3312</v>
      </c>
      <c r="N31" s="6" t="s">
        <v>171</v>
      </c>
      <c r="O31" s="6">
        <v>9</v>
      </c>
      <c r="P31" s="6">
        <v>0</v>
      </c>
      <c r="Q31" s="61" t="s">
        <v>327</v>
      </c>
      <c r="R31" s="6">
        <f t="shared" si="1"/>
        <v>36</v>
      </c>
      <c r="S31" s="61"/>
      <c r="T31" s="61"/>
      <c r="U31" s="61"/>
      <c r="V31" s="61"/>
    </row>
    <row r="32" spans="1:22" s="6" customFormat="1" ht="32.450000000000003" customHeight="1" x14ac:dyDescent="0.25">
      <c r="A32" s="6" t="s">
        <v>49</v>
      </c>
      <c r="B32" s="6" t="s">
        <v>48</v>
      </c>
      <c r="C32" s="6">
        <v>4095</v>
      </c>
      <c r="D32" s="6">
        <v>3</v>
      </c>
      <c r="E32" s="6">
        <v>1</v>
      </c>
      <c r="F32" s="6">
        <v>20</v>
      </c>
      <c r="G32" s="6" t="s">
        <v>17</v>
      </c>
      <c r="H32" s="6">
        <v>3</v>
      </c>
      <c r="I32" s="6">
        <v>0</v>
      </c>
      <c r="J32" s="6">
        <v>2</v>
      </c>
      <c r="K32" s="6">
        <v>0</v>
      </c>
      <c r="L32" s="1" t="str">
        <f t="shared" si="0"/>
        <v>Макевич П.В.Архипова Г.А.Кулаков И.Ю.</v>
      </c>
      <c r="M32" s="6" t="s">
        <v>200</v>
      </c>
      <c r="O32" s="6">
        <v>48</v>
      </c>
      <c r="P32" s="6">
        <v>0</v>
      </c>
      <c r="Q32" s="61" t="s">
        <v>54</v>
      </c>
      <c r="R32" s="6">
        <v>28</v>
      </c>
      <c r="S32" s="61" t="s">
        <v>75</v>
      </c>
      <c r="T32" s="61">
        <v>10</v>
      </c>
      <c r="U32" s="6" t="s">
        <v>81</v>
      </c>
      <c r="V32" s="61">
        <v>10</v>
      </c>
    </row>
    <row r="33" spans="1:22" ht="5.85" customHeight="1" x14ac:dyDescent="0.25">
      <c r="L33" s="1" t="str">
        <f t="shared" si="0"/>
        <v/>
      </c>
      <c r="R33" s="14"/>
    </row>
    <row r="34" spans="1:22" ht="36" customHeight="1" x14ac:dyDescent="0.25">
      <c r="A34" s="1" t="s">
        <v>44</v>
      </c>
      <c r="B34" s="1" t="s">
        <v>48</v>
      </c>
      <c r="C34" s="1">
        <v>4095</v>
      </c>
      <c r="D34" s="1">
        <v>4</v>
      </c>
      <c r="E34" s="1">
        <v>1</v>
      </c>
      <c r="F34" s="1">
        <v>20</v>
      </c>
      <c r="G34" s="1" t="s">
        <v>25</v>
      </c>
      <c r="H34" s="1">
        <v>18</v>
      </c>
      <c r="I34" s="1">
        <v>0</v>
      </c>
      <c r="J34" s="1">
        <v>2</v>
      </c>
      <c r="K34" s="1">
        <v>0</v>
      </c>
      <c r="L34" s="1" t="str">
        <f t="shared" si="0"/>
        <v>Кулаков И.Ю.Макевич П.В.Архипова Г.А.</v>
      </c>
      <c r="M34" s="1">
        <v>2407.3312000000001</v>
      </c>
      <c r="N34" s="1" t="s">
        <v>221</v>
      </c>
      <c r="O34" s="1">
        <v>288</v>
      </c>
      <c r="Q34" s="14" t="s">
        <v>81</v>
      </c>
      <c r="R34" s="1">
        <f>O34-T34-V34</f>
        <v>242</v>
      </c>
      <c r="S34" s="14" t="s">
        <v>54</v>
      </c>
      <c r="T34" s="1">
        <v>42</v>
      </c>
      <c r="U34" s="14" t="s">
        <v>75</v>
      </c>
      <c r="V34" s="1">
        <v>4</v>
      </c>
    </row>
    <row r="35" spans="1:22" ht="45" x14ac:dyDescent="0.25">
      <c r="A35" s="1" t="s">
        <v>216</v>
      </c>
      <c r="B35" s="1" t="s">
        <v>195</v>
      </c>
      <c r="C35" s="1">
        <v>4095</v>
      </c>
      <c r="D35" s="1">
        <v>4</v>
      </c>
      <c r="E35" s="1">
        <v>1</v>
      </c>
      <c r="F35" s="1">
        <v>23</v>
      </c>
      <c r="G35" s="1" t="s">
        <v>25</v>
      </c>
      <c r="H35" s="1">
        <v>9</v>
      </c>
      <c r="I35" s="1">
        <v>0</v>
      </c>
      <c r="J35" s="1">
        <v>2</v>
      </c>
      <c r="K35" s="1">
        <v>0</v>
      </c>
      <c r="L35" s="1" t="str">
        <f t="shared" si="0"/>
        <v>Соколова Г.Ю.</v>
      </c>
      <c r="M35" s="1">
        <v>3300</v>
      </c>
      <c r="N35" s="1" t="s">
        <v>388</v>
      </c>
      <c r="O35" s="1">
        <f>R35+T35+V35</f>
        <v>20</v>
      </c>
      <c r="Q35" s="14" t="s">
        <v>74</v>
      </c>
      <c r="R35" s="1">
        <v>20</v>
      </c>
      <c r="T35" s="1"/>
      <c r="V35" s="1"/>
    </row>
    <row r="36" spans="1:22" ht="36" customHeight="1" x14ac:dyDescent="0.25">
      <c r="A36" s="1" t="s">
        <v>216</v>
      </c>
      <c r="B36" s="1" t="s">
        <v>48</v>
      </c>
      <c r="C36" s="1">
        <v>4095</v>
      </c>
      <c r="D36" s="1">
        <v>4</v>
      </c>
      <c r="E36" s="1">
        <v>1</v>
      </c>
      <c r="F36" s="1">
        <v>20</v>
      </c>
      <c r="G36" s="1" t="s">
        <v>17</v>
      </c>
      <c r="H36" s="1">
        <v>9</v>
      </c>
      <c r="I36" s="1">
        <v>0</v>
      </c>
      <c r="J36" s="1">
        <v>0</v>
      </c>
      <c r="K36" s="1">
        <v>0</v>
      </c>
      <c r="L36" s="1" t="str">
        <f t="shared" si="0"/>
        <v>Кулаков И.Ю.Петров Р.В.Телина И.С.</v>
      </c>
      <c r="M36" s="1">
        <v>3312</v>
      </c>
      <c r="N36" s="1" t="s">
        <v>222</v>
      </c>
      <c r="O36" s="1">
        <f>R36+T36+V36</f>
        <v>54</v>
      </c>
      <c r="Q36" s="14" t="s">
        <v>81</v>
      </c>
      <c r="R36" s="1">
        <f>3*6</f>
        <v>18</v>
      </c>
      <c r="S36" s="14" t="s">
        <v>80</v>
      </c>
      <c r="T36" s="1">
        <f>3*6</f>
        <v>18</v>
      </c>
      <c r="U36" s="14" t="s">
        <v>79</v>
      </c>
      <c r="V36" s="1">
        <v>18</v>
      </c>
    </row>
    <row r="37" spans="1:22" ht="45" x14ac:dyDescent="0.25">
      <c r="A37" s="1" t="s">
        <v>216</v>
      </c>
      <c r="B37" s="1" t="s">
        <v>48</v>
      </c>
      <c r="C37" s="1">
        <v>4095</v>
      </c>
      <c r="D37" s="1">
        <v>4</v>
      </c>
      <c r="E37" s="1">
        <v>1</v>
      </c>
      <c r="F37" s="1">
        <v>20</v>
      </c>
      <c r="G37" s="1" t="s">
        <v>17</v>
      </c>
      <c r="H37" s="1">
        <v>9</v>
      </c>
      <c r="I37" s="1">
        <v>0</v>
      </c>
      <c r="J37" s="1">
        <v>0</v>
      </c>
      <c r="K37" s="1">
        <v>0</v>
      </c>
      <c r="L37" s="1" t="str">
        <f t="shared" si="0"/>
        <v>Соколова Г.Ю.Эминов С.И.Винник Л.И.</v>
      </c>
      <c r="M37" s="1">
        <v>3312</v>
      </c>
      <c r="N37" s="1" t="s">
        <v>222</v>
      </c>
      <c r="O37" s="1">
        <f t="shared" ref="O37:O41" si="5">R37+T37+V37</f>
        <v>54</v>
      </c>
      <c r="Q37" s="14" t="s">
        <v>74</v>
      </c>
      <c r="R37" s="1">
        <f>3*6</f>
        <v>18</v>
      </c>
      <c r="S37" s="14" t="s">
        <v>68</v>
      </c>
      <c r="T37" s="1">
        <f>3*6</f>
        <v>18</v>
      </c>
      <c r="U37" s="14" t="s">
        <v>77</v>
      </c>
      <c r="V37" s="1">
        <f>3*6</f>
        <v>18</v>
      </c>
    </row>
    <row r="38" spans="1:22" ht="45" x14ac:dyDescent="0.25">
      <c r="A38" s="1" t="s">
        <v>216</v>
      </c>
      <c r="B38" s="1" t="s">
        <v>48</v>
      </c>
      <c r="C38" s="1">
        <v>4095</v>
      </c>
      <c r="D38" s="1">
        <v>4</v>
      </c>
      <c r="E38" s="1">
        <v>1</v>
      </c>
      <c r="F38" s="1">
        <v>20</v>
      </c>
      <c r="G38" s="1" t="s">
        <v>17</v>
      </c>
      <c r="H38" s="1">
        <v>9</v>
      </c>
      <c r="I38" s="1">
        <v>0</v>
      </c>
      <c r="J38" s="1">
        <v>0</v>
      </c>
      <c r="K38" s="1">
        <v>0</v>
      </c>
      <c r="L38" s="1" t="str">
        <f t="shared" si="0"/>
        <v>Михайлов Д.В.</v>
      </c>
      <c r="M38" s="1">
        <v>3312</v>
      </c>
      <c r="N38" s="1" t="s">
        <v>299</v>
      </c>
      <c r="O38" s="1">
        <f t="shared" si="5"/>
        <v>16</v>
      </c>
      <c r="Q38" s="14" t="s">
        <v>70</v>
      </c>
      <c r="R38" s="1">
        <v>16</v>
      </c>
      <c r="S38" s="1"/>
      <c r="T38" s="1"/>
      <c r="V38" s="1"/>
    </row>
    <row r="39" spans="1:22" ht="45" x14ac:dyDescent="0.25">
      <c r="A39" s="1" t="s">
        <v>216</v>
      </c>
      <c r="B39" s="1" t="s">
        <v>48</v>
      </c>
      <c r="C39" s="1">
        <v>4095</v>
      </c>
      <c r="D39" s="1">
        <v>4</v>
      </c>
      <c r="E39" s="1">
        <v>1</v>
      </c>
      <c r="F39" s="1">
        <v>20</v>
      </c>
      <c r="G39" s="1" t="s">
        <v>17</v>
      </c>
      <c r="H39" s="1">
        <v>9</v>
      </c>
      <c r="I39" s="1">
        <v>0</v>
      </c>
      <c r="J39" s="1">
        <v>0</v>
      </c>
      <c r="K39" s="1">
        <v>0</v>
      </c>
      <c r="L39" s="1" t="str">
        <f t="shared" si="0"/>
        <v>ЧленКомиссии1ЧленКомиссии2ЧленКомиссии3</v>
      </c>
      <c r="M39" s="1">
        <v>3315</v>
      </c>
      <c r="N39" s="1" t="s">
        <v>217</v>
      </c>
      <c r="O39" s="1">
        <f t="shared" si="5"/>
        <v>18</v>
      </c>
      <c r="Q39" s="14" t="s">
        <v>284</v>
      </c>
      <c r="R39" s="1">
        <v>6</v>
      </c>
      <c r="S39" s="14" t="s">
        <v>285</v>
      </c>
      <c r="T39" s="1">
        <v>6</v>
      </c>
      <c r="U39" s="14" t="s">
        <v>286</v>
      </c>
      <c r="V39" s="1">
        <v>6</v>
      </c>
    </row>
    <row r="40" spans="1:22" ht="45" x14ac:dyDescent="0.25">
      <c r="A40" s="1" t="s">
        <v>216</v>
      </c>
      <c r="B40" s="1" t="s">
        <v>48</v>
      </c>
      <c r="C40" s="1">
        <v>4095</v>
      </c>
      <c r="D40" s="1">
        <v>4</v>
      </c>
      <c r="E40" s="1">
        <v>1</v>
      </c>
      <c r="F40" s="1">
        <v>20</v>
      </c>
      <c r="G40" s="1" t="s">
        <v>17</v>
      </c>
      <c r="H40" s="1">
        <v>9</v>
      </c>
      <c r="I40" s="1">
        <v>0</v>
      </c>
      <c r="J40" s="1">
        <v>0</v>
      </c>
      <c r="K40" s="1">
        <v>0</v>
      </c>
      <c r="L40" s="1" t="str">
        <f t="shared" si="0"/>
        <v>Эминов С.И.Соколова Г.Ю.Цымбалюк Л.Н.</v>
      </c>
      <c r="M40" s="1">
        <v>3315</v>
      </c>
      <c r="N40" s="1" t="s">
        <v>217</v>
      </c>
      <c r="O40" s="1">
        <f t="shared" si="5"/>
        <v>18</v>
      </c>
      <c r="Q40" s="14" t="s">
        <v>68</v>
      </c>
      <c r="R40" s="1">
        <v>6</v>
      </c>
      <c r="S40" s="14" t="s">
        <v>74</v>
      </c>
      <c r="T40" s="1">
        <v>6</v>
      </c>
      <c r="U40" s="14" t="s">
        <v>78</v>
      </c>
      <c r="V40" s="1">
        <v>6</v>
      </c>
    </row>
    <row r="41" spans="1:22" ht="30" customHeight="1" x14ac:dyDescent="0.25">
      <c r="A41" s="1" t="s">
        <v>216</v>
      </c>
      <c r="B41" s="1" t="s">
        <v>48</v>
      </c>
      <c r="C41" s="1">
        <v>4095</v>
      </c>
      <c r="D41" s="1">
        <v>4</v>
      </c>
      <c r="E41" s="1">
        <v>1</v>
      </c>
      <c r="F41" s="1">
        <v>20</v>
      </c>
      <c r="G41" s="1" t="s">
        <v>17</v>
      </c>
      <c r="H41" s="1">
        <v>9</v>
      </c>
      <c r="I41" s="1">
        <v>0</v>
      </c>
      <c r="J41" s="1">
        <v>0</v>
      </c>
      <c r="K41" s="1">
        <v>0</v>
      </c>
      <c r="L41" s="1" t="str">
        <f>CONCATENATE(Q41,"",S41,"",U41)</f>
        <v>Михайлов Д.В.Соколова Г.Ю.Кулаков И.Ю.</v>
      </c>
      <c r="M41" s="1">
        <v>3315</v>
      </c>
      <c r="N41" s="1" t="s">
        <v>300</v>
      </c>
      <c r="O41" s="1">
        <f t="shared" si="5"/>
        <v>24</v>
      </c>
      <c r="Q41" s="14" t="s">
        <v>70</v>
      </c>
      <c r="R41" s="1">
        <v>8</v>
      </c>
      <c r="S41" s="14" t="s">
        <v>74</v>
      </c>
      <c r="T41" s="1">
        <v>8</v>
      </c>
      <c r="U41" s="14" t="s">
        <v>81</v>
      </c>
      <c r="V41" s="1">
        <v>8</v>
      </c>
    </row>
  </sheetData>
  <autoFilter ref="A1:N41" xr:uid="{6758F298-9960-4200-AE2E-3BA7835DA117}"/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32F-E8B5-4C38-A62B-37EF1933B14E}">
  <sheetPr codeName="Лист13">
    <pageSetUpPr fitToPage="1"/>
  </sheetPr>
  <dimension ref="A1:T6"/>
  <sheetViews>
    <sheetView view="pageBreakPreview" zoomScale="142" zoomScaleNormal="130" zoomScaleSheetLayoutView="142" workbookViewId="0">
      <pane xSplit="1" ySplit="1" topLeftCell="B2" activePane="bottomRight" state="frozenSplit"/>
      <selection activeCell="D26" sqref="D26"/>
      <selection pane="topRight" activeCell="D26" sqref="D26"/>
      <selection pane="bottomLeft" activeCell="D26" sqref="D26"/>
      <selection pane="bottomRight" activeCell="D2" sqref="D2"/>
    </sheetView>
  </sheetViews>
  <sheetFormatPr defaultColWidth="8.5703125" defaultRowHeight="11.25" x14ac:dyDescent="0.25"/>
  <cols>
    <col min="1" max="1" width="15.5703125" style="1" customWidth="1"/>
    <col min="2" max="2" width="11.42578125" style="1" customWidth="1"/>
    <col min="3" max="3" width="9.5703125" style="1" customWidth="1"/>
    <col min="4" max="4" width="3.5703125" style="1" bestFit="1" customWidth="1"/>
    <col min="5" max="5" width="7.42578125" style="1" bestFit="1" customWidth="1"/>
    <col min="6" max="6" width="6.5703125" style="1" bestFit="1" customWidth="1"/>
    <col min="7" max="7" width="3.42578125" style="1" bestFit="1" customWidth="1"/>
    <col min="8" max="8" width="4" style="1" bestFit="1" customWidth="1"/>
    <col min="9" max="9" width="3.42578125" style="1" bestFit="1" customWidth="1"/>
    <col min="10" max="10" width="4.140625" style="1" customWidth="1"/>
    <col min="11" max="11" width="8" style="1" bestFit="1" customWidth="1"/>
    <col min="12" max="12" width="14" style="1" customWidth="1"/>
    <col min="13" max="13" width="10.5703125" style="1" customWidth="1"/>
    <col min="14" max="14" width="8.5703125" style="1"/>
    <col min="15" max="16" width="3.5703125" style="1" customWidth="1"/>
    <col min="17" max="17" width="6.5703125" style="1" customWidth="1"/>
    <col min="18" max="20" width="6.140625" style="1" customWidth="1"/>
    <col min="21" max="16384" width="8.5703125" style="1"/>
  </cols>
  <sheetData>
    <row r="1" spans="1:20" ht="56.2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15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P1" s="1" t="s">
        <v>191</v>
      </c>
      <c r="Q1" s="1" t="s">
        <v>177</v>
      </c>
      <c r="R1" s="1" t="s">
        <v>178</v>
      </c>
      <c r="S1" s="1" t="s">
        <v>177</v>
      </c>
      <c r="T1" s="1" t="s">
        <v>178</v>
      </c>
    </row>
    <row r="2" spans="1:20" ht="27" customHeight="1" x14ac:dyDescent="0.2">
      <c r="A2" s="1" t="s">
        <v>21</v>
      </c>
      <c r="B2" s="78" t="s">
        <v>375</v>
      </c>
      <c r="C2" s="1" t="s">
        <v>32</v>
      </c>
      <c r="D2" s="1">
        <v>8</v>
      </c>
      <c r="E2" s="1">
        <v>1</v>
      </c>
      <c r="F2" s="1">
        <v>18</v>
      </c>
      <c r="G2" s="1" t="s">
        <v>25</v>
      </c>
      <c r="H2" s="1">
        <v>1</v>
      </c>
      <c r="I2" s="1">
        <v>2</v>
      </c>
      <c r="J2" s="1">
        <v>6</v>
      </c>
      <c r="K2" s="1">
        <v>6</v>
      </c>
      <c r="L2" s="1" t="str">
        <f t="shared" ref="L2:L5" si="0">CONCATENATE(Q2,"",S2,"",U2)</f>
        <v>Архипова Г.А.</v>
      </c>
      <c r="M2" s="1">
        <v>3312.3305</v>
      </c>
      <c r="O2" s="1">
        <v>2.25</v>
      </c>
      <c r="P2" s="1">
        <v>0</v>
      </c>
      <c r="Q2" s="17" t="s">
        <v>75</v>
      </c>
      <c r="R2" s="19">
        <f>I2+J2+K2+P2+O2</f>
        <v>16.25</v>
      </c>
    </row>
    <row r="3" spans="1:20" ht="27" customHeight="1" x14ac:dyDescent="0.2">
      <c r="A3" s="1" t="s">
        <v>103</v>
      </c>
      <c r="B3" s="1" t="s">
        <v>104</v>
      </c>
      <c r="C3" s="1" t="s">
        <v>301</v>
      </c>
      <c r="D3" s="1">
        <v>1</v>
      </c>
      <c r="E3" s="1">
        <v>3</v>
      </c>
      <c r="F3" s="1">
        <v>49</v>
      </c>
      <c r="G3" s="1" t="s">
        <v>25</v>
      </c>
      <c r="H3" s="1">
        <v>4</v>
      </c>
      <c r="I3" s="1">
        <v>7</v>
      </c>
      <c r="J3" s="1">
        <f>7*2</f>
        <v>14</v>
      </c>
      <c r="K3" s="1">
        <f>42*4</f>
        <v>168</v>
      </c>
      <c r="L3" s="1" t="str">
        <f t="shared" si="0"/>
        <v>Макевич П.В.Попов В.С.</v>
      </c>
      <c r="M3" s="1" t="s">
        <v>346</v>
      </c>
      <c r="N3" s="1" t="s">
        <v>235</v>
      </c>
      <c r="O3" s="1">
        <v>30</v>
      </c>
      <c r="P3" s="1">
        <v>0</v>
      </c>
      <c r="Q3" s="17" t="s">
        <v>54</v>
      </c>
      <c r="R3" s="19">
        <f>I3+J3+O3</f>
        <v>51</v>
      </c>
      <c r="S3" s="17" t="s">
        <v>327</v>
      </c>
      <c r="T3" s="19">
        <f>42*4</f>
        <v>168</v>
      </c>
    </row>
    <row r="4" spans="1:20" ht="27" customHeight="1" x14ac:dyDescent="0.2">
      <c r="A4" s="1" t="s">
        <v>260</v>
      </c>
      <c r="B4" s="1" t="s">
        <v>104</v>
      </c>
      <c r="C4" s="1" t="s">
        <v>301</v>
      </c>
      <c r="D4" s="1">
        <v>3</v>
      </c>
      <c r="E4" s="1">
        <v>2</v>
      </c>
      <c r="F4" s="1">
        <v>47</v>
      </c>
      <c r="G4" s="1" t="s">
        <v>25</v>
      </c>
      <c r="H4" s="1">
        <v>4</v>
      </c>
      <c r="I4" s="1">
        <v>28</v>
      </c>
      <c r="J4" s="1">
        <f>28</f>
        <v>28</v>
      </c>
      <c r="K4" s="1">
        <v>0</v>
      </c>
      <c r="L4" s="1" t="str">
        <f t="shared" si="0"/>
        <v>Попов В.С.Залилов Р.Ю.</v>
      </c>
      <c r="N4" s="1" t="s">
        <v>235</v>
      </c>
      <c r="O4" s="1">
        <v>28.2</v>
      </c>
      <c r="P4" s="1">
        <v>0</v>
      </c>
      <c r="Q4" s="17" t="s">
        <v>327</v>
      </c>
      <c r="R4" s="19">
        <f>J4*E4+O4/2</f>
        <v>70.099999999999994</v>
      </c>
      <c r="S4" s="1" t="s">
        <v>186</v>
      </c>
      <c r="T4" s="1">
        <f>I4+O4/2</f>
        <v>42.1</v>
      </c>
    </row>
    <row r="5" spans="1:20" ht="27" customHeight="1" x14ac:dyDescent="0.2">
      <c r="A5" s="1" t="s">
        <v>260</v>
      </c>
      <c r="B5" s="1" t="s">
        <v>104</v>
      </c>
      <c r="C5" s="1" t="s">
        <v>301</v>
      </c>
      <c r="D5" s="1">
        <v>7</v>
      </c>
      <c r="E5" s="1">
        <v>1</v>
      </c>
      <c r="F5" s="1">
        <v>30</v>
      </c>
      <c r="G5" s="1" t="s">
        <v>25</v>
      </c>
      <c r="H5" s="1">
        <v>4</v>
      </c>
      <c r="I5" s="1">
        <v>28</v>
      </c>
      <c r="J5" s="1">
        <f>28</f>
        <v>28</v>
      </c>
      <c r="K5" s="1">
        <v>1</v>
      </c>
      <c r="L5" s="1" t="str">
        <f t="shared" si="0"/>
        <v>Попов В.С.Залилов Р.Ю.</v>
      </c>
      <c r="N5" s="1" t="s">
        <v>235</v>
      </c>
      <c r="O5" s="1">
        <v>8.4</v>
      </c>
      <c r="P5" s="1">
        <v>0</v>
      </c>
      <c r="Q5" s="17" t="s">
        <v>327</v>
      </c>
      <c r="R5" s="19">
        <f>J5*E5+O5/2</f>
        <v>32.200000000000003</v>
      </c>
      <c r="S5" s="1" t="s">
        <v>186</v>
      </c>
      <c r="T5" s="1">
        <f>I5+O5/2</f>
        <v>32.200000000000003</v>
      </c>
    </row>
    <row r="6" spans="1:20" ht="27" customHeight="1" x14ac:dyDescent="0.2">
      <c r="A6" s="1" t="s">
        <v>21</v>
      </c>
      <c r="B6" s="1" t="s">
        <v>31</v>
      </c>
      <c r="C6" s="1" t="s">
        <v>32</v>
      </c>
      <c r="D6" s="1">
        <v>7</v>
      </c>
      <c r="E6" s="1">
        <v>2</v>
      </c>
      <c r="F6" s="1">
        <v>15</v>
      </c>
      <c r="G6" s="1" t="s">
        <v>19</v>
      </c>
      <c r="H6" s="1">
        <v>1</v>
      </c>
      <c r="I6" s="1">
        <v>2</v>
      </c>
      <c r="J6" s="1">
        <v>6</v>
      </c>
      <c r="K6" s="1">
        <v>6</v>
      </c>
      <c r="L6" s="1" t="str">
        <f>CONCATENATE(Q6,"",S6,"",U6)</f>
        <v>Архипова Г.А.</v>
      </c>
      <c r="M6" s="1">
        <v>3312</v>
      </c>
      <c r="N6" s="1" t="s">
        <v>201</v>
      </c>
      <c r="O6" s="1">
        <v>2.2999999999999998</v>
      </c>
      <c r="P6" s="1">
        <v>0</v>
      </c>
      <c r="Q6" s="17" t="s">
        <v>75</v>
      </c>
      <c r="R6" s="19">
        <f>I6+J6+K6+P6+O6</f>
        <v>16.3</v>
      </c>
    </row>
  </sheetData>
  <autoFilter ref="A1:T6" xr:uid="{C704A68D-CD3A-4F0D-9C82-6BD60DADBD3D}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A68D-CD3A-4F0D-9C82-6BD60DADBD3D}">
  <sheetPr codeName="Лист4" filterMode="1">
    <pageSetUpPr fitToPage="1"/>
  </sheetPr>
  <dimension ref="A1:U11"/>
  <sheetViews>
    <sheetView view="pageBreakPreview" zoomScale="126" zoomScaleNormal="130" zoomScaleSheetLayoutView="126" workbookViewId="0">
      <pane xSplit="1" ySplit="1" topLeftCell="B2" activePane="bottomRight" state="frozenSplit"/>
      <selection activeCell="D26" sqref="D26"/>
      <selection pane="topRight" activeCell="D26" sqref="D26"/>
      <selection pane="bottomLeft" activeCell="D26" sqref="D26"/>
      <selection pane="bottomRight" activeCell="H23" sqref="H23"/>
    </sheetView>
  </sheetViews>
  <sheetFormatPr defaultColWidth="8.5703125" defaultRowHeight="11.25" x14ac:dyDescent="0.25"/>
  <cols>
    <col min="1" max="1" width="19.42578125" style="1" customWidth="1"/>
    <col min="2" max="2" width="11.42578125" style="1" customWidth="1"/>
    <col min="3" max="3" width="9.5703125" style="1" customWidth="1"/>
    <col min="4" max="4" width="3.5703125" style="1" bestFit="1" customWidth="1"/>
    <col min="5" max="5" width="7.42578125" style="1" bestFit="1" customWidth="1"/>
    <col min="6" max="6" width="6.5703125" style="1" bestFit="1" customWidth="1"/>
    <col min="7" max="7" width="3.42578125" style="1" bestFit="1" customWidth="1"/>
    <col min="8" max="8" width="4" style="1" bestFit="1" customWidth="1"/>
    <col min="9" max="9" width="3.42578125" style="1" bestFit="1" customWidth="1"/>
    <col min="10" max="10" width="4.140625" style="1" customWidth="1"/>
    <col min="11" max="11" width="8" style="1" bestFit="1" customWidth="1"/>
    <col min="12" max="12" width="14" style="1" customWidth="1"/>
    <col min="13" max="13" width="10.5703125" style="1" customWidth="1"/>
    <col min="14" max="14" width="8.5703125" style="1"/>
    <col min="15" max="16" width="3.5703125" style="1" customWidth="1"/>
    <col min="17" max="17" width="9.5703125" style="1" customWidth="1"/>
    <col min="18" max="20" width="6.140625" style="1" customWidth="1"/>
    <col min="21" max="16384" width="8.5703125" style="1"/>
  </cols>
  <sheetData>
    <row r="1" spans="1:21" ht="56.2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15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P1" s="1" t="s">
        <v>191</v>
      </c>
      <c r="Q1" s="1" t="s">
        <v>177</v>
      </c>
      <c r="R1" s="1" t="s">
        <v>178</v>
      </c>
      <c r="S1" s="1" t="s">
        <v>177</v>
      </c>
      <c r="T1" s="1" t="s">
        <v>178</v>
      </c>
    </row>
    <row r="2" spans="1:21" ht="22.5" x14ac:dyDescent="0.2">
      <c r="A2" s="1" t="s">
        <v>88</v>
      </c>
      <c r="B2" s="1" t="s">
        <v>89</v>
      </c>
      <c r="C2" s="1" t="s">
        <v>302</v>
      </c>
      <c r="D2" s="1">
        <v>7</v>
      </c>
      <c r="E2" s="1">
        <v>1</v>
      </c>
      <c r="F2" s="1">
        <v>9</v>
      </c>
      <c r="G2" s="1" t="s">
        <v>17</v>
      </c>
      <c r="H2" s="1">
        <v>6</v>
      </c>
      <c r="I2" s="1">
        <v>28</v>
      </c>
      <c r="J2" s="1">
        <v>0</v>
      </c>
      <c r="K2" s="1">
        <v>42</v>
      </c>
      <c r="L2" s="1" t="s">
        <v>69</v>
      </c>
      <c r="M2" s="1">
        <v>3317</v>
      </c>
      <c r="N2" s="1" t="s">
        <v>224</v>
      </c>
      <c r="O2" s="1">
        <v>9.9</v>
      </c>
      <c r="P2" s="1">
        <v>6.6</v>
      </c>
      <c r="Q2" s="17" t="str">
        <f>L2</f>
        <v>Моркин С.А.</v>
      </c>
      <c r="R2" s="19">
        <f>I2+J2+K2+P2+O2</f>
        <v>86.5</v>
      </c>
    </row>
    <row r="3" spans="1:21" s="6" customFormat="1" ht="42.6" hidden="1" customHeight="1" x14ac:dyDescent="0.2">
      <c r="A3" s="6" t="s">
        <v>118</v>
      </c>
      <c r="B3" s="6" t="s">
        <v>232</v>
      </c>
      <c r="C3" s="6" t="s">
        <v>302</v>
      </c>
      <c r="D3" s="6">
        <v>8</v>
      </c>
      <c r="E3" s="6">
        <v>1</v>
      </c>
      <c r="F3" s="6">
        <v>1</v>
      </c>
      <c r="G3" s="6" t="s">
        <v>17</v>
      </c>
      <c r="H3" s="6">
        <v>5</v>
      </c>
      <c r="I3" s="6">
        <f>14/2</f>
        <v>7</v>
      </c>
      <c r="J3" s="6">
        <v>0</v>
      </c>
      <c r="K3" s="6">
        <f>42/2</f>
        <v>21</v>
      </c>
      <c r="L3" s="6" t="s">
        <v>74</v>
      </c>
      <c r="M3" s="6">
        <v>3300</v>
      </c>
      <c r="N3" s="75">
        <v>0.5</v>
      </c>
      <c r="O3" s="6">
        <v>0.8</v>
      </c>
      <c r="P3" s="6">
        <v>0.5</v>
      </c>
      <c r="Q3" s="67" t="str">
        <f>L3</f>
        <v>Соколова Г.Ю.</v>
      </c>
      <c r="R3" s="76">
        <f>I3+J3+K3+P3+O3</f>
        <v>29.3</v>
      </c>
      <c r="U3" s="75">
        <v>0.5</v>
      </c>
    </row>
    <row r="4" spans="1:21" s="6" customFormat="1" ht="42.6" hidden="1" customHeight="1" x14ac:dyDescent="0.2">
      <c r="A4" s="6" t="s">
        <v>118</v>
      </c>
      <c r="B4" s="6" t="s">
        <v>174</v>
      </c>
      <c r="C4" s="6" t="s">
        <v>302</v>
      </c>
      <c r="D4" s="6">
        <v>8</v>
      </c>
      <c r="E4" s="6">
        <v>1</v>
      </c>
      <c r="F4" s="6">
        <v>5</v>
      </c>
      <c r="G4" s="6" t="s">
        <v>17</v>
      </c>
      <c r="H4" s="6">
        <v>5</v>
      </c>
      <c r="I4" s="6">
        <f>14/2</f>
        <v>7</v>
      </c>
      <c r="J4" s="6">
        <v>0</v>
      </c>
      <c r="K4" s="6">
        <f>42/2</f>
        <v>21</v>
      </c>
      <c r="L4" s="1" t="str">
        <f t="shared" ref="L4:L10" si="0">CONCATENATE(Q4,"",S4,"",U4)</f>
        <v>Соколова Г.Ю.0,5</v>
      </c>
      <c r="M4" s="6">
        <v>3300</v>
      </c>
      <c r="N4" s="75">
        <v>0.5</v>
      </c>
      <c r="O4" s="6">
        <v>3.8</v>
      </c>
      <c r="P4" s="6">
        <v>2.5</v>
      </c>
      <c r="Q4" s="67" t="s">
        <v>74</v>
      </c>
      <c r="R4" s="76">
        <f>I4+J4+K4+P4+O4</f>
        <v>34.299999999999997</v>
      </c>
      <c r="U4" s="75">
        <v>0.5</v>
      </c>
    </row>
    <row r="5" spans="1:21" ht="67.5" x14ac:dyDescent="0.2">
      <c r="A5" s="1" t="s">
        <v>119</v>
      </c>
      <c r="B5" s="1" t="s">
        <v>29</v>
      </c>
      <c r="C5" s="1" t="s">
        <v>302</v>
      </c>
      <c r="D5" s="1">
        <v>9</v>
      </c>
      <c r="E5" s="1">
        <v>2</v>
      </c>
      <c r="F5" s="1">
        <v>13</v>
      </c>
      <c r="G5" s="1" t="s">
        <v>25</v>
      </c>
      <c r="H5" s="1">
        <v>3</v>
      </c>
      <c r="I5" s="1">
        <v>0</v>
      </c>
      <c r="J5" s="1">
        <v>2</v>
      </c>
      <c r="K5" s="1">
        <v>0</v>
      </c>
      <c r="L5" s="1" t="str">
        <f t="shared" si="0"/>
        <v>Моркин С.А.</v>
      </c>
      <c r="M5" s="1">
        <v>3317</v>
      </c>
      <c r="N5" s="1" t="s">
        <v>224</v>
      </c>
      <c r="O5" s="1">
        <v>31.2</v>
      </c>
      <c r="P5" s="1">
        <v>0</v>
      </c>
      <c r="Q5" s="17" t="s">
        <v>69</v>
      </c>
      <c r="R5" s="19">
        <f>31.2</f>
        <v>31.2</v>
      </c>
    </row>
    <row r="6" spans="1:21" ht="45" hidden="1" x14ac:dyDescent="0.2">
      <c r="A6" s="1" t="s">
        <v>41</v>
      </c>
      <c r="B6" s="1" t="s">
        <v>29</v>
      </c>
      <c r="C6" s="1" t="s">
        <v>302</v>
      </c>
      <c r="D6" s="1">
        <v>6</v>
      </c>
      <c r="E6" s="1">
        <v>2</v>
      </c>
      <c r="F6" s="1">
        <v>8</v>
      </c>
      <c r="G6" s="1" t="s">
        <v>17</v>
      </c>
      <c r="H6" s="1">
        <v>6</v>
      </c>
      <c r="I6" s="1">
        <v>28</v>
      </c>
      <c r="J6" s="1">
        <v>0</v>
      </c>
      <c r="K6" s="1">
        <f>42*2</f>
        <v>84</v>
      </c>
      <c r="L6" s="1" t="str">
        <f t="shared" si="0"/>
        <v>Соколова Г.Ю.Архипова Г.А.</v>
      </c>
      <c r="M6" s="1" t="s">
        <v>211</v>
      </c>
      <c r="N6" s="1" t="s">
        <v>224</v>
      </c>
      <c r="O6" s="1">
        <v>23.4</v>
      </c>
      <c r="P6" s="1">
        <v>15.6</v>
      </c>
      <c r="Q6" s="17" t="s">
        <v>74</v>
      </c>
      <c r="R6" s="19">
        <f>I6+K6/2+P6/2+O6/2</f>
        <v>89.5</v>
      </c>
      <c r="S6" s="1" t="s">
        <v>75</v>
      </c>
      <c r="T6" s="1">
        <f>K6/2+O6/2+P6/2</f>
        <v>61.5</v>
      </c>
    </row>
    <row r="7" spans="1:21" ht="33.75" hidden="1" x14ac:dyDescent="0.2">
      <c r="A7" s="1" t="s">
        <v>45</v>
      </c>
      <c r="B7" s="1" t="s">
        <v>29</v>
      </c>
      <c r="C7" s="1" t="s">
        <v>302</v>
      </c>
      <c r="D7" s="1">
        <v>8</v>
      </c>
      <c r="E7" s="1">
        <v>2</v>
      </c>
      <c r="F7" s="1">
        <v>6</v>
      </c>
      <c r="G7" s="1" t="s">
        <v>25</v>
      </c>
      <c r="H7" s="1">
        <v>5</v>
      </c>
      <c r="I7" s="1">
        <v>28</v>
      </c>
      <c r="J7" s="1">
        <v>0</v>
      </c>
      <c r="K7" s="1">
        <v>42</v>
      </c>
      <c r="L7" s="1" t="str">
        <f t="shared" si="0"/>
        <v>Моркин С.А.</v>
      </c>
      <c r="M7" s="1">
        <v>3317</v>
      </c>
      <c r="N7" s="74">
        <v>0.5</v>
      </c>
      <c r="O7" s="1">
        <v>4.5</v>
      </c>
      <c r="P7" s="1">
        <v>0</v>
      </c>
      <c r="Q7" s="17" t="s">
        <v>69</v>
      </c>
      <c r="R7" s="19">
        <f>I7/2+J7/2+K7/2+P7+O7</f>
        <v>39.5</v>
      </c>
      <c r="S7" s="17"/>
    </row>
    <row r="8" spans="1:21" ht="22.5" hidden="1" x14ac:dyDescent="0.2">
      <c r="A8" s="1" t="s">
        <v>233</v>
      </c>
      <c r="B8" s="1" t="s">
        <v>29</v>
      </c>
      <c r="C8" s="1" t="s">
        <v>302</v>
      </c>
      <c r="D8" s="1">
        <v>8</v>
      </c>
      <c r="E8" s="1">
        <v>2</v>
      </c>
      <c r="F8" s="1">
        <v>66</v>
      </c>
      <c r="G8" s="1" t="s">
        <v>25</v>
      </c>
      <c r="H8" s="1">
        <v>3</v>
      </c>
      <c r="I8" s="1">
        <v>0</v>
      </c>
      <c r="J8" s="1">
        <v>2</v>
      </c>
      <c r="K8" s="1">
        <v>0</v>
      </c>
      <c r="L8" s="1" t="str">
        <f t="shared" si="0"/>
        <v>Моркин С.А.</v>
      </c>
      <c r="M8" s="1">
        <v>3317</v>
      </c>
      <c r="N8" s="74">
        <v>0.5</v>
      </c>
      <c r="O8" s="1">
        <v>14.4</v>
      </c>
      <c r="P8" s="1">
        <v>0</v>
      </c>
      <c r="Q8" s="17" t="s">
        <v>69</v>
      </c>
      <c r="R8" s="19">
        <f>I8+K8+P8+O8</f>
        <v>14.4</v>
      </c>
      <c r="S8" s="17"/>
    </row>
    <row r="9" spans="1:21" ht="56.25" hidden="1" x14ac:dyDescent="0.2">
      <c r="A9" s="1" t="s">
        <v>46</v>
      </c>
      <c r="B9" s="1" t="s">
        <v>89</v>
      </c>
      <c r="C9" s="1" t="s">
        <v>302</v>
      </c>
      <c r="D9" s="1">
        <v>10</v>
      </c>
      <c r="E9" s="1">
        <v>1</v>
      </c>
      <c r="F9" s="1">
        <v>9</v>
      </c>
      <c r="G9" s="1" t="s">
        <v>19</v>
      </c>
      <c r="H9" s="1">
        <v>3</v>
      </c>
      <c r="I9" s="1">
        <v>7</v>
      </c>
      <c r="J9" s="1">
        <v>21</v>
      </c>
      <c r="K9" s="1">
        <v>0</v>
      </c>
      <c r="L9" s="1" t="str">
        <f t="shared" si="0"/>
        <v>Моркин С.А.</v>
      </c>
      <c r="M9" s="1">
        <v>3317</v>
      </c>
      <c r="N9" s="1" t="s">
        <v>224</v>
      </c>
      <c r="O9" s="1">
        <v>2.7</v>
      </c>
      <c r="P9" s="1">
        <v>0</v>
      </c>
      <c r="Q9" s="17" t="s">
        <v>69</v>
      </c>
      <c r="R9" s="19">
        <f t="shared" ref="R9" si="1">I9+J9+K9+P9+O9</f>
        <v>30.7</v>
      </c>
    </row>
    <row r="10" spans="1:21" ht="33.75" hidden="1" x14ac:dyDescent="0.25">
      <c r="A10" s="1" t="s">
        <v>341</v>
      </c>
      <c r="B10" s="1" t="s">
        <v>333</v>
      </c>
      <c r="C10" s="1" t="s">
        <v>334</v>
      </c>
      <c r="D10" s="1">
        <v>4</v>
      </c>
      <c r="F10" s="1">
        <v>30</v>
      </c>
      <c r="G10" s="1" t="s">
        <v>17</v>
      </c>
      <c r="H10" s="1">
        <v>4</v>
      </c>
      <c r="I10" s="1">
        <v>28</v>
      </c>
      <c r="J10" s="1">
        <v>20</v>
      </c>
      <c r="K10" s="1">
        <v>0</v>
      </c>
      <c r="L10" s="1" t="str">
        <f t="shared" si="0"/>
        <v>Егорова О.В.</v>
      </c>
      <c r="O10" s="1">
        <v>18</v>
      </c>
      <c r="P10" s="1">
        <v>12</v>
      </c>
      <c r="Q10" s="1" t="s">
        <v>342</v>
      </c>
      <c r="R10" s="1">
        <f>I10+J10+O10+P10</f>
        <v>78</v>
      </c>
    </row>
    <row r="11" spans="1:21" ht="22.5" x14ac:dyDescent="0.25">
      <c r="A11" s="1" t="s">
        <v>20</v>
      </c>
      <c r="B11" s="1" t="s">
        <v>29</v>
      </c>
      <c r="C11" s="1" t="s">
        <v>302</v>
      </c>
      <c r="D11" s="1">
        <v>5</v>
      </c>
      <c r="E11" s="1">
        <v>2</v>
      </c>
      <c r="F11" s="1">
        <v>26</v>
      </c>
      <c r="G11" s="1" t="s">
        <v>347</v>
      </c>
      <c r="H11" s="1">
        <v>3</v>
      </c>
      <c r="I11" s="1">
        <v>21</v>
      </c>
      <c r="J11" s="1">
        <v>0</v>
      </c>
      <c r="K11" s="1">
        <f>21*2</f>
        <v>42</v>
      </c>
      <c r="L11" s="1" t="str">
        <f>CONCATENATE(Q11,"",S11,"",U11)</f>
        <v>Моркин С.А.</v>
      </c>
      <c r="O11" s="1">
        <v>11.7</v>
      </c>
      <c r="Q11" s="1" t="s">
        <v>69</v>
      </c>
      <c r="R11" s="1">
        <f>I11+J11+O11+P11+K11</f>
        <v>74.7</v>
      </c>
    </row>
  </sheetData>
  <autoFilter ref="A1:T11" xr:uid="{C704A68D-CD3A-4F0D-9C82-6BD60DADBD3D}">
    <filterColumn colId="3">
      <filters>
        <filter val="5"/>
        <filter val="7"/>
        <filter val="9"/>
      </filters>
    </filterColumn>
  </autoFilter>
  <phoneticPr fontId="6" type="noConversion"/>
  <pageMargins left="0.70866141732283472" right="0.70866141732283472" top="0.74803149606299213" bottom="0.74803149606299213" header="0.31496062992125984" footer="0.31496062992125984"/>
  <pageSetup paperSize="9" scale="82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38B3D-4F68-4B2D-91FE-823DBB7E30E1}">
  <sheetPr codeName="Лист3">
    <pageSetUpPr fitToPage="1"/>
  </sheetPr>
  <dimension ref="A1:W93"/>
  <sheetViews>
    <sheetView view="pageBreakPreview" zoomScale="115" zoomScaleNormal="100" zoomScaleSheetLayoutView="115" workbookViewId="0">
      <pane xSplit="1" ySplit="1" topLeftCell="C87" activePane="bottomRight" state="frozenSplit"/>
      <selection activeCell="D26" sqref="D26"/>
      <selection pane="topRight" activeCell="D26" sqref="D26"/>
      <selection pane="bottomLeft" activeCell="D26" sqref="D26"/>
      <selection pane="bottomRight" activeCell="L43" sqref="L43"/>
    </sheetView>
  </sheetViews>
  <sheetFormatPr defaultColWidth="8.85546875" defaultRowHeight="15" x14ac:dyDescent="0.25"/>
  <cols>
    <col min="1" max="1" width="21.5703125" style="3" customWidth="1"/>
    <col min="2" max="2" width="11.42578125" style="3" customWidth="1"/>
    <col min="3" max="3" width="7.5703125" style="3" bestFit="1" customWidth="1"/>
    <col min="4" max="4" width="3.5703125" style="3" bestFit="1" customWidth="1"/>
    <col min="5" max="5" width="7.42578125" style="3" bestFit="1" customWidth="1"/>
    <col min="6" max="6" width="6.5703125" style="3" bestFit="1" customWidth="1"/>
    <col min="7" max="7" width="4.42578125" style="3" customWidth="1"/>
    <col min="8" max="8" width="4" style="3" bestFit="1" customWidth="1"/>
    <col min="9" max="9" width="3.42578125" style="3" bestFit="1" customWidth="1"/>
    <col min="10" max="10" width="4.5703125" style="3" customWidth="1"/>
    <col min="11" max="11" width="4.42578125" style="3" customWidth="1"/>
    <col min="12" max="12" width="17.42578125" style="3" customWidth="1"/>
    <col min="13" max="13" width="14.5703125" style="3" customWidth="1"/>
    <col min="14" max="14" width="8.5703125" style="21" customWidth="1"/>
    <col min="15" max="15" width="7.42578125" style="21" customWidth="1"/>
    <col min="16" max="16" width="4.42578125" style="21" customWidth="1"/>
    <col min="17" max="17" width="8.42578125" style="3" customWidth="1"/>
    <col min="18" max="18" width="5.5703125" style="3" customWidth="1"/>
    <col min="19" max="19" width="8.42578125" style="3" customWidth="1"/>
    <col min="20" max="20" width="5.5703125" style="3" customWidth="1"/>
    <col min="21" max="21" width="10.42578125" style="3" customWidth="1"/>
    <col min="22" max="22" width="7.140625" style="3" customWidth="1"/>
    <col min="23" max="16384" width="8.85546875" style="3"/>
  </cols>
  <sheetData>
    <row r="1" spans="1:21" s="7" customFormat="1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180</v>
      </c>
      <c r="O1" s="1" t="s">
        <v>210</v>
      </c>
      <c r="P1" s="1" t="s">
        <v>209</v>
      </c>
      <c r="Q1" s="1" t="s">
        <v>177</v>
      </c>
      <c r="R1" s="1" t="s">
        <v>178</v>
      </c>
      <c r="S1" s="1" t="s">
        <v>177</v>
      </c>
      <c r="T1" s="1" t="s">
        <v>178</v>
      </c>
    </row>
    <row r="2" spans="1:21" customFormat="1" ht="35.450000000000003" customHeight="1" x14ac:dyDescent="0.25">
      <c r="A2" s="23" t="s">
        <v>13</v>
      </c>
      <c r="B2" s="23" t="s">
        <v>50</v>
      </c>
      <c r="C2" s="23" t="s">
        <v>305</v>
      </c>
      <c r="D2" s="23">
        <v>3</v>
      </c>
      <c r="E2" s="23">
        <v>1</v>
      </c>
      <c r="F2" s="23">
        <v>22</v>
      </c>
      <c r="G2" s="23" t="s">
        <v>17</v>
      </c>
      <c r="H2" s="23">
        <v>8</v>
      </c>
      <c r="I2" s="23">
        <v>8</v>
      </c>
      <c r="J2" s="23">
        <v>20</v>
      </c>
      <c r="K2" s="23">
        <v>0</v>
      </c>
      <c r="L2" s="1" t="str">
        <f t="shared" ref="L2:L65" si="0">CONCATENATE(Q2,"",S2,"",U2)</f>
        <v>Кулаков И.Ю.</v>
      </c>
      <c r="M2" s="23" t="s">
        <v>198</v>
      </c>
      <c r="N2" s="79" t="s">
        <v>202</v>
      </c>
      <c r="O2" s="79">
        <v>26.4</v>
      </c>
      <c r="P2" s="79">
        <v>17.600000000000001</v>
      </c>
      <c r="Q2" s="80" t="s">
        <v>81</v>
      </c>
      <c r="R2" s="81">
        <f>I2+J2+K2+P2+O2</f>
        <v>72</v>
      </c>
      <c r="S2" s="80"/>
      <c r="T2" s="81"/>
    </row>
    <row r="3" spans="1:21" customFormat="1" ht="23.25" x14ac:dyDescent="0.25">
      <c r="A3" s="23" t="s">
        <v>129</v>
      </c>
      <c r="B3" s="23" t="s">
        <v>50</v>
      </c>
      <c r="C3" s="23" t="s">
        <v>305</v>
      </c>
      <c r="D3" s="23">
        <v>3</v>
      </c>
      <c r="E3" s="23">
        <v>1</v>
      </c>
      <c r="F3" s="23">
        <v>22</v>
      </c>
      <c r="G3" s="23"/>
      <c r="H3" s="23">
        <v>0</v>
      </c>
      <c r="I3" s="23">
        <v>2</v>
      </c>
      <c r="J3" s="23">
        <v>0</v>
      </c>
      <c r="K3" s="23">
        <v>0</v>
      </c>
      <c r="L3" s="1" t="str">
        <f t="shared" si="0"/>
        <v>Петров Р.В.</v>
      </c>
      <c r="M3" s="23">
        <v>3305</v>
      </c>
      <c r="N3" s="23" t="s">
        <v>223</v>
      </c>
      <c r="O3" s="23">
        <v>0</v>
      </c>
      <c r="P3" s="23">
        <v>0</v>
      </c>
      <c r="Q3" s="80" t="s">
        <v>80</v>
      </c>
      <c r="R3" s="81">
        <v>0</v>
      </c>
      <c r="S3" s="82"/>
      <c r="T3" s="82"/>
    </row>
    <row r="4" spans="1:21" customFormat="1" ht="33.75" x14ac:dyDescent="0.25">
      <c r="A4" s="23" t="s">
        <v>94</v>
      </c>
      <c r="B4" s="23" t="s">
        <v>50</v>
      </c>
      <c r="C4" s="23" t="s">
        <v>305</v>
      </c>
      <c r="D4" s="23">
        <v>3</v>
      </c>
      <c r="E4" s="23">
        <v>1</v>
      </c>
      <c r="F4" s="23">
        <v>22</v>
      </c>
      <c r="G4" s="23"/>
      <c r="H4" s="23">
        <v>0</v>
      </c>
      <c r="I4" s="23">
        <v>2</v>
      </c>
      <c r="J4" s="23">
        <v>0</v>
      </c>
      <c r="K4" s="23">
        <v>0</v>
      </c>
      <c r="L4" s="1" t="str">
        <f t="shared" si="0"/>
        <v>Эминов С.И.</v>
      </c>
      <c r="M4" s="23">
        <v>3312.3314999999998</v>
      </c>
      <c r="N4" s="23" t="s">
        <v>223</v>
      </c>
      <c r="O4" s="23">
        <v>0</v>
      </c>
      <c r="P4" s="23">
        <v>0</v>
      </c>
      <c r="Q4" s="80" t="s">
        <v>68</v>
      </c>
      <c r="R4" s="81">
        <v>0</v>
      </c>
      <c r="S4" s="82"/>
      <c r="T4" s="82"/>
    </row>
    <row r="5" spans="1:21" customFormat="1" ht="23.25" x14ac:dyDescent="0.25">
      <c r="A5" s="23" t="s">
        <v>262</v>
      </c>
      <c r="B5" s="23" t="s">
        <v>50</v>
      </c>
      <c r="C5" s="23" t="s">
        <v>305</v>
      </c>
      <c r="D5" s="23">
        <v>3</v>
      </c>
      <c r="E5" s="23">
        <v>1</v>
      </c>
      <c r="F5" s="23">
        <v>22</v>
      </c>
      <c r="G5" s="23" t="s">
        <v>25</v>
      </c>
      <c r="H5" s="23">
        <v>4</v>
      </c>
      <c r="I5" s="23">
        <v>0</v>
      </c>
      <c r="J5" s="23">
        <v>16</v>
      </c>
      <c r="K5" s="23">
        <v>0</v>
      </c>
      <c r="L5" s="1" t="str">
        <f t="shared" si="0"/>
        <v>Гареева Т.Ю.</v>
      </c>
      <c r="M5" s="23">
        <v>4207</v>
      </c>
      <c r="N5" s="83" t="s">
        <v>202</v>
      </c>
      <c r="O5" s="83">
        <v>13.2</v>
      </c>
      <c r="P5" s="83">
        <v>0</v>
      </c>
      <c r="Q5" s="80" t="s">
        <v>263</v>
      </c>
      <c r="R5" s="81">
        <f>I5+J5+K5+P5+O5</f>
        <v>29.2</v>
      </c>
      <c r="S5" s="82"/>
      <c r="T5" s="82"/>
    </row>
    <row r="6" spans="1:21" customFormat="1" ht="21" customHeight="1" x14ac:dyDescent="0.25">
      <c r="A6" s="23" t="s">
        <v>337</v>
      </c>
      <c r="B6" s="23" t="s">
        <v>238</v>
      </c>
      <c r="C6" s="23" t="s">
        <v>305</v>
      </c>
      <c r="D6" s="23">
        <v>3</v>
      </c>
      <c r="E6" s="23">
        <v>1</v>
      </c>
      <c r="F6" s="23">
        <v>22</v>
      </c>
      <c r="G6" s="23" t="s">
        <v>19</v>
      </c>
      <c r="H6" s="23">
        <v>1</v>
      </c>
      <c r="I6" s="23">
        <v>0</v>
      </c>
      <c r="J6" s="23">
        <v>1</v>
      </c>
      <c r="K6" s="23">
        <v>0</v>
      </c>
      <c r="L6" s="1" t="str">
        <f t="shared" si="0"/>
        <v>Савинова М.А.</v>
      </c>
      <c r="M6" s="23">
        <v>108</v>
      </c>
      <c r="N6" s="23" t="s">
        <v>201</v>
      </c>
      <c r="O6" s="23">
        <v>0</v>
      </c>
      <c r="P6" s="23">
        <v>0</v>
      </c>
      <c r="Q6" s="80" t="s">
        <v>95</v>
      </c>
      <c r="R6" s="81">
        <v>0</v>
      </c>
      <c r="T6" s="81"/>
    </row>
    <row r="7" spans="1:21" s="1" customFormat="1" ht="5.0999999999999996" customHeight="1" x14ac:dyDescent="0.2">
      <c r="L7" s="1" t="str">
        <f t="shared" si="0"/>
        <v/>
      </c>
      <c r="Q7" s="17"/>
      <c r="R7" s="19">
        <f>I7+J7+K7+P7+O7</f>
        <v>0</v>
      </c>
      <c r="U7" s="16"/>
    </row>
    <row r="8" spans="1:21" ht="33.75" x14ac:dyDescent="0.25">
      <c r="A8" s="1" t="s">
        <v>13</v>
      </c>
      <c r="B8" s="1" t="s">
        <v>50</v>
      </c>
      <c r="C8" s="1" t="s">
        <v>127</v>
      </c>
      <c r="D8" s="1">
        <v>4</v>
      </c>
      <c r="E8" s="1">
        <v>1</v>
      </c>
      <c r="F8" s="1">
        <v>22</v>
      </c>
      <c r="G8" s="1" t="s">
        <v>17</v>
      </c>
      <c r="H8" s="1">
        <v>8</v>
      </c>
      <c r="I8" s="1">
        <v>8</v>
      </c>
      <c r="J8" s="1">
        <f>10*2</f>
        <v>20</v>
      </c>
      <c r="K8" s="1">
        <f>10*2</f>
        <v>20</v>
      </c>
      <c r="L8" s="1" t="str">
        <f t="shared" si="0"/>
        <v>Винник Л.И.</v>
      </c>
      <c r="M8" s="1" t="s">
        <v>226</v>
      </c>
      <c r="N8" s="20" t="s">
        <v>202</v>
      </c>
      <c r="O8" s="20">
        <v>26.4</v>
      </c>
      <c r="P8" s="20">
        <v>17.600000000000001</v>
      </c>
      <c r="Q8" s="17" t="s">
        <v>77</v>
      </c>
      <c r="R8" s="19">
        <f>I8+J8+O8+P8</f>
        <v>72</v>
      </c>
      <c r="S8" s="17"/>
      <c r="T8" s="19"/>
    </row>
    <row r="9" spans="1:21" ht="33.75" x14ac:dyDescent="0.25">
      <c r="A9" s="1" t="s">
        <v>52</v>
      </c>
      <c r="B9" s="1" t="s">
        <v>50</v>
      </c>
      <c r="C9" s="1" t="s">
        <v>127</v>
      </c>
      <c r="D9" s="1">
        <v>4</v>
      </c>
      <c r="E9" s="1">
        <v>1</v>
      </c>
      <c r="F9" s="1">
        <v>22</v>
      </c>
      <c r="G9" s="1"/>
      <c r="H9" s="1">
        <v>0</v>
      </c>
      <c r="I9" s="1">
        <v>2</v>
      </c>
      <c r="J9" s="1">
        <v>0</v>
      </c>
      <c r="K9" s="1">
        <v>0</v>
      </c>
      <c r="L9" s="1" t="str">
        <f t="shared" si="0"/>
        <v>Винник Л.И.</v>
      </c>
      <c r="M9" s="1">
        <v>3312.3314999999998</v>
      </c>
      <c r="N9" s="1" t="s">
        <v>223</v>
      </c>
      <c r="O9" s="1">
        <v>0</v>
      </c>
      <c r="P9" s="1">
        <v>0</v>
      </c>
      <c r="Q9" s="17" t="s">
        <v>77</v>
      </c>
      <c r="R9" s="19">
        <v>0</v>
      </c>
      <c r="S9" s="18"/>
      <c r="T9" s="18"/>
    </row>
    <row r="10" spans="1:21" ht="33.75" x14ac:dyDescent="0.25">
      <c r="A10" s="1" t="s">
        <v>137</v>
      </c>
      <c r="B10" s="1" t="s">
        <v>50</v>
      </c>
      <c r="C10" s="1" t="s">
        <v>127</v>
      </c>
      <c r="D10" s="1">
        <v>4</v>
      </c>
      <c r="E10" s="1">
        <v>1</v>
      </c>
      <c r="F10" s="1">
        <v>22</v>
      </c>
      <c r="G10" s="1"/>
      <c r="H10" s="1">
        <v>0</v>
      </c>
      <c r="I10" s="1">
        <v>2</v>
      </c>
      <c r="J10" s="1">
        <v>0</v>
      </c>
      <c r="K10" s="1">
        <v>0</v>
      </c>
      <c r="L10" s="1" t="str">
        <f t="shared" si="0"/>
        <v>Иванов А.</v>
      </c>
      <c r="M10" s="1">
        <v>3317</v>
      </c>
      <c r="N10" s="1" t="s">
        <v>223</v>
      </c>
      <c r="O10" s="1">
        <v>0</v>
      </c>
      <c r="P10" s="1">
        <v>0</v>
      </c>
      <c r="Q10" s="17" t="s">
        <v>169</v>
      </c>
      <c r="R10" s="19">
        <v>0</v>
      </c>
      <c r="S10" s="18"/>
      <c r="T10" s="18"/>
    </row>
    <row r="11" spans="1:21" ht="23.25" x14ac:dyDescent="0.25">
      <c r="A11" s="1" t="s">
        <v>26</v>
      </c>
      <c r="B11" s="1" t="s">
        <v>50</v>
      </c>
      <c r="C11" s="1" t="s">
        <v>127</v>
      </c>
      <c r="D11" s="1">
        <v>4</v>
      </c>
      <c r="E11" s="1">
        <v>1</v>
      </c>
      <c r="F11" s="1">
        <v>22</v>
      </c>
      <c r="G11" s="1" t="s">
        <v>25</v>
      </c>
      <c r="H11" s="1">
        <v>4</v>
      </c>
      <c r="I11" s="1">
        <v>4</v>
      </c>
      <c r="J11" s="1">
        <f>12</f>
        <v>12</v>
      </c>
      <c r="K11" s="1">
        <v>0</v>
      </c>
      <c r="L11" s="1" t="str">
        <f t="shared" si="0"/>
        <v>Эминов С.И.</v>
      </c>
      <c r="M11" s="1" t="s">
        <v>227</v>
      </c>
      <c r="N11" s="19" t="s">
        <v>201</v>
      </c>
      <c r="O11" s="19">
        <v>13.2</v>
      </c>
      <c r="P11" s="19">
        <v>0</v>
      </c>
      <c r="Q11" s="17" t="s">
        <v>68</v>
      </c>
      <c r="R11" s="19">
        <f>I11+J11+K11+P11+O11</f>
        <v>29.2</v>
      </c>
      <c r="S11" s="18"/>
      <c r="T11" s="18"/>
    </row>
    <row r="12" spans="1:21" ht="23.1" customHeight="1" x14ac:dyDescent="0.25">
      <c r="A12" s="1" t="s">
        <v>307</v>
      </c>
      <c r="B12" s="1" t="s">
        <v>50</v>
      </c>
      <c r="C12" s="1" t="s">
        <v>127</v>
      </c>
      <c r="D12" s="1">
        <v>4</v>
      </c>
      <c r="E12" s="1">
        <v>1</v>
      </c>
      <c r="F12" s="1">
        <v>22</v>
      </c>
      <c r="G12" s="1"/>
      <c r="H12" s="1">
        <v>0</v>
      </c>
      <c r="I12" s="1">
        <v>2</v>
      </c>
      <c r="J12" s="1">
        <v>0</v>
      </c>
      <c r="K12" s="1">
        <v>0</v>
      </c>
      <c r="L12" s="1" t="str">
        <f t="shared" si="0"/>
        <v>Соколова Г.Ю.</v>
      </c>
      <c r="M12" s="1">
        <v>3300</v>
      </c>
      <c r="N12" s="1" t="s">
        <v>223</v>
      </c>
      <c r="O12" s="19">
        <v>13.5</v>
      </c>
      <c r="P12" s="19">
        <v>0</v>
      </c>
      <c r="Q12" s="17" t="s">
        <v>74</v>
      </c>
      <c r="R12" s="19">
        <f>I12+J12+K12+P12+O12</f>
        <v>15.5</v>
      </c>
      <c r="S12" s="18"/>
      <c r="T12" s="18"/>
    </row>
    <row r="13" spans="1:21" ht="18" customHeight="1" x14ac:dyDescent="0.25">
      <c r="A13" s="1" t="s">
        <v>22</v>
      </c>
      <c r="B13" s="50" t="s">
        <v>258</v>
      </c>
      <c r="C13" s="1" t="s">
        <v>127</v>
      </c>
      <c r="D13" s="51">
        <v>4</v>
      </c>
      <c r="E13" s="51">
        <v>1</v>
      </c>
      <c r="F13" s="1">
        <v>22</v>
      </c>
      <c r="G13" s="1" t="s">
        <v>17</v>
      </c>
      <c r="H13" s="51">
        <v>5</v>
      </c>
      <c r="I13" s="51">
        <v>4</v>
      </c>
      <c r="J13" s="51">
        <v>0</v>
      </c>
      <c r="K13" s="51">
        <v>12</v>
      </c>
      <c r="L13" s="1" t="str">
        <f t="shared" si="0"/>
        <v>Петров Р.В.</v>
      </c>
      <c r="M13" s="1">
        <v>3315</v>
      </c>
      <c r="N13" s="19" t="s">
        <v>202</v>
      </c>
      <c r="O13" s="19">
        <v>16.5</v>
      </c>
      <c r="P13" s="19">
        <v>11</v>
      </c>
      <c r="Q13" s="17" t="s">
        <v>80</v>
      </c>
      <c r="R13" s="19">
        <f>I13+K13+O13+P13</f>
        <v>43.5</v>
      </c>
      <c r="T13" s="19"/>
    </row>
    <row r="14" spans="1:21" ht="33.75" x14ac:dyDescent="0.25">
      <c r="A14" s="1" t="s">
        <v>308</v>
      </c>
      <c r="B14" s="1" t="s">
        <v>50</v>
      </c>
      <c r="C14" s="1" t="s">
        <v>127</v>
      </c>
      <c r="D14" s="1">
        <v>4</v>
      </c>
      <c r="E14" s="1">
        <v>1</v>
      </c>
      <c r="F14" s="1">
        <v>22</v>
      </c>
      <c r="G14" s="1"/>
      <c r="H14" s="1"/>
      <c r="I14" s="1">
        <v>2</v>
      </c>
      <c r="J14" s="1">
        <v>0</v>
      </c>
      <c r="K14" s="1">
        <v>0</v>
      </c>
      <c r="L14" s="1" t="str">
        <f t="shared" si="0"/>
        <v>Телина И.С.</v>
      </c>
      <c r="M14" s="1">
        <v>3312</v>
      </c>
      <c r="N14" s="1" t="s">
        <v>223</v>
      </c>
      <c r="O14" s="1">
        <v>0</v>
      </c>
      <c r="P14" s="1">
        <v>0</v>
      </c>
      <c r="Q14" s="17" t="s">
        <v>79</v>
      </c>
      <c r="R14" s="19">
        <v>0</v>
      </c>
      <c r="S14" s="18"/>
      <c r="T14" s="18"/>
    </row>
    <row r="15" spans="1:21" ht="22.35" customHeight="1" x14ac:dyDescent="0.25">
      <c r="A15" s="1" t="s">
        <v>56</v>
      </c>
      <c r="B15" s="1" t="s">
        <v>50</v>
      </c>
      <c r="C15" s="1" t="s">
        <v>127</v>
      </c>
      <c r="D15" s="1">
        <v>4</v>
      </c>
      <c r="E15" s="1">
        <v>1</v>
      </c>
      <c r="F15" s="1">
        <v>22</v>
      </c>
      <c r="G15" s="1"/>
      <c r="H15" s="1"/>
      <c r="I15" s="1">
        <v>2</v>
      </c>
      <c r="J15" s="1">
        <v>0</v>
      </c>
      <c r="K15" s="1">
        <v>0</v>
      </c>
      <c r="L15" s="1" t="str">
        <f t="shared" si="0"/>
        <v>Кулаков И.Ю.</v>
      </c>
      <c r="M15" s="1">
        <v>3315</v>
      </c>
      <c r="N15" s="1" t="s">
        <v>223</v>
      </c>
      <c r="O15" s="1">
        <v>0</v>
      </c>
      <c r="P15" s="1">
        <v>0</v>
      </c>
      <c r="Q15" s="17" t="s">
        <v>81</v>
      </c>
      <c r="R15" s="19">
        <v>0</v>
      </c>
      <c r="S15" s="18"/>
      <c r="T15" s="18"/>
    </row>
    <row r="16" spans="1:21" ht="22.3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 t="str">
        <f t="shared" si="0"/>
        <v/>
      </c>
      <c r="M16" s="1"/>
      <c r="N16" s="1"/>
      <c r="O16" s="1"/>
      <c r="P16" s="1"/>
      <c r="Q16" s="17"/>
      <c r="R16" s="19"/>
      <c r="S16" s="18"/>
      <c r="T16" s="18"/>
    </row>
    <row r="17" spans="1:21" ht="18" customHeight="1" x14ac:dyDescent="0.25">
      <c r="A17" s="1" t="s">
        <v>309</v>
      </c>
      <c r="B17" s="1" t="s">
        <v>50</v>
      </c>
      <c r="C17" s="1" t="s">
        <v>127</v>
      </c>
      <c r="D17" s="1">
        <v>4</v>
      </c>
      <c r="E17" s="1">
        <v>1</v>
      </c>
      <c r="F17" s="1">
        <v>22</v>
      </c>
      <c r="G17" s="1"/>
      <c r="H17" s="1"/>
      <c r="I17" s="1">
        <v>2</v>
      </c>
      <c r="J17" s="1">
        <v>0</v>
      </c>
      <c r="K17" s="1">
        <v>0</v>
      </c>
      <c r="L17" s="1" t="str">
        <f t="shared" si="0"/>
        <v>Залилов Р.Ю.</v>
      </c>
      <c r="M17" s="1">
        <v>3315</v>
      </c>
      <c r="N17" s="1" t="s">
        <v>223</v>
      </c>
      <c r="O17" s="1">
        <v>0</v>
      </c>
      <c r="P17" s="1">
        <v>0</v>
      </c>
      <c r="Q17" s="17" t="s">
        <v>186</v>
      </c>
      <c r="R17" s="19">
        <v>0</v>
      </c>
      <c r="S17" s="18"/>
      <c r="T17" s="18"/>
    </row>
    <row r="18" spans="1:21" ht="21" customHeight="1" x14ac:dyDescent="0.25">
      <c r="A18" s="1" t="s">
        <v>53</v>
      </c>
      <c r="B18" s="1" t="s">
        <v>238</v>
      </c>
      <c r="C18" s="1" t="s">
        <v>127</v>
      </c>
      <c r="D18" s="1">
        <v>4</v>
      </c>
      <c r="E18" s="1">
        <v>2</v>
      </c>
      <c r="F18" s="1">
        <v>22</v>
      </c>
      <c r="G18" s="1" t="s">
        <v>19</v>
      </c>
      <c r="H18" s="1">
        <v>1</v>
      </c>
      <c r="I18" s="1">
        <v>0</v>
      </c>
      <c r="J18" s="1">
        <v>4</v>
      </c>
      <c r="K18" s="1">
        <v>0</v>
      </c>
      <c r="L18" s="1" t="str">
        <f t="shared" si="0"/>
        <v>Савинова М.А.</v>
      </c>
      <c r="M18" s="1"/>
      <c r="N18" s="1" t="s">
        <v>201</v>
      </c>
      <c r="O18" s="1">
        <v>33</v>
      </c>
      <c r="P18" s="1">
        <v>0</v>
      </c>
      <c r="Q18" s="17" t="s">
        <v>95</v>
      </c>
      <c r="R18" s="19">
        <f>I18+J18+K18+P18+O18-T18-J18</f>
        <v>33</v>
      </c>
      <c r="S18" s="17"/>
      <c r="T18" s="19"/>
    </row>
    <row r="19" spans="1:21" s="1" customFormat="1" ht="4.3499999999999996" customHeight="1" x14ac:dyDescent="0.2">
      <c r="L19" s="1" t="str">
        <f t="shared" si="0"/>
        <v/>
      </c>
      <c r="Q19" s="17"/>
      <c r="R19" s="19">
        <f>I19+J19+K19+P19+O19</f>
        <v>0</v>
      </c>
      <c r="U19" s="16"/>
    </row>
    <row r="20" spans="1:21" ht="22.35" customHeight="1" x14ac:dyDescent="0.25">
      <c r="A20" s="1" t="s">
        <v>55</v>
      </c>
      <c r="B20" s="1" t="s">
        <v>50</v>
      </c>
      <c r="C20" s="8" t="s">
        <v>127</v>
      </c>
      <c r="D20" s="1">
        <v>5</v>
      </c>
      <c r="E20" s="1">
        <v>1</v>
      </c>
      <c r="F20" s="1">
        <v>15</v>
      </c>
      <c r="G20" s="1" t="s">
        <v>17</v>
      </c>
      <c r="H20" s="1">
        <v>8</v>
      </c>
      <c r="I20" s="1">
        <v>8</v>
      </c>
      <c r="J20" s="1">
        <v>10</v>
      </c>
      <c r="K20" s="1">
        <v>10</v>
      </c>
      <c r="L20" s="1" t="str">
        <f t="shared" si="0"/>
        <v>Винник Л.И.</v>
      </c>
      <c r="M20" s="1">
        <v>3315</v>
      </c>
      <c r="N20" s="19" t="s">
        <v>224</v>
      </c>
      <c r="O20" s="19">
        <v>18</v>
      </c>
      <c r="P20" s="19">
        <v>12</v>
      </c>
      <c r="Q20" s="17" t="s">
        <v>77</v>
      </c>
      <c r="R20" s="19">
        <f>I20+J20+K20+P20+O20</f>
        <v>58</v>
      </c>
      <c r="S20" s="17"/>
      <c r="T20" s="18"/>
    </row>
    <row r="21" spans="1:21" ht="22.35" customHeight="1" x14ac:dyDescent="0.25">
      <c r="A21" s="1" t="s">
        <v>193</v>
      </c>
      <c r="B21" s="1" t="s">
        <v>50</v>
      </c>
      <c r="C21" s="8" t="s">
        <v>127</v>
      </c>
      <c r="D21" s="1">
        <v>5</v>
      </c>
      <c r="E21" s="1">
        <v>1</v>
      </c>
      <c r="F21" s="1">
        <v>15</v>
      </c>
      <c r="G21" s="1" t="s">
        <v>25</v>
      </c>
      <c r="H21" s="1"/>
      <c r="I21" s="1">
        <v>0</v>
      </c>
      <c r="J21" s="1">
        <v>2</v>
      </c>
      <c r="K21" s="1">
        <v>0</v>
      </c>
      <c r="L21" s="1" t="str">
        <f t="shared" si="0"/>
        <v>Жгун Т.В.</v>
      </c>
      <c r="M21" s="1">
        <v>3300</v>
      </c>
      <c r="N21" s="1" t="s">
        <v>223</v>
      </c>
      <c r="O21" s="1">
        <v>0</v>
      </c>
      <c r="P21" s="1">
        <v>0</v>
      </c>
      <c r="Q21" s="17" t="s">
        <v>71</v>
      </c>
      <c r="R21" s="19">
        <f>I21+J21+K21+P21+O21-J21</f>
        <v>0</v>
      </c>
      <c r="S21" s="18"/>
      <c r="T21" s="18"/>
    </row>
    <row r="22" spans="1:21" ht="22.35" customHeight="1" x14ac:dyDescent="0.25">
      <c r="A22" s="1" t="s">
        <v>168</v>
      </c>
      <c r="B22" s="1" t="s">
        <v>50</v>
      </c>
      <c r="C22" s="8" t="s">
        <v>127</v>
      </c>
      <c r="D22" s="1">
        <v>5</v>
      </c>
      <c r="E22" s="1">
        <v>1</v>
      </c>
      <c r="F22" s="1">
        <v>15</v>
      </c>
      <c r="G22" s="1" t="s">
        <v>17</v>
      </c>
      <c r="H22" s="1">
        <v>6</v>
      </c>
      <c r="I22" s="1">
        <v>8</v>
      </c>
      <c r="J22" s="1">
        <v>0</v>
      </c>
      <c r="K22" s="1">
        <v>12</v>
      </c>
      <c r="L22" s="1" t="str">
        <f t="shared" si="0"/>
        <v>Иванов А.</v>
      </c>
      <c r="M22" s="1">
        <v>3315.1116999999999</v>
      </c>
      <c r="N22" s="19" t="s">
        <v>224</v>
      </c>
      <c r="O22" s="19">
        <v>13.5</v>
      </c>
      <c r="P22" s="19">
        <v>9</v>
      </c>
      <c r="Q22" s="17" t="s">
        <v>169</v>
      </c>
      <c r="R22" s="19">
        <f t="shared" ref="R22:R31" si="1">I22+J22+K22+P22+O22</f>
        <v>42.5</v>
      </c>
      <c r="S22" s="17"/>
      <c r="T22" s="19"/>
    </row>
    <row r="23" spans="1:21" ht="22.35" customHeight="1" x14ac:dyDescent="0.25">
      <c r="A23" s="1" t="s">
        <v>168</v>
      </c>
      <c r="B23" s="1" t="s">
        <v>50</v>
      </c>
      <c r="C23" s="8" t="s">
        <v>373</v>
      </c>
      <c r="D23" s="1">
        <v>5</v>
      </c>
      <c r="E23" s="1">
        <v>2</v>
      </c>
      <c r="F23" s="1">
        <v>30</v>
      </c>
      <c r="G23" s="1" t="s">
        <v>213</v>
      </c>
      <c r="H23" s="1"/>
      <c r="I23" s="1"/>
      <c r="J23" s="1"/>
      <c r="K23" s="1"/>
      <c r="L23" s="1" t="str">
        <f t="shared" si="0"/>
        <v>Иванов А.</v>
      </c>
      <c r="M23" s="1">
        <v>3315.1116999999999</v>
      </c>
      <c r="N23" s="19" t="s">
        <v>224</v>
      </c>
      <c r="O23" s="19">
        <v>45</v>
      </c>
      <c r="P23" s="19">
        <v>0</v>
      </c>
      <c r="Q23" s="17" t="s">
        <v>169</v>
      </c>
      <c r="R23" s="19">
        <f t="shared" ref="R23:R27" si="2">I23+J23+K23+P23+O23</f>
        <v>45</v>
      </c>
      <c r="S23" s="17"/>
      <c r="T23" s="19"/>
    </row>
    <row r="24" spans="1:21" ht="22.35" customHeight="1" x14ac:dyDescent="0.25">
      <c r="A24" s="1" t="s">
        <v>61</v>
      </c>
      <c r="B24" s="1" t="s">
        <v>50</v>
      </c>
      <c r="C24" s="8" t="s">
        <v>373</v>
      </c>
      <c r="D24" s="1">
        <v>5</v>
      </c>
      <c r="E24" s="1"/>
      <c r="F24" s="1"/>
      <c r="G24" s="86" t="s">
        <v>25</v>
      </c>
      <c r="H24" s="86">
        <v>4</v>
      </c>
      <c r="I24" s="86">
        <v>4</v>
      </c>
      <c r="J24" s="86">
        <v>4</v>
      </c>
      <c r="K24" s="86">
        <f>8*2</f>
        <v>16</v>
      </c>
      <c r="L24" s="1" t="str">
        <f t="shared" si="0"/>
        <v>Кулаков И.Ю.</v>
      </c>
      <c r="M24" s="1"/>
      <c r="N24" s="19" t="s">
        <v>201</v>
      </c>
      <c r="O24" s="87">
        <v>18</v>
      </c>
      <c r="P24" s="19"/>
      <c r="Q24" s="17" t="s">
        <v>81</v>
      </c>
      <c r="R24" s="19">
        <f t="shared" si="2"/>
        <v>42</v>
      </c>
      <c r="S24" s="17"/>
      <c r="T24" s="19"/>
    </row>
    <row r="25" spans="1:21" ht="22.35" customHeight="1" x14ac:dyDescent="0.25">
      <c r="A25" s="1" t="s">
        <v>318</v>
      </c>
      <c r="B25" s="1" t="s">
        <v>50</v>
      </c>
      <c r="C25" s="8" t="s">
        <v>373</v>
      </c>
      <c r="D25" s="1">
        <v>5</v>
      </c>
      <c r="E25" s="1"/>
      <c r="F25" s="1"/>
      <c r="G25" s="86" t="s">
        <v>25</v>
      </c>
      <c r="H25" s="86">
        <v>3</v>
      </c>
      <c r="I25" s="86">
        <v>4</v>
      </c>
      <c r="J25" s="86">
        <v>0</v>
      </c>
      <c r="K25" s="86">
        <f>8*2</f>
        <v>16</v>
      </c>
      <c r="L25" s="1" t="str">
        <f t="shared" si="0"/>
        <v>Телина И.С.</v>
      </c>
      <c r="M25" s="1"/>
      <c r="N25" s="19" t="s">
        <v>201</v>
      </c>
      <c r="O25" s="87">
        <v>13.5</v>
      </c>
      <c r="P25" s="19"/>
      <c r="Q25" s="17" t="s">
        <v>79</v>
      </c>
      <c r="R25" s="19">
        <f t="shared" si="2"/>
        <v>33.5</v>
      </c>
      <c r="S25" s="17"/>
      <c r="T25" s="19"/>
    </row>
    <row r="26" spans="1:21" ht="22.35" customHeight="1" x14ac:dyDescent="0.25">
      <c r="A26" s="1" t="s">
        <v>53</v>
      </c>
      <c r="B26" s="1" t="s">
        <v>50</v>
      </c>
      <c r="C26" s="8" t="s">
        <v>373</v>
      </c>
      <c r="D26" s="1">
        <v>5</v>
      </c>
      <c r="E26" s="1"/>
      <c r="F26" s="1"/>
      <c r="G26" s="86" t="s">
        <v>19</v>
      </c>
      <c r="H26" s="86">
        <v>1</v>
      </c>
      <c r="I26" s="86">
        <v>0</v>
      </c>
      <c r="J26" s="86">
        <v>4</v>
      </c>
      <c r="K26" s="86">
        <v>0</v>
      </c>
      <c r="L26" s="1" t="str">
        <f t="shared" si="0"/>
        <v>Савинова М.А.</v>
      </c>
      <c r="M26" s="1"/>
      <c r="N26" s="19"/>
      <c r="O26" s="86">
        <v>45</v>
      </c>
      <c r="P26" s="19"/>
      <c r="Q26" s="17" t="s">
        <v>95</v>
      </c>
      <c r="R26" s="19">
        <v>45</v>
      </c>
      <c r="S26" s="17"/>
      <c r="T26" s="19"/>
    </row>
    <row r="27" spans="1:21" ht="22.35" customHeight="1" x14ac:dyDescent="0.25">
      <c r="A27" s="1" t="s">
        <v>260</v>
      </c>
      <c r="B27" s="1" t="s">
        <v>50</v>
      </c>
      <c r="C27" s="8" t="s">
        <v>373</v>
      </c>
      <c r="D27" s="1">
        <v>5</v>
      </c>
      <c r="E27" s="1"/>
      <c r="F27" s="1"/>
      <c r="G27" s="86" t="s">
        <v>25</v>
      </c>
      <c r="H27" s="86">
        <v>4</v>
      </c>
      <c r="I27" s="86"/>
      <c r="J27" s="86">
        <f>8*2</f>
        <v>16</v>
      </c>
      <c r="K27" s="86">
        <v>0</v>
      </c>
      <c r="L27" s="1" t="str">
        <f t="shared" si="0"/>
        <v>Сазонова Н.В.</v>
      </c>
      <c r="M27" s="1"/>
      <c r="N27" s="19" t="s">
        <v>201</v>
      </c>
      <c r="O27" s="87">
        <v>9</v>
      </c>
      <c r="P27" s="19"/>
      <c r="Q27" s="17" t="s">
        <v>325</v>
      </c>
      <c r="R27" s="19">
        <f t="shared" si="2"/>
        <v>25</v>
      </c>
      <c r="S27" s="17"/>
      <c r="T27" s="19"/>
    </row>
    <row r="28" spans="1:21" ht="22.35" customHeight="1" x14ac:dyDescent="0.25">
      <c r="A28" s="1" t="s">
        <v>260</v>
      </c>
      <c r="B28" s="1" t="s">
        <v>50</v>
      </c>
      <c r="C28" s="8" t="s">
        <v>373</v>
      </c>
      <c r="D28" s="1">
        <v>5</v>
      </c>
      <c r="E28" s="1"/>
      <c r="F28" s="1"/>
      <c r="G28" s="86" t="s">
        <v>25</v>
      </c>
      <c r="H28" s="86">
        <v>4</v>
      </c>
      <c r="I28" s="86">
        <v>8</v>
      </c>
      <c r="J28" s="86"/>
      <c r="K28" s="86">
        <v>0</v>
      </c>
      <c r="L28" s="1" t="str">
        <f t="shared" si="0"/>
        <v>Залилов Р.Ю.</v>
      </c>
      <c r="M28" s="1"/>
      <c r="N28" s="19"/>
      <c r="O28" s="19">
        <v>9</v>
      </c>
      <c r="P28" s="19"/>
      <c r="Q28" s="17" t="s">
        <v>186</v>
      </c>
      <c r="R28" s="19">
        <f t="shared" ref="R28" si="3">I28+J28+K28+P28+O28</f>
        <v>17</v>
      </c>
      <c r="S28" s="17"/>
      <c r="T28" s="19"/>
    </row>
    <row r="29" spans="1:21" ht="22.35" customHeight="1" x14ac:dyDescent="0.25">
      <c r="A29" s="1" t="s">
        <v>316</v>
      </c>
      <c r="B29" s="1" t="s">
        <v>50</v>
      </c>
      <c r="C29" s="8" t="s">
        <v>127</v>
      </c>
      <c r="D29" s="1">
        <v>5</v>
      </c>
      <c r="E29" s="1">
        <v>1</v>
      </c>
      <c r="F29" s="1">
        <v>15</v>
      </c>
      <c r="G29" s="1" t="s">
        <v>17</v>
      </c>
      <c r="H29" s="1"/>
      <c r="I29" s="1">
        <v>0</v>
      </c>
      <c r="J29" s="1">
        <v>2</v>
      </c>
      <c r="K29" s="1">
        <v>0</v>
      </c>
      <c r="L29" s="13" t="str">
        <f t="shared" si="0"/>
        <v>Сидорин С.Н.</v>
      </c>
      <c r="M29" s="1">
        <v>3315</v>
      </c>
      <c r="N29" s="1" t="s">
        <v>223</v>
      </c>
      <c r="O29" s="1">
        <v>0</v>
      </c>
      <c r="P29" s="1">
        <v>0</v>
      </c>
      <c r="Q29" s="91" t="s">
        <v>410</v>
      </c>
      <c r="R29" s="19"/>
      <c r="S29" s="18"/>
      <c r="T29" s="18"/>
    </row>
    <row r="30" spans="1:21" ht="22.35" customHeight="1" x14ac:dyDescent="0.25">
      <c r="A30" s="1" t="s">
        <v>57</v>
      </c>
      <c r="B30" s="1" t="s">
        <v>50</v>
      </c>
      <c r="C30" s="8" t="s">
        <v>127</v>
      </c>
      <c r="D30" s="1">
        <v>5</v>
      </c>
      <c r="E30" s="1">
        <v>1</v>
      </c>
      <c r="F30" s="1">
        <v>15</v>
      </c>
      <c r="G30" s="1" t="s">
        <v>17</v>
      </c>
      <c r="H30" s="1"/>
      <c r="I30" s="1">
        <v>0</v>
      </c>
      <c r="J30" s="1">
        <v>2</v>
      </c>
      <c r="K30" s="1">
        <v>0</v>
      </c>
      <c r="L30" s="1" t="str">
        <f t="shared" si="0"/>
        <v>Цымбалюк Л.Н.</v>
      </c>
      <c r="M30" s="1">
        <v>124</v>
      </c>
      <c r="N30" s="1" t="s">
        <v>223</v>
      </c>
      <c r="O30" s="1">
        <v>0</v>
      </c>
      <c r="P30" s="1">
        <v>0</v>
      </c>
      <c r="Q30" s="17" t="s">
        <v>78</v>
      </c>
      <c r="R30" s="19">
        <f>I30+J30+K30+P30+O30-J30</f>
        <v>0</v>
      </c>
      <c r="S30" s="18"/>
      <c r="T30" s="18"/>
    </row>
    <row r="31" spans="1:21" ht="22.35" customHeight="1" x14ac:dyDescent="0.25">
      <c r="A31" s="1" t="s">
        <v>85</v>
      </c>
      <c r="B31" s="1" t="s">
        <v>50</v>
      </c>
      <c r="C31" s="8" t="s">
        <v>127</v>
      </c>
      <c r="D31" s="1">
        <v>5</v>
      </c>
      <c r="E31" s="1">
        <v>1</v>
      </c>
      <c r="F31" s="1">
        <v>15</v>
      </c>
      <c r="G31" s="1" t="s">
        <v>25</v>
      </c>
      <c r="H31" s="1">
        <v>3</v>
      </c>
      <c r="I31" s="1">
        <v>4</v>
      </c>
      <c r="J31" s="1">
        <v>0</v>
      </c>
      <c r="K31" s="1">
        <v>8</v>
      </c>
      <c r="L31" s="1" t="str">
        <f t="shared" si="0"/>
        <v>Соколова Г.Ю.</v>
      </c>
      <c r="M31" s="1">
        <v>3312.3314999999998</v>
      </c>
      <c r="N31" s="1"/>
      <c r="O31" s="1">
        <v>6.8</v>
      </c>
      <c r="P31" s="1">
        <v>0</v>
      </c>
      <c r="Q31" s="17" t="s">
        <v>74</v>
      </c>
      <c r="R31" s="19">
        <f t="shared" si="1"/>
        <v>18.8</v>
      </c>
      <c r="S31" s="18"/>
      <c r="T31" s="18"/>
    </row>
    <row r="32" spans="1:21" ht="23.1" customHeight="1" x14ac:dyDescent="0.25">
      <c r="A32" s="1" t="s">
        <v>203</v>
      </c>
      <c r="B32" s="1" t="s">
        <v>50</v>
      </c>
      <c r="C32" s="8" t="s">
        <v>127</v>
      </c>
      <c r="D32" s="1">
        <v>5</v>
      </c>
      <c r="E32" s="1">
        <v>1</v>
      </c>
      <c r="F32" s="1">
        <v>15</v>
      </c>
      <c r="G32" s="1" t="s">
        <v>25</v>
      </c>
      <c r="H32" s="1">
        <v>1</v>
      </c>
      <c r="I32" s="1">
        <v>0</v>
      </c>
      <c r="J32" s="1">
        <v>1</v>
      </c>
      <c r="K32" s="1">
        <v>0</v>
      </c>
      <c r="L32" s="1" t="str">
        <f t="shared" si="0"/>
        <v>Моркин С.А.</v>
      </c>
      <c r="M32" s="1">
        <v>3312.3314999999998</v>
      </c>
      <c r="N32" s="1" t="s">
        <v>223</v>
      </c>
      <c r="O32" s="1">
        <v>0</v>
      </c>
      <c r="P32" s="1">
        <v>0</v>
      </c>
      <c r="Q32" s="17" t="s">
        <v>69</v>
      </c>
      <c r="R32" s="19">
        <v>0</v>
      </c>
      <c r="S32" s="18"/>
      <c r="T32" s="18"/>
    </row>
    <row r="33" spans="1:21" s="1" customFormat="1" ht="4.3499999999999996" customHeight="1" x14ac:dyDescent="0.2">
      <c r="L33" s="1" t="str">
        <f t="shared" si="0"/>
        <v/>
      </c>
      <c r="Q33" s="17"/>
      <c r="R33" s="19">
        <f t="shared" ref="R33:R34" si="4">I33+J33+K33+P33+O33</f>
        <v>0</v>
      </c>
      <c r="U33" s="16"/>
    </row>
    <row r="34" spans="1:21" ht="23.25" x14ac:dyDescent="0.25">
      <c r="A34" s="13" t="s">
        <v>60</v>
      </c>
      <c r="B34" s="1" t="s">
        <v>50</v>
      </c>
      <c r="C34" s="8" t="s">
        <v>127</v>
      </c>
      <c r="D34" s="1">
        <v>6</v>
      </c>
      <c r="E34" s="1">
        <v>1</v>
      </c>
      <c r="F34" s="1">
        <v>15</v>
      </c>
      <c r="G34" s="1" t="s">
        <v>25</v>
      </c>
      <c r="H34" s="1">
        <v>3</v>
      </c>
      <c r="I34" s="1">
        <v>4</v>
      </c>
      <c r="J34" s="1">
        <v>0</v>
      </c>
      <c r="K34" s="1">
        <v>8</v>
      </c>
      <c r="L34" s="1" t="str">
        <f t="shared" si="0"/>
        <v>Соколова Г.Ю.</v>
      </c>
      <c r="M34" s="1">
        <v>3300</v>
      </c>
      <c r="N34" s="19" t="s">
        <v>201</v>
      </c>
      <c r="O34" s="19">
        <v>6.8</v>
      </c>
      <c r="P34" s="19">
        <v>0</v>
      </c>
      <c r="Q34" s="17" t="s">
        <v>74</v>
      </c>
      <c r="R34" s="19">
        <f t="shared" si="4"/>
        <v>18.8</v>
      </c>
      <c r="S34" s="18"/>
      <c r="T34" s="18"/>
    </row>
    <row r="35" spans="1:21" ht="23.45" customHeight="1" x14ac:dyDescent="0.25">
      <c r="A35" s="13" t="s">
        <v>172</v>
      </c>
      <c r="B35" s="1" t="s">
        <v>50</v>
      </c>
      <c r="C35" s="8" t="s">
        <v>127</v>
      </c>
      <c r="D35" s="1">
        <v>6</v>
      </c>
      <c r="E35" s="1">
        <v>1</v>
      </c>
      <c r="F35" s="1">
        <v>15</v>
      </c>
      <c r="G35" s="1" t="s">
        <v>25</v>
      </c>
      <c r="H35" s="1">
        <v>4</v>
      </c>
      <c r="I35" s="1">
        <v>4</v>
      </c>
      <c r="J35" s="1">
        <v>0</v>
      </c>
      <c r="K35" s="1">
        <v>12</v>
      </c>
      <c r="L35" s="1" t="str">
        <f t="shared" si="0"/>
        <v>Жгун Т.В.</v>
      </c>
      <c r="M35" s="1">
        <v>3300</v>
      </c>
      <c r="N35" s="19" t="s">
        <v>224</v>
      </c>
      <c r="O35" s="19">
        <v>9</v>
      </c>
      <c r="P35" s="19">
        <v>0</v>
      </c>
      <c r="Q35" s="17" t="s">
        <v>71</v>
      </c>
      <c r="R35" s="19">
        <f>I35+J35+K35+P35+O35-T35</f>
        <v>25</v>
      </c>
      <c r="S35" s="17"/>
      <c r="T35" s="19"/>
    </row>
    <row r="36" spans="1:21" ht="23.45" customHeight="1" x14ac:dyDescent="0.25">
      <c r="A36" s="13" t="s">
        <v>289</v>
      </c>
      <c r="B36" s="1" t="s">
        <v>50</v>
      </c>
      <c r="C36" s="8" t="s">
        <v>127</v>
      </c>
      <c r="D36" s="1">
        <v>6</v>
      </c>
      <c r="E36" s="1">
        <v>1</v>
      </c>
      <c r="F36" s="1">
        <v>15</v>
      </c>
      <c r="G36" s="1" t="s">
        <v>17</v>
      </c>
      <c r="H36" s="1">
        <v>5</v>
      </c>
      <c r="I36" s="1">
        <v>8</v>
      </c>
      <c r="J36" s="1">
        <v>0</v>
      </c>
      <c r="K36" s="1">
        <v>8</v>
      </c>
      <c r="L36" s="1" t="str">
        <f t="shared" si="0"/>
        <v>Жгун Т.В.</v>
      </c>
      <c r="M36" s="1">
        <v>3300</v>
      </c>
      <c r="N36" s="19" t="s">
        <v>224</v>
      </c>
      <c r="O36" s="19">
        <v>11.3</v>
      </c>
      <c r="P36" s="19">
        <v>7.5</v>
      </c>
      <c r="Q36" s="17" t="s">
        <v>71</v>
      </c>
      <c r="R36" s="19">
        <f>I36+J36+K36+P36+O36-T36</f>
        <v>34.799999999999997</v>
      </c>
      <c r="S36" s="17"/>
      <c r="T36" s="19"/>
    </row>
    <row r="37" spans="1:21" ht="18" customHeight="1" x14ac:dyDescent="0.25">
      <c r="A37" s="13" t="s">
        <v>62</v>
      </c>
      <c r="B37" s="1" t="s">
        <v>50</v>
      </c>
      <c r="C37" s="8" t="s">
        <v>127</v>
      </c>
      <c r="D37" s="1">
        <v>6</v>
      </c>
      <c r="E37" s="1">
        <v>1</v>
      </c>
      <c r="F37" s="1">
        <v>15</v>
      </c>
      <c r="G37" s="1" t="s">
        <v>17</v>
      </c>
      <c r="H37" s="1"/>
      <c r="I37" s="1">
        <v>2</v>
      </c>
      <c r="J37" s="1">
        <v>0</v>
      </c>
      <c r="K37" s="1">
        <v>0</v>
      </c>
      <c r="L37" s="1" t="str">
        <f t="shared" si="0"/>
        <v>Журавлева М.П.</v>
      </c>
      <c r="M37" s="1">
        <v>2309</v>
      </c>
      <c r="N37" s="1" t="s">
        <v>223</v>
      </c>
      <c r="O37" s="1">
        <v>0</v>
      </c>
      <c r="P37" s="1">
        <v>0</v>
      </c>
      <c r="Q37" s="17" t="s">
        <v>72</v>
      </c>
      <c r="R37" s="19">
        <v>0</v>
      </c>
      <c r="S37" s="18"/>
      <c r="T37" s="18"/>
    </row>
    <row r="38" spans="1:21" ht="23.1" customHeight="1" x14ac:dyDescent="0.25">
      <c r="A38" s="13" t="s">
        <v>63</v>
      </c>
      <c r="B38" s="1" t="s">
        <v>50</v>
      </c>
      <c r="C38" s="8" t="s">
        <v>127</v>
      </c>
      <c r="D38" s="1">
        <v>6</v>
      </c>
      <c r="E38" s="1">
        <v>1</v>
      </c>
      <c r="F38" s="1">
        <v>15</v>
      </c>
      <c r="G38" s="1" t="s">
        <v>17</v>
      </c>
      <c r="H38" s="1">
        <v>6</v>
      </c>
      <c r="I38" s="1">
        <v>8</v>
      </c>
      <c r="J38" s="1">
        <v>0</v>
      </c>
      <c r="K38" s="1">
        <v>12</v>
      </c>
      <c r="L38" s="1" t="str">
        <f t="shared" si="0"/>
        <v>Цымбалюк Л.Н.</v>
      </c>
      <c r="M38" s="1"/>
      <c r="N38" s="19" t="s">
        <v>224</v>
      </c>
      <c r="O38" s="19">
        <v>13.5</v>
      </c>
      <c r="P38" s="19">
        <v>9</v>
      </c>
      <c r="Q38" s="17" t="s">
        <v>78</v>
      </c>
      <c r="R38" s="19">
        <f>I38+P38+K38+O38</f>
        <v>42.5</v>
      </c>
      <c r="S38" s="17"/>
      <c r="T38" s="19"/>
    </row>
    <row r="39" spans="1:21" ht="23.1" customHeight="1" x14ac:dyDescent="0.25">
      <c r="A39" s="13" t="s">
        <v>63</v>
      </c>
      <c r="B39" s="1" t="s">
        <v>50</v>
      </c>
      <c r="C39" s="8" t="s">
        <v>127</v>
      </c>
      <c r="D39" s="1">
        <v>6</v>
      </c>
      <c r="E39" s="1">
        <v>1</v>
      </c>
      <c r="F39" s="1">
        <v>15</v>
      </c>
      <c r="G39" s="1" t="s">
        <v>23</v>
      </c>
      <c r="H39" s="1">
        <v>1</v>
      </c>
      <c r="I39" s="1">
        <v>0</v>
      </c>
      <c r="J39" s="1">
        <v>0</v>
      </c>
      <c r="K39" s="1">
        <v>0</v>
      </c>
      <c r="L39" s="1" t="str">
        <f t="shared" si="0"/>
        <v>Цымбалюк Л.Н.</v>
      </c>
      <c r="M39" s="1"/>
      <c r="N39" s="19" t="s">
        <v>224</v>
      </c>
      <c r="O39" s="19">
        <v>22.5</v>
      </c>
      <c r="P39" s="19">
        <v>0</v>
      </c>
      <c r="Q39" s="17" t="s">
        <v>78</v>
      </c>
      <c r="R39" s="19">
        <f>I39+P39+K39+O39</f>
        <v>22.5</v>
      </c>
      <c r="S39" s="17"/>
      <c r="T39" s="19"/>
    </row>
    <row r="40" spans="1:21" ht="18" customHeight="1" x14ac:dyDescent="0.25">
      <c r="A40" s="13" t="s">
        <v>64</v>
      </c>
      <c r="B40" s="1" t="s">
        <v>50</v>
      </c>
      <c r="C40" s="8" t="s">
        <v>127</v>
      </c>
      <c r="D40" s="1">
        <v>6</v>
      </c>
      <c r="E40" s="1">
        <v>1</v>
      </c>
      <c r="F40" s="1">
        <v>15</v>
      </c>
      <c r="G40" s="1" t="s">
        <v>25</v>
      </c>
      <c r="H40" s="1"/>
      <c r="I40" s="1">
        <v>2</v>
      </c>
      <c r="J40" s="1">
        <v>0</v>
      </c>
      <c r="K40" s="1">
        <v>0</v>
      </c>
      <c r="L40" s="1" t="str">
        <f t="shared" si="0"/>
        <v>Эминов С.И.</v>
      </c>
      <c r="M40" s="1">
        <v>3312.3314999999998</v>
      </c>
      <c r="N40" s="1" t="s">
        <v>223</v>
      </c>
      <c r="O40" s="1">
        <v>0</v>
      </c>
      <c r="P40" s="1">
        <v>0</v>
      </c>
      <c r="Q40" s="17" t="s">
        <v>68</v>
      </c>
      <c r="R40" s="19">
        <v>0</v>
      </c>
      <c r="S40" s="18"/>
      <c r="T40" s="18"/>
    </row>
    <row r="41" spans="1:21" ht="23.45" customHeight="1" x14ac:dyDescent="0.25">
      <c r="A41" s="13" t="s">
        <v>395</v>
      </c>
      <c r="B41" s="1" t="s">
        <v>50</v>
      </c>
      <c r="C41" s="8" t="s">
        <v>127</v>
      </c>
      <c r="D41" s="1">
        <v>6</v>
      </c>
      <c r="E41" s="1">
        <v>1</v>
      </c>
      <c r="F41" s="1">
        <v>15</v>
      </c>
      <c r="G41" s="1" t="s">
        <v>25</v>
      </c>
      <c r="H41" s="1">
        <v>0</v>
      </c>
      <c r="I41" s="1">
        <v>2</v>
      </c>
      <c r="J41" s="1">
        <v>0</v>
      </c>
      <c r="K41" s="1">
        <v>0</v>
      </c>
      <c r="L41" s="1" t="str">
        <f t="shared" si="0"/>
        <v>Эминов С.И.</v>
      </c>
      <c r="M41" s="1">
        <v>3312</v>
      </c>
      <c r="N41" s="19" t="s">
        <v>224</v>
      </c>
      <c r="O41" s="19">
        <v>0</v>
      </c>
      <c r="P41" s="19">
        <v>0</v>
      </c>
      <c r="Q41" s="17" t="s">
        <v>68</v>
      </c>
      <c r="R41" s="19">
        <v>0</v>
      </c>
      <c r="S41" s="18"/>
      <c r="T41" s="18"/>
    </row>
    <row r="42" spans="1:21" ht="38.1" customHeight="1" x14ac:dyDescent="0.25">
      <c r="A42" s="13" t="s">
        <v>162</v>
      </c>
      <c r="B42" s="1" t="s">
        <v>50</v>
      </c>
      <c r="C42" s="8" t="s">
        <v>127</v>
      </c>
      <c r="D42" s="1">
        <v>6</v>
      </c>
      <c r="E42" s="1">
        <v>1</v>
      </c>
      <c r="F42" s="1">
        <v>15</v>
      </c>
      <c r="G42" s="1" t="s">
        <v>25</v>
      </c>
      <c r="H42" s="1"/>
      <c r="I42" s="1">
        <v>2</v>
      </c>
      <c r="J42" s="1">
        <v>0</v>
      </c>
      <c r="K42" s="1">
        <v>0</v>
      </c>
      <c r="L42" s="1" t="str">
        <f t="shared" si="0"/>
        <v>Телина И.С.</v>
      </c>
      <c r="M42" s="1">
        <v>2407</v>
      </c>
      <c r="N42" s="1" t="s">
        <v>223</v>
      </c>
      <c r="O42" s="1">
        <v>0</v>
      </c>
      <c r="P42" s="1">
        <v>0</v>
      </c>
      <c r="Q42" s="17" t="s">
        <v>79</v>
      </c>
      <c r="R42" s="19">
        <v>0</v>
      </c>
      <c r="S42" s="18"/>
      <c r="T42" s="18"/>
    </row>
    <row r="43" spans="1:21" ht="38.1" customHeight="1" x14ac:dyDescent="0.25">
      <c r="A43" s="13" t="s">
        <v>194</v>
      </c>
      <c r="B43" s="1" t="s">
        <v>50</v>
      </c>
      <c r="C43" s="8" t="s">
        <v>127</v>
      </c>
      <c r="D43" s="1">
        <v>6</v>
      </c>
      <c r="E43" s="1">
        <v>1</v>
      </c>
      <c r="F43" s="1">
        <v>15</v>
      </c>
      <c r="G43" s="1" t="s">
        <v>25</v>
      </c>
      <c r="H43" s="1"/>
      <c r="I43" s="1">
        <v>2</v>
      </c>
      <c r="J43" s="1">
        <v>0</v>
      </c>
      <c r="K43" s="1">
        <v>0</v>
      </c>
      <c r="L43" s="13" t="str">
        <f t="shared" si="0"/>
        <v>Алексеев П.С.</v>
      </c>
      <c r="M43" s="1">
        <v>2407</v>
      </c>
      <c r="N43" s="1" t="s">
        <v>223</v>
      </c>
      <c r="O43" s="1">
        <v>0</v>
      </c>
      <c r="P43" s="1">
        <v>0</v>
      </c>
      <c r="Q43" s="17" t="s">
        <v>408</v>
      </c>
      <c r="R43" s="19">
        <v>0</v>
      </c>
      <c r="S43" s="18"/>
      <c r="T43" s="18"/>
    </row>
    <row r="44" spans="1:21" ht="21" customHeight="1" x14ac:dyDescent="0.25">
      <c r="A44" s="13" t="s">
        <v>66</v>
      </c>
      <c r="B44" s="1" t="s">
        <v>50</v>
      </c>
      <c r="C44" s="8" t="s">
        <v>127</v>
      </c>
      <c r="D44" s="1">
        <v>6</v>
      </c>
      <c r="E44" s="1">
        <v>1</v>
      </c>
      <c r="F44" s="1">
        <v>15</v>
      </c>
      <c r="G44" s="1" t="s">
        <v>25</v>
      </c>
      <c r="H44" s="1">
        <v>1</v>
      </c>
      <c r="I44" s="1">
        <v>0</v>
      </c>
      <c r="J44" s="1">
        <v>2</v>
      </c>
      <c r="K44" s="1">
        <v>0</v>
      </c>
      <c r="L44" s="1" t="str">
        <f t="shared" si="0"/>
        <v>Моркин С.А.</v>
      </c>
      <c r="M44" s="1">
        <v>3312</v>
      </c>
      <c r="N44" s="19" t="s">
        <v>224</v>
      </c>
      <c r="O44" s="19">
        <v>4.5</v>
      </c>
      <c r="P44" s="19">
        <v>0</v>
      </c>
      <c r="Q44" s="17" t="s">
        <v>69</v>
      </c>
      <c r="R44" s="19">
        <f>I44+K44+P44+O44</f>
        <v>4.5</v>
      </c>
      <c r="S44" s="18"/>
      <c r="T44" s="18"/>
    </row>
    <row r="45" spans="1:21" ht="33.75" x14ac:dyDescent="0.25">
      <c r="A45" s="13" t="s">
        <v>155</v>
      </c>
      <c r="B45" s="1" t="s">
        <v>50</v>
      </c>
      <c r="C45" s="8" t="s">
        <v>127</v>
      </c>
      <c r="D45" s="1">
        <v>6</v>
      </c>
      <c r="E45" s="1">
        <v>1</v>
      </c>
      <c r="F45" s="1">
        <v>15</v>
      </c>
      <c r="G45" s="1" t="s">
        <v>25</v>
      </c>
      <c r="H45" s="1">
        <v>1</v>
      </c>
      <c r="I45" s="1">
        <v>0</v>
      </c>
      <c r="J45" s="1">
        <v>1</v>
      </c>
      <c r="K45" s="1">
        <v>0</v>
      </c>
      <c r="L45" s="1" t="str">
        <f t="shared" si="0"/>
        <v>Моркин С.А.</v>
      </c>
      <c r="M45" s="1">
        <v>3312.3314999999998</v>
      </c>
      <c r="N45" s="1" t="s">
        <v>223</v>
      </c>
      <c r="O45" s="1">
        <v>0</v>
      </c>
      <c r="P45" s="1">
        <v>0</v>
      </c>
      <c r="Q45" s="17" t="s">
        <v>69</v>
      </c>
      <c r="R45" s="19">
        <v>0</v>
      </c>
      <c r="S45" s="18"/>
      <c r="T45" s="18"/>
    </row>
    <row r="46" spans="1:21" s="1" customFormat="1" ht="4.3499999999999996" customHeight="1" x14ac:dyDescent="0.2">
      <c r="L46" s="1" t="str">
        <f t="shared" si="0"/>
        <v/>
      </c>
      <c r="Q46" s="17"/>
      <c r="R46" s="19">
        <f t="shared" ref="R46:R53" si="5">I46+J46+K46+P46+O46</f>
        <v>0</v>
      </c>
      <c r="U46" s="16"/>
    </row>
    <row r="47" spans="1:21" ht="18" customHeight="1" x14ac:dyDescent="0.25">
      <c r="A47" s="13" t="s">
        <v>86</v>
      </c>
      <c r="B47" s="1" t="s">
        <v>50</v>
      </c>
      <c r="C47" s="8" t="s">
        <v>176</v>
      </c>
      <c r="D47" s="1">
        <v>7</v>
      </c>
      <c r="E47" s="1">
        <v>1</v>
      </c>
      <c r="F47" s="1">
        <v>11</v>
      </c>
      <c r="G47" s="1" t="s">
        <v>25</v>
      </c>
      <c r="H47" s="1">
        <v>4</v>
      </c>
      <c r="I47" s="1">
        <v>8</v>
      </c>
      <c r="J47" s="1">
        <v>0</v>
      </c>
      <c r="K47" s="1">
        <v>8</v>
      </c>
      <c r="L47" s="1" t="str">
        <f t="shared" si="0"/>
        <v>Журавлева М.П.</v>
      </c>
      <c r="M47" s="1">
        <v>3300</v>
      </c>
      <c r="N47" s="19" t="s">
        <v>224</v>
      </c>
      <c r="O47" s="19">
        <v>6.6</v>
      </c>
      <c r="P47" s="19">
        <v>0</v>
      </c>
      <c r="Q47" s="17" t="s">
        <v>72</v>
      </c>
      <c r="R47" s="19">
        <f>I47+J47+K47+P47+O47</f>
        <v>22.6</v>
      </c>
      <c r="S47" s="18"/>
      <c r="T47" s="18"/>
    </row>
    <row r="48" spans="1:21" ht="23.45" customHeight="1" x14ac:dyDescent="0.25">
      <c r="A48" s="13" t="s">
        <v>34</v>
      </c>
      <c r="B48" s="1" t="s">
        <v>50</v>
      </c>
      <c r="C48" s="8" t="s">
        <v>176</v>
      </c>
      <c r="D48" s="1">
        <v>7</v>
      </c>
      <c r="E48" s="1">
        <v>1</v>
      </c>
      <c r="F48" s="1">
        <v>11</v>
      </c>
      <c r="G48" s="1" t="s">
        <v>25</v>
      </c>
      <c r="H48" s="1">
        <v>5</v>
      </c>
      <c r="I48" s="1">
        <v>4</v>
      </c>
      <c r="J48" s="1">
        <v>0</v>
      </c>
      <c r="K48" s="1">
        <v>12</v>
      </c>
      <c r="L48" s="1" t="str">
        <f t="shared" si="0"/>
        <v>Эминов С.И.</v>
      </c>
      <c r="M48" s="1">
        <v>3315</v>
      </c>
      <c r="N48" s="19" t="s">
        <v>224</v>
      </c>
      <c r="O48" s="19">
        <v>6.6</v>
      </c>
      <c r="P48" s="19">
        <v>0</v>
      </c>
      <c r="Q48" s="17" t="s">
        <v>68</v>
      </c>
      <c r="R48" s="19">
        <f>I48+J48+K48+P48+O48</f>
        <v>22.6</v>
      </c>
      <c r="S48" s="18"/>
      <c r="T48" s="18"/>
    </row>
    <row r="49" spans="1:21" ht="23.25" x14ac:dyDescent="0.25">
      <c r="A49" s="13" t="s">
        <v>149</v>
      </c>
      <c r="B49" s="1" t="s">
        <v>50</v>
      </c>
      <c r="C49" s="8" t="s">
        <v>176</v>
      </c>
      <c r="D49" s="1">
        <v>7</v>
      </c>
      <c r="E49" s="1">
        <v>1</v>
      </c>
      <c r="F49" s="1">
        <v>11</v>
      </c>
      <c r="G49" s="1"/>
      <c r="H49" s="1"/>
      <c r="I49" s="1">
        <v>2</v>
      </c>
      <c r="J49" s="1">
        <v>0</v>
      </c>
      <c r="K49" s="1">
        <v>0</v>
      </c>
      <c r="L49" s="1" t="str">
        <f t="shared" si="0"/>
        <v>Михайлов Д.В.</v>
      </c>
      <c r="M49" s="1">
        <v>3305</v>
      </c>
      <c r="N49" s="1" t="s">
        <v>223</v>
      </c>
      <c r="O49" s="1">
        <v>0</v>
      </c>
      <c r="P49" s="1">
        <v>0</v>
      </c>
      <c r="Q49" s="17" t="s">
        <v>70</v>
      </c>
      <c r="R49" s="19">
        <v>0</v>
      </c>
      <c r="S49" s="18"/>
      <c r="T49" s="18"/>
    </row>
    <row r="50" spans="1:21" ht="33.75" x14ac:dyDescent="0.25">
      <c r="A50" s="13" t="s">
        <v>152</v>
      </c>
      <c r="B50" s="1" t="s">
        <v>50</v>
      </c>
      <c r="C50" s="8" t="s">
        <v>176</v>
      </c>
      <c r="D50" s="1">
        <v>7</v>
      </c>
      <c r="E50" s="1">
        <v>1</v>
      </c>
      <c r="F50" s="1">
        <v>11</v>
      </c>
      <c r="G50" s="1"/>
      <c r="H50" s="1"/>
      <c r="I50" s="1">
        <v>2</v>
      </c>
      <c r="J50" s="1">
        <v>0</v>
      </c>
      <c r="K50" s="1">
        <v>0</v>
      </c>
      <c r="L50" s="1" t="str">
        <f t="shared" si="0"/>
        <v>Цымбалюк Л.Н.</v>
      </c>
      <c r="M50" s="1">
        <v>3305</v>
      </c>
      <c r="N50" s="1" t="s">
        <v>223</v>
      </c>
      <c r="O50" s="1">
        <v>0</v>
      </c>
      <c r="P50" s="1">
        <v>0</v>
      </c>
      <c r="Q50" s="17" t="s">
        <v>78</v>
      </c>
      <c r="R50" s="19">
        <v>0</v>
      </c>
      <c r="S50" s="18"/>
      <c r="T50" s="18"/>
    </row>
    <row r="51" spans="1:21" ht="23.25" x14ac:dyDescent="0.25">
      <c r="A51" s="13" t="s">
        <v>306</v>
      </c>
      <c r="B51" s="1" t="s">
        <v>50</v>
      </c>
      <c r="C51" s="8" t="s">
        <v>176</v>
      </c>
      <c r="D51" s="1">
        <v>7</v>
      </c>
      <c r="E51" s="1">
        <v>1</v>
      </c>
      <c r="F51" s="1">
        <v>11</v>
      </c>
      <c r="G51" s="1"/>
      <c r="H51" s="1"/>
      <c r="I51" s="1">
        <v>2</v>
      </c>
      <c r="J51" s="1">
        <v>0</v>
      </c>
      <c r="K51" s="1">
        <v>0</v>
      </c>
      <c r="L51" s="1" t="str">
        <f t="shared" si="0"/>
        <v>Гареева Т.Ю.</v>
      </c>
      <c r="M51" s="1">
        <v>3305</v>
      </c>
      <c r="N51" s="1" t="s">
        <v>223</v>
      </c>
      <c r="O51" s="1">
        <v>0</v>
      </c>
      <c r="P51" s="1">
        <v>0</v>
      </c>
      <c r="Q51" s="17" t="s">
        <v>263</v>
      </c>
      <c r="R51" s="19">
        <v>0</v>
      </c>
      <c r="S51" s="18"/>
      <c r="T51" s="18"/>
    </row>
    <row r="52" spans="1:21" ht="33.75" x14ac:dyDescent="0.25">
      <c r="A52" s="13" t="s">
        <v>310</v>
      </c>
      <c r="B52" s="1" t="s">
        <v>50</v>
      </c>
      <c r="C52" s="8" t="s">
        <v>176</v>
      </c>
      <c r="D52" s="1">
        <v>7</v>
      </c>
      <c r="E52" s="1">
        <v>1</v>
      </c>
      <c r="F52" s="1">
        <v>11</v>
      </c>
      <c r="G52" s="1"/>
      <c r="H52" s="1"/>
      <c r="I52" s="1">
        <v>2</v>
      </c>
      <c r="J52" s="1">
        <v>0</v>
      </c>
      <c r="K52" s="1">
        <v>0</v>
      </c>
      <c r="L52" s="1" t="str">
        <f t="shared" si="0"/>
        <v>Савинова М.А.</v>
      </c>
      <c r="M52" s="1">
        <v>3305</v>
      </c>
      <c r="N52" s="1" t="s">
        <v>223</v>
      </c>
      <c r="O52" s="1">
        <v>0</v>
      </c>
      <c r="P52" s="1">
        <v>0</v>
      </c>
      <c r="Q52" s="17" t="s">
        <v>95</v>
      </c>
      <c r="R52" s="19">
        <v>0</v>
      </c>
      <c r="S52" s="18"/>
      <c r="T52" s="18"/>
    </row>
    <row r="53" spans="1:21" ht="21" customHeight="1" x14ac:dyDescent="0.25">
      <c r="A53" s="13" t="s">
        <v>115</v>
      </c>
      <c r="B53" s="1" t="s">
        <v>50</v>
      </c>
      <c r="C53" s="8" t="s">
        <v>176</v>
      </c>
      <c r="D53" s="1">
        <v>7</v>
      </c>
      <c r="E53" s="1">
        <v>1</v>
      </c>
      <c r="F53" s="1">
        <v>11</v>
      </c>
      <c r="G53" s="1" t="s">
        <v>17</v>
      </c>
      <c r="H53" s="1">
        <v>4</v>
      </c>
      <c r="I53" s="1">
        <v>4</v>
      </c>
      <c r="J53" s="1">
        <v>0</v>
      </c>
      <c r="K53" s="1">
        <v>8</v>
      </c>
      <c r="L53" s="1" t="str">
        <f t="shared" si="0"/>
        <v>Телина И.С.</v>
      </c>
      <c r="M53" s="1">
        <v>3300</v>
      </c>
      <c r="N53" s="19" t="s">
        <v>224</v>
      </c>
      <c r="O53" s="19">
        <v>6.6</v>
      </c>
      <c r="P53" s="19">
        <v>4.4000000000000004</v>
      </c>
      <c r="Q53" s="17" t="s">
        <v>79</v>
      </c>
      <c r="R53" s="19">
        <f t="shared" si="5"/>
        <v>23</v>
      </c>
      <c r="S53" s="18"/>
      <c r="T53" s="18"/>
    </row>
    <row r="54" spans="1:21" ht="22.5" x14ac:dyDescent="0.25">
      <c r="A54" s="13" t="s">
        <v>193</v>
      </c>
      <c r="B54" s="1" t="s">
        <v>50</v>
      </c>
      <c r="C54" s="8" t="s">
        <v>176</v>
      </c>
      <c r="D54" s="1">
        <v>7</v>
      </c>
      <c r="E54" s="1">
        <v>1</v>
      </c>
      <c r="F54" s="1">
        <v>11</v>
      </c>
      <c r="G54" s="1" t="s">
        <v>25</v>
      </c>
      <c r="H54" s="1"/>
      <c r="I54" s="1">
        <v>2</v>
      </c>
      <c r="J54" s="1">
        <v>0</v>
      </c>
      <c r="K54" s="1">
        <v>0</v>
      </c>
      <c r="L54" s="1" t="str">
        <f t="shared" si="0"/>
        <v>Жгун Т.В.</v>
      </c>
      <c r="M54" s="1">
        <v>3305</v>
      </c>
      <c r="N54" s="1" t="s">
        <v>223</v>
      </c>
      <c r="O54" s="1">
        <v>0</v>
      </c>
      <c r="P54" s="1">
        <v>0</v>
      </c>
      <c r="Q54" s="17" t="s">
        <v>71</v>
      </c>
      <c r="R54" s="19">
        <v>0</v>
      </c>
      <c r="S54" s="18"/>
      <c r="T54" s="18"/>
    </row>
    <row r="55" spans="1:21" ht="33.75" x14ac:dyDescent="0.25">
      <c r="A55" s="13" t="s">
        <v>155</v>
      </c>
      <c r="B55" s="1" t="s">
        <v>50</v>
      </c>
      <c r="C55" s="8" t="s">
        <v>176</v>
      </c>
      <c r="D55" s="1">
        <v>7</v>
      </c>
      <c r="E55" s="1">
        <v>1</v>
      </c>
      <c r="F55" s="1">
        <v>11</v>
      </c>
      <c r="G55" s="1"/>
      <c r="H55" s="1">
        <v>0</v>
      </c>
      <c r="I55" s="1">
        <v>0</v>
      </c>
      <c r="J55" s="1">
        <v>1</v>
      </c>
      <c r="K55" s="1">
        <v>0</v>
      </c>
      <c r="L55" s="1" t="str">
        <f t="shared" si="0"/>
        <v>Моркин С.А.</v>
      </c>
      <c r="M55" s="1">
        <v>3317</v>
      </c>
      <c r="N55" s="1" t="s">
        <v>223</v>
      </c>
      <c r="O55" s="1">
        <v>0</v>
      </c>
      <c r="P55" s="1">
        <v>0</v>
      </c>
      <c r="Q55" s="17" t="s">
        <v>69</v>
      </c>
      <c r="R55" s="19">
        <v>0</v>
      </c>
      <c r="S55" s="18"/>
      <c r="T55" s="18"/>
    </row>
    <row r="56" spans="1:21" ht="29.1" customHeight="1" x14ac:dyDescent="0.25">
      <c r="A56" s="13" t="s">
        <v>28</v>
      </c>
      <c r="B56" s="1" t="s">
        <v>50</v>
      </c>
      <c r="C56" s="8" t="s">
        <v>176</v>
      </c>
      <c r="D56" s="1">
        <v>7</v>
      </c>
      <c r="E56" s="1">
        <v>1</v>
      </c>
      <c r="F56" s="1">
        <v>11</v>
      </c>
      <c r="G56" s="1" t="s">
        <v>25</v>
      </c>
      <c r="H56" s="1">
        <v>1</v>
      </c>
      <c r="I56" s="1">
        <v>0</v>
      </c>
      <c r="J56" s="1">
        <v>2</v>
      </c>
      <c r="K56" s="1">
        <v>0</v>
      </c>
      <c r="L56" s="1" t="str">
        <f t="shared" si="0"/>
        <v>Моркин С.А.</v>
      </c>
      <c r="M56" s="1">
        <v>3317</v>
      </c>
      <c r="N56" s="19" t="s">
        <v>224</v>
      </c>
      <c r="O56" s="1">
        <v>3.3</v>
      </c>
      <c r="P56" s="1">
        <v>0</v>
      </c>
      <c r="Q56" s="17" t="s">
        <v>69</v>
      </c>
      <c r="R56" s="19">
        <f>O56</f>
        <v>3.3</v>
      </c>
      <c r="S56" s="18"/>
      <c r="T56" s="18"/>
    </row>
    <row r="57" spans="1:21" ht="33.75" x14ac:dyDescent="0.25">
      <c r="A57" s="13" t="s">
        <v>311</v>
      </c>
      <c r="B57" s="1" t="s">
        <v>50</v>
      </c>
      <c r="C57" s="8" t="s">
        <v>176</v>
      </c>
      <c r="D57" s="1">
        <v>7</v>
      </c>
      <c r="E57" s="1">
        <v>1</v>
      </c>
      <c r="F57" s="1">
        <v>11</v>
      </c>
      <c r="G57" s="1"/>
      <c r="H57" s="1">
        <v>0</v>
      </c>
      <c r="I57" s="1">
        <v>0</v>
      </c>
      <c r="J57" s="1">
        <v>1</v>
      </c>
      <c r="K57" s="1">
        <v>0</v>
      </c>
      <c r="L57" s="1" t="str">
        <f t="shared" si="0"/>
        <v>Моркин С.А.</v>
      </c>
      <c r="M57" s="1">
        <v>3317</v>
      </c>
      <c r="N57" s="1" t="s">
        <v>223</v>
      </c>
      <c r="O57" s="1">
        <v>0</v>
      </c>
      <c r="P57" s="1">
        <v>0</v>
      </c>
      <c r="Q57" s="17" t="s">
        <v>69</v>
      </c>
      <c r="R57" s="19">
        <v>0</v>
      </c>
      <c r="S57" s="18"/>
      <c r="T57" s="18"/>
    </row>
    <row r="58" spans="1:21" s="1" customFormat="1" ht="4.3499999999999996" customHeight="1" x14ac:dyDescent="0.2">
      <c r="L58" s="1" t="str">
        <f t="shared" si="0"/>
        <v/>
      </c>
      <c r="Q58" s="17"/>
      <c r="R58" s="19">
        <f t="shared" ref="R58:R66" si="6">I58+J58+K58+P58+O58</f>
        <v>0</v>
      </c>
      <c r="U58" s="16"/>
    </row>
    <row r="59" spans="1:21" ht="18" customHeight="1" x14ac:dyDescent="0.25">
      <c r="A59" s="1" t="s">
        <v>86</v>
      </c>
      <c r="B59" s="1" t="s">
        <v>50</v>
      </c>
      <c r="C59" s="8" t="s">
        <v>176</v>
      </c>
      <c r="D59" s="1">
        <v>8</v>
      </c>
      <c r="E59" s="1">
        <v>1</v>
      </c>
      <c r="F59" s="1">
        <v>11</v>
      </c>
      <c r="G59" s="1" t="s">
        <v>17</v>
      </c>
      <c r="H59" s="1">
        <v>6</v>
      </c>
      <c r="I59" s="1">
        <v>8</v>
      </c>
      <c r="J59" s="1">
        <v>0</v>
      </c>
      <c r="K59" s="1">
        <v>12</v>
      </c>
      <c r="L59" s="1" t="str">
        <f t="shared" si="0"/>
        <v>Журавлева М.П.</v>
      </c>
      <c r="M59" s="1">
        <v>3300</v>
      </c>
      <c r="N59" s="19" t="s">
        <v>224</v>
      </c>
      <c r="O59" s="19">
        <v>17.100000000000001</v>
      </c>
      <c r="P59" s="19">
        <v>11.4</v>
      </c>
      <c r="Q59" s="17" t="s">
        <v>72</v>
      </c>
      <c r="R59" s="19">
        <f t="shared" si="6"/>
        <v>48.5</v>
      </c>
      <c r="S59" s="18"/>
      <c r="T59" s="18"/>
    </row>
    <row r="60" spans="1:21" ht="23.45" customHeight="1" x14ac:dyDescent="0.25">
      <c r="A60" s="1" t="s">
        <v>34</v>
      </c>
      <c r="B60" s="1" t="s">
        <v>50</v>
      </c>
      <c r="C60" s="8" t="s">
        <v>176</v>
      </c>
      <c r="D60" s="1">
        <v>8</v>
      </c>
      <c r="E60" s="1">
        <v>1</v>
      </c>
      <c r="F60" s="1">
        <v>11</v>
      </c>
      <c r="G60" s="1" t="s">
        <v>25</v>
      </c>
      <c r="H60" s="1">
        <v>5</v>
      </c>
      <c r="I60" s="1">
        <v>8</v>
      </c>
      <c r="J60" s="1"/>
      <c r="K60" s="1">
        <v>8</v>
      </c>
      <c r="L60" s="1" t="str">
        <f t="shared" si="0"/>
        <v>Эминов С.И.</v>
      </c>
      <c r="M60" s="1">
        <v>3315</v>
      </c>
      <c r="N60" s="19" t="s">
        <v>224</v>
      </c>
      <c r="O60" s="19">
        <v>11.4</v>
      </c>
      <c r="P60" s="19">
        <v>0</v>
      </c>
      <c r="Q60" s="17" t="s">
        <v>68</v>
      </c>
      <c r="R60" s="19">
        <f t="shared" si="6"/>
        <v>27.4</v>
      </c>
      <c r="S60" s="18"/>
      <c r="T60" s="18"/>
    </row>
    <row r="61" spans="1:21" ht="23.25" x14ac:dyDescent="0.25">
      <c r="A61" s="13" t="s">
        <v>33</v>
      </c>
      <c r="B61" s="1" t="s">
        <v>50</v>
      </c>
      <c r="C61" s="8" t="s">
        <v>176</v>
      </c>
      <c r="D61" s="1">
        <v>8</v>
      </c>
      <c r="E61" s="1">
        <v>1</v>
      </c>
      <c r="F61" s="1">
        <v>11</v>
      </c>
      <c r="G61" s="1" t="s">
        <v>25</v>
      </c>
      <c r="H61" s="1">
        <v>4</v>
      </c>
      <c r="I61" s="1">
        <v>4</v>
      </c>
      <c r="J61" s="1">
        <v>4</v>
      </c>
      <c r="K61" s="1">
        <v>4</v>
      </c>
      <c r="L61" s="1" t="str">
        <f t="shared" si="0"/>
        <v>Михайлов Д.В.</v>
      </c>
      <c r="M61" s="1">
        <v>3305</v>
      </c>
      <c r="N61" s="19" t="s">
        <v>224</v>
      </c>
      <c r="O61" s="1">
        <v>6.6</v>
      </c>
      <c r="P61" s="1">
        <v>4.4000000000000004</v>
      </c>
      <c r="Q61" s="17" t="s">
        <v>70</v>
      </c>
      <c r="R61" s="19">
        <f>I61+J61+K61+P61+O61</f>
        <v>23</v>
      </c>
      <c r="S61" s="18"/>
      <c r="T61" s="18"/>
    </row>
    <row r="62" spans="1:21" ht="23.25" x14ac:dyDescent="0.25">
      <c r="A62" s="13" t="s">
        <v>36</v>
      </c>
      <c r="B62" s="1" t="s">
        <v>50</v>
      </c>
      <c r="C62" s="8" t="s">
        <v>176</v>
      </c>
      <c r="D62" s="1">
        <v>8</v>
      </c>
      <c r="E62" s="1">
        <v>1</v>
      </c>
      <c r="F62" s="1">
        <v>11</v>
      </c>
      <c r="G62" s="1" t="s">
        <v>25</v>
      </c>
      <c r="H62" s="1">
        <v>5</v>
      </c>
      <c r="I62" s="1">
        <v>4</v>
      </c>
      <c r="J62" s="1">
        <v>0</v>
      </c>
      <c r="K62" s="1">
        <v>12</v>
      </c>
      <c r="L62" s="1" t="str">
        <f t="shared" si="0"/>
        <v>Цымбалюк Л.Н.</v>
      </c>
      <c r="M62" s="1">
        <v>3305</v>
      </c>
      <c r="N62" s="19" t="s">
        <v>224</v>
      </c>
      <c r="O62" s="1">
        <v>8.3000000000000007</v>
      </c>
      <c r="P62" s="1">
        <v>5.5</v>
      </c>
      <c r="Q62" s="17" t="s">
        <v>78</v>
      </c>
      <c r="R62" s="19">
        <f t="shared" si="6"/>
        <v>29.8</v>
      </c>
      <c r="S62" s="18"/>
      <c r="T62" s="18"/>
    </row>
    <row r="63" spans="1:21" ht="23.25" x14ac:dyDescent="0.25">
      <c r="A63" s="13" t="s">
        <v>36</v>
      </c>
      <c r="B63" s="1" t="s">
        <v>50</v>
      </c>
      <c r="C63" s="8" t="s">
        <v>176</v>
      </c>
      <c r="D63" s="1">
        <v>8</v>
      </c>
      <c r="E63" s="1">
        <v>1</v>
      </c>
      <c r="F63" s="1">
        <v>11</v>
      </c>
      <c r="G63" s="1" t="s">
        <v>25</v>
      </c>
      <c r="H63" s="1">
        <v>1</v>
      </c>
      <c r="I63" s="1"/>
      <c r="J63" s="1"/>
      <c r="K63" s="1"/>
      <c r="L63" s="1" t="str">
        <f t="shared" si="0"/>
        <v>Цымбалюк Л.Н.Цымбалюк А.Е.</v>
      </c>
      <c r="M63" s="1">
        <v>3305</v>
      </c>
      <c r="N63" s="19" t="s">
        <v>224</v>
      </c>
      <c r="O63" s="1">
        <v>16.5</v>
      </c>
      <c r="P63" s="1">
        <v>0</v>
      </c>
      <c r="Q63" s="17" t="s">
        <v>78</v>
      </c>
      <c r="R63" s="19">
        <f>O63-T63</f>
        <v>6.5</v>
      </c>
      <c r="S63" s="17" t="s">
        <v>281</v>
      </c>
      <c r="T63" s="19">
        <v>10</v>
      </c>
    </row>
    <row r="64" spans="1:21" ht="23.25" x14ac:dyDescent="0.25">
      <c r="A64" s="13" t="s">
        <v>262</v>
      </c>
      <c r="B64" s="1" t="s">
        <v>50</v>
      </c>
      <c r="C64" s="8" t="s">
        <v>176</v>
      </c>
      <c r="D64" s="1">
        <v>8</v>
      </c>
      <c r="E64" s="1">
        <v>1</v>
      </c>
      <c r="F64" s="1">
        <v>11</v>
      </c>
      <c r="G64" s="1" t="s">
        <v>17</v>
      </c>
      <c r="H64" s="1">
        <v>4</v>
      </c>
      <c r="I64" s="1">
        <v>4</v>
      </c>
      <c r="J64" s="1">
        <v>8</v>
      </c>
      <c r="K64" s="1">
        <v>0</v>
      </c>
      <c r="L64" s="1" t="str">
        <f t="shared" si="0"/>
        <v>Гареева Т.Ю.</v>
      </c>
      <c r="M64" s="1">
        <v>4207</v>
      </c>
      <c r="N64" s="19" t="s">
        <v>224</v>
      </c>
      <c r="O64" s="1">
        <v>6.6</v>
      </c>
      <c r="P64" s="1">
        <v>4.4000000000000004</v>
      </c>
      <c r="Q64" s="17" t="s">
        <v>263</v>
      </c>
      <c r="R64" s="19">
        <f t="shared" si="6"/>
        <v>23</v>
      </c>
      <c r="S64" s="18"/>
      <c r="T64" s="18"/>
    </row>
    <row r="65" spans="1:21" ht="23.25" x14ac:dyDescent="0.25">
      <c r="A65" s="13" t="s">
        <v>357</v>
      </c>
      <c r="B65" s="1" t="s">
        <v>50</v>
      </c>
      <c r="C65" s="8" t="s">
        <v>176</v>
      </c>
      <c r="D65" s="1">
        <v>8</v>
      </c>
      <c r="E65" s="1">
        <v>1</v>
      </c>
      <c r="F65" s="1">
        <v>11</v>
      </c>
      <c r="G65" s="1"/>
      <c r="H65" s="1"/>
      <c r="I65" s="1">
        <v>2</v>
      </c>
      <c r="J65" s="1">
        <v>0</v>
      </c>
      <c r="K65" s="1">
        <v>0</v>
      </c>
      <c r="L65" s="1" t="str">
        <f t="shared" si="0"/>
        <v>Телина И.С.</v>
      </c>
      <c r="M65" s="1">
        <v>3305</v>
      </c>
      <c r="N65" s="1" t="s">
        <v>223</v>
      </c>
      <c r="O65" s="1">
        <v>0</v>
      </c>
      <c r="P65" s="1">
        <v>0</v>
      </c>
      <c r="Q65" s="17" t="s">
        <v>79</v>
      </c>
      <c r="R65" s="19">
        <v>0</v>
      </c>
      <c r="S65" s="18"/>
      <c r="T65" s="18"/>
    </row>
    <row r="66" spans="1:21" ht="23.25" x14ac:dyDescent="0.25">
      <c r="A66" s="13" t="s">
        <v>274</v>
      </c>
      <c r="B66" s="1" t="s">
        <v>50</v>
      </c>
      <c r="C66" s="8" t="s">
        <v>176</v>
      </c>
      <c r="D66" s="1">
        <v>8</v>
      </c>
      <c r="E66" s="1">
        <v>1</v>
      </c>
      <c r="F66" s="1">
        <v>11</v>
      </c>
      <c r="G66" s="1" t="s">
        <v>25</v>
      </c>
      <c r="H66" s="1">
        <v>3</v>
      </c>
      <c r="I66" s="1">
        <v>4</v>
      </c>
      <c r="J66" s="1">
        <v>0</v>
      </c>
      <c r="K66" s="1">
        <v>8</v>
      </c>
      <c r="L66" s="1" t="str">
        <f t="shared" ref="L66:L92" si="7">CONCATENATE(Q66,"",S66,"",U66)</f>
        <v>Савинова М.А.</v>
      </c>
      <c r="M66" s="1">
        <v>3305</v>
      </c>
      <c r="N66" s="19" t="s">
        <v>224</v>
      </c>
      <c r="O66" s="1">
        <v>5</v>
      </c>
      <c r="P66" s="1">
        <v>0</v>
      </c>
      <c r="Q66" s="17" t="s">
        <v>95</v>
      </c>
      <c r="R66" s="19">
        <f t="shared" si="6"/>
        <v>17</v>
      </c>
      <c r="S66" s="18"/>
      <c r="T66" s="18"/>
    </row>
    <row r="67" spans="1:21" ht="45" x14ac:dyDescent="0.25">
      <c r="A67" s="13" t="s">
        <v>312</v>
      </c>
      <c r="B67" s="1" t="s">
        <v>50</v>
      </c>
      <c r="C67" s="8" t="s">
        <v>176</v>
      </c>
      <c r="D67" s="1">
        <v>8</v>
      </c>
      <c r="E67" s="1">
        <v>1</v>
      </c>
      <c r="F67" s="1">
        <v>11</v>
      </c>
      <c r="G67" s="1"/>
      <c r="H67" s="1"/>
      <c r="I67" s="1">
        <v>2</v>
      </c>
      <c r="J67" s="1">
        <v>0</v>
      </c>
      <c r="K67" s="1">
        <v>0</v>
      </c>
      <c r="L67" s="1" t="str">
        <f t="shared" si="7"/>
        <v>Цымбалюк А.Е.</v>
      </c>
      <c r="M67" s="1">
        <v>3305</v>
      </c>
      <c r="N67" s="1" t="s">
        <v>223</v>
      </c>
      <c r="O67" s="1">
        <v>0</v>
      </c>
      <c r="P67" s="1">
        <v>0</v>
      </c>
      <c r="Q67" s="17" t="s">
        <v>281</v>
      </c>
      <c r="R67" s="19">
        <v>0</v>
      </c>
      <c r="S67" s="18"/>
      <c r="T67" s="18"/>
    </row>
    <row r="68" spans="1:21" x14ac:dyDescent="0.25">
      <c r="A68" s="13" t="s">
        <v>172</v>
      </c>
      <c r="B68" s="1" t="s">
        <v>50</v>
      </c>
      <c r="C68" s="8" t="s">
        <v>176</v>
      </c>
      <c r="D68" s="1">
        <v>8</v>
      </c>
      <c r="E68" s="1">
        <v>1</v>
      </c>
      <c r="F68" s="1">
        <v>11</v>
      </c>
      <c r="G68" s="1" t="s">
        <v>25</v>
      </c>
      <c r="H68" s="1">
        <v>4</v>
      </c>
      <c r="I68" s="1">
        <v>4</v>
      </c>
      <c r="J68" s="1">
        <v>0</v>
      </c>
      <c r="K68" s="1">
        <v>12</v>
      </c>
      <c r="L68" s="1" t="str">
        <f t="shared" si="7"/>
        <v>Жгун Т.В.</v>
      </c>
      <c r="M68" s="1">
        <v>3305</v>
      </c>
      <c r="N68" s="19" t="s">
        <v>224</v>
      </c>
      <c r="O68" s="1">
        <v>6.6</v>
      </c>
      <c r="P68" s="1">
        <v>0</v>
      </c>
      <c r="Q68" s="17" t="s">
        <v>71</v>
      </c>
      <c r="R68" s="19">
        <f t="shared" ref="R68" si="8">I68+J68+K68+P68+O68</f>
        <v>22.6</v>
      </c>
      <c r="S68" s="18"/>
      <c r="T68" s="18"/>
    </row>
    <row r="69" spans="1:21" ht="45" x14ac:dyDescent="0.25">
      <c r="A69" s="13" t="s">
        <v>163</v>
      </c>
      <c r="B69" s="1" t="s">
        <v>50</v>
      </c>
      <c r="C69" s="8" t="s">
        <v>176</v>
      </c>
      <c r="D69" s="1">
        <v>8</v>
      </c>
      <c r="E69" s="1">
        <v>1</v>
      </c>
      <c r="F69" s="1">
        <v>11</v>
      </c>
      <c r="G69" s="1"/>
      <c r="H69" s="1"/>
      <c r="I69" s="1">
        <v>2</v>
      </c>
      <c r="J69" s="1">
        <v>0</v>
      </c>
      <c r="K69" s="1">
        <v>0</v>
      </c>
      <c r="L69" s="1" t="str">
        <f t="shared" si="7"/>
        <v>Михайлов Д.В.</v>
      </c>
      <c r="M69" s="1">
        <v>3305</v>
      </c>
      <c r="N69" s="1" t="s">
        <v>223</v>
      </c>
      <c r="O69" s="1">
        <v>0</v>
      </c>
      <c r="P69" s="1">
        <v>0</v>
      </c>
      <c r="Q69" s="17" t="s">
        <v>70</v>
      </c>
      <c r="R69" s="19">
        <v>0</v>
      </c>
      <c r="S69" s="18"/>
      <c r="T69" s="18"/>
    </row>
    <row r="70" spans="1:21" ht="45" x14ac:dyDescent="0.25">
      <c r="A70" s="13" t="s">
        <v>164</v>
      </c>
      <c r="B70" s="1" t="s">
        <v>50</v>
      </c>
      <c r="C70" s="8" t="s">
        <v>176</v>
      </c>
      <c r="D70" s="1">
        <v>8</v>
      </c>
      <c r="E70" s="1">
        <v>1</v>
      </c>
      <c r="F70" s="1">
        <v>11</v>
      </c>
      <c r="G70" s="1"/>
      <c r="H70" s="1"/>
      <c r="I70" s="1">
        <v>2</v>
      </c>
      <c r="J70" s="1">
        <v>0</v>
      </c>
      <c r="K70" s="1">
        <v>0</v>
      </c>
      <c r="L70" s="1" t="str">
        <f t="shared" si="7"/>
        <v>Соколова Г.Ю.</v>
      </c>
      <c r="M70" s="1">
        <v>3305</v>
      </c>
      <c r="N70" s="1" t="s">
        <v>223</v>
      </c>
      <c r="O70" s="1">
        <v>0</v>
      </c>
      <c r="P70" s="1">
        <v>0</v>
      </c>
      <c r="Q70" s="17" t="s">
        <v>74</v>
      </c>
      <c r="R70" s="19">
        <v>0</v>
      </c>
      <c r="S70" s="18"/>
      <c r="T70" s="18"/>
    </row>
    <row r="71" spans="1:21" ht="33.75" x14ac:dyDescent="0.25">
      <c r="A71" s="13" t="s">
        <v>160</v>
      </c>
      <c r="B71" s="1" t="s">
        <v>50</v>
      </c>
      <c r="C71" s="8" t="s">
        <v>176</v>
      </c>
      <c r="D71" s="1">
        <v>8</v>
      </c>
      <c r="E71" s="1">
        <v>1</v>
      </c>
      <c r="F71" s="1">
        <v>11</v>
      </c>
      <c r="G71" s="1"/>
      <c r="H71" s="1"/>
      <c r="I71" s="1">
        <v>2</v>
      </c>
      <c r="J71" s="1">
        <v>0</v>
      </c>
      <c r="K71" s="1">
        <v>0</v>
      </c>
      <c r="L71" s="1" t="str">
        <f t="shared" si="7"/>
        <v>Корнышев Н.П.</v>
      </c>
      <c r="M71" s="1">
        <v>3305</v>
      </c>
      <c r="N71" s="1" t="s">
        <v>223</v>
      </c>
      <c r="O71" s="1">
        <v>0</v>
      </c>
      <c r="P71" s="1">
        <v>0</v>
      </c>
      <c r="Q71" s="17" t="s">
        <v>105</v>
      </c>
      <c r="R71" s="19">
        <v>0</v>
      </c>
      <c r="S71" s="18"/>
      <c r="T71" s="18"/>
    </row>
    <row r="72" spans="1:21" ht="33.75" x14ac:dyDescent="0.25">
      <c r="A72" s="13" t="s">
        <v>166</v>
      </c>
      <c r="B72" s="1" t="s">
        <v>50</v>
      </c>
      <c r="C72" s="8" t="s">
        <v>176</v>
      </c>
      <c r="D72" s="1">
        <v>8</v>
      </c>
      <c r="E72" s="1">
        <v>1</v>
      </c>
      <c r="F72" s="1">
        <v>11</v>
      </c>
      <c r="G72" s="1" t="s">
        <v>25</v>
      </c>
      <c r="H72" s="1">
        <v>1</v>
      </c>
      <c r="I72" s="1">
        <v>0</v>
      </c>
      <c r="J72" s="1">
        <v>1</v>
      </c>
      <c r="K72" s="1">
        <v>0</v>
      </c>
      <c r="L72" s="1" t="str">
        <f t="shared" si="7"/>
        <v>Соколова Г.Ю.</v>
      </c>
      <c r="M72" s="1">
        <v>3317</v>
      </c>
      <c r="N72" s="1" t="s">
        <v>223</v>
      </c>
      <c r="O72" s="1">
        <v>0</v>
      </c>
      <c r="P72" s="1">
        <v>0</v>
      </c>
      <c r="Q72" s="17" t="s">
        <v>74</v>
      </c>
      <c r="R72" s="19">
        <v>0</v>
      </c>
      <c r="S72" s="18"/>
      <c r="T72" s="18"/>
    </row>
    <row r="73" spans="1:21" ht="33.75" x14ac:dyDescent="0.25">
      <c r="A73" s="13" t="s">
        <v>314</v>
      </c>
      <c r="B73" s="1" t="s">
        <v>50</v>
      </c>
      <c r="C73" s="8" t="s">
        <v>176</v>
      </c>
      <c r="D73" s="1">
        <v>8</v>
      </c>
      <c r="E73" s="1">
        <v>1</v>
      </c>
      <c r="F73" s="1">
        <v>11</v>
      </c>
      <c r="G73" s="1" t="s">
        <v>25</v>
      </c>
      <c r="H73" s="1">
        <v>1</v>
      </c>
      <c r="I73" s="1">
        <v>0</v>
      </c>
      <c r="J73" s="1">
        <v>1</v>
      </c>
      <c r="K73" s="1">
        <v>0</v>
      </c>
      <c r="L73" s="1" t="str">
        <f t="shared" si="7"/>
        <v>Савинова М.А.</v>
      </c>
      <c r="M73" s="1">
        <v>3317</v>
      </c>
      <c r="N73" s="1" t="s">
        <v>223</v>
      </c>
      <c r="O73" s="1">
        <v>0</v>
      </c>
      <c r="P73" s="1">
        <v>0</v>
      </c>
      <c r="Q73" s="17" t="s">
        <v>95</v>
      </c>
      <c r="R73" s="19">
        <v>0</v>
      </c>
      <c r="S73" s="18"/>
      <c r="T73" s="18"/>
    </row>
    <row r="74" spans="1:21" ht="23.25" x14ac:dyDescent="0.25">
      <c r="A74" s="13" t="s">
        <v>28</v>
      </c>
      <c r="B74" s="1" t="s">
        <v>50</v>
      </c>
      <c r="C74" s="8" t="s">
        <v>176</v>
      </c>
      <c r="D74" s="1">
        <v>8</v>
      </c>
      <c r="E74" s="1">
        <v>1</v>
      </c>
      <c r="F74" s="1">
        <v>11</v>
      </c>
      <c r="G74" s="1" t="s">
        <v>25</v>
      </c>
      <c r="H74" s="1">
        <v>1</v>
      </c>
      <c r="I74" s="1">
        <v>0</v>
      </c>
      <c r="J74" s="1">
        <v>1</v>
      </c>
      <c r="K74" s="1">
        <v>0</v>
      </c>
      <c r="L74" s="1" t="str">
        <f t="shared" si="7"/>
        <v>Моркин С.А.</v>
      </c>
      <c r="M74" s="1">
        <v>3317</v>
      </c>
      <c r="N74" s="19" t="s">
        <v>224</v>
      </c>
      <c r="O74" s="1">
        <v>3.3</v>
      </c>
      <c r="P74" s="1">
        <v>0</v>
      </c>
      <c r="Q74" s="17" t="s">
        <v>69</v>
      </c>
      <c r="R74" s="19">
        <f>I74+J74+K74+P74+O74-1</f>
        <v>3.3</v>
      </c>
      <c r="S74" s="18"/>
      <c r="T74" s="18"/>
    </row>
    <row r="75" spans="1:21" ht="23.25" x14ac:dyDescent="0.25">
      <c r="A75" s="13" t="s">
        <v>313</v>
      </c>
      <c r="B75" s="1" t="s">
        <v>50</v>
      </c>
      <c r="C75" s="8" t="s">
        <v>176</v>
      </c>
      <c r="D75" s="1">
        <v>8</v>
      </c>
      <c r="E75" s="1">
        <v>1</v>
      </c>
      <c r="F75" s="1">
        <v>11</v>
      </c>
      <c r="G75" s="1" t="s">
        <v>25</v>
      </c>
      <c r="H75" s="1">
        <v>3</v>
      </c>
      <c r="I75" s="1">
        <v>0</v>
      </c>
      <c r="J75" s="1">
        <v>2</v>
      </c>
      <c r="K75" s="1">
        <v>0</v>
      </c>
      <c r="L75" s="1" t="str">
        <f t="shared" si="7"/>
        <v>Моркин С.А.</v>
      </c>
      <c r="M75" s="1">
        <v>3317</v>
      </c>
      <c r="N75" s="19" t="s">
        <v>224</v>
      </c>
      <c r="O75" s="1">
        <v>9.9</v>
      </c>
      <c r="P75" s="1">
        <v>0</v>
      </c>
      <c r="Q75" s="17" t="s">
        <v>69</v>
      </c>
      <c r="R75" s="19">
        <f>I75+J75+K75+P75+O75-2</f>
        <v>9.9</v>
      </c>
      <c r="S75" s="18"/>
      <c r="T75" s="18"/>
    </row>
    <row r="76" spans="1:21" s="1" customFormat="1" ht="5.45" customHeight="1" x14ac:dyDescent="0.25">
      <c r="A76" s="88"/>
      <c r="B76" s="50"/>
      <c r="G76" s="86"/>
      <c r="H76" s="86"/>
      <c r="I76" s="86"/>
      <c r="J76" s="86"/>
      <c r="K76" s="86"/>
      <c r="L76" s="1" t="str">
        <f t="shared" si="7"/>
        <v/>
      </c>
      <c r="N76" s="19"/>
      <c r="O76" s="56"/>
      <c r="Q76" s="17"/>
      <c r="R76" s="19"/>
      <c r="S76" s="18"/>
      <c r="T76" s="18"/>
      <c r="U76" s="3"/>
    </row>
    <row r="77" spans="1:21" ht="22.5" x14ac:dyDescent="0.25">
      <c r="A77" s="54" t="s">
        <v>43</v>
      </c>
      <c r="B77" s="1" t="s">
        <v>50</v>
      </c>
      <c r="C77" s="1" t="s">
        <v>130</v>
      </c>
      <c r="D77" s="1">
        <v>9</v>
      </c>
      <c r="E77" s="1">
        <v>1</v>
      </c>
      <c r="F77" s="1">
        <v>17</v>
      </c>
      <c r="G77" s="55" t="s">
        <v>19</v>
      </c>
      <c r="H77" s="55">
        <v>3</v>
      </c>
      <c r="I77" s="55">
        <v>8</v>
      </c>
      <c r="J77" s="55">
        <v>4</v>
      </c>
      <c r="K77" s="55">
        <v>0</v>
      </c>
      <c r="L77" s="1" t="str">
        <f t="shared" si="7"/>
        <v>Бритвина Л.Е.</v>
      </c>
      <c r="M77" s="1"/>
      <c r="N77" s="19" t="s">
        <v>224</v>
      </c>
      <c r="O77" s="77">
        <v>7.7</v>
      </c>
      <c r="P77" s="1">
        <v>0</v>
      </c>
      <c r="Q77" s="14" t="s">
        <v>73</v>
      </c>
      <c r="R77" s="19">
        <f t="shared" ref="R77:R84" si="9">I77+J77+K77+P77+O77-2</f>
        <v>17.7</v>
      </c>
      <c r="S77" s="18"/>
      <c r="T77" s="18"/>
    </row>
    <row r="78" spans="1:21" ht="45" x14ac:dyDescent="0.25">
      <c r="A78" s="54" t="s">
        <v>280</v>
      </c>
      <c r="B78" s="1" t="s">
        <v>50</v>
      </c>
      <c r="C78" s="1" t="s">
        <v>130</v>
      </c>
      <c r="D78" s="1">
        <v>9</v>
      </c>
      <c r="E78" s="1">
        <v>1</v>
      </c>
      <c r="F78" s="1">
        <v>17</v>
      </c>
      <c r="G78" s="55" t="s">
        <v>19</v>
      </c>
      <c r="H78" s="55">
        <v>3</v>
      </c>
      <c r="I78" s="55">
        <v>4</v>
      </c>
      <c r="J78" s="55">
        <v>0</v>
      </c>
      <c r="K78" s="55">
        <v>8</v>
      </c>
      <c r="L78" s="1" t="str">
        <f t="shared" si="7"/>
        <v>Цымбалюк А.Е.</v>
      </c>
      <c r="M78" s="1"/>
      <c r="N78" s="19" t="s">
        <v>224</v>
      </c>
      <c r="O78" s="77">
        <v>7.7</v>
      </c>
      <c r="P78" s="1">
        <v>0</v>
      </c>
      <c r="Q78" s="14" t="s">
        <v>281</v>
      </c>
      <c r="R78" s="19">
        <f t="shared" si="9"/>
        <v>17.7</v>
      </c>
      <c r="S78" s="18"/>
      <c r="T78" s="18"/>
    </row>
    <row r="79" spans="1:21" ht="33.75" x14ac:dyDescent="0.25">
      <c r="A79" s="54" t="s">
        <v>58</v>
      </c>
      <c r="B79" s="1" t="s">
        <v>50</v>
      </c>
      <c r="C79" s="1" t="s">
        <v>130</v>
      </c>
      <c r="D79" s="1">
        <v>9</v>
      </c>
      <c r="E79" s="1">
        <v>1</v>
      </c>
      <c r="F79" s="1">
        <v>17</v>
      </c>
      <c r="G79" s="55" t="s">
        <v>19</v>
      </c>
      <c r="H79" s="55">
        <v>3</v>
      </c>
      <c r="I79" s="55">
        <v>4</v>
      </c>
      <c r="J79" s="55">
        <v>4</v>
      </c>
      <c r="K79" s="55">
        <v>4</v>
      </c>
      <c r="L79" s="1" t="str">
        <f t="shared" si="7"/>
        <v>Михайлов Д.В.</v>
      </c>
      <c r="M79" s="1"/>
      <c r="N79" s="19" t="s">
        <v>224</v>
      </c>
      <c r="O79" s="77">
        <v>7.7</v>
      </c>
      <c r="P79" s="1">
        <v>0</v>
      </c>
      <c r="Q79" s="14" t="s">
        <v>70</v>
      </c>
      <c r="R79" s="19">
        <f t="shared" si="9"/>
        <v>17.7</v>
      </c>
      <c r="S79" s="18"/>
      <c r="T79" s="18"/>
    </row>
    <row r="80" spans="1:21" ht="45" x14ac:dyDescent="0.25">
      <c r="A80" s="54" t="s">
        <v>90</v>
      </c>
      <c r="B80" s="1" t="s">
        <v>50</v>
      </c>
      <c r="C80" s="1" t="s">
        <v>130</v>
      </c>
      <c r="D80" s="1">
        <v>9</v>
      </c>
      <c r="E80" s="1">
        <v>1</v>
      </c>
      <c r="F80" s="1">
        <v>17</v>
      </c>
      <c r="G80" s="55" t="s">
        <v>17</v>
      </c>
      <c r="H80" s="55">
        <v>6</v>
      </c>
      <c r="I80" s="55">
        <v>8</v>
      </c>
      <c r="J80" s="55">
        <v>0</v>
      </c>
      <c r="K80" s="55">
        <v>12</v>
      </c>
      <c r="L80" s="1" t="str">
        <f t="shared" si="7"/>
        <v>Соколова Г.Ю.</v>
      </c>
      <c r="M80" s="1"/>
      <c r="N80" s="19" t="s">
        <v>224</v>
      </c>
      <c r="O80" s="77">
        <v>15.299999999999999</v>
      </c>
      <c r="P80" s="1">
        <v>10.200000000000001</v>
      </c>
      <c r="Q80" s="14" t="s">
        <v>74</v>
      </c>
      <c r="R80" s="19">
        <f t="shared" si="9"/>
        <v>43.5</v>
      </c>
      <c r="S80" s="18"/>
      <c r="T80" s="18"/>
    </row>
    <row r="81" spans="1:23" ht="22.5" x14ac:dyDescent="0.25">
      <c r="A81" s="54" t="s">
        <v>42</v>
      </c>
      <c r="B81" s="1" t="s">
        <v>50</v>
      </c>
      <c r="C81" s="1" t="s">
        <v>130</v>
      </c>
      <c r="D81" s="1">
        <v>9</v>
      </c>
      <c r="E81" s="1">
        <v>1</v>
      </c>
      <c r="F81" s="1">
        <v>17</v>
      </c>
      <c r="G81" s="55" t="s">
        <v>17</v>
      </c>
      <c r="H81" s="55">
        <v>5</v>
      </c>
      <c r="I81" s="55">
        <v>8</v>
      </c>
      <c r="J81" s="55">
        <v>8</v>
      </c>
      <c r="K81" s="55">
        <v>0</v>
      </c>
      <c r="L81" s="1" t="str">
        <f t="shared" si="7"/>
        <v>Корнышев Н.П.</v>
      </c>
      <c r="M81" s="1"/>
      <c r="N81" s="19" t="s">
        <v>224</v>
      </c>
      <c r="O81" s="77">
        <v>12.8</v>
      </c>
      <c r="P81" s="1">
        <v>8.5</v>
      </c>
      <c r="Q81" s="14" t="s">
        <v>105</v>
      </c>
      <c r="R81" s="19">
        <f t="shared" si="9"/>
        <v>35.299999999999997</v>
      </c>
      <c r="S81" s="18"/>
      <c r="T81" s="18"/>
    </row>
    <row r="82" spans="1:23" ht="22.5" x14ac:dyDescent="0.25">
      <c r="A82" s="54" t="s">
        <v>53</v>
      </c>
      <c r="B82" s="1" t="s">
        <v>50</v>
      </c>
      <c r="C82" s="1" t="s">
        <v>130</v>
      </c>
      <c r="D82" s="1">
        <v>9</v>
      </c>
      <c r="E82" s="1">
        <v>1</v>
      </c>
      <c r="F82" s="1">
        <v>17</v>
      </c>
      <c r="G82" s="55" t="s">
        <v>19</v>
      </c>
      <c r="H82" s="55">
        <v>1</v>
      </c>
      <c r="I82" s="55">
        <v>0</v>
      </c>
      <c r="J82" s="55">
        <v>4</v>
      </c>
      <c r="K82" s="55">
        <v>0</v>
      </c>
      <c r="L82" s="1" t="str">
        <f t="shared" si="7"/>
        <v>Савинова М.А.</v>
      </c>
      <c r="M82" s="1"/>
      <c r="N82" s="19" t="s">
        <v>224</v>
      </c>
      <c r="O82" s="77">
        <v>25.5</v>
      </c>
      <c r="P82" s="1">
        <v>0</v>
      </c>
      <c r="Q82" s="14" t="s">
        <v>95</v>
      </c>
      <c r="R82" s="19">
        <f t="shared" si="9"/>
        <v>27.5</v>
      </c>
      <c r="S82" s="18"/>
      <c r="T82" s="18"/>
    </row>
    <row r="83" spans="1:23" ht="45" x14ac:dyDescent="0.25">
      <c r="A83" s="54" t="s">
        <v>59</v>
      </c>
      <c r="B83" s="1" t="s">
        <v>50</v>
      </c>
      <c r="C83" s="1" t="s">
        <v>130</v>
      </c>
      <c r="D83" s="1">
        <v>9</v>
      </c>
      <c r="E83" s="1">
        <v>1</v>
      </c>
      <c r="F83" s="1">
        <v>17</v>
      </c>
      <c r="G83" s="55" t="s">
        <v>25</v>
      </c>
      <c r="H83" s="55">
        <v>3</v>
      </c>
      <c r="I83" s="55">
        <v>0</v>
      </c>
      <c r="J83" s="55">
        <v>2</v>
      </c>
      <c r="K83" s="55">
        <v>0</v>
      </c>
      <c r="L83" s="1" t="str">
        <f t="shared" si="7"/>
        <v>Соколова Г.Ю.</v>
      </c>
      <c r="M83" s="1"/>
      <c r="N83" s="19" t="s">
        <v>224</v>
      </c>
      <c r="O83" s="77">
        <v>15.3</v>
      </c>
      <c r="P83" s="1">
        <v>0</v>
      </c>
      <c r="Q83" s="14" t="s">
        <v>74</v>
      </c>
      <c r="R83" s="19">
        <f t="shared" si="9"/>
        <v>15.3</v>
      </c>
      <c r="S83" s="18"/>
      <c r="T83" s="18"/>
    </row>
    <row r="84" spans="1:23" ht="45" x14ac:dyDescent="0.25">
      <c r="A84" s="54" t="s">
        <v>117</v>
      </c>
      <c r="B84" s="1" t="s">
        <v>50</v>
      </c>
      <c r="C84" s="1" t="s">
        <v>130</v>
      </c>
      <c r="D84" s="1">
        <v>9</v>
      </c>
      <c r="E84" s="1">
        <v>1</v>
      </c>
      <c r="F84" s="1">
        <v>17</v>
      </c>
      <c r="G84" s="55" t="s">
        <v>25</v>
      </c>
      <c r="H84" s="55">
        <v>3</v>
      </c>
      <c r="I84" s="55">
        <v>0</v>
      </c>
      <c r="J84" s="55">
        <v>2</v>
      </c>
      <c r="K84" s="55">
        <v>0</v>
      </c>
      <c r="L84" s="1" t="str">
        <f t="shared" si="7"/>
        <v>Соколова Г.Ю.</v>
      </c>
      <c r="M84" s="1"/>
      <c r="N84" s="19" t="s">
        <v>224</v>
      </c>
      <c r="O84" s="77">
        <v>15.3</v>
      </c>
      <c r="P84" s="1">
        <v>0</v>
      </c>
      <c r="Q84" s="14" t="s">
        <v>74</v>
      </c>
      <c r="R84" s="19">
        <f t="shared" si="9"/>
        <v>15.3</v>
      </c>
      <c r="S84" s="18"/>
      <c r="T84" s="18"/>
    </row>
    <row r="85" spans="1:23" ht="45" x14ac:dyDescent="0.25">
      <c r="A85" s="54" t="s">
        <v>192</v>
      </c>
      <c r="B85" s="1" t="s">
        <v>50</v>
      </c>
      <c r="C85" s="1" t="s">
        <v>130</v>
      </c>
      <c r="D85" s="1">
        <v>9</v>
      </c>
      <c r="E85" s="1">
        <v>1</v>
      </c>
      <c r="F85" s="1">
        <v>17</v>
      </c>
      <c r="G85" s="55"/>
      <c r="H85" s="55">
        <v>0</v>
      </c>
      <c r="I85" s="55">
        <v>0</v>
      </c>
      <c r="J85" s="55">
        <v>1</v>
      </c>
      <c r="K85" s="55">
        <v>0</v>
      </c>
      <c r="L85" s="1" t="str">
        <f t="shared" si="7"/>
        <v>Соколова Г.Ю.</v>
      </c>
      <c r="M85" s="1"/>
      <c r="N85" s="19" t="s">
        <v>224</v>
      </c>
      <c r="O85" s="77">
        <v>0</v>
      </c>
      <c r="P85" s="1">
        <v>0</v>
      </c>
      <c r="Q85" s="14" t="s">
        <v>74</v>
      </c>
      <c r="R85" s="19">
        <f>I85+J85+K85+P85+O85-1</f>
        <v>0</v>
      </c>
      <c r="S85" s="18"/>
      <c r="T85" s="18"/>
    </row>
    <row r="86" spans="1:23" ht="8.4499999999999993" customHeight="1" x14ac:dyDescent="0.25">
      <c r="A86" s="88"/>
      <c r="B86" s="50"/>
      <c r="C86" s="1"/>
      <c r="D86" s="1"/>
      <c r="E86" s="1"/>
      <c r="F86" s="1"/>
      <c r="G86" s="86"/>
      <c r="H86" s="86"/>
      <c r="I86" s="86"/>
      <c r="J86" s="86"/>
      <c r="K86" s="86"/>
      <c r="L86" s="1" t="str">
        <f t="shared" si="7"/>
        <v/>
      </c>
      <c r="M86" s="1"/>
      <c r="N86" s="1"/>
      <c r="O86" s="77"/>
      <c r="P86" s="1"/>
      <c r="Q86" s="14"/>
      <c r="R86" s="19"/>
    </row>
    <row r="87" spans="1:23" s="1" customFormat="1" ht="31.5" customHeight="1" x14ac:dyDescent="0.25">
      <c r="A87" s="1" t="s">
        <v>44</v>
      </c>
      <c r="B87" s="1" t="s">
        <v>50</v>
      </c>
      <c r="C87" s="1" t="s">
        <v>130</v>
      </c>
      <c r="D87" s="1">
        <v>10</v>
      </c>
      <c r="E87" s="1">
        <v>1</v>
      </c>
      <c r="F87" s="1">
        <v>17</v>
      </c>
      <c r="G87" s="1" t="s">
        <v>25</v>
      </c>
      <c r="H87" s="1">
        <v>18</v>
      </c>
      <c r="I87" s="1">
        <v>0</v>
      </c>
      <c r="J87" s="1">
        <v>2</v>
      </c>
      <c r="K87" s="1">
        <v>0</v>
      </c>
      <c r="L87" s="1" t="str">
        <f t="shared" si="7"/>
        <v>Соколова Г.Ю.Архипова Г.А.Винник Л.И.</v>
      </c>
      <c r="N87" s="1" t="s">
        <v>218</v>
      </c>
      <c r="O87" s="1">
        <v>61.2</v>
      </c>
      <c r="P87" s="1">
        <v>0</v>
      </c>
      <c r="Q87" s="14" t="s">
        <v>74</v>
      </c>
      <c r="R87" s="1">
        <f>O87-T87-V87</f>
        <v>23.200000000000003</v>
      </c>
      <c r="S87" s="14" t="s">
        <v>75</v>
      </c>
      <c r="T87" s="14">
        <v>16</v>
      </c>
      <c r="U87" s="14" t="s">
        <v>77</v>
      </c>
      <c r="V87" s="69">
        <v>22</v>
      </c>
    </row>
    <row r="88" spans="1:23" s="1" customFormat="1" ht="33.75" x14ac:dyDescent="0.25">
      <c r="A88" s="1" t="s">
        <v>216</v>
      </c>
      <c r="B88" s="1" t="s">
        <v>50</v>
      </c>
      <c r="C88" s="1" t="s">
        <v>130</v>
      </c>
      <c r="D88" s="1">
        <v>10</v>
      </c>
      <c r="E88" s="1">
        <v>1</v>
      </c>
      <c r="F88" s="1">
        <v>17</v>
      </c>
      <c r="G88" s="1" t="s">
        <v>25</v>
      </c>
      <c r="H88" s="1">
        <v>9</v>
      </c>
      <c r="I88" s="1">
        <v>0</v>
      </c>
      <c r="J88" s="1">
        <v>2</v>
      </c>
      <c r="K88" s="1">
        <v>0</v>
      </c>
      <c r="L88" s="1" t="str">
        <f t="shared" si="7"/>
        <v>Залилов Р.Ю.Соколова Г.Ю.Архипова Г.А.</v>
      </c>
      <c r="N88" s="1" t="s">
        <v>382</v>
      </c>
      <c r="O88" s="1">
        <v>173.4</v>
      </c>
      <c r="Q88" s="14" t="s">
        <v>186</v>
      </c>
      <c r="R88" s="1">
        <v>4</v>
      </c>
      <c r="S88" s="14" t="s">
        <v>74</v>
      </c>
      <c r="T88" s="1">
        <v>4.4000000000000004</v>
      </c>
      <c r="U88" s="14" t="s">
        <v>75</v>
      </c>
      <c r="V88" s="1">
        <v>4</v>
      </c>
    </row>
    <row r="89" spans="1:23" s="1" customFormat="1" ht="33.75" x14ac:dyDescent="0.25">
      <c r="A89" s="1" t="s">
        <v>216</v>
      </c>
      <c r="B89" s="1" t="s">
        <v>50</v>
      </c>
      <c r="C89" s="1" t="s">
        <v>130</v>
      </c>
      <c r="D89" s="1">
        <v>10</v>
      </c>
      <c r="E89" s="1">
        <v>1</v>
      </c>
      <c r="F89" s="1">
        <v>17</v>
      </c>
      <c r="G89" s="1" t="s">
        <v>25</v>
      </c>
      <c r="H89" s="1">
        <v>9</v>
      </c>
      <c r="I89" s="1">
        <v>0</v>
      </c>
      <c r="J89" s="1">
        <v>2</v>
      </c>
      <c r="K89" s="1">
        <v>0</v>
      </c>
      <c r="L89" s="1" t="str">
        <f t="shared" si="7"/>
        <v>ЧленКомиссииЧленКомиссииЧленКомиссии</v>
      </c>
      <c r="N89" s="1" t="s">
        <v>383</v>
      </c>
      <c r="O89" s="1">
        <f>SUM(Q88:V93)</f>
        <v>173.4</v>
      </c>
      <c r="Q89" s="14" t="s">
        <v>385</v>
      </c>
      <c r="R89" s="1">
        <v>6</v>
      </c>
      <c r="S89" s="14" t="s">
        <v>385</v>
      </c>
      <c r="T89" s="1">
        <v>6</v>
      </c>
      <c r="U89" s="14" t="s">
        <v>385</v>
      </c>
      <c r="V89" s="1">
        <v>6</v>
      </c>
    </row>
    <row r="90" spans="1:23" s="1" customFormat="1" ht="56.25" x14ac:dyDescent="0.25">
      <c r="A90" s="1" t="s">
        <v>216</v>
      </c>
      <c r="B90" s="1" t="s">
        <v>50</v>
      </c>
      <c r="C90" s="1" t="s">
        <v>130</v>
      </c>
      <c r="D90" s="1">
        <v>10</v>
      </c>
      <c r="E90" s="1">
        <v>1</v>
      </c>
      <c r="F90" s="1">
        <v>17</v>
      </c>
      <c r="G90" s="1" t="s">
        <v>25</v>
      </c>
      <c r="H90" s="1">
        <v>9</v>
      </c>
      <c r="I90" s="1">
        <v>0</v>
      </c>
      <c r="J90" s="1">
        <v>2</v>
      </c>
      <c r="K90" s="1">
        <v>0</v>
      </c>
      <c r="L90" s="1" t="str">
        <f t="shared" si="7"/>
        <v>Соколова Г.Ю.</v>
      </c>
      <c r="N90" s="1" t="s">
        <v>388</v>
      </c>
      <c r="O90" s="1">
        <f>R90+T90+V90</f>
        <v>11</v>
      </c>
      <c r="Q90" s="14" t="s">
        <v>74</v>
      </c>
      <c r="R90" s="1">
        <v>11</v>
      </c>
      <c r="S90" s="14"/>
      <c r="U90" s="14"/>
    </row>
    <row r="91" spans="1:23" s="1" customFormat="1" ht="33.75" x14ac:dyDescent="0.25">
      <c r="A91" s="1" t="s">
        <v>216</v>
      </c>
      <c r="B91" s="1" t="s">
        <v>50</v>
      </c>
      <c r="C91" s="1" t="s">
        <v>130</v>
      </c>
      <c r="D91" s="1">
        <v>10</v>
      </c>
      <c r="E91" s="1">
        <v>1</v>
      </c>
      <c r="F91" s="1">
        <v>17</v>
      </c>
      <c r="G91" s="1" t="s">
        <v>25</v>
      </c>
      <c r="H91" s="1">
        <v>9</v>
      </c>
      <c r="I91" s="1">
        <v>0</v>
      </c>
      <c r="J91" s="1">
        <v>0</v>
      </c>
      <c r="K91" s="1">
        <v>0</v>
      </c>
      <c r="L91" s="1" t="str">
        <f t="shared" si="7"/>
        <v>Кулаков И.Ю.Моркин С.А.Телина И.С.</v>
      </c>
      <c r="N91" s="1" t="s">
        <v>329</v>
      </c>
      <c r="O91" s="1">
        <f t="shared" ref="O91:O93" si="10">R91+T91+V91</f>
        <v>48</v>
      </c>
      <c r="Q91" s="14" t="s">
        <v>81</v>
      </c>
      <c r="R91" s="1">
        <f>4*4</f>
        <v>16</v>
      </c>
      <c r="S91" s="14" t="s">
        <v>69</v>
      </c>
      <c r="T91" s="1">
        <f>4*4</f>
        <v>16</v>
      </c>
      <c r="U91" s="14" t="s">
        <v>79</v>
      </c>
      <c r="V91" s="1">
        <f>4*4</f>
        <v>16</v>
      </c>
      <c r="W91" s="1" t="s">
        <v>387</v>
      </c>
    </row>
    <row r="92" spans="1:23" s="1" customFormat="1" ht="33.75" x14ac:dyDescent="0.25">
      <c r="A92" s="1" t="s">
        <v>216</v>
      </c>
      <c r="B92" s="1" t="s">
        <v>50</v>
      </c>
      <c r="C92" s="1" t="s">
        <v>130</v>
      </c>
      <c r="D92" s="1">
        <v>10</v>
      </c>
      <c r="E92" s="1">
        <v>1</v>
      </c>
      <c r="F92" s="1">
        <v>17</v>
      </c>
      <c r="G92" s="1" t="s">
        <v>25</v>
      </c>
      <c r="H92" s="1">
        <v>9</v>
      </c>
      <c r="I92" s="1">
        <v>0</v>
      </c>
      <c r="J92" s="1">
        <v>0</v>
      </c>
      <c r="K92" s="1">
        <v>0</v>
      </c>
      <c r="L92" s="1" t="str">
        <f t="shared" si="7"/>
        <v>Сазонова Н.В.Журавлева М.П.Соколова Г.Ю.</v>
      </c>
      <c r="N92" s="1" t="s">
        <v>329</v>
      </c>
      <c r="O92" s="1">
        <f t="shared" si="10"/>
        <v>48</v>
      </c>
      <c r="Q92" s="14" t="s">
        <v>325</v>
      </c>
      <c r="R92" s="1">
        <v>16</v>
      </c>
      <c r="S92" s="14" t="s">
        <v>72</v>
      </c>
      <c r="T92" s="1">
        <v>16</v>
      </c>
      <c r="U92" s="14" t="s">
        <v>74</v>
      </c>
      <c r="V92" s="1">
        <f>4*4</f>
        <v>16</v>
      </c>
      <c r="W92" s="1" t="s">
        <v>387</v>
      </c>
    </row>
    <row r="93" spans="1:23" s="1" customFormat="1" ht="33.75" x14ac:dyDescent="0.25">
      <c r="A93" s="1" t="s">
        <v>216</v>
      </c>
      <c r="B93" s="1" t="s">
        <v>50</v>
      </c>
      <c r="C93" s="1" t="s">
        <v>130</v>
      </c>
      <c r="D93" s="1">
        <v>10</v>
      </c>
      <c r="E93" s="1">
        <v>1</v>
      </c>
      <c r="F93" s="1">
        <v>17</v>
      </c>
      <c r="G93" s="1" t="s">
        <v>25</v>
      </c>
      <c r="H93" s="1">
        <v>9</v>
      </c>
      <c r="I93" s="1">
        <v>0</v>
      </c>
      <c r="J93" s="1">
        <v>0</v>
      </c>
      <c r="K93" s="1">
        <v>0</v>
      </c>
      <c r="L93" s="1" t="str">
        <f>CONCATENATE(Q93,"",S93,"",U93)</f>
        <v>Залилов Р.Ю.Цымбалюк Л.Н.Эминов С.И.</v>
      </c>
      <c r="N93" s="1" t="s">
        <v>330</v>
      </c>
      <c r="O93" s="1">
        <f t="shared" si="10"/>
        <v>36</v>
      </c>
      <c r="Q93" s="14" t="s">
        <v>186</v>
      </c>
      <c r="R93" s="1">
        <f>4*3</f>
        <v>12</v>
      </c>
      <c r="S93" s="14" t="s">
        <v>78</v>
      </c>
      <c r="T93" s="1">
        <f>4*3</f>
        <v>12</v>
      </c>
      <c r="U93" s="14" t="s">
        <v>68</v>
      </c>
      <c r="V93" s="1">
        <f>4*3</f>
        <v>12</v>
      </c>
      <c r="W93" s="1" t="s">
        <v>387</v>
      </c>
    </row>
  </sheetData>
  <autoFilter ref="A1:M93" xr:uid="{33138B3D-4F68-4B2D-91FE-823DBB7E30E1}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9F17F-0908-4870-BC12-267013742FB6}">
  <sheetPr codeName="Лист12">
    <pageSetUpPr fitToPage="1"/>
  </sheetPr>
  <dimension ref="A1:W64"/>
  <sheetViews>
    <sheetView view="pageBreakPreview" zoomScale="115" zoomScaleNormal="100" zoomScaleSheetLayoutView="115" workbookViewId="0">
      <pane xSplit="1" ySplit="1" topLeftCell="B27" activePane="bottomRight" state="frozenSplit"/>
      <selection activeCell="D26" sqref="D26"/>
      <selection pane="topRight" activeCell="D26" sqref="D26"/>
      <selection pane="bottomLeft" activeCell="D26" sqref="D26"/>
      <selection pane="bottomRight" activeCell="Q37" sqref="Q37"/>
    </sheetView>
  </sheetViews>
  <sheetFormatPr defaultColWidth="8.85546875" defaultRowHeight="15" x14ac:dyDescent="0.25"/>
  <cols>
    <col min="1" max="1" width="21.5703125" style="3" customWidth="1"/>
    <col min="2" max="2" width="11.42578125" style="3" customWidth="1"/>
    <col min="3" max="3" width="7.5703125" style="3" bestFit="1" customWidth="1"/>
    <col min="4" max="4" width="3.5703125" style="3" bestFit="1" customWidth="1"/>
    <col min="5" max="5" width="7.42578125" style="3" bestFit="1" customWidth="1"/>
    <col min="6" max="6" width="6.5703125" style="3" bestFit="1" customWidth="1"/>
    <col min="7" max="7" width="4.42578125" style="3" customWidth="1"/>
    <col min="8" max="8" width="4" style="3" bestFit="1" customWidth="1"/>
    <col min="9" max="9" width="3.42578125" style="3" bestFit="1" customWidth="1"/>
    <col min="10" max="10" width="4.5703125" style="3" customWidth="1"/>
    <col min="11" max="11" width="4.42578125" style="3" customWidth="1"/>
    <col min="12" max="12" width="17.42578125" style="3" customWidth="1"/>
    <col min="13" max="13" width="14.5703125" style="3" customWidth="1"/>
    <col min="14" max="14" width="10.85546875" style="21" customWidth="1"/>
    <col min="15" max="15" width="7.42578125" style="21" customWidth="1"/>
    <col min="16" max="16" width="4.42578125" style="21" customWidth="1"/>
    <col min="17" max="17" width="8.42578125" style="3" customWidth="1"/>
    <col min="18" max="18" width="5.5703125" style="3" customWidth="1"/>
    <col min="19" max="19" width="8.42578125" style="3" customWidth="1"/>
    <col min="20" max="20" width="5.5703125" style="3" customWidth="1"/>
    <col min="21" max="16384" width="8.85546875" style="3"/>
  </cols>
  <sheetData>
    <row r="1" spans="1:21" s="7" customFormat="1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180</v>
      </c>
      <c r="O1" s="1" t="s">
        <v>210</v>
      </c>
      <c r="P1" s="1" t="s">
        <v>209</v>
      </c>
      <c r="Q1" s="1" t="s">
        <v>177</v>
      </c>
      <c r="R1" s="1" t="s">
        <v>178</v>
      </c>
      <c r="S1" s="1" t="s">
        <v>177</v>
      </c>
      <c r="T1" s="1" t="s">
        <v>178</v>
      </c>
    </row>
    <row r="2" spans="1:21" s="1" customFormat="1" ht="4.3499999999999996" customHeight="1" x14ac:dyDescent="0.2">
      <c r="Q2" s="17">
        <f>L2</f>
        <v>0</v>
      </c>
      <c r="R2" s="19">
        <f>I2+J2+K2+P2+O2</f>
        <v>0</v>
      </c>
      <c r="U2" s="16"/>
    </row>
    <row r="3" spans="1:21" s="1" customFormat="1" ht="18.600000000000001" customHeight="1" x14ac:dyDescent="0.2">
      <c r="A3" s="88" t="s">
        <v>168</v>
      </c>
      <c r="B3" s="50" t="s">
        <v>195</v>
      </c>
      <c r="C3" s="1" t="s">
        <v>374</v>
      </c>
      <c r="D3" s="1">
        <v>5</v>
      </c>
      <c r="E3" s="1">
        <v>1</v>
      </c>
      <c r="F3" s="1">
        <v>15</v>
      </c>
      <c r="G3" s="86" t="s">
        <v>17</v>
      </c>
      <c r="H3" s="86">
        <v>4</v>
      </c>
      <c r="I3" s="86">
        <v>4</v>
      </c>
      <c r="J3" s="86">
        <v>0</v>
      </c>
      <c r="K3" s="86">
        <v>8</v>
      </c>
      <c r="L3" s="1" t="str">
        <f t="shared" ref="L3:L4" si="0">CONCATENATE(Q3," ",S3," ",U3)</f>
        <v xml:space="preserve">Иванов А.  </v>
      </c>
      <c r="O3" s="56">
        <v>9</v>
      </c>
      <c r="P3" s="1">
        <v>0</v>
      </c>
      <c r="Q3" s="17" t="s">
        <v>169</v>
      </c>
      <c r="R3" s="19">
        <f t="shared" ref="R3:R10" si="1">I3+J3+K3+P3+O3</f>
        <v>21</v>
      </c>
      <c r="U3" s="16"/>
    </row>
    <row r="4" spans="1:21" ht="22.5" x14ac:dyDescent="0.25">
      <c r="A4" s="88" t="s">
        <v>289</v>
      </c>
      <c r="B4" s="50" t="s">
        <v>195</v>
      </c>
      <c r="C4" s="1" t="s">
        <v>374</v>
      </c>
      <c r="D4" s="1">
        <v>5</v>
      </c>
      <c r="E4" s="1">
        <v>1</v>
      </c>
      <c r="F4" s="1">
        <v>15</v>
      </c>
      <c r="G4" s="86" t="s">
        <v>17</v>
      </c>
      <c r="H4" s="86">
        <v>5</v>
      </c>
      <c r="I4" s="86">
        <v>8</v>
      </c>
      <c r="J4" s="86">
        <v>0</v>
      </c>
      <c r="K4" s="86">
        <v>8</v>
      </c>
      <c r="L4" s="92" t="str">
        <f t="shared" si="0"/>
        <v xml:space="preserve">  </v>
      </c>
      <c r="O4" s="57">
        <v>11.25</v>
      </c>
      <c r="P4" s="21">
        <v>7.5</v>
      </c>
      <c r="Q4" s="91"/>
      <c r="R4" s="19">
        <f t="shared" si="1"/>
        <v>34.75</v>
      </c>
    </row>
    <row r="5" spans="1:21" ht="23.25" x14ac:dyDescent="0.25">
      <c r="A5" s="88" t="s">
        <v>63</v>
      </c>
      <c r="B5" s="50" t="s">
        <v>195</v>
      </c>
      <c r="C5" s="1" t="s">
        <v>374</v>
      </c>
      <c r="D5" s="1">
        <v>5</v>
      </c>
      <c r="E5" s="1">
        <v>1</v>
      </c>
      <c r="F5" s="1">
        <v>15</v>
      </c>
      <c r="G5" s="86" t="s">
        <v>17</v>
      </c>
      <c r="H5" s="86">
        <v>5</v>
      </c>
      <c r="I5" s="86">
        <v>6</v>
      </c>
      <c r="J5" s="86">
        <v>0</v>
      </c>
      <c r="K5" s="86">
        <v>10</v>
      </c>
      <c r="L5" s="1" t="str">
        <f t="shared" ref="L5:L61" si="2">CONCATENATE(Q5,"",S5,"",U5)</f>
        <v>Цымбалюк Л.Н.</v>
      </c>
      <c r="O5" s="57">
        <v>11.25</v>
      </c>
      <c r="P5" s="21">
        <v>7.5</v>
      </c>
      <c r="Q5" s="17" t="s">
        <v>78</v>
      </c>
      <c r="R5" s="19">
        <f t="shared" si="1"/>
        <v>34.75</v>
      </c>
    </row>
    <row r="6" spans="1:21" ht="23.25" x14ac:dyDescent="0.25">
      <c r="A6" s="88" t="s">
        <v>63</v>
      </c>
      <c r="B6" s="50" t="s">
        <v>195</v>
      </c>
      <c r="C6" s="1" t="s">
        <v>374</v>
      </c>
      <c r="D6" s="1">
        <v>5</v>
      </c>
      <c r="E6" s="1">
        <v>1</v>
      </c>
      <c r="F6" s="1">
        <v>15</v>
      </c>
      <c r="G6" s="86" t="s">
        <v>23</v>
      </c>
      <c r="H6" s="86">
        <v>1</v>
      </c>
      <c r="I6" s="86">
        <v>0</v>
      </c>
      <c r="J6" s="86">
        <v>0</v>
      </c>
      <c r="K6" s="86">
        <v>0</v>
      </c>
      <c r="L6" s="1" t="str">
        <f t="shared" si="2"/>
        <v>Цымбалюк Л.Н.</v>
      </c>
      <c r="O6" s="21">
        <v>22.5</v>
      </c>
      <c r="P6" s="21">
        <v>0</v>
      </c>
      <c r="Q6" s="17" t="s">
        <v>78</v>
      </c>
      <c r="R6" s="19">
        <f t="shared" si="1"/>
        <v>22.5</v>
      </c>
    </row>
    <row r="7" spans="1:21" ht="23.25" x14ac:dyDescent="0.25">
      <c r="A7" s="88" t="s">
        <v>138</v>
      </c>
      <c r="B7" s="50" t="s">
        <v>195</v>
      </c>
      <c r="C7" s="1" t="s">
        <v>374</v>
      </c>
      <c r="D7" s="1">
        <v>5</v>
      </c>
      <c r="E7" s="1">
        <v>1</v>
      </c>
      <c r="F7" s="1">
        <v>15</v>
      </c>
      <c r="G7" s="86"/>
      <c r="H7" s="86">
        <v>0</v>
      </c>
      <c r="I7" s="86">
        <v>2</v>
      </c>
      <c r="J7" s="86">
        <v>0</v>
      </c>
      <c r="K7" s="86">
        <v>0</v>
      </c>
      <c r="L7" s="1" t="str">
        <f t="shared" si="2"/>
        <v>Эминов С.И.</v>
      </c>
      <c r="O7" s="21">
        <v>0</v>
      </c>
      <c r="P7" s="21">
        <v>0</v>
      </c>
      <c r="Q7" s="17" t="s">
        <v>68</v>
      </c>
      <c r="R7" s="19">
        <f>I7+J7+K7+P7+O7-I7</f>
        <v>0</v>
      </c>
    </row>
    <row r="8" spans="1:21" ht="33.75" x14ac:dyDescent="0.25">
      <c r="A8" s="88" t="s">
        <v>152</v>
      </c>
      <c r="B8" s="50" t="s">
        <v>195</v>
      </c>
      <c r="C8" s="1" t="s">
        <v>374</v>
      </c>
      <c r="D8" s="1">
        <v>5</v>
      </c>
      <c r="E8" s="1">
        <v>1</v>
      </c>
      <c r="F8" s="1">
        <v>15</v>
      </c>
      <c r="G8" s="86"/>
      <c r="H8" s="86">
        <v>0</v>
      </c>
      <c r="I8" s="86">
        <v>2</v>
      </c>
      <c r="J8" s="86">
        <v>0</v>
      </c>
      <c r="K8" s="86">
        <v>0</v>
      </c>
      <c r="L8" s="1" t="str">
        <f t="shared" si="2"/>
        <v>Цымбалюк Л.Н.</v>
      </c>
      <c r="O8" s="21">
        <v>0</v>
      </c>
      <c r="P8" s="21">
        <v>0</v>
      </c>
      <c r="Q8" s="17" t="s">
        <v>78</v>
      </c>
      <c r="R8" s="19">
        <f t="shared" ref="R8:R12" si="3">I8+J8+K8+P8+O8-I8</f>
        <v>0</v>
      </c>
    </row>
    <row r="9" spans="1:21" ht="23.25" x14ac:dyDescent="0.25">
      <c r="A9" s="88" t="s">
        <v>162</v>
      </c>
      <c r="B9" s="50" t="s">
        <v>195</v>
      </c>
      <c r="C9" s="1" t="s">
        <v>374</v>
      </c>
      <c r="D9" s="1">
        <v>5</v>
      </c>
      <c r="E9" s="1">
        <v>1</v>
      </c>
      <c r="F9" s="1">
        <v>15</v>
      </c>
      <c r="G9" s="86"/>
      <c r="H9" s="86">
        <v>0</v>
      </c>
      <c r="I9" s="86">
        <v>2</v>
      </c>
      <c r="J9" s="86">
        <v>0</v>
      </c>
      <c r="K9" s="86">
        <v>0</v>
      </c>
      <c r="L9" s="1" t="str">
        <f t="shared" si="2"/>
        <v>Телина И.С.</v>
      </c>
      <c r="O9" s="21">
        <v>0</v>
      </c>
      <c r="P9" s="21">
        <v>0</v>
      </c>
      <c r="Q9" s="17" t="s">
        <v>79</v>
      </c>
      <c r="R9" s="19">
        <f t="shared" si="3"/>
        <v>0</v>
      </c>
    </row>
    <row r="10" spans="1:21" ht="23.25" x14ac:dyDescent="0.25">
      <c r="A10" s="88" t="s">
        <v>65</v>
      </c>
      <c r="B10" s="50" t="s">
        <v>195</v>
      </c>
      <c r="C10" s="1" t="s">
        <v>374</v>
      </c>
      <c r="D10" s="1">
        <v>5</v>
      </c>
      <c r="E10" s="1">
        <v>1</v>
      </c>
      <c r="F10" s="1">
        <v>15</v>
      </c>
      <c r="G10" s="86" t="s">
        <v>19</v>
      </c>
      <c r="H10" s="86">
        <v>4</v>
      </c>
      <c r="I10" s="86">
        <v>4</v>
      </c>
      <c r="J10" s="86">
        <v>4</v>
      </c>
      <c r="K10" s="86">
        <v>8</v>
      </c>
      <c r="L10" s="1" t="str">
        <f t="shared" si="2"/>
        <v>Эминов С.И.</v>
      </c>
      <c r="O10" s="57">
        <v>9</v>
      </c>
      <c r="P10" s="21">
        <v>0</v>
      </c>
      <c r="Q10" s="17" t="s">
        <v>68</v>
      </c>
      <c r="R10" s="19">
        <f t="shared" si="1"/>
        <v>25</v>
      </c>
    </row>
    <row r="11" spans="1:21" ht="33.75" x14ac:dyDescent="0.25">
      <c r="A11" s="88" t="s">
        <v>194</v>
      </c>
      <c r="B11" s="50" t="s">
        <v>195</v>
      </c>
      <c r="C11" s="1" t="s">
        <v>374</v>
      </c>
      <c r="D11" s="1">
        <v>5</v>
      </c>
      <c r="E11" s="1">
        <v>1</v>
      </c>
      <c r="F11" s="1">
        <v>15</v>
      </c>
      <c r="G11" s="86"/>
      <c r="H11" s="86">
        <v>0</v>
      </c>
      <c r="I11" s="86">
        <v>2</v>
      </c>
      <c r="J11" s="86">
        <v>0</v>
      </c>
      <c r="K11" s="86">
        <v>0</v>
      </c>
      <c r="L11" s="13" t="str">
        <f t="shared" si="2"/>
        <v>Алексеев П.С.</v>
      </c>
      <c r="O11" s="21">
        <v>0</v>
      </c>
      <c r="P11" s="21">
        <v>0</v>
      </c>
      <c r="Q11" s="17" t="s">
        <v>408</v>
      </c>
      <c r="R11" s="19">
        <f t="shared" si="3"/>
        <v>0</v>
      </c>
    </row>
    <row r="12" spans="1:21" ht="23.25" x14ac:dyDescent="0.25">
      <c r="A12" s="88" t="s">
        <v>149</v>
      </c>
      <c r="B12" s="50" t="s">
        <v>195</v>
      </c>
      <c r="C12" s="1" t="s">
        <v>374</v>
      </c>
      <c r="D12" s="1">
        <v>5</v>
      </c>
      <c r="E12" s="1">
        <v>1</v>
      </c>
      <c r="F12" s="1">
        <v>15</v>
      </c>
      <c r="G12" s="86"/>
      <c r="H12" s="86">
        <v>0</v>
      </c>
      <c r="I12" s="86">
        <v>2</v>
      </c>
      <c r="J12" s="86">
        <v>0</v>
      </c>
      <c r="K12" s="86">
        <v>0</v>
      </c>
      <c r="L12" s="1" t="str">
        <f t="shared" si="2"/>
        <v>Михайлов Д.В.</v>
      </c>
      <c r="O12" s="21">
        <v>0</v>
      </c>
      <c r="P12" s="21">
        <v>0</v>
      </c>
      <c r="Q12" s="17" t="s">
        <v>70</v>
      </c>
      <c r="R12" s="19">
        <f t="shared" si="3"/>
        <v>0</v>
      </c>
    </row>
    <row r="13" spans="1:21" x14ac:dyDescent="0.25">
      <c r="A13" s="88"/>
      <c r="B13" s="50"/>
      <c r="C13" s="1"/>
      <c r="D13" s="1"/>
      <c r="E13" s="1"/>
      <c r="F13" s="1"/>
      <c r="G13" s="86"/>
      <c r="H13" s="86"/>
      <c r="I13" s="86"/>
      <c r="J13" s="86"/>
      <c r="K13" s="86"/>
      <c r="L13" s="1" t="str">
        <f t="shared" si="2"/>
        <v/>
      </c>
      <c r="Q13" s="17"/>
      <c r="R13" s="19"/>
    </row>
    <row r="14" spans="1:21" ht="8.4499999999999993" customHeight="1" x14ac:dyDescent="0.25">
      <c r="A14" s="89"/>
      <c r="B14" s="50"/>
      <c r="C14" s="94"/>
      <c r="D14" s="1"/>
      <c r="E14" s="1"/>
      <c r="F14" s="1"/>
      <c r="G14" s="90"/>
      <c r="H14" s="90"/>
      <c r="I14" s="90"/>
      <c r="J14" s="90"/>
      <c r="K14" s="90"/>
      <c r="L14" s="1" t="str">
        <f t="shared" si="2"/>
        <v/>
      </c>
      <c r="Q14" s="17"/>
      <c r="R14" s="19"/>
    </row>
    <row r="15" spans="1:21" ht="22.35" customHeight="1" x14ac:dyDescent="0.25">
      <c r="A15" s="1"/>
      <c r="B15" s="1"/>
      <c r="C15" s="8"/>
      <c r="D15" s="1"/>
      <c r="E15" s="1"/>
      <c r="F15" s="1"/>
      <c r="G15" s="1"/>
      <c r="H15" s="1"/>
      <c r="I15" s="1"/>
      <c r="J15" s="1"/>
      <c r="K15" s="1"/>
      <c r="L15" s="1" t="str">
        <f t="shared" si="2"/>
        <v/>
      </c>
      <c r="M15" s="1"/>
      <c r="N15" s="1"/>
      <c r="O15" s="1"/>
      <c r="P15" s="1"/>
      <c r="Q15" s="17"/>
      <c r="R15" s="19"/>
      <c r="S15" s="18"/>
      <c r="T15" s="18"/>
    </row>
    <row r="16" spans="1:21" ht="22.35" customHeight="1" x14ac:dyDescent="0.25">
      <c r="A16" s="1"/>
      <c r="B16" s="1"/>
      <c r="C16" s="8"/>
      <c r="D16" s="1"/>
      <c r="E16" s="1"/>
      <c r="F16" s="1"/>
      <c r="G16" s="1"/>
      <c r="H16" s="1"/>
      <c r="I16" s="1"/>
      <c r="J16" s="1"/>
      <c r="K16" s="1"/>
      <c r="L16" s="1" t="str">
        <f t="shared" si="2"/>
        <v/>
      </c>
      <c r="M16" s="1"/>
      <c r="N16" s="1"/>
      <c r="O16" s="1"/>
      <c r="P16" s="19"/>
      <c r="Q16" s="17"/>
      <c r="R16" s="19"/>
      <c r="S16" s="18"/>
      <c r="T16" s="18"/>
    </row>
    <row r="17" spans="1:21" ht="22.35" customHeight="1" x14ac:dyDescent="0.25">
      <c r="A17" s="1"/>
      <c r="B17" s="1"/>
      <c r="C17" s="8"/>
      <c r="D17" s="1"/>
      <c r="E17" s="1"/>
      <c r="F17" s="1"/>
      <c r="G17" s="1"/>
      <c r="H17" s="1"/>
      <c r="I17" s="1"/>
      <c r="J17" s="1"/>
      <c r="K17" s="1"/>
      <c r="L17" s="1" t="str">
        <f t="shared" si="2"/>
        <v/>
      </c>
      <c r="M17" s="1"/>
      <c r="N17" s="1"/>
      <c r="O17" s="1"/>
      <c r="P17" s="1"/>
      <c r="Q17" s="17"/>
      <c r="R17" s="19"/>
      <c r="S17" s="17"/>
      <c r="T17" s="19"/>
    </row>
    <row r="18" spans="1:21" s="1" customFormat="1" ht="4.3499999999999996" customHeight="1" x14ac:dyDescent="0.25">
      <c r="L18" s="1" t="str">
        <f t="shared" si="2"/>
        <v/>
      </c>
      <c r="U18" s="16"/>
    </row>
    <row r="19" spans="1:21" ht="23.25" x14ac:dyDescent="0.25">
      <c r="A19" s="13" t="s">
        <v>37</v>
      </c>
      <c r="B19" s="1" t="s">
        <v>195</v>
      </c>
      <c r="C19" s="1" t="s">
        <v>374</v>
      </c>
      <c r="D19" s="1">
        <v>6</v>
      </c>
      <c r="E19" s="1">
        <v>1</v>
      </c>
      <c r="F19" s="1">
        <v>15</v>
      </c>
      <c r="G19" s="1" t="s">
        <v>17</v>
      </c>
      <c r="H19" s="1">
        <v>4</v>
      </c>
      <c r="I19" s="1">
        <v>4</v>
      </c>
      <c r="J19" s="1">
        <v>4</v>
      </c>
      <c r="K19" s="1">
        <v>4</v>
      </c>
      <c r="L19" s="1" t="str">
        <f t="shared" si="2"/>
        <v>Алексеев П.С.</v>
      </c>
      <c r="M19" s="1">
        <v>3312</v>
      </c>
      <c r="N19" s="1">
        <v>3312</v>
      </c>
      <c r="O19" s="1">
        <v>9</v>
      </c>
      <c r="P19" s="1">
        <v>6</v>
      </c>
      <c r="Q19" s="17" t="s">
        <v>408</v>
      </c>
      <c r="R19" s="19">
        <f t="shared" ref="R19:R25" si="4">I19+J19+K19+P19+O19</f>
        <v>27</v>
      </c>
      <c r="S19" s="18"/>
      <c r="T19" s="18"/>
    </row>
    <row r="20" spans="1:21" ht="18" customHeight="1" x14ac:dyDescent="0.25">
      <c r="A20" s="13" t="s">
        <v>53</v>
      </c>
      <c r="B20" s="1" t="s">
        <v>319</v>
      </c>
      <c r="C20" s="1" t="s">
        <v>373</v>
      </c>
      <c r="D20" s="1">
        <v>6</v>
      </c>
      <c r="E20" s="1">
        <v>2</v>
      </c>
      <c r="F20" s="1">
        <v>30</v>
      </c>
      <c r="G20" s="1" t="s">
        <v>19</v>
      </c>
      <c r="H20" s="1">
        <v>1</v>
      </c>
      <c r="I20" s="1">
        <v>0</v>
      </c>
      <c r="J20" s="1">
        <v>8</v>
      </c>
      <c r="K20" s="1">
        <v>0</v>
      </c>
      <c r="L20" s="1" t="str">
        <f t="shared" si="2"/>
        <v>Савинова М.А.</v>
      </c>
      <c r="M20" s="1">
        <v>108</v>
      </c>
      <c r="N20" s="1" t="s">
        <v>201</v>
      </c>
      <c r="O20" s="1">
        <v>45</v>
      </c>
      <c r="P20" s="19">
        <v>0</v>
      </c>
      <c r="Q20" s="17" t="s">
        <v>95</v>
      </c>
      <c r="R20" s="19">
        <f>O20</f>
        <v>45</v>
      </c>
      <c r="S20" s="17"/>
      <c r="T20" s="19"/>
    </row>
    <row r="21" spans="1:21" ht="18" customHeight="1" x14ac:dyDescent="0.25">
      <c r="A21" s="13" t="s">
        <v>33</v>
      </c>
      <c r="B21" s="1" t="s">
        <v>50</v>
      </c>
      <c r="C21" s="1" t="s">
        <v>374</v>
      </c>
      <c r="D21" s="1">
        <v>6</v>
      </c>
      <c r="E21" s="1">
        <v>1</v>
      </c>
      <c r="F21" s="1">
        <v>15</v>
      </c>
      <c r="G21" s="1" t="s">
        <v>17</v>
      </c>
      <c r="H21" s="1">
        <v>4</v>
      </c>
      <c r="I21" s="1">
        <v>4</v>
      </c>
      <c r="J21" s="1">
        <v>4</v>
      </c>
      <c r="K21" s="1">
        <v>4</v>
      </c>
      <c r="L21" s="1" t="str">
        <f t="shared" si="2"/>
        <v>Михайлов Д.В.</v>
      </c>
      <c r="M21" s="1">
        <v>3305</v>
      </c>
      <c r="N21" s="1" t="s">
        <v>201</v>
      </c>
      <c r="O21" s="1">
        <v>9</v>
      </c>
      <c r="P21" s="1">
        <v>6</v>
      </c>
      <c r="Q21" s="17" t="s">
        <v>70</v>
      </c>
      <c r="R21" s="19">
        <f t="shared" si="4"/>
        <v>27</v>
      </c>
      <c r="S21" s="18"/>
      <c r="T21" s="18"/>
    </row>
    <row r="22" spans="1:21" ht="18" customHeight="1" x14ac:dyDescent="0.25">
      <c r="A22" s="13" t="s">
        <v>34</v>
      </c>
      <c r="B22" s="1" t="s">
        <v>50</v>
      </c>
      <c r="C22" s="1" t="s">
        <v>374</v>
      </c>
      <c r="D22" s="1">
        <v>6</v>
      </c>
      <c r="E22" s="1">
        <v>1</v>
      </c>
      <c r="F22" s="1">
        <v>15</v>
      </c>
      <c r="G22" s="1" t="s">
        <v>25</v>
      </c>
      <c r="H22" s="1">
        <v>4</v>
      </c>
      <c r="I22" s="1">
        <v>4</v>
      </c>
      <c r="J22" s="1">
        <v>0</v>
      </c>
      <c r="K22" s="1">
        <v>12</v>
      </c>
      <c r="L22" s="1" t="str">
        <f t="shared" si="2"/>
        <v>Эминов С.И.</v>
      </c>
      <c r="M22" s="1">
        <v>3305</v>
      </c>
      <c r="N22" s="1" t="s">
        <v>201</v>
      </c>
      <c r="O22" s="1">
        <v>9</v>
      </c>
      <c r="P22" s="1">
        <v>0</v>
      </c>
      <c r="Q22" s="17" t="s">
        <v>68</v>
      </c>
      <c r="R22" s="19">
        <f t="shared" si="4"/>
        <v>25</v>
      </c>
      <c r="S22" s="18"/>
      <c r="T22" s="18"/>
    </row>
    <row r="23" spans="1:21" ht="31.35" customHeight="1" x14ac:dyDescent="0.25">
      <c r="A23" s="13" t="s">
        <v>36</v>
      </c>
      <c r="B23" s="1" t="s">
        <v>195</v>
      </c>
      <c r="C23" s="1" t="s">
        <v>374</v>
      </c>
      <c r="D23" s="1">
        <v>6</v>
      </c>
      <c r="E23" s="1">
        <v>1</v>
      </c>
      <c r="F23" s="1">
        <v>15</v>
      </c>
      <c r="G23" s="1" t="s">
        <v>17</v>
      </c>
      <c r="H23" s="1">
        <v>5</v>
      </c>
      <c r="I23" s="1">
        <v>4</v>
      </c>
      <c r="J23" s="1">
        <v>0</v>
      </c>
      <c r="K23" s="1">
        <v>12</v>
      </c>
      <c r="L23" s="1" t="str">
        <f t="shared" si="2"/>
        <v>Цымбалюк Л.Н.</v>
      </c>
      <c r="M23" s="1">
        <v>124</v>
      </c>
      <c r="N23" s="1"/>
      <c r="O23" s="1">
        <v>11.3</v>
      </c>
      <c r="P23" s="1">
        <v>7.5</v>
      </c>
      <c r="Q23" s="17" t="s">
        <v>78</v>
      </c>
      <c r="R23" s="19">
        <f t="shared" si="4"/>
        <v>34.799999999999997</v>
      </c>
      <c r="S23" s="18"/>
      <c r="T23" s="18"/>
    </row>
    <row r="24" spans="1:21" ht="31.35" customHeight="1" x14ac:dyDescent="0.25">
      <c r="A24" s="13" t="s">
        <v>36</v>
      </c>
      <c r="B24" s="1" t="s">
        <v>195</v>
      </c>
      <c r="C24" s="1" t="s">
        <v>374</v>
      </c>
      <c r="D24" s="1">
        <v>6</v>
      </c>
      <c r="E24" s="1">
        <v>1</v>
      </c>
      <c r="F24" s="1">
        <v>15</v>
      </c>
      <c r="G24" s="1" t="s">
        <v>23</v>
      </c>
      <c r="H24" s="1">
        <v>1</v>
      </c>
      <c r="I24" s="1"/>
      <c r="J24" s="1"/>
      <c r="K24" s="1"/>
      <c r="L24" s="1" t="str">
        <f t="shared" si="2"/>
        <v>Цымбалюк Л.Н.</v>
      </c>
      <c r="M24" s="1"/>
      <c r="N24" s="1"/>
      <c r="O24" s="1">
        <v>22.5</v>
      </c>
      <c r="P24" s="1"/>
      <c r="Q24" s="17" t="s">
        <v>78</v>
      </c>
      <c r="R24" s="19"/>
      <c r="S24" s="18"/>
      <c r="T24" s="18"/>
    </row>
    <row r="25" spans="1:21" ht="32.85" customHeight="1" x14ac:dyDescent="0.25">
      <c r="A25" s="13" t="s">
        <v>27</v>
      </c>
      <c r="B25" s="1" t="s">
        <v>50</v>
      </c>
      <c r="C25" s="1" t="s">
        <v>374</v>
      </c>
      <c r="D25" s="1">
        <v>6</v>
      </c>
      <c r="E25" s="1">
        <v>1</v>
      </c>
      <c r="F25" s="1">
        <v>15</v>
      </c>
      <c r="G25" s="1" t="s">
        <v>25</v>
      </c>
      <c r="H25" s="1">
        <v>4</v>
      </c>
      <c r="I25" s="1">
        <v>4</v>
      </c>
      <c r="J25" s="1">
        <v>0</v>
      </c>
      <c r="K25" s="1">
        <v>12</v>
      </c>
      <c r="L25" s="1" t="str">
        <f t="shared" si="2"/>
        <v>Килиба Ю.В.</v>
      </c>
      <c r="M25" s="1">
        <v>3305</v>
      </c>
      <c r="N25" s="1" t="s">
        <v>201</v>
      </c>
      <c r="O25" s="1">
        <v>9</v>
      </c>
      <c r="P25" s="1">
        <v>0</v>
      </c>
      <c r="Q25" s="17" t="s">
        <v>76</v>
      </c>
      <c r="R25" s="19">
        <f t="shared" si="4"/>
        <v>25</v>
      </c>
      <c r="S25" s="18"/>
      <c r="T25" s="18"/>
    </row>
    <row r="26" spans="1:21" ht="18" customHeight="1" x14ac:dyDescent="0.25">
      <c r="A26" s="13" t="s">
        <v>115</v>
      </c>
      <c r="B26" s="1" t="s">
        <v>195</v>
      </c>
      <c r="C26" s="1" t="s">
        <v>374</v>
      </c>
      <c r="D26" s="1">
        <v>6</v>
      </c>
      <c r="E26" s="1">
        <v>1</v>
      </c>
      <c r="F26" s="1">
        <v>15</v>
      </c>
      <c r="G26" s="1" t="s">
        <v>17</v>
      </c>
      <c r="H26" s="1">
        <v>4</v>
      </c>
      <c r="I26" s="1">
        <v>4</v>
      </c>
      <c r="J26" s="1">
        <v>0</v>
      </c>
      <c r="K26" s="1">
        <v>8</v>
      </c>
      <c r="L26" s="1" t="str">
        <f t="shared" si="2"/>
        <v>Телина И.С.</v>
      </c>
      <c r="M26" s="1"/>
      <c r="N26" s="1"/>
      <c r="O26" s="1">
        <v>9</v>
      </c>
      <c r="P26" s="1">
        <v>6</v>
      </c>
      <c r="Q26" s="17" t="s">
        <v>79</v>
      </c>
      <c r="R26" s="19">
        <f>I26+J26+O26+P26+K26</f>
        <v>27</v>
      </c>
      <c r="S26" s="18"/>
      <c r="T26" s="18"/>
    </row>
    <row r="27" spans="1:21" ht="18" customHeight="1" x14ac:dyDescent="0.25">
      <c r="A27" s="13" t="s">
        <v>315</v>
      </c>
      <c r="B27" s="1" t="s">
        <v>195</v>
      </c>
      <c r="C27" s="1" t="s">
        <v>374</v>
      </c>
      <c r="D27" s="1">
        <v>6</v>
      </c>
      <c r="E27" s="1">
        <v>1</v>
      </c>
      <c r="F27" s="1">
        <v>15</v>
      </c>
      <c r="G27" s="1"/>
      <c r="H27" s="1"/>
      <c r="I27" s="1">
        <v>0</v>
      </c>
      <c r="J27" s="1">
        <v>2</v>
      </c>
      <c r="K27" s="1">
        <v>0</v>
      </c>
      <c r="L27" s="1" t="str">
        <f t="shared" si="2"/>
        <v>Цымбалюк Л.Н.</v>
      </c>
      <c r="M27" s="1">
        <v>124</v>
      </c>
      <c r="N27" s="1" t="s">
        <v>223</v>
      </c>
      <c r="O27" s="1">
        <v>0</v>
      </c>
      <c r="P27" s="1">
        <v>0</v>
      </c>
      <c r="Q27" s="17" t="s">
        <v>78</v>
      </c>
      <c r="R27" s="19">
        <v>0</v>
      </c>
      <c r="S27" s="18"/>
      <c r="T27" s="18"/>
    </row>
    <row r="28" spans="1:21" ht="30.6" customHeight="1" x14ac:dyDescent="0.25">
      <c r="A28" s="13" t="s">
        <v>360</v>
      </c>
      <c r="B28" s="1" t="s">
        <v>195</v>
      </c>
      <c r="C28" s="1" t="s">
        <v>374</v>
      </c>
      <c r="D28" s="1">
        <v>6</v>
      </c>
      <c r="E28" s="1">
        <v>1</v>
      </c>
      <c r="F28" s="1">
        <v>15</v>
      </c>
      <c r="G28" s="1"/>
      <c r="H28" s="1"/>
      <c r="I28" s="1">
        <v>0</v>
      </c>
      <c r="J28" s="1">
        <v>2</v>
      </c>
      <c r="K28" s="1">
        <v>0</v>
      </c>
      <c r="L28" s="1" t="str">
        <f t="shared" si="2"/>
        <v>Макевич П.В.</v>
      </c>
      <c r="M28" s="1"/>
      <c r="N28" s="1" t="s">
        <v>223</v>
      </c>
      <c r="O28" s="1">
        <v>0</v>
      </c>
      <c r="P28" s="1">
        <v>0</v>
      </c>
      <c r="Q28" s="17" t="s">
        <v>54</v>
      </c>
      <c r="R28" s="19">
        <v>0</v>
      </c>
      <c r="S28" s="18"/>
      <c r="T28" s="18"/>
    </row>
    <row r="29" spans="1:21" ht="42" customHeight="1" x14ac:dyDescent="0.25">
      <c r="A29" s="13" t="s">
        <v>164</v>
      </c>
      <c r="B29" s="1" t="s">
        <v>195</v>
      </c>
      <c r="C29" s="1" t="s">
        <v>374</v>
      </c>
      <c r="D29" s="1">
        <v>6</v>
      </c>
      <c r="E29" s="1">
        <v>1</v>
      </c>
      <c r="F29" s="1">
        <v>15</v>
      </c>
      <c r="G29" s="1"/>
      <c r="H29" s="1"/>
      <c r="I29" s="1">
        <v>0</v>
      </c>
      <c r="J29" s="1">
        <v>2</v>
      </c>
      <c r="K29" s="1">
        <v>0</v>
      </c>
      <c r="L29" s="1" t="str">
        <f t="shared" si="2"/>
        <v>Соколова Г.Ю,</v>
      </c>
      <c r="M29" s="1"/>
      <c r="N29" s="1" t="s">
        <v>223</v>
      </c>
      <c r="O29" s="1">
        <v>0</v>
      </c>
      <c r="P29" s="1">
        <v>0</v>
      </c>
      <c r="Q29" s="17" t="s">
        <v>394</v>
      </c>
      <c r="R29" s="19">
        <v>0</v>
      </c>
    </row>
    <row r="30" spans="1:21" ht="23.25" x14ac:dyDescent="0.25">
      <c r="A30" s="13" t="s">
        <v>397</v>
      </c>
      <c r="B30" s="1" t="s">
        <v>195</v>
      </c>
      <c r="C30" s="1" t="s">
        <v>374</v>
      </c>
      <c r="D30" s="1">
        <v>6</v>
      </c>
      <c r="E30" s="1">
        <v>1</v>
      </c>
      <c r="F30" s="1">
        <v>15</v>
      </c>
      <c r="G30" s="1"/>
      <c r="H30" s="1"/>
      <c r="I30" s="1">
        <v>0</v>
      </c>
      <c r="J30" s="1">
        <v>2</v>
      </c>
      <c r="K30" s="1">
        <v>0</v>
      </c>
      <c r="L30" s="1" t="str">
        <f t="shared" si="2"/>
        <v>Журавлева М.П.</v>
      </c>
      <c r="M30" s="1"/>
      <c r="N30" s="1" t="s">
        <v>223</v>
      </c>
      <c r="O30" s="1">
        <v>0</v>
      </c>
      <c r="P30" s="1">
        <v>0</v>
      </c>
      <c r="Q30" s="17" t="s">
        <v>72</v>
      </c>
      <c r="R30" s="19">
        <v>0</v>
      </c>
    </row>
    <row r="31" spans="1:21" ht="33.75" x14ac:dyDescent="0.25">
      <c r="A31" s="13" t="s">
        <v>160</v>
      </c>
      <c r="B31" s="1" t="s">
        <v>195</v>
      </c>
      <c r="C31" s="1" t="s">
        <v>374</v>
      </c>
      <c r="D31" s="1">
        <v>6</v>
      </c>
      <c r="E31" s="1">
        <v>1</v>
      </c>
      <c r="F31" s="1">
        <v>15</v>
      </c>
      <c r="G31" s="1"/>
      <c r="H31" s="1"/>
      <c r="I31" s="1">
        <v>0</v>
      </c>
      <c r="J31" s="1">
        <v>2</v>
      </c>
      <c r="K31" s="1">
        <v>0</v>
      </c>
      <c r="L31" s="1" t="str">
        <f t="shared" si="2"/>
        <v>Корнышев Н.П.</v>
      </c>
      <c r="M31" s="1"/>
      <c r="N31" s="1" t="s">
        <v>223</v>
      </c>
      <c r="O31" s="1">
        <v>0</v>
      </c>
      <c r="P31" s="1">
        <v>0</v>
      </c>
      <c r="Q31" s="17" t="s">
        <v>105</v>
      </c>
      <c r="R31" s="19">
        <v>0</v>
      </c>
    </row>
    <row r="32" spans="1:21" ht="25.35" customHeight="1" x14ac:dyDescent="0.25">
      <c r="A32" s="13" t="s">
        <v>163</v>
      </c>
      <c r="B32" s="1" t="s">
        <v>195</v>
      </c>
      <c r="C32" s="1" t="s">
        <v>374</v>
      </c>
      <c r="D32" s="1">
        <v>6</v>
      </c>
      <c r="E32" s="1">
        <v>1</v>
      </c>
      <c r="F32" s="1">
        <v>15</v>
      </c>
      <c r="G32" s="1"/>
      <c r="H32" s="1"/>
      <c r="I32" s="1">
        <v>0</v>
      </c>
      <c r="J32" s="1">
        <v>2</v>
      </c>
      <c r="K32" s="1">
        <v>0</v>
      </c>
      <c r="L32" s="1" t="str">
        <f t="shared" si="2"/>
        <v>Михайлов Д.В.</v>
      </c>
      <c r="M32" s="1"/>
      <c r="N32" s="1" t="s">
        <v>223</v>
      </c>
      <c r="O32" s="1">
        <v>0</v>
      </c>
      <c r="P32" s="1">
        <v>0</v>
      </c>
      <c r="Q32" s="17" t="s">
        <v>70</v>
      </c>
      <c r="R32" s="19">
        <v>0</v>
      </c>
      <c r="S32" s="18"/>
      <c r="T32" s="18"/>
    </row>
    <row r="33" spans="1:21" ht="35.450000000000003" customHeight="1" x14ac:dyDescent="0.25">
      <c r="A33" s="13" t="s">
        <v>165</v>
      </c>
      <c r="B33" s="1" t="s">
        <v>195</v>
      </c>
      <c r="C33" s="1" t="s">
        <v>374</v>
      </c>
      <c r="D33" s="1">
        <v>6</v>
      </c>
      <c r="E33" s="1">
        <v>1</v>
      </c>
      <c r="F33" s="1">
        <v>15</v>
      </c>
      <c r="G33" s="1"/>
      <c r="H33" s="1"/>
      <c r="I33" s="1">
        <v>0</v>
      </c>
      <c r="J33" s="1">
        <v>2</v>
      </c>
      <c r="K33" s="1">
        <v>0</v>
      </c>
      <c r="L33" s="1" t="str">
        <f t="shared" si="2"/>
        <v>Соколова Г.Ю,</v>
      </c>
      <c r="M33" s="1">
        <v>124</v>
      </c>
      <c r="N33" s="1" t="s">
        <v>223</v>
      </c>
      <c r="O33" s="1">
        <v>0</v>
      </c>
      <c r="P33" s="1">
        <v>0</v>
      </c>
      <c r="Q33" s="17" t="s">
        <v>394</v>
      </c>
      <c r="R33" s="19">
        <v>0</v>
      </c>
      <c r="S33" s="18"/>
      <c r="T33" s="18"/>
    </row>
    <row r="34" spans="1:21" ht="29.1" customHeight="1" x14ac:dyDescent="0.25">
      <c r="A34" s="13" t="s">
        <v>166</v>
      </c>
      <c r="B34" s="1" t="s">
        <v>195</v>
      </c>
      <c r="C34" s="1" t="s">
        <v>374</v>
      </c>
      <c r="D34" s="1">
        <v>6</v>
      </c>
      <c r="E34" s="1">
        <v>1</v>
      </c>
      <c r="F34" s="1">
        <v>15</v>
      </c>
      <c r="G34" s="1"/>
      <c r="H34" s="1"/>
      <c r="I34" s="1">
        <v>0</v>
      </c>
      <c r="J34" s="1">
        <v>2</v>
      </c>
      <c r="K34" s="1">
        <v>0</v>
      </c>
      <c r="L34" s="1" t="str">
        <f t="shared" si="2"/>
        <v>Соколова Г.Ю,</v>
      </c>
      <c r="M34" s="1"/>
      <c r="N34" s="1" t="s">
        <v>223</v>
      </c>
      <c r="O34" s="1">
        <v>0</v>
      </c>
      <c r="P34" s="1">
        <v>0</v>
      </c>
      <c r="Q34" s="17" t="s">
        <v>394</v>
      </c>
      <c r="R34" s="19">
        <v>0</v>
      </c>
      <c r="S34" s="18"/>
      <c r="T34" s="18"/>
    </row>
    <row r="35" spans="1:21" s="1" customFormat="1" ht="4.3499999999999996" customHeight="1" x14ac:dyDescent="0.25">
      <c r="L35" s="1" t="str">
        <f t="shared" si="2"/>
        <v/>
      </c>
      <c r="U35" s="16"/>
    </row>
    <row r="36" spans="1:21" ht="23.25" x14ac:dyDescent="0.25">
      <c r="A36" s="54" t="s">
        <v>37</v>
      </c>
      <c r="B36" s="95" t="s">
        <v>400</v>
      </c>
      <c r="C36" s="1" t="s">
        <v>401</v>
      </c>
      <c r="D36" s="1">
        <v>7</v>
      </c>
      <c r="E36" s="1">
        <v>2</v>
      </c>
      <c r="F36" s="1">
        <v>42</v>
      </c>
      <c r="G36" s="1" t="s">
        <v>25</v>
      </c>
      <c r="H36" s="1">
        <v>4</v>
      </c>
      <c r="I36" s="1">
        <v>4</v>
      </c>
      <c r="J36" s="1">
        <v>8</v>
      </c>
      <c r="K36" s="1">
        <v>16</v>
      </c>
      <c r="L36" s="1" t="str">
        <f t="shared" si="2"/>
        <v>Алексеев П.С.</v>
      </c>
      <c r="M36" s="1" t="s">
        <v>403</v>
      </c>
      <c r="N36" s="1"/>
      <c r="O36" s="1">
        <v>25.2</v>
      </c>
      <c r="P36" s="1">
        <v>0</v>
      </c>
      <c r="Q36" s="17" t="s">
        <v>408</v>
      </c>
      <c r="R36" s="19">
        <f>I36+J36+K36+O36+P36</f>
        <v>53.2</v>
      </c>
      <c r="S36" s="18"/>
      <c r="T36" s="18"/>
    </row>
    <row r="37" spans="1:21" ht="23.25" x14ac:dyDescent="0.25">
      <c r="A37" s="54" t="s">
        <v>53</v>
      </c>
      <c r="B37" s="95" t="s">
        <v>400</v>
      </c>
      <c r="C37" s="1" t="s">
        <v>401</v>
      </c>
      <c r="D37" s="1">
        <v>7</v>
      </c>
      <c r="E37" s="1">
        <v>2</v>
      </c>
      <c r="F37" s="1">
        <v>42</v>
      </c>
      <c r="G37" s="1" t="s">
        <v>19</v>
      </c>
      <c r="H37" s="1"/>
      <c r="I37" s="1"/>
      <c r="J37" s="1"/>
      <c r="K37" s="1"/>
      <c r="L37" s="1" t="str">
        <f t="shared" si="2"/>
        <v>Савинова М.А.</v>
      </c>
      <c r="M37" s="1"/>
      <c r="N37" s="19"/>
      <c r="O37" s="19">
        <v>63</v>
      </c>
      <c r="P37" s="1">
        <v>0</v>
      </c>
      <c r="Q37" s="17" t="s">
        <v>95</v>
      </c>
      <c r="R37" s="19">
        <f t="shared" ref="R37:R45" si="5">I37+J37+K37+O37+P37</f>
        <v>63</v>
      </c>
      <c r="S37" s="18"/>
      <c r="T37" s="18"/>
    </row>
    <row r="38" spans="1:21" ht="23.25" x14ac:dyDescent="0.25">
      <c r="A38" s="54" t="s">
        <v>36</v>
      </c>
      <c r="B38" s="95" t="s">
        <v>195</v>
      </c>
      <c r="C38" s="1" t="s">
        <v>402</v>
      </c>
      <c r="D38" s="1">
        <v>7</v>
      </c>
      <c r="E38" s="1">
        <v>1</v>
      </c>
      <c r="F38" s="1">
        <v>31</v>
      </c>
      <c r="G38" s="55" t="s">
        <v>17</v>
      </c>
      <c r="H38" s="55">
        <v>5</v>
      </c>
      <c r="I38" s="55">
        <v>4</v>
      </c>
      <c r="J38" s="55">
        <v>0</v>
      </c>
      <c r="K38" s="55">
        <v>24</v>
      </c>
      <c r="L38" s="1" t="str">
        <f t="shared" si="2"/>
        <v>Цымбалюк Л.Н.Цымбалюк А.Е.</v>
      </c>
      <c r="M38" s="1" t="s">
        <v>404</v>
      </c>
      <c r="N38" s="19"/>
      <c r="O38" s="1">
        <v>23.25</v>
      </c>
      <c r="P38" s="1">
        <v>15.5</v>
      </c>
      <c r="Q38" s="17" t="s">
        <v>78</v>
      </c>
      <c r="R38" s="19">
        <f>I38+J38+K38+O38+P38-T38</f>
        <v>54.75</v>
      </c>
      <c r="S38" s="17" t="s">
        <v>281</v>
      </c>
      <c r="T38" s="19">
        <v>12</v>
      </c>
    </row>
    <row r="39" spans="1:21" ht="23.25" x14ac:dyDescent="0.25">
      <c r="A39" s="54" t="s">
        <v>36</v>
      </c>
      <c r="B39" s="95" t="s">
        <v>195</v>
      </c>
      <c r="C39" s="1" t="s">
        <v>402</v>
      </c>
      <c r="D39" s="1">
        <v>7</v>
      </c>
      <c r="E39" s="1">
        <v>1</v>
      </c>
      <c r="F39" s="1">
        <v>31</v>
      </c>
      <c r="G39" s="55" t="s">
        <v>23</v>
      </c>
      <c r="H39" s="55">
        <v>1</v>
      </c>
      <c r="I39" s="55">
        <v>0</v>
      </c>
      <c r="J39" s="55">
        <v>0</v>
      </c>
      <c r="K39" s="55">
        <v>0</v>
      </c>
      <c r="L39" s="1" t="str">
        <f t="shared" si="2"/>
        <v>Цымбалюк Л.Н.Цымбалюк А.Е.</v>
      </c>
      <c r="M39" s="1" t="s">
        <v>404</v>
      </c>
      <c r="N39" s="19"/>
      <c r="O39" s="19">
        <v>46.5</v>
      </c>
      <c r="P39" s="19">
        <v>0</v>
      </c>
      <c r="Q39" s="17" t="s">
        <v>78</v>
      </c>
      <c r="R39" s="19">
        <f>I39+J39+K39+O39+P39-T39</f>
        <v>12.5</v>
      </c>
      <c r="S39" s="17" t="s">
        <v>281</v>
      </c>
      <c r="T39" s="19">
        <v>34</v>
      </c>
    </row>
    <row r="40" spans="1:21" ht="23.25" x14ac:dyDescent="0.25">
      <c r="A40" s="54" t="s">
        <v>115</v>
      </c>
      <c r="B40" s="95" t="s">
        <v>195</v>
      </c>
      <c r="C40" s="1" t="s">
        <v>402</v>
      </c>
      <c r="D40" s="1">
        <v>7</v>
      </c>
      <c r="E40" s="1">
        <v>1</v>
      </c>
      <c r="F40" s="1">
        <v>31</v>
      </c>
      <c r="G40" s="55" t="s">
        <v>17</v>
      </c>
      <c r="H40" s="55">
        <v>3</v>
      </c>
      <c r="I40" s="55">
        <v>4</v>
      </c>
      <c r="J40" s="55">
        <v>0</v>
      </c>
      <c r="K40" s="55">
        <v>8</v>
      </c>
      <c r="L40" s="1" t="str">
        <f t="shared" si="2"/>
        <v>Телина И.С.</v>
      </c>
      <c r="M40" s="1" t="s">
        <v>404</v>
      </c>
      <c r="N40" s="19"/>
      <c r="O40" s="1">
        <v>14</v>
      </c>
      <c r="P40" s="1">
        <v>9.3000000000000007</v>
      </c>
      <c r="Q40" s="17" t="s">
        <v>79</v>
      </c>
      <c r="R40" s="19">
        <f t="shared" si="5"/>
        <v>35.299999999999997</v>
      </c>
      <c r="S40" s="18"/>
      <c r="T40" s="18"/>
    </row>
    <row r="41" spans="1:21" ht="23.1" customHeight="1" x14ac:dyDescent="0.25">
      <c r="A41" s="54" t="s">
        <v>139</v>
      </c>
      <c r="B41" s="95" t="s">
        <v>195</v>
      </c>
      <c r="C41" s="1" t="s">
        <v>402</v>
      </c>
      <c r="D41" s="1">
        <v>7</v>
      </c>
      <c r="E41" s="1">
        <v>1</v>
      </c>
      <c r="F41" s="1">
        <v>31</v>
      </c>
      <c r="G41" s="55" t="s">
        <v>25</v>
      </c>
      <c r="H41" s="55">
        <v>3</v>
      </c>
      <c r="I41" s="55">
        <v>4</v>
      </c>
      <c r="J41" s="55">
        <v>0</v>
      </c>
      <c r="K41" s="55">
        <v>8</v>
      </c>
      <c r="L41" s="1" t="str">
        <f t="shared" si="2"/>
        <v>Цымбалюк Л.Н.</v>
      </c>
      <c r="M41" s="1" t="s">
        <v>404</v>
      </c>
      <c r="N41" s="19"/>
      <c r="O41" s="1">
        <v>13.95</v>
      </c>
      <c r="P41" s="1">
        <v>0</v>
      </c>
      <c r="Q41" s="17" t="s">
        <v>78</v>
      </c>
      <c r="R41" s="19">
        <f t="shared" si="5"/>
        <v>25.95</v>
      </c>
      <c r="S41" s="18"/>
      <c r="T41" s="18"/>
    </row>
    <row r="42" spans="1:21" ht="45" x14ac:dyDescent="0.25">
      <c r="A42" s="54" t="s">
        <v>280</v>
      </c>
      <c r="B42" s="95" t="s">
        <v>195</v>
      </c>
      <c r="C42" s="1" t="s">
        <v>402</v>
      </c>
      <c r="D42" s="1">
        <v>7</v>
      </c>
      <c r="E42" s="1">
        <v>1</v>
      </c>
      <c r="F42" s="1">
        <v>31</v>
      </c>
      <c r="G42" s="55" t="s">
        <v>19</v>
      </c>
      <c r="H42" s="55">
        <v>3</v>
      </c>
      <c r="I42" s="55">
        <v>4</v>
      </c>
      <c r="J42" s="55">
        <v>0</v>
      </c>
      <c r="K42" s="55">
        <v>16</v>
      </c>
      <c r="L42" s="1" t="str">
        <f t="shared" si="2"/>
        <v>Цымбалюк А.Е.</v>
      </c>
      <c r="M42" s="1" t="s">
        <v>404</v>
      </c>
      <c r="N42" s="19"/>
      <c r="O42" s="1">
        <v>14</v>
      </c>
      <c r="P42" s="1">
        <v>0</v>
      </c>
      <c r="Q42" s="17" t="s">
        <v>281</v>
      </c>
      <c r="R42" s="19">
        <f t="shared" si="5"/>
        <v>34</v>
      </c>
      <c r="S42" s="18"/>
      <c r="T42" s="18"/>
    </row>
    <row r="43" spans="1:21" ht="33.75" x14ac:dyDescent="0.25">
      <c r="A43" s="54" t="s">
        <v>58</v>
      </c>
      <c r="B43" s="95" t="s">
        <v>195</v>
      </c>
      <c r="C43" s="1" t="s">
        <v>402</v>
      </c>
      <c r="D43" s="1">
        <v>7</v>
      </c>
      <c r="E43" s="1">
        <v>1</v>
      </c>
      <c r="F43" s="1">
        <v>31</v>
      </c>
      <c r="G43" s="55" t="s">
        <v>19</v>
      </c>
      <c r="H43" s="55">
        <v>3</v>
      </c>
      <c r="I43" s="55">
        <v>4</v>
      </c>
      <c r="J43" s="55">
        <v>4</v>
      </c>
      <c r="K43" s="55">
        <v>8</v>
      </c>
      <c r="L43" s="1" t="str">
        <f t="shared" si="2"/>
        <v>Михайлов Д.В.</v>
      </c>
      <c r="M43" s="1" t="s">
        <v>404</v>
      </c>
      <c r="N43" s="19"/>
      <c r="O43" s="19">
        <v>14</v>
      </c>
      <c r="P43" s="19">
        <v>0</v>
      </c>
      <c r="Q43" s="17" t="s">
        <v>70</v>
      </c>
      <c r="R43" s="19">
        <f t="shared" si="5"/>
        <v>30</v>
      </c>
      <c r="S43" s="18"/>
      <c r="T43" s="18"/>
    </row>
    <row r="44" spans="1:21" ht="56.25" x14ac:dyDescent="0.25">
      <c r="A44" s="54" t="s">
        <v>164</v>
      </c>
      <c r="B44" s="95" t="s">
        <v>195</v>
      </c>
      <c r="C44" s="1" t="s">
        <v>402</v>
      </c>
      <c r="D44" s="1">
        <v>7</v>
      </c>
      <c r="E44" s="1">
        <v>1</v>
      </c>
      <c r="F44" s="1">
        <v>31</v>
      </c>
      <c r="G44" s="55"/>
      <c r="H44" s="55">
        <v>0</v>
      </c>
      <c r="I44" s="55">
        <v>2</v>
      </c>
      <c r="J44" s="55">
        <v>0</v>
      </c>
      <c r="K44" s="55">
        <v>0</v>
      </c>
      <c r="L44" s="1" t="str">
        <f t="shared" si="2"/>
        <v>Соколова Г.Ю.</v>
      </c>
      <c r="M44" s="1" t="s">
        <v>404</v>
      </c>
      <c r="N44" s="19"/>
      <c r="O44" s="1">
        <v>0</v>
      </c>
      <c r="P44" s="1">
        <v>0</v>
      </c>
      <c r="Q44" s="17" t="s">
        <v>74</v>
      </c>
      <c r="R44" s="19">
        <f t="shared" si="5"/>
        <v>2</v>
      </c>
      <c r="S44" s="18"/>
      <c r="T44" s="18"/>
    </row>
    <row r="45" spans="1:21" ht="34.35" customHeight="1" x14ac:dyDescent="0.25">
      <c r="A45" s="54" t="s">
        <v>160</v>
      </c>
      <c r="B45" s="95" t="s">
        <v>195</v>
      </c>
      <c r="C45" s="1" t="s">
        <v>402</v>
      </c>
      <c r="D45" s="1">
        <v>7</v>
      </c>
      <c r="E45" s="1">
        <v>1</v>
      </c>
      <c r="F45" s="1">
        <v>31</v>
      </c>
      <c r="G45" s="55"/>
      <c r="H45" s="55">
        <v>0</v>
      </c>
      <c r="I45" s="55">
        <v>2</v>
      </c>
      <c r="J45" s="55">
        <v>0</v>
      </c>
      <c r="K45" s="55">
        <v>0</v>
      </c>
      <c r="L45" s="1" t="str">
        <f t="shared" si="2"/>
        <v>Корнышев Н.П.</v>
      </c>
      <c r="M45" s="1" t="s">
        <v>404</v>
      </c>
      <c r="N45" s="19"/>
      <c r="O45" s="1">
        <v>0</v>
      </c>
      <c r="P45" s="1">
        <v>0</v>
      </c>
      <c r="Q45" s="17" t="s">
        <v>105</v>
      </c>
      <c r="R45" s="19">
        <f t="shared" si="5"/>
        <v>2</v>
      </c>
      <c r="S45" s="18"/>
      <c r="T45" s="18"/>
    </row>
    <row r="46" spans="1:21" s="7" customFormat="1" ht="5.85" customHeight="1" x14ac:dyDescent="0.25">
      <c r="A46" s="53" t="s">
        <v>59</v>
      </c>
      <c r="B46" s="95" t="s">
        <v>195</v>
      </c>
      <c r="C46" s="1"/>
      <c r="D46" s="1"/>
      <c r="E46" s="1"/>
      <c r="F46" s="1"/>
      <c r="G46" s="55" t="s">
        <v>25</v>
      </c>
      <c r="H46" s="55">
        <v>3</v>
      </c>
      <c r="I46" s="55">
        <v>0</v>
      </c>
      <c r="J46" s="55">
        <v>2</v>
      </c>
      <c r="K46" s="55">
        <v>0</v>
      </c>
      <c r="L46" s="1" t="str">
        <f t="shared" si="2"/>
        <v/>
      </c>
      <c r="M46" s="1"/>
      <c r="N46" s="1"/>
      <c r="O46" s="1">
        <v>27.9</v>
      </c>
      <c r="P46" s="1">
        <v>0</v>
      </c>
      <c r="Q46" s="1"/>
      <c r="R46" s="1"/>
      <c r="S46" s="1"/>
      <c r="T46" s="1"/>
    </row>
    <row r="47" spans="1:21" s="100" customFormat="1" ht="34.35" customHeight="1" x14ac:dyDescent="0.2">
      <c r="A47" s="54" t="s">
        <v>59</v>
      </c>
      <c r="B47" s="95" t="s">
        <v>195</v>
      </c>
      <c r="C47" s="1" t="s">
        <v>402</v>
      </c>
      <c r="D47" s="1">
        <v>7</v>
      </c>
      <c r="E47" s="1">
        <v>1</v>
      </c>
      <c r="F47" s="1">
        <v>31</v>
      </c>
      <c r="G47" s="55" t="s">
        <v>25</v>
      </c>
      <c r="H47" s="55">
        <v>3</v>
      </c>
      <c r="I47" s="55">
        <v>0</v>
      </c>
      <c r="J47" s="55">
        <v>2</v>
      </c>
      <c r="K47" s="55">
        <v>0</v>
      </c>
      <c r="L47" s="1" t="str">
        <f t="shared" si="2"/>
        <v>Соколова Г.Ю.</v>
      </c>
      <c r="M47" s="1"/>
      <c r="N47" s="19"/>
      <c r="O47" s="1">
        <v>27.9</v>
      </c>
      <c r="P47" s="1">
        <v>0</v>
      </c>
      <c r="Q47" s="17" t="s">
        <v>74</v>
      </c>
      <c r="R47" s="19">
        <f t="shared" ref="R47:R49" si="6">I47+J47+K47+O47+P47</f>
        <v>29.9</v>
      </c>
      <c r="S47" s="98"/>
      <c r="T47" s="98"/>
    </row>
    <row r="48" spans="1:21" s="100" customFormat="1" ht="34.35" customHeight="1" x14ac:dyDescent="0.2">
      <c r="A48" s="54" t="s">
        <v>117</v>
      </c>
      <c r="B48" s="95" t="s">
        <v>195</v>
      </c>
      <c r="C48" s="1" t="s">
        <v>402</v>
      </c>
      <c r="D48" s="1">
        <v>7</v>
      </c>
      <c r="E48" s="1">
        <v>1</v>
      </c>
      <c r="F48" s="1">
        <v>31</v>
      </c>
      <c r="G48" s="55" t="s">
        <v>25</v>
      </c>
      <c r="H48" s="55">
        <v>3</v>
      </c>
      <c r="I48" s="55">
        <v>0</v>
      </c>
      <c r="J48" s="55">
        <v>2</v>
      </c>
      <c r="K48" s="55">
        <v>0</v>
      </c>
      <c r="L48" s="1" t="str">
        <f t="shared" si="2"/>
        <v>Соколова Г.Ю.</v>
      </c>
      <c r="M48" s="1"/>
      <c r="N48" s="19"/>
      <c r="O48" s="1">
        <v>27.9</v>
      </c>
      <c r="P48" s="1">
        <v>0</v>
      </c>
      <c r="Q48" s="17" t="s">
        <v>74</v>
      </c>
      <c r="R48" s="19">
        <f t="shared" si="6"/>
        <v>29.9</v>
      </c>
      <c r="S48" s="98"/>
      <c r="T48" s="98"/>
    </row>
    <row r="49" spans="1:23" s="100" customFormat="1" ht="34.35" customHeight="1" x14ac:dyDescent="0.2">
      <c r="A49" s="54" t="s">
        <v>192</v>
      </c>
      <c r="B49" s="95" t="s">
        <v>195</v>
      </c>
      <c r="C49" s="1" t="s">
        <v>402</v>
      </c>
      <c r="D49" s="1">
        <v>7</v>
      </c>
      <c r="E49" s="1">
        <v>1</v>
      </c>
      <c r="F49" s="1">
        <v>31</v>
      </c>
      <c r="G49" s="55"/>
      <c r="H49" s="55">
        <v>0</v>
      </c>
      <c r="I49" s="55">
        <v>2</v>
      </c>
      <c r="J49" s="55">
        <v>0</v>
      </c>
      <c r="K49" s="55">
        <v>0</v>
      </c>
      <c r="L49" s="1" t="str">
        <f t="shared" si="2"/>
        <v>Соколова Г.Ю.</v>
      </c>
      <c r="M49" s="1" t="s">
        <v>404</v>
      </c>
      <c r="N49" s="19"/>
      <c r="O49" s="1">
        <v>0</v>
      </c>
      <c r="P49" s="1">
        <v>0</v>
      </c>
      <c r="Q49" s="17" t="s">
        <v>74</v>
      </c>
      <c r="R49" s="19">
        <f t="shared" si="6"/>
        <v>2</v>
      </c>
      <c r="S49" s="98"/>
      <c r="T49" s="98"/>
    </row>
    <row r="50" spans="1:23" s="100" customFormat="1" ht="5.85" customHeight="1" x14ac:dyDescent="0.25">
      <c r="A50" s="96"/>
      <c r="B50" s="97"/>
      <c r="C50" s="98"/>
      <c r="D50" s="98"/>
      <c r="E50" s="98"/>
      <c r="F50" s="98"/>
      <c r="G50" s="99"/>
      <c r="H50" s="99"/>
      <c r="I50" s="99"/>
      <c r="J50" s="99"/>
      <c r="K50" s="99"/>
      <c r="L50" s="1" t="str">
        <f t="shared" si="2"/>
        <v/>
      </c>
      <c r="M50" s="98"/>
      <c r="N50" s="98"/>
      <c r="O50" s="98"/>
      <c r="P50" s="98"/>
      <c r="Q50" s="98"/>
      <c r="R50" s="98"/>
      <c r="S50" s="98"/>
      <c r="T50" s="98"/>
    </row>
    <row r="51" spans="1:23" s="7" customFormat="1" ht="45" x14ac:dyDescent="0.25">
      <c r="A51" s="53" t="s">
        <v>90</v>
      </c>
      <c r="B51" s="95" t="s">
        <v>195</v>
      </c>
      <c r="C51" s="1" t="s">
        <v>402</v>
      </c>
      <c r="D51" s="1">
        <v>8</v>
      </c>
      <c r="E51" s="1">
        <v>1</v>
      </c>
      <c r="F51" s="1">
        <v>31</v>
      </c>
      <c r="G51" s="55" t="s">
        <v>17</v>
      </c>
      <c r="H51" s="55">
        <v>6</v>
      </c>
      <c r="I51" s="55">
        <v>8</v>
      </c>
      <c r="J51" s="55">
        <v>0</v>
      </c>
      <c r="K51" s="55">
        <v>12</v>
      </c>
      <c r="L51" s="1" t="str">
        <f t="shared" si="2"/>
        <v>Соколова Г.Ю.</v>
      </c>
      <c r="M51" s="1"/>
      <c r="N51" s="1"/>
      <c r="O51" s="1">
        <v>27.9</v>
      </c>
      <c r="P51" s="1">
        <v>18.600000000000001</v>
      </c>
      <c r="Q51" s="1" t="s">
        <v>74</v>
      </c>
      <c r="R51" s="1"/>
      <c r="S51" s="1"/>
      <c r="T51" s="1"/>
    </row>
    <row r="52" spans="1:23" s="7" customFormat="1" ht="21" customHeight="1" x14ac:dyDescent="0.25">
      <c r="A52" s="53" t="s">
        <v>53</v>
      </c>
      <c r="B52" s="95" t="s">
        <v>400</v>
      </c>
      <c r="C52" s="1" t="s">
        <v>401</v>
      </c>
      <c r="D52" s="1">
        <v>7</v>
      </c>
      <c r="E52" s="1">
        <v>2</v>
      </c>
      <c r="F52" s="1">
        <v>42</v>
      </c>
      <c r="G52" s="1" t="s">
        <v>25</v>
      </c>
      <c r="H52" s="101">
        <v>1</v>
      </c>
      <c r="I52" s="101">
        <v>0</v>
      </c>
      <c r="J52" s="101">
        <v>4</v>
      </c>
      <c r="K52" s="101">
        <v>0</v>
      </c>
      <c r="L52" s="1" t="str">
        <f t="shared" si="2"/>
        <v>Савинова М.А.</v>
      </c>
      <c r="M52" s="1"/>
      <c r="N52" s="1"/>
      <c r="O52" s="1">
        <v>63</v>
      </c>
      <c r="P52" s="1"/>
      <c r="Q52" s="1" t="s">
        <v>95</v>
      </c>
      <c r="R52" s="1">
        <f>O52-T52-V52</f>
        <v>63</v>
      </c>
      <c r="S52" s="1"/>
      <c r="T52" s="1"/>
    </row>
    <row r="53" spans="1:23" s="1" customFormat="1" ht="31.5" customHeight="1" x14ac:dyDescent="0.25">
      <c r="A53" s="1" t="s">
        <v>44</v>
      </c>
      <c r="B53" s="1" t="s">
        <v>195</v>
      </c>
      <c r="C53" s="1" t="s">
        <v>402</v>
      </c>
      <c r="D53" s="1">
        <v>8</v>
      </c>
      <c r="E53" s="1">
        <v>1</v>
      </c>
      <c r="F53" s="1">
        <v>31</v>
      </c>
      <c r="G53" s="1" t="s">
        <v>25</v>
      </c>
      <c r="H53" s="1">
        <v>18</v>
      </c>
      <c r="I53" s="1">
        <v>0</v>
      </c>
      <c r="J53" s="1">
        <v>2</v>
      </c>
      <c r="K53" s="1">
        <v>0</v>
      </c>
      <c r="L53" s="1" t="str">
        <f t="shared" si="2"/>
        <v>Соколова Г.Ю.Архипова Г.А.Винник Л.И.</v>
      </c>
      <c r="M53" s="1">
        <v>3300</v>
      </c>
      <c r="N53" s="1" t="s">
        <v>218</v>
      </c>
      <c r="O53" s="1">
        <v>111.6</v>
      </c>
      <c r="P53" s="1">
        <v>0</v>
      </c>
      <c r="Q53" s="14" t="s">
        <v>74</v>
      </c>
      <c r="R53" s="1">
        <f>O53-T53-V53</f>
        <v>49.599999999999994</v>
      </c>
      <c r="S53" s="14" t="s">
        <v>75</v>
      </c>
      <c r="T53" s="14">
        <v>31</v>
      </c>
      <c r="U53" s="14" t="s">
        <v>77</v>
      </c>
      <c r="V53" s="69">
        <v>31</v>
      </c>
    </row>
    <row r="54" spans="1:23" s="1" customFormat="1" ht="33.75" x14ac:dyDescent="0.25">
      <c r="A54" s="1" t="s">
        <v>216</v>
      </c>
      <c r="B54" s="1" t="s">
        <v>195</v>
      </c>
      <c r="C54" s="1" t="s">
        <v>402</v>
      </c>
      <c r="D54" s="1">
        <v>8</v>
      </c>
      <c r="E54" s="1">
        <v>1</v>
      </c>
      <c r="F54" s="1">
        <v>31</v>
      </c>
      <c r="G54" s="1" t="s">
        <v>25</v>
      </c>
      <c r="H54" s="1">
        <v>9</v>
      </c>
      <c r="I54" s="1">
        <v>0</v>
      </c>
      <c r="J54" s="1">
        <v>2</v>
      </c>
      <c r="K54" s="1">
        <v>0</v>
      </c>
      <c r="L54" s="1" t="str">
        <f t="shared" si="2"/>
        <v>Залилов Р.Ю.Соколова Г.Ю.Архипова Г.А.</v>
      </c>
      <c r="M54" s="1">
        <v>3300</v>
      </c>
      <c r="N54" s="1" t="s">
        <v>382</v>
      </c>
      <c r="O54" s="1">
        <v>316.2</v>
      </c>
      <c r="Q54" s="14" t="s">
        <v>186</v>
      </c>
      <c r="R54" s="1">
        <v>4</v>
      </c>
      <c r="S54" s="14" t="s">
        <v>74</v>
      </c>
      <c r="T54" s="1">
        <v>4</v>
      </c>
      <c r="U54" s="14" t="s">
        <v>75</v>
      </c>
      <c r="V54" s="1">
        <v>4</v>
      </c>
    </row>
    <row r="55" spans="1:23" s="1" customFormat="1" ht="33.75" x14ac:dyDescent="0.25">
      <c r="A55" s="1" t="s">
        <v>216</v>
      </c>
      <c r="B55" s="1" t="s">
        <v>195</v>
      </c>
      <c r="C55" s="1" t="s">
        <v>402</v>
      </c>
      <c r="D55" s="1">
        <v>8</v>
      </c>
      <c r="E55" s="1">
        <v>1</v>
      </c>
      <c r="F55" s="1">
        <v>31</v>
      </c>
      <c r="G55" s="1" t="s">
        <v>25</v>
      </c>
      <c r="H55" s="1">
        <v>9</v>
      </c>
      <c r="I55" s="1">
        <v>0</v>
      </c>
      <c r="J55" s="1">
        <v>2</v>
      </c>
      <c r="K55" s="1">
        <v>0</v>
      </c>
      <c r="L55" s="1" t="str">
        <f t="shared" si="2"/>
        <v>ЧленКомиссииЧленКомиссииЧленКомиссии</v>
      </c>
      <c r="M55" s="1">
        <v>3300</v>
      </c>
      <c r="N55" s="1" t="s">
        <v>383</v>
      </c>
      <c r="O55" s="1">
        <f>SUM(Q54:V62)</f>
        <v>316.2</v>
      </c>
      <c r="Q55" s="14" t="s">
        <v>385</v>
      </c>
      <c r="R55" s="1">
        <v>6</v>
      </c>
      <c r="S55" s="14" t="s">
        <v>385</v>
      </c>
      <c r="T55" s="1">
        <v>6</v>
      </c>
      <c r="U55" s="14" t="s">
        <v>385</v>
      </c>
      <c r="V55" s="1">
        <v>6</v>
      </c>
    </row>
    <row r="56" spans="1:23" s="1" customFormat="1" ht="33.75" x14ac:dyDescent="0.25">
      <c r="A56" s="1" t="s">
        <v>216</v>
      </c>
      <c r="B56" s="1" t="s">
        <v>195</v>
      </c>
      <c r="C56" s="1" t="s">
        <v>402</v>
      </c>
      <c r="D56" s="1">
        <v>8</v>
      </c>
      <c r="E56" s="1">
        <v>1</v>
      </c>
      <c r="F56" s="1">
        <v>31</v>
      </c>
      <c r="G56" s="1" t="s">
        <v>25</v>
      </c>
      <c r="H56" s="1">
        <v>9</v>
      </c>
      <c r="I56" s="1">
        <v>0</v>
      </c>
      <c r="J56" s="1">
        <v>2</v>
      </c>
      <c r="K56" s="1">
        <v>0</v>
      </c>
      <c r="L56" s="1" t="str">
        <f t="shared" si="2"/>
        <v>Соколова Г.Ю.Соколова Г.Ю.</v>
      </c>
      <c r="M56" s="1">
        <v>3300</v>
      </c>
      <c r="N56" s="1" t="s">
        <v>388</v>
      </c>
      <c r="O56" s="1">
        <f>R56+T56+V56</f>
        <v>34.200000000000003</v>
      </c>
      <c r="Q56" s="14" t="s">
        <v>74</v>
      </c>
      <c r="R56" s="1">
        <v>31</v>
      </c>
      <c r="S56" s="14" t="s">
        <v>74</v>
      </c>
      <c r="T56" s="1">
        <v>3.2</v>
      </c>
      <c r="U56" s="14"/>
    </row>
    <row r="57" spans="1:23" s="1" customFormat="1" ht="33.75" x14ac:dyDescent="0.25">
      <c r="A57" s="1" t="s">
        <v>216</v>
      </c>
      <c r="B57" s="1" t="s">
        <v>195</v>
      </c>
      <c r="C57" s="1" t="s">
        <v>402</v>
      </c>
      <c r="D57" s="1">
        <v>8</v>
      </c>
      <c r="E57" s="1">
        <v>1</v>
      </c>
      <c r="F57" s="1">
        <v>31</v>
      </c>
      <c r="G57" s="1" t="s">
        <v>25</v>
      </c>
      <c r="H57" s="1">
        <v>9</v>
      </c>
      <c r="I57" s="1">
        <v>0</v>
      </c>
      <c r="J57" s="1">
        <v>0</v>
      </c>
      <c r="K57" s="1">
        <v>0</v>
      </c>
      <c r="L57" s="1" t="str">
        <f t="shared" si="2"/>
        <v>Попов В.С.Петров Р.В.Телина И.С.</v>
      </c>
      <c r="M57" s="1">
        <v>3300</v>
      </c>
      <c r="N57" s="1" t="s">
        <v>329</v>
      </c>
      <c r="O57" s="1">
        <f>R57+T57+V57</f>
        <v>48</v>
      </c>
      <c r="Q57" s="14" t="s">
        <v>327</v>
      </c>
      <c r="R57" s="1">
        <f>4*4</f>
        <v>16</v>
      </c>
      <c r="S57" s="14" t="s">
        <v>80</v>
      </c>
      <c r="T57" s="1">
        <f>4*4</f>
        <v>16</v>
      </c>
      <c r="U57" s="14" t="s">
        <v>79</v>
      </c>
      <c r="V57" s="1">
        <f>4*4</f>
        <v>16</v>
      </c>
      <c r="W57" s="1" t="s">
        <v>387</v>
      </c>
    </row>
    <row r="58" spans="1:23" s="1" customFormat="1" ht="33.75" x14ac:dyDescent="0.25">
      <c r="A58" s="1" t="s">
        <v>216</v>
      </c>
      <c r="B58" s="1" t="s">
        <v>195</v>
      </c>
      <c r="C58" s="1" t="s">
        <v>402</v>
      </c>
      <c r="D58" s="1">
        <v>8</v>
      </c>
      <c r="E58" s="1">
        <v>1</v>
      </c>
      <c r="F58" s="1">
        <v>31</v>
      </c>
      <c r="G58" s="1" t="s">
        <v>25</v>
      </c>
      <c r="H58" s="1">
        <v>9</v>
      </c>
      <c r="I58" s="1">
        <v>0</v>
      </c>
      <c r="J58" s="1">
        <v>0</v>
      </c>
      <c r="K58" s="1">
        <v>0</v>
      </c>
      <c r="L58" s="1" t="str">
        <f t="shared" si="2"/>
        <v>Довгалюк П.М.Савинова М.А.Иванов Д.Д.</v>
      </c>
      <c r="M58" s="1">
        <v>3300</v>
      </c>
      <c r="N58" s="1" t="s">
        <v>330</v>
      </c>
      <c r="O58" s="1">
        <f t="shared" ref="O58" si="7">R58+T58+V58</f>
        <v>36</v>
      </c>
      <c r="Q58" s="14" t="s">
        <v>82</v>
      </c>
      <c r="R58" s="1">
        <f>4*3</f>
        <v>12</v>
      </c>
      <c r="S58" s="14" t="s">
        <v>95</v>
      </c>
      <c r="T58" s="1">
        <f>4*3</f>
        <v>12</v>
      </c>
      <c r="U58" s="14" t="s">
        <v>259</v>
      </c>
      <c r="V58" s="1">
        <f>4*3</f>
        <v>12</v>
      </c>
      <c r="W58" s="1" t="s">
        <v>387</v>
      </c>
    </row>
    <row r="59" spans="1:23" s="1" customFormat="1" ht="33.75" x14ac:dyDescent="0.25">
      <c r="A59" s="1" t="s">
        <v>216</v>
      </c>
      <c r="B59" s="1" t="s">
        <v>195</v>
      </c>
      <c r="C59" s="1" t="s">
        <v>402</v>
      </c>
      <c r="D59" s="1">
        <v>8</v>
      </c>
      <c r="E59" s="1">
        <v>1</v>
      </c>
      <c r="F59" s="1">
        <v>31</v>
      </c>
      <c r="G59" s="1" t="s">
        <v>25</v>
      </c>
      <c r="H59" s="1">
        <v>9</v>
      </c>
      <c r="I59" s="1">
        <v>0</v>
      </c>
      <c r="J59" s="1">
        <v>0</v>
      </c>
      <c r="K59" s="1">
        <v>0</v>
      </c>
      <c r="L59" s="1" t="str">
        <f t="shared" si="2"/>
        <v>Журавлева М.П.Михайлов Д.В.Эрштейн Л.Б.</v>
      </c>
      <c r="M59" s="1">
        <v>3300</v>
      </c>
      <c r="N59" s="1" t="s">
        <v>329</v>
      </c>
      <c r="O59" s="1">
        <f>R59+T59+V59</f>
        <v>48</v>
      </c>
      <c r="Q59" s="14" t="s">
        <v>72</v>
      </c>
      <c r="R59" s="1">
        <f>4*4</f>
        <v>16</v>
      </c>
      <c r="S59" s="14" t="s">
        <v>70</v>
      </c>
      <c r="T59" s="1">
        <f>4*4</f>
        <v>16</v>
      </c>
      <c r="U59" s="14" t="s">
        <v>67</v>
      </c>
      <c r="V59" s="1">
        <f>4*4</f>
        <v>16</v>
      </c>
      <c r="W59" s="1" t="s">
        <v>387</v>
      </c>
    </row>
    <row r="60" spans="1:23" s="1" customFormat="1" ht="33.75" x14ac:dyDescent="0.25">
      <c r="A60" s="1" t="s">
        <v>216</v>
      </c>
      <c r="B60" s="1" t="s">
        <v>195</v>
      </c>
      <c r="C60" s="1" t="s">
        <v>402</v>
      </c>
      <c r="D60" s="1">
        <v>8</v>
      </c>
      <c r="E60" s="1">
        <v>1</v>
      </c>
      <c r="F60" s="1">
        <v>31</v>
      </c>
      <c r="G60" s="1" t="s">
        <v>25</v>
      </c>
      <c r="H60" s="1">
        <v>9</v>
      </c>
      <c r="I60" s="1">
        <v>0</v>
      </c>
      <c r="J60" s="1">
        <v>0</v>
      </c>
      <c r="K60" s="1">
        <v>0</v>
      </c>
      <c r="L60" s="1" t="str">
        <f t="shared" si="2"/>
        <v>Цымбалюк А.Е.</v>
      </c>
      <c r="M60" s="1">
        <v>3300</v>
      </c>
      <c r="N60" s="1" t="s">
        <v>407</v>
      </c>
      <c r="O60" s="1">
        <f t="shared" ref="O60" si="8">R60+T60+V60</f>
        <v>36</v>
      </c>
      <c r="Q60" s="14"/>
      <c r="S60" s="14" t="s">
        <v>281</v>
      </c>
      <c r="T60" s="1">
        <v>36</v>
      </c>
      <c r="U60" s="14"/>
      <c r="W60" s="1" t="s">
        <v>387</v>
      </c>
    </row>
    <row r="61" spans="1:23" s="1" customFormat="1" ht="33.75" x14ac:dyDescent="0.25">
      <c r="A61" s="1" t="s">
        <v>216</v>
      </c>
      <c r="B61" s="1" t="s">
        <v>195</v>
      </c>
      <c r="C61" s="1" t="s">
        <v>402</v>
      </c>
      <c r="D61" s="1">
        <v>8</v>
      </c>
      <c r="E61" s="1">
        <v>1</v>
      </c>
      <c r="F61" s="1">
        <v>31</v>
      </c>
      <c r="G61" s="1" t="s">
        <v>25</v>
      </c>
      <c r="H61" s="1">
        <v>9</v>
      </c>
      <c r="I61" s="1">
        <v>0</v>
      </c>
      <c r="J61" s="1">
        <v>0</v>
      </c>
      <c r="K61" s="1">
        <v>0</v>
      </c>
      <c r="L61" s="1" t="str">
        <f t="shared" si="2"/>
        <v>Залилов Р.Ю.Моркин С.А.Соколова Г.Ю.</v>
      </c>
      <c r="M61" s="1">
        <v>3300</v>
      </c>
      <c r="N61" s="1" t="s">
        <v>329</v>
      </c>
      <c r="O61" s="1">
        <f>R61+T61+V61</f>
        <v>48</v>
      </c>
      <c r="Q61" s="14" t="s">
        <v>186</v>
      </c>
      <c r="R61" s="1">
        <f>4*4</f>
        <v>16</v>
      </c>
      <c r="S61" s="14" t="s">
        <v>69</v>
      </c>
      <c r="T61" s="1">
        <f>4*4</f>
        <v>16</v>
      </c>
      <c r="U61" s="14" t="s">
        <v>74</v>
      </c>
      <c r="V61" s="1">
        <f>4*4</f>
        <v>16</v>
      </c>
      <c r="W61" s="1" t="s">
        <v>387</v>
      </c>
    </row>
    <row r="62" spans="1:23" s="1" customFormat="1" ht="33.75" x14ac:dyDescent="0.25">
      <c r="A62" s="1" t="s">
        <v>216</v>
      </c>
      <c r="B62" s="1" t="s">
        <v>195</v>
      </c>
      <c r="C62" s="1" t="s">
        <v>402</v>
      </c>
      <c r="D62" s="1">
        <v>8</v>
      </c>
      <c r="E62" s="1">
        <v>1</v>
      </c>
      <c r="F62" s="1">
        <v>31</v>
      </c>
      <c r="G62" s="1" t="s">
        <v>25</v>
      </c>
      <c r="H62" s="1">
        <v>9</v>
      </c>
      <c r="I62" s="1">
        <v>0</v>
      </c>
      <c r="J62" s="1">
        <v>0</v>
      </c>
      <c r="K62" s="1">
        <v>0</v>
      </c>
      <c r="L62" s="1" t="str">
        <f>CONCATENATE(Q62,"",S62,"",U62)</f>
        <v>Иванов И.Сазонова Н.В.Эминов С.И.</v>
      </c>
      <c r="M62" s="1">
        <v>3300</v>
      </c>
      <c r="N62" s="1" t="s">
        <v>330</v>
      </c>
      <c r="O62" s="1">
        <f t="shared" ref="O62" si="9">R62+T62+V62</f>
        <v>36</v>
      </c>
      <c r="Q62" s="14" t="s">
        <v>384</v>
      </c>
      <c r="R62" s="1">
        <f>4*3</f>
        <v>12</v>
      </c>
      <c r="S62" s="14" t="s">
        <v>325</v>
      </c>
      <c r="T62" s="1">
        <f>4*3</f>
        <v>12</v>
      </c>
      <c r="U62" s="14" t="s">
        <v>68</v>
      </c>
      <c r="V62" s="1">
        <f>4*3</f>
        <v>12</v>
      </c>
      <c r="W62" s="1" t="s">
        <v>387</v>
      </c>
    </row>
    <row r="63" spans="1:23" s="7" customFormat="1" ht="5.8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R63" s="1"/>
      <c r="S63" s="1"/>
      <c r="T63" s="1"/>
    </row>
    <row r="64" spans="1:23" ht="10.35" customHeight="1" x14ac:dyDescent="0.25"/>
  </sheetData>
  <autoFilter ref="A1:M64" xr:uid="{33138B3D-4F68-4B2D-91FE-823DBB7E30E1}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C8AF-089A-4092-970E-DD10861D24F7}">
  <sheetPr codeName="Лист11">
    <pageSetUpPr fitToPage="1"/>
  </sheetPr>
  <dimension ref="A1:W35"/>
  <sheetViews>
    <sheetView view="pageBreakPreview" zoomScale="115" zoomScaleNormal="100" zoomScaleSheetLayoutView="115" workbookViewId="0">
      <pane xSplit="1" ySplit="1" topLeftCell="B27" activePane="bottomRight" state="frozenSplit"/>
      <selection activeCell="D26" sqref="D26"/>
      <selection pane="topRight" activeCell="D26" sqref="D26"/>
      <selection pane="bottomLeft" activeCell="D26" sqref="D26"/>
      <selection pane="bottomRight" activeCell="Q11" sqref="Q11"/>
    </sheetView>
  </sheetViews>
  <sheetFormatPr defaultColWidth="8.85546875" defaultRowHeight="15" x14ac:dyDescent="0.25"/>
  <cols>
    <col min="1" max="1" width="21.5703125" style="3" customWidth="1"/>
    <col min="2" max="2" width="11.42578125" style="3" customWidth="1"/>
    <col min="3" max="3" width="7.5703125" style="3" bestFit="1" customWidth="1"/>
    <col min="4" max="4" width="3.5703125" style="3" bestFit="1" customWidth="1"/>
    <col min="5" max="5" width="7.42578125" style="3" bestFit="1" customWidth="1"/>
    <col min="6" max="6" width="6.5703125" style="3" bestFit="1" customWidth="1"/>
    <col min="7" max="7" width="4.42578125" style="3" customWidth="1"/>
    <col min="8" max="8" width="4" style="3" bestFit="1" customWidth="1"/>
    <col min="9" max="9" width="3.42578125" style="3" bestFit="1" customWidth="1"/>
    <col min="10" max="10" width="4.5703125" style="3" customWidth="1"/>
    <col min="11" max="11" width="4.42578125" style="3" customWidth="1"/>
    <col min="12" max="12" width="17.42578125" style="3" customWidth="1"/>
    <col min="13" max="13" width="14.5703125" style="3" customWidth="1"/>
    <col min="14" max="15" width="7.42578125" style="21" customWidth="1"/>
    <col min="16" max="16" width="4.42578125" style="21" customWidth="1"/>
    <col min="17" max="17" width="8.42578125" style="3" customWidth="1"/>
    <col min="18" max="18" width="5.5703125" style="3" customWidth="1"/>
    <col min="19" max="19" width="8.42578125" style="3" customWidth="1"/>
    <col min="20" max="20" width="5.5703125" style="3" customWidth="1"/>
    <col min="21" max="21" width="10.140625" style="3" customWidth="1"/>
    <col min="22" max="16384" width="8.85546875" style="3"/>
  </cols>
  <sheetData>
    <row r="1" spans="1:21" s="7" customFormat="1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180</v>
      </c>
      <c r="O1" s="1" t="s">
        <v>210</v>
      </c>
      <c r="P1" s="1" t="s">
        <v>209</v>
      </c>
      <c r="Q1" s="1" t="s">
        <v>177</v>
      </c>
      <c r="R1" s="1" t="s">
        <v>178</v>
      </c>
      <c r="S1" s="1" t="s">
        <v>177</v>
      </c>
      <c r="T1" s="1" t="s">
        <v>178</v>
      </c>
    </row>
    <row r="2" spans="1:21" s="32" customFormat="1" ht="4.3499999999999996" customHeight="1" x14ac:dyDescent="0.2">
      <c r="Q2" s="17"/>
      <c r="R2" s="19">
        <f>I2+J2+K2+P2+O2</f>
        <v>0</v>
      </c>
      <c r="U2" s="52"/>
    </row>
    <row r="3" spans="1:21" x14ac:dyDescent="0.25">
      <c r="A3" s="1" t="s">
        <v>172</v>
      </c>
      <c r="B3" s="50" t="s">
        <v>195</v>
      </c>
      <c r="C3" s="8" t="s">
        <v>343</v>
      </c>
      <c r="D3" s="1">
        <v>3</v>
      </c>
      <c r="E3" s="1">
        <v>1</v>
      </c>
      <c r="F3" s="1">
        <v>11</v>
      </c>
      <c r="G3" s="1" t="s">
        <v>25</v>
      </c>
      <c r="H3" s="1">
        <v>4</v>
      </c>
      <c r="I3" s="1">
        <v>4</v>
      </c>
      <c r="J3" s="1">
        <v>0</v>
      </c>
      <c r="K3" s="1">
        <v>12</v>
      </c>
      <c r="L3" s="1" t="str">
        <f t="shared" ref="L3" si="0">CONCATENATE(Q3," ",S3," ",U3)</f>
        <v xml:space="preserve">Жгун Т.В.  </v>
      </c>
      <c r="M3" s="1">
        <v>3305</v>
      </c>
      <c r="N3" s="19" t="s">
        <v>224</v>
      </c>
      <c r="O3" s="1">
        <v>6.6</v>
      </c>
      <c r="P3" s="1">
        <v>0</v>
      </c>
      <c r="Q3" s="17" t="s">
        <v>71</v>
      </c>
      <c r="R3" s="19">
        <f>I3+J3+K3+P3+O3</f>
        <v>22.6</v>
      </c>
    </row>
    <row r="4" spans="1:21" ht="23.25" x14ac:dyDescent="0.25">
      <c r="A4" s="1" t="s">
        <v>37</v>
      </c>
      <c r="B4" s="50" t="s">
        <v>195</v>
      </c>
      <c r="C4" s="8" t="s">
        <v>343</v>
      </c>
      <c r="D4" s="1">
        <v>3</v>
      </c>
      <c r="E4" s="1">
        <v>1</v>
      </c>
      <c r="F4" s="1">
        <v>11</v>
      </c>
      <c r="G4" s="51" t="s">
        <v>17</v>
      </c>
      <c r="H4" s="51">
        <v>4</v>
      </c>
      <c r="I4" s="51">
        <v>4</v>
      </c>
      <c r="J4" s="51">
        <v>4</v>
      </c>
      <c r="K4" s="51">
        <v>4</v>
      </c>
      <c r="L4" s="13" t="str">
        <f t="shared" ref="L4:L34" si="1">CONCATENATE(Q4,"",S4,"",U4)</f>
        <v>Алексеев П.С.</v>
      </c>
      <c r="M4" s="1" t="s">
        <v>225</v>
      </c>
      <c r="N4" s="19" t="s">
        <v>224</v>
      </c>
      <c r="O4" s="19">
        <v>6.6</v>
      </c>
      <c r="P4" s="19">
        <v>4.4000000000000004</v>
      </c>
      <c r="Q4" s="17" t="s">
        <v>408</v>
      </c>
      <c r="R4" s="19">
        <f>I4+J4+K4+P4+O4</f>
        <v>23</v>
      </c>
      <c r="S4" s="17"/>
      <c r="T4" s="19"/>
    </row>
    <row r="5" spans="1:21" ht="33.75" x14ac:dyDescent="0.25">
      <c r="A5" s="1" t="s">
        <v>152</v>
      </c>
      <c r="B5" s="50" t="s">
        <v>195</v>
      </c>
      <c r="C5" s="8" t="s">
        <v>343</v>
      </c>
      <c r="D5" s="1">
        <v>3</v>
      </c>
      <c r="E5" s="1">
        <v>1</v>
      </c>
      <c r="F5" s="1">
        <v>11</v>
      </c>
      <c r="G5" s="51"/>
      <c r="H5" s="51">
        <v>0</v>
      </c>
      <c r="I5" s="51">
        <v>2</v>
      </c>
      <c r="J5" s="51">
        <v>0</v>
      </c>
      <c r="K5" s="51">
        <v>0</v>
      </c>
      <c r="L5" s="1" t="str">
        <f t="shared" si="1"/>
        <v>Цымбалюк Л.Н.</v>
      </c>
      <c r="M5" s="1">
        <v>3312</v>
      </c>
      <c r="N5" s="1" t="s">
        <v>223</v>
      </c>
      <c r="O5" s="1">
        <v>0</v>
      </c>
      <c r="P5" s="1">
        <v>0</v>
      </c>
      <c r="Q5" s="17" t="s">
        <v>78</v>
      </c>
      <c r="R5" s="19">
        <v>0</v>
      </c>
      <c r="S5" s="18"/>
      <c r="T5" s="18"/>
    </row>
    <row r="6" spans="1:21" ht="23.25" x14ac:dyDescent="0.25">
      <c r="A6" s="1" t="s">
        <v>357</v>
      </c>
      <c r="B6" s="50" t="s">
        <v>195</v>
      </c>
      <c r="C6" s="8" t="s">
        <v>343</v>
      </c>
      <c r="D6" s="1">
        <v>3</v>
      </c>
      <c r="E6" s="1">
        <v>1</v>
      </c>
      <c r="F6" s="1">
        <v>11</v>
      </c>
      <c r="G6" s="51"/>
      <c r="H6" s="51">
        <v>0</v>
      </c>
      <c r="I6" s="51">
        <v>2</v>
      </c>
      <c r="J6" s="51">
        <v>0</v>
      </c>
      <c r="K6" s="51">
        <v>0</v>
      </c>
      <c r="L6" s="1" t="str">
        <f t="shared" si="1"/>
        <v>Телина И.С.</v>
      </c>
      <c r="M6" s="1">
        <v>3313</v>
      </c>
      <c r="N6" s="1" t="s">
        <v>223</v>
      </c>
      <c r="O6" s="1">
        <v>0</v>
      </c>
      <c r="P6" s="1">
        <v>0</v>
      </c>
      <c r="Q6" s="17" t="s">
        <v>79</v>
      </c>
      <c r="R6" s="19">
        <v>0</v>
      </c>
      <c r="S6" s="18"/>
      <c r="T6" s="18"/>
    </row>
    <row r="7" spans="1:21" ht="18.600000000000001" customHeight="1" x14ac:dyDescent="0.25">
      <c r="A7" s="1" t="s">
        <v>65</v>
      </c>
      <c r="B7" s="50" t="s">
        <v>195</v>
      </c>
      <c r="C7" s="8" t="s">
        <v>343</v>
      </c>
      <c r="D7" s="1">
        <v>3</v>
      </c>
      <c r="E7" s="1">
        <v>1</v>
      </c>
      <c r="F7" s="1">
        <v>11</v>
      </c>
      <c r="G7" s="51" t="s">
        <v>25</v>
      </c>
      <c r="H7" s="51">
        <v>4</v>
      </c>
      <c r="I7" s="51">
        <v>4</v>
      </c>
      <c r="J7" s="51">
        <v>4</v>
      </c>
      <c r="K7" s="51">
        <v>8</v>
      </c>
      <c r="L7" s="1" t="str">
        <f t="shared" si="1"/>
        <v>Эминов С.И.</v>
      </c>
      <c r="M7" s="1" t="s">
        <v>225</v>
      </c>
      <c r="N7" s="19" t="s">
        <v>224</v>
      </c>
      <c r="O7" s="19">
        <v>6.6</v>
      </c>
      <c r="P7" s="19">
        <v>0</v>
      </c>
      <c r="Q7" s="17" t="s">
        <v>68</v>
      </c>
      <c r="R7" s="19">
        <f>I7+J7+K7+P7+O7</f>
        <v>22.6</v>
      </c>
      <c r="S7" s="18"/>
      <c r="T7" s="18"/>
    </row>
    <row r="8" spans="1:21" ht="33.75" x14ac:dyDescent="0.25">
      <c r="A8" s="1" t="s">
        <v>315</v>
      </c>
      <c r="B8" s="50" t="s">
        <v>195</v>
      </c>
      <c r="C8" s="8" t="s">
        <v>343</v>
      </c>
      <c r="D8" s="1">
        <v>3</v>
      </c>
      <c r="E8" s="1">
        <v>1</v>
      </c>
      <c r="F8" s="1">
        <v>11</v>
      </c>
      <c r="G8" s="51"/>
      <c r="H8" s="51">
        <v>0</v>
      </c>
      <c r="I8" s="51">
        <v>2</v>
      </c>
      <c r="J8" s="51">
        <v>0</v>
      </c>
      <c r="K8" s="51">
        <v>0</v>
      </c>
      <c r="L8" s="1" t="str">
        <f t="shared" si="1"/>
        <v>Цымаблюк Л.Н.</v>
      </c>
      <c r="M8" s="1">
        <v>3313</v>
      </c>
      <c r="N8" s="1" t="s">
        <v>223</v>
      </c>
      <c r="O8" s="1">
        <v>0</v>
      </c>
      <c r="P8" s="1">
        <v>0</v>
      </c>
      <c r="Q8" s="17" t="s">
        <v>393</v>
      </c>
      <c r="R8" s="19">
        <v>0</v>
      </c>
      <c r="S8" s="18"/>
      <c r="T8" s="18"/>
    </row>
    <row r="9" spans="1:21" ht="23.25" x14ac:dyDescent="0.25">
      <c r="A9" s="1" t="s">
        <v>360</v>
      </c>
      <c r="B9" s="50" t="s">
        <v>195</v>
      </c>
      <c r="C9" s="8" t="s">
        <v>343</v>
      </c>
      <c r="D9" s="1">
        <v>3</v>
      </c>
      <c r="E9" s="1">
        <v>1</v>
      </c>
      <c r="F9" s="1">
        <v>11</v>
      </c>
      <c r="G9" s="51"/>
      <c r="H9" s="51">
        <v>0</v>
      </c>
      <c r="I9" s="51">
        <v>2</v>
      </c>
      <c r="J9" s="51">
        <v>0</v>
      </c>
      <c r="K9" s="51">
        <v>0</v>
      </c>
      <c r="L9" s="1" t="str">
        <f t="shared" si="1"/>
        <v>Макевич П.В.</v>
      </c>
      <c r="M9" s="1">
        <v>3313</v>
      </c>
      <c r="N9" s="1" t="s">
        <v>223</v>
      </c>
      <c r="O9" s="1">
        <v>0</v>
      </c>
      <c r="P9" s="1">
        <v>0</v>
      </c>
      <c r="Q9" s="17" t="s">
        <v>54</v>
      </c>
      <c r="R9" s="19">
        <v>0</v>
      </c>
      <c r="S9" s="18"/>
      <c r="T9" s="18"/>
    </row>
    <row r="10" spans="1:21" ht="33.75" x14ac:dyDescent="0.25">
      <c r="A10" s="1" t="s">
        <v>316</v>
      </c>
      <c r="B10" s="50" t="s">
        <v>195</v>
      </c>
      <c r="C10" s="8" t="s">
        <v>343</v>
      </c>
      <c r="D10" s="1">
        <v>3</v>
      </c>
      <c r="E10" s="1">
        <v>1</v>
      </c>
      <c r="F10" s="1">
        <v>11</v>
      </c>
      <c r="G10" s="51" t="s">
        <v>17</v>
      </c>
      <c r="H10" s="51">
        <v>5</v>
      </c>
      <c r="I10" s="51">
        <v>8</v>
      </c>
      <c r="J10" s="51">
        <v>0</v>
      </c>
      <c r="K10" s="51">
        <v>8</v>
      </c>
      <c r="L10" s="85" t="str">
        <f t="shared" si="1"/>
        <v>Сидорин С.Н.</v>
      </c>
      <c r="M10" s="1">
        <v>3313</v>
      </c>
      <c r="N10" s="1" t="s">
        <v>223</v>
      </c>
      <c r="O10" s="1">
        <v>8.3000000000000007</v>
      </c>
      <c r="P10" s="1">
        <v>5.5</v>
      </c>
      <c r="Q10" s="84" t="s">
        <v>410</v>
      </c>
      <c r="R10" s="19">
        <f>I10+K10+J10+O10+P10</f>
        <v>29.8</v>
      </c>
      <c r="S10" s="18"/>
      <c r="T10" s="18"/>
    </row>
    <row r="11" spans="1:21" ht="33.75" x14ac:dyDescent="0.25">
      <c r="A11" s="1" t="s">
        <v>318</v>
      </c>
      <c r="B11" s="50" t="s">
        <v>195</v>
      </c>
      <c r="C11" s="8" t="s">
        <v>343</v>
      </c>
      <c r="D11" s="1">
        <v>3</v>
      </c>
      <c r="E11" s="1">
        <v>1</v>
      </c>
      <c r="F11" s="1">
        <v>11</v>
      </c>
      <c r="G11" s="51" t="s">
        <v>25</v>
      </c>
      <c r="H11" s="51">
        <v>3</v>
      </c>
      <c r="I11" s="51">
        <v>4</v>
      </c>
      <c r="J11" s="51">
        <v>0</v>
      </c>
      <c r="K11" s="51">
        <v>8</v>
      </c>
      <c r="L11" s="1" t="str">
        <f t="shared" si="1"/>
        <v>Телина И.С.</v>
      </c>
      <c r="M11" s="1"/>
      <c r="N11" s="19" t="s">
        <v>224</v>
      </c>
      <c r="O11" s="19">
        <v>5</v>
      </c>
      <c r="P11" s="19">
        <v>0</v>
      </c>
      <c r="Q11" s="17" t="s">
        <v>79</v>
      </c>
      <c r="R11" s="19">
        <f>I11+J11+K11+P11+O11</f>
        <v>17</v>
      </c>
      <c r="S11" s="18"/>
      <c r="T11" s="18"/>
    </row>
    <row r="12" spans="1:21" ht="23.25" x14ac:dyDescent="0.25">
      <c r="A12" s="1" t="s">
        <v>358</v>
      </c>
      <c r="B12" s="50" t="s">
        <v>195</v>
      </c>
      <c r="C12" s="8" t="s">
        <v>343</v>
      </c>
      <c r="D12" s="1">
        <v>3</v>
      </c>
      <c r="E12" s="1">
        <v>1</v>
      </c>
      <c r="F12" s="1">
        <v>11</v>
      </c>
      <c r="G12" s="51"/>
      <c r="H12" s="51">
        <v>0</v>
      </c>
      <c r="I12" s="51">
        <v>2</v>
      </c>
      <c r="J12" s="51">
        <v>0</v>
      </c>
      <c r="K12" s="51">
        <v>0</v>
      </c>
      <c r="L12" s="1" t="str">
        <f t="shared" si="1"/>
        <v>Цымбалюк А.Е.</v>
      </c>
      <c r="M12" s="1">
        <v>3313</v>
      </c>
      <c r="N12" s="1" t="s">
        <v>223</v>
      </c>
      <c r="O12" s="1">
        <v>0</v>
      </c>
      <c r="P12" s="1">
        <v>0</v>
      </c>
      <c r="Q12" s="17" t="s">
        <v>281</v>
      </c>
      <c r="R12" s="19">
        <v>0</v>
      </c>
      <c r="S12" s="18"/>
      <c r="T12" s="18"/>
    </row>
    <row r="13" spans="1:21" ht="23.25" x14ac:dyDescent="0.25">
      <c r="A13" s="1" t="s">
        <v>359</v>
      </c>
      <c r="B13" s="50" t="s">
        <v>195</v>
      </c>
      <c r="C13" s="8" t="s">
        <v>343</v>
      </c>
      <c r="D13" s="1">
        <v>3</v>
      </c>
      <c r="E13" s="1">
        <v>1</v>
      </c>
      <c r="F13" s="1">
        <v>11</v>
      </c>
      <c r="G13" s="51"/>
      <c r="H13" s="51">
        <v>0</v>
      </c>
      <c r="I13" s="51">
        <v>2</v>
      </c>
      <c r="J13" s="51">
        <v>0</v>
      </c>
      <c r="K13" s="51">
        <v>0</v>
      </c>
      <c r="L13" s="1" t="str">
        <f t="shared" si="1"/>
        <v>Винник Л.И.</v>
      </c>
      <c r="M13" s="1">
        <v>3313</v>
      </c>
      <c r="N13" s="1" t="s">
        <v>223</v>
      </c>
      <c r="O13" s="1">
        <v>0</v>
      </c>
      <c r="P13" s="1">
        <v>0</v>
      </c>
      <c r="Q13" s="17" t="s">
        <v>77</v>
      </c>
      <c r="R13" s="19">
        <v>0</v>
      </c>
      <c r="S13" s="18"/>
      <c r="T13" s="18"/>
    </row>
    <row r="14" spans="1:21" ht="23.25" x14ac:dyDescent="0.25">
      <c r="A14" s="1" t="s">
        <v>33</v>
      </c>
      <c r="B14" s="50" t="s">
        <v>195</v>
      </c>
      <c r="C14" s="8" t="s">
        <v>343</v>
      </c>
      <c r="D14" s="1">
        <v>3</v>
      </c>
      <c r="E14" s="1">
        <v>1</v>
      </c>
      <c r="F14" s="1">
        <v>11</v>
      </c>
      <c r="G14" s="51" t="s">
        <v>17</v>
      </c>
      <c r="H14" s="51">
        <v>4</v>
      </c>
      <c r="I14" s="51">
        <v>4</v>
      </c>
      <c r="J14" s="51">
        <v>4</v>
      </c>
      <c r="K14" s="51">
        <v>4</v>
      </c>
      <c r="L14" s="1" t="str">
        <f t="shared" si="1"/>
        <v>Михайлов Д.В.</v>
      </c>
      <c r="M14" s="1" t="s">
        <v>225</v>
      </c>
      <c r="N14" s="19" t="s">
        <v>224</v>
      </c>
      <c r="O14" s="19">
        <v>6.6</v>
      </c>
      <c r="P14" s="19">
        <v>4.4000000000000004</v>
      </c>
      <c r="Q14" s="17" t="s">
        <v>70</v>
      </c>
      <c r="R14" s="19">
        <f>I14+J14+K14+P14+O14</f>
        <v>23</v>
      </c>
      <c r="S14" s="18"/>
      <c r="T14" s="18"/>
    </row>
    <row r="15" spans="1:21" ht="21" customHeight="1" x14ac:dyDescent="0.25">
      <c r="A15" s="1" t="s">
        <v>58</v>
      </c>
      <c r="B15" s="50" t="s">
        <v>195</v>
      </c>
      <c r="C15" s="8" t="s">
        <v>343</v>
      </c>
      <c r="D15" s="1">
        <v>3</v>
      </c>
      <c r="E15" s="1">
        <v>1</v>
      </c>
      <c r="F15" s="1">
        <v>11</v>
      </c>
      <c r="G15" s="51" t="s">
        <v>19</v>
      </c>
      <c r="H15" s="51">
        <v>3</v>
      </c>
      <c r="I15" s="51">
        <v>4</v>
      </c>
      <c r="J15" s="51">
        <v>4</v>
      </c>
      <c r="K15" s="51">
        <v>4</v>
      </c>
      <c r="L15" s="1" t="str">
        <f t="shared" si="1"/>
        <v>Михайлов Д.В.</v>
      </c>
      <c r="M15" s="1" t="s">
        <v>225</v>
      </c>
      <c r="N15" s="19" t="s">
        <v>224</v>
      </c>
      <c r="O15" s="19">
        <v>5</v>
      </c>
      <c r="P15" s="19">
        <v>0</v>
      </c>
      <c r="Q15" s="17" t="s">
        <v>70</v>
      </c>
      <c r="R15" s="19">
        <f>I15+J15+K15+P15+O15</f>
        <v>17</v>
      </c>
      <c r="S15" s="18"/>
      <c r="T15" s="19"/>
    </row>
    <row r="16" spans="1:21" ht="21" customHeight="1" x14ac:dyDescent="0.25">
      <c r="A16" s="1" t="s">
        <v>317</v>
      </c>
      <c r="B16" s="50" t="s">
        <v>195</v>
      </c>
      <c r="C16" s="8" t="s">
        <v>343</v>
      </c>
      <c r="D16" s="1">
        <v>3</v>
      </c>
      <c r="E16" s="1">
        <v>1</v>
      </c>
      <c r="F16" s="1">
        <v>11</v>
      </c>
      <c r="G16" s="51"/>
      <c r="H16" s="51">
        <v>0</v>
      </c>
      <c r="I16" s="51">
        <v>2</v>
      </c>
      <c r="J16" s="51">
        <v>0</v>
      </c>
      <c r="K16" s="51">
        <v>0</v>
      </c>
      <c r="L16" s="1" t="str">
        <f t="shared" si="1"/>
        <v>Цымбалюк А.Е.</v>
      </c>
      <c r="M16" s="1">
        <v>3313</v>
      </c>
      <c r="N16" s="1" t="s">
        <v>223</v>
      </c>
      <c r="O16" s="1">
        <v>0</v>
      </c>
      <c r="P16" s="1">
        <v>0</v>
      </c>
      <c r="Q16" s="17" t="s">
        <v>281</v>
      </c>
      <c r="R16" s="19">
        <v>0</v>
      </c>
      <c r="S16" s="17"/>
      <c r="T16" s="19"/>
    </row>
    <row r="17" spans="1:22" ht="33.75" x14ac:dyDescent="0.25">
      <c r="A17" s="1" t="s">
        <v>160</v>
      </c>
      <c r="B17" s="50" t="s">
        <v>195</v>
      </c>
      <c r="C17" s="8" t="s">
        <v>343</v>
      </c>
      <c r="D17" s="1">
        <v>3</v>
      </c>
      <c r="E17" s="1">
        <v>1</v>
      </c>
      <c r="F17" s="1">
        <v>11</v>
      </c>
      <c r="G17" s="51"/>
      <c r="H17" s="51">
        <v>0</v>
      </c>
      <c r="I17" s="51">
        <v>2</v>
      </c>
      <c r="J17" s="51">
        <v>0</v>
      </c>
      <c r="K17" s="51">
        <v>0</v>
      </c>
      <c r="L17" s="1" t="str">
        <f t="shared" si="1"/>
        <v>Корнышев Н.П.</v>
      </c>
      <c r="M17" s="1">
        <v>3313</v>
      </c>
      <c r="N17" s="1" t="s">
        <v>223</v>
      </c>
      <c r="O17" s="1">
        <v>0</v>
      </c>
      <c r="P17" s="1">
        <v>0</v>
      </c>
      <c r="Q17" s="17" t="s">
        <v>105</v>
      </c>
      <c r="R17" s="19">
        <v>0</v>
      </c>
      <c r="S17" s="17"/>
      <c r="T17" s="19"/>
    </row>
    <row r="18" spans="1:22" s="1" customFormat="1" ht="4.3499999999999996" customHeight="1" x14ac:dyDescent="0.2">
      <c r="Q18" s="17"/>
      <c r="R18" s="19">
        <f t="shared" ref="R18" si="2">I18+J18+K18+P18+O18</f>
        <v>0</v>
      </c>
      <c r="U18" s="16"/>
    </row>
    <row r="19" spans="1:22" ht="23.25" x14ac:dyDescent="0.25">
      <c r="A19" s="1" t="s">
        <v>36</v>
      </c>
      <c r="B19" s="50" t="s">
        <v>195</v>
      </c>
      <c r="C19" s="8" t="s">
        <v>343</v>
      </c>
      <c r="D19" s="1">
        <v>4</v>
      </c>
      <c r="E19" s="1">
        <v>1</v>
      </c>
      <c r="F19" s="1">
        <v>11</v>
      </c>
      <c r="G19" s="51" t="s">
        <v>17</v>
      </c>
      <c r="H19" s="51">
        <v>5</v>
      </c>
      <c r="I19" s="51">
        <v>4</v>
      </c>
      <c r="J19" s="51">
        <v>0</v>
      </c>
      <c r="K19" s="51">
        <v>12</v>
      </c>
      <c r="L19" s="1" t="str">
        <f t="shared" si="1"/>
        <v>Цымбалюк Л.Н.</v>
      </c>
      <c r="M19" s="1" t="s">
        <v>225</v>
      </c>
      <c r="N19" s="19" t="s">
        <v>224</v>
      </c>
      <c r="O19" s="19">
        <v>8.25</v>
      </c>
      <c r="P19" s="19">
        <v>5.5</v>
      </c>
      <c r="Q19" s="17" t="s">
        <v>78</v>
      </c>
      <c r="R19" s="19">
        <f>I19+J19+K19+P19+O19</f>
        <v>29.75</v>
      </c>
      <c r="S19" s="17"/>
      <c r="T19" s="19"/>
    </row>
    <row r="20" spans="1:22" ht="23.25" x14ac:dyDescent="0.25">
      <c r="A20" s="1" t="s">
        <v>36</v>
      </c>
      <c r="B20" s="50" t="s">
        <v>195</v>
      </c>
      <c r="C20" s="8" t="s">
        <v>343</v>
      </c>
      <c r="D20" s="1">
        <v>4</v>
      </c>
      <c r="E20" s="1">
        <v>1</v>
      </c>
      <c r="F20" s="1">
        <v>11</v>
      </c>
      <c r="G20" s="51" t="s">
        <v>23</v>
      </c>
      <c r="H20" s="51">
        <v>1</v>
      </c>
      <c r="I20" s="51">
        <v>0</v>
      </c>
      <c r="J20" s="51">
        <v>0</v>
      </c>
      <c r="K20" s="51">
        <v>0</v>
      </c>
      <c r="L20" s="1" t="str">
        <f t="shared" si="1"/>
        <v>Цымбалюк Л.Н.</v>
      </c>
      <c r="M20" s="1" t="s">
        <v>225</v>
      </c>
      <c r="N20" s="19" t="s">
        <v>224</v>
      </c>
      <c r="O20" s="19">
        <v>16.5</v>
      </c>
      <c r="P20" s="19">
        <v>0</v>
      </c>
      <c r="Q20" s="17" t="s">
        <v>78</v>
      </c>
      <c r="R20" s="19">
        <f t="shared" ref="R20:R27" si="3">I20+J20+K20+P20+O20</f>
        <v>16.5</v>
      </c>
      <c r="S20" s="17"/>
      <c r="T20" s="19"/>
    </row>
    <row r="21" spans="1:22" ht="23.25" x14ac:dyDescent="0.25">
      <c r="A21" s="1" t="s">
        <v>354</v>
      </c>
      <c r="B21" s="50" t="s">
        <v>195</v>
      </c>
      <c r="C21" s="8" t="s">
        <v>343</v>
      </c>
      <c r="D21" s="1">
        <v>4</v>
      </c>
      <c r="E21" s="1">
        <v>1</v>
      </c>
      <c r="F21" s="1">
        <v>11</v>
      </c>
      <c r="G21" s="51" t="s">
        <v>19</v>
      </c>
      <c r="H21" s="51">
        <v>3</v>
      </c>
      <c r="I21" s="51">
        <v>8</v>
      </c>
      <c r="J21" s="51">
        <v>4</v>
      </c>
      <c r="K21" s="51">
        <v>0</v>
      </c>
      <c r="L21" s="1" t="str">
        <f t="shared" si="1"/>
        <v>Телина И.С.Филиппов И.И.</v>
      </c>
      <c r="M21" s="1" t="s">
        <v>225</v>
      </c>
      <c r="N21" s="19" t="s">
        <v>224</v>
      </c>
      <c r="O21" s="19">
        <v>5</v>
      </c>
      <c r="P21" s="19">
        <v>0</v>
      </c>
      <c r="Q21" s="17" t="s">
        <v>79</v>
      </c>
      <c r="R21" s="19">
        <f t="shared" si="3"/>
        <v>17</v>
      </c>
      <c r="S21" s="17" t="s">
        <v>381</v>
      </c>
      <c r="T21" s="19">
        <v>4</v>
      </c>
    </row>
    <row r="22" spans="1:22" ht="23.25" x14ac:dyDescent="0.25">
      <c r="A22" s="1" t="s">
        <v>139</v>
      </c>
      <c r="B22" s="50" t="s">
        <v>195</v>
      </c>
      <c r="C22" s="8" t="s">
        <v>343</v>
      </c>
      <c r="D22" s="1">
        <v>4</v>
      </c>
      <c r="E22" s="1">
        <v>1</v>
      </c>
      <c r="F22" s="1">
        <v>11</v>
      </c>
      <c r="G22" s="51" t="s">
        <v>25</v>
      </c>
      <c r="H22" s="51">
        <v>3</v>
      </c>
      <c r="I22" s="51">
        <v>4</v>
      </c>
      <c r="J22" s="51">
        <v>0</v>
      </c>
      <c r="K22" s="51">
        <v>8</v>
      </c>
      <c r="L22" s="1" t="str">
        <f t="shared" si="1"/>
        <v>Цымбалюк Л.Н.</v>
      </c>
      <c r="M22" s="1" t="s">
        <v>225</v>
      </c>
      <c r="N22" s="19" t="s">
        <v>224</v>
      </c>
      <c r="O22" s="19">
        <v>5</v>
      </c>
      <c r="P22" s="19">
        <v>0</v>
      </c>
      <c r="Q22" s="17" t="s">
        <v>78</v>
      </c>
      <c r="R22" s="19">
        <f t="shared" si="3"/>
        <v>17</v>
      </c>
      <c r="S22" s="17"/>
      <c r="T22" s="19"/>
    </row>
    <row r="23" spans="1:22" ht="23.25" x14ac:dyDescent="0.25">
      <c r="A23" s="1" t="s">
        <v>356</v>
      </c>
      <c r="B23" s="50" t="s">
        <v>195</v>
      </c>
      <c r="C23" s="8" t="s">
        <v>343</v>
      </c>
      <c r="D23" s="1">
        <v>4</v>
      </c>
      <c r="E23" s="1">
        <v>1</v>
      </c>
      <c r="F23" s="1">
        <v>11</v>
      </c>
      <c r="G23" s="51" t="s">
        <v>25</v>
      </c>
      <c r="H23" s="51">
        <v>3</v>
      </c>
      <c r="I23" s="51">
        <v>4</v>
      </c>
      <c r="J23" s="51">
        <v>0</v>
      </c>
      <c r="K23" s="51">
        <v>8</v>
      </c>
      <c r="L23" s="1" t="str">
        <f t="shared" si="1"/>
        <v>Цымбалюк А.Е.</v>
      </c>
      <c r="M23" s="1" t="s">
        <v>225</v>
      </c>
      <c r="N23" s="19" t="s">
        <v>224</v>
      </c>
      <c r="O23" s="19">
        <v>5</v>
      </c>
      <c r="P23" s="19">
        <v>0</v>
      </c>
      <c r="Q23" s="17" t="s">
        <v>281</v>
      </c>
      <c r="R23" s="19">
        <f t="shared" si="3"/>
        <v>17</v>
      </c>
      <c r="S23" s="18"/>
      <c r="T23" s="18"/>
    </row>
    <row r="24" spans="1:22" ht="23.25" x14ac:dyDescent="0.25">
      <c r="A24" s="1" t="s">
        <v>326</v>
      </c>
      <c r="B24" s="50" t="s">
        <v>195</v>
      </c>
      <c r="C24" s="8" t="s">
        <v>343</v>
      </c>
      <c r="D24" s="1">
        <v>4</v>
      </c>
      <c r="E24" s="1">
        <v>1</v>
      </c>
      <c r="F24" s="1">
        <v>11</v>
      </c>
      <c r="G24" s="51" t="s">
        <v>17</v>
      </c>
      <c r="H24" s="51">
        <v>3</v>
      </c>
      <c r="I24" s="51">
        <v>4</v>
      </c>
      <c r="J24" s="51">
        <v>0</v>
      </c>
      <c r="K24" s="51">
        <v>8</v>
      </c>
      <c r="L24" s="1" t="str">
        <f t="shared" si="1"/>
        <v>Цымбалюк А.Е.</v>
      </c>
      <c r="M24" s="1" t="s">
        <v>225</v>
      </c>
      <c r="N24" s="19" t="s">
        <v>224</v>
      </c>
      <c r="O24" s="19">
        <v>6.6</v>
      </c>
      <c r="P24" s="19">
        <v>4.4000000000000004</v>
      </c>
      <c r="Q24" s="17" t="s">
        <v>281</v>
      </c>
      <c r="R24" s="19">
        <f t="shared" si="3"/>
        <v>23</v>
      </c>
      <c r="S24" s="93"/>
      <c r="T24" s="18"/>
    </row>
    <row r="25" spans="1:22" ht="23.25" x14ac:dyDescent="0.25">
      <c r="A25" s="1" t="s">
        <v>24</v>
      </c>
      <c r="B25" s="50" t="s">
        <v>195</v>
      </c>
      <c r="C25" s="8" t="s">
        <v>343</v>
      </c>
      <c r="D25" s="1">
        <v>4</v>
      </c>
      <c r="E25" s="1">
        <v>1</v>
      </c>
      <c r="F25" s="1">
        <v>11</v>
      </c>
      <c r="G25" s="51" t="s">
        <v>17</v>
      </c>
      <c r="H25" s="51">
        <v>3</v>
      </c>
      <c r="I25" s="51">
        <v>4</v>
      </c>
      <c r="J25" s="51">
        <v>0</v>
      </c>
      <c r="K25" s="51">
        <v>8</v>
      </c>
      <c r="L25" s="1" t="str">
        <f t="shared" si="1"/>
        <v>Макевич П.В.</v>
      </c>
      <c r="M25" s="1" t="s">
        <v>225</v>
      </c>
      <c r="N25" s="19" t="s">
        <v>224</v>
      </c>
      <c r="O25" s="19">
        <v>5</v>
      </c>
      <c r="P25" s="19">
        <v>0</v>
      </c>
      <c r="Q25" s="17" t="s">
        <v>54</v>
      </c>
      <c r="R25" s="19">
        <f t="shared" ref="R25:R26" si="4">I25+J25+K25+P25+O25</f>
        <v>17</v>
      </c>
      <c r="S25" s="93"/>
      <c r="T25" s="18"/>
    </row>
    <row r="26" spans="1:22" ht="23.25" x14ac:dyDescent="0.25">
      <c r="A26" s="1" t="s">
        <v>365</v>
      </c>
      <c r="B26" s="50" t="s">
        <v>195</v>
      </c>
      <c r="C26" s="8" t="s">
        <v>343</v>
      </c>
      <c r="D26" s="1">
        <v>4</v>
      </c>
      <c r="E26" s="1">
        <v>1</v>
      </c>
      <c r="F26" s="1">
        <v>11</v>
      </c>
      <c r="G26" s="51" t="s">
        <v>17</v>
      </c>
      <c r="H26" s="51">
        <v>2</v>
      </c>
      <c r="I26" s="51">
        <v>4</v>
      </c>
      <c r="J26" s="51">
        <v>4</v>
      </c>
      <c r="K26" s="51">
        <v>0</v>
      </c>
      <c r="L26" s="1" t="str">
        <f t="shared" si="1"/>
        <v>Винник Л.И.</v>
      </c>
      <c r="M26" s="1" t="s">
        <v>225</v>
      </c>
      <c r="N26" s="19" t="s">
        <v>224</v>
      </c>
      <c r="O26" s="19">
        <v>3.3</v>
      </c>
      <c r="P26" s="19">
        <v>0</v>
      </c>
      <c r="Q26" s="17" t="s">
        <v>77</v>
      </c>
      <c r="R26" s="19">
        <f t="shared" si="4"/>
        <v>11.3</v>
      </c>
      <c r="S26" s="93"/>
      <c r="T26" s="18"/>
    </row>
    <row r="27" spans="1:22" ht="22.35" customHeight="1" x14ac:dyDescent="0.25">
      <c r="A27" s="1" t="s">
        <v>42</v>
      </c>
      <c r="B27" s="50" t="s">
        <v>195</v>
      </c>
      <c r="C27" s="8" t="s">
        <v>343</v>
      </c>
      <c r="D27" s="1">
        <v>4</v>
      </c>
      <c r="E27" s="1">
        <v>1</v>
      </c>
      <c r="F27" s="1">
        <v>11</v>
      </c>
      <c r="G27" s="51" t="s">
        <v>17</v>
      </c>
      <c r="H27" s="51">
        <v>5</v>
      </c>
      <c r="I27" s="51">
        <v>8</v>
      </c>
      <c r="J27" s="51">
        <v>8</v>
      </c>
      <c r="K27" s="51">
        <v>0</v>
      </c>
      <c r="L27" s="1" t="str">
        <f t="shared" si="1"/>
        <v>Корнышев Н.П.</v>
      </c>
      <c r="M27" s="1" t="s">
        <v>225</v>
      </c>
      <c r="N27" s="19" t="s">
        <v>224</v>
      </c>
      <c r="O27" s="19">
        <v>8.3000000000000007</v>
      </c>
      <c r="P27" s="19">
        <v>5.5</v>
      </c>
      <c r="Q27" s="17" t="s">
        <v>105</v>
      </c>
      <c r="R27" s="19">
        <f t="shared" si="3"/>
        <v>29.8</v>
      </c>
      <c r="S27" s="18"/>
      <c r="T27" s="18"/>
    </row>
    <row r="28" spans="1:22" ht="38.1" customHeight="1" x14ac:dyDescent="0.25">
      <c r="A28" s="1" t="s">
        <v>192</v>
      </c>
      <c r="B28" s="50" t="s">
        <v>195</v>
      </c>
      <c r="C28" s="8" t="s">
        <v>343</v>
      </c>
      <c r="D28" s="1">
        <v>4</v>
      </c>
      <c r="E28" s="1">
        <v>1</v>
      </c>
      <c r="F28" s="1">
        <v>11</v>
      </c>
      <c r="G28" s="51"/>
      <c r="H28" s="51">
        <v>0</v>
      </c>
      <c r="I28" s="51">
        <v>2</v>
      </c>
      <c r="J28" s="51">
        <v>0</v>
      </c>
      <c r="K28" s="51">
        <v>0</v>
      </c>
      <c r="L28" s="1" t="str">
        <f t="shared" si="1"/>
        <v>Соколова Г.Ю.</v>
      </c>
      <c r="M28" s="1">
        <v>3300</v>
      </c>
      <c r="N28" s="1" t="s">
        <v>223</v>
      </c>
      <c r="O28" s="1">
        <v>0</v>
      </c>
      <c r="P28" s="1">
        <v>0</v>
      </c>
      <c r="Q28" s="17" t="s">
        <v>74</v>
      </c>
      <c r="R28" s="19">
        <v>0</v>
      </c>
      <c r="S28" s="18"/>
      <c r="T28" s="18"/>
    </row>
    <row r="29" spans="1:22" ht="23.25" x14ac:dyDescent="0.25">
      <c r="A29" s="1" t="s">
        <v>44</v>
      </c>
      <c r="B29" s="50" t="s">
        <v>195</v>
      </c>
      <c r="C29" s="1" t="s">
        <v>396</v>
      </c>
      <c r="D29" s="1">
        <v>5</v>
      </c>
      <c r="E29" s="1">
        <v>1</v>
      </c>
      <c r="F29" s="1">
        <v>15</v>
      </c>
      <c r="G29" s="86" t="s">
        <v>25</v>
      </c>
      <c r="H29" s="86">
        <v>12</v>
      </c>
      <c r="I29" s="86">
        <v>0</v>
      </c>
      <c r="J29" s="86">
        <v>2</v>
      </c>
      <c r="K29" s="86">
        <v>0</v>
      </c>
      <c r="L29" s="1" t="str">
        <f t="shared" si="1"/>
        <v>Соколова Г.Ю.Винник Л.И.</v>
      </c>
      <c r="O29" s="21">
        <v>61.2</v>
      </c>
      <c r="P29" s="21">
        <v>0</v>
      </c>
      <c r="Q29" s="17" t="s">
        <v>74</v>
      </c>
      <c r="R29" s="19">
        <f>I29+J29+K29+P29+O29-J29-T29</f>
        <v>44.2</v>
      </c>
      <c r="S29" s="17" t="s">
        <v>77</v>
      </c>
      <c r="T29" s="1">
        <v>17</v>
      </c>
    </row>
    <row r="30" spans="1:22" s="1" customFormat="1" ht="33.75" x14ac:dyDescent="0.25">
      <c r="A30" s="1" t="s">
        <v>216</v>
      </c>
      <c r="B30" s="1" t="s">
        <v>195</v>
      </c>
      <c r="C30" s="1" t="s">
        <v>396</v>
      </c>
      <c r="D30" s="1">
        <v>5</v>
      </c>
      <c r="E30" s="1">
        <v>1</v>
      </c>
      <c r="F30" s="1">
        <v>17</v>
      </c>
      <c r="G30" s="1" t="s">
        <v>25</v>
      </c>
      <c r="H30" s="1">
        <v>9</v>
      </c>
      <c r="I30" s="1">
        <v>0</v>
      </c>
      <c r="J30" s="1">
        <v>2</v>
      </c>
      <c r="K30" s="1">
        <v>0</v>
      </c>
      <c r="L30" s="1" t="str">
        <f t="shared" si="1"/>
        <v>Залилов Р.Ю.Соколова Г.Ю.Архипова Г.А.</v>
      </c>
      <c r="M30" s="1">
        <v>3300</v>
      </c>
      <c r="N30" s="1" t="s">
        <v>382</v>
      </c>
      <c r="O30" s="77">
        <v>173.4</v>
      </c>
      <c r="Q30" s="14" t="s">
        <v>186</v>
      </c>
      <c r="R30" s="1">
        <v>6</v>
      </c>
      <c r="S30" s="14" t="s">
        <v>74</v>
      </c>
      <c r="T30" s="1">
        <v>6.4</v>
      </c>
      <c r="U30" s="14" t="s">
        <v>75</v>
      </c>
      <c r="V30" s="1">
        <v>6</v>
      </c>
    </row>
    <row r="31" spans="1:22" s="1" customFormat="1" ht="33.75" x14ac:dyDescent="0.25">
      <c r="A31" s="1" t="s">
        <v>216</v>
      </c>
      <c r="B31" s="1" t="s">
        <v>195</v>
      </c>
      <c r="C31" s="1" t="s">
        <v>396</v>
      </c>
      <c r="D31" s="1">
        <v>5</v>
      </c>
      <c r="E31" s="1">
        <v>1</v>
      </c>
      <c r="F31" s="1">
        <v>17</v>
      </c>
      <c r="G31" s="1" t="s">
        <v>25</v>
      </c>
      <c r="H31" s="1">
        <v>9</v>
      </c>
      <c r="I31" s="1">
        <v>0</v>
      </c>
      <c r="J31" s="1">
        <v>2</v>
      </c>
      <c r="K31" s="1">
        <v>0</v>
      </c>
      <c r="L31" s="1" t="str">
        <f t="shared" si="1"/>
        <v>ЧленКомиссииЧленКомиссииЧленКомиссии</v>
      </c>
      <c r="M31" s="1">
        <v>3300</v>
      </c>
      <c r="N31" s="1" t="s">
        <v>383</v>
      </c>
      <c r="O31" s="1">
        <f>SUM(Q30:V35)</f>
        <v>173.4</v>
      </c>
      <c r="Q31" s="14" t="s">
        <v>385</v>
      </c>
      <c r="R31" s="1">
        <v>6</v>
      </c>
      <c r="S31" s="14" t="s">
        <v>385</v>
      </c>
      <c r="T31" s="1">
        <v>6</v>
      </c>
      <c r="U31" s="14" t="s">
        <v>385</v>
      </c>
      <c r="V31" s="1">
        <v>6</v>
      </c>
    </row>
    <row r="32" spans="1:22" s="1" customFormat="1" ht="56.25" x14ac:dyDescent="0.25">
      <c r="A32" s="1" t="s">
        <v>216</v>
      </c>
      <c r="B32" s="1" t="s">
        <v>195</v>
      </c>
      <c r="C32" s="1" t="s">
        <v>396</v>
      </c>
      <c r="D32" s="1">
        <v>5</v>
      </c>
      <c r="E32" s="1">
        <v>1</v>
      </c>
      <c r="F32" s="1">
        <v>17</v>
      </c>
      <c r="G32" s="1" t="s">
        <v>25</v>
      </c>
      <c r="H32" s="1">
        <v>9</v>
      </c>
      <c r="I32" s="1">
        <v>0</v>
      </c>
      <c r="J32" s="1">
        <v>2</v>
      </c>
      <c r="K32" s="1">
        <v>0</v>
      </c>
      <c r="L32" s="1" t="str">
        <f t="shared" si="1"/>
        <v>Соколова Г.Ю.</v>
      </c>
      <c r="M32" s="1">
        <v>3300</v>
      </c>
      <c r="N32" s="1" t="s">
        <v>388</v>
      </c>
      <c r="O32" s="1">
        <f>R32+T32+V32</f>
        <v>17</v>
      </c>
      <c r="Q32" s="14" t="s">
        <v>74</v>
      </c>
      <c r="R32" s="1">
        <v>17</v>
      </c>
      <c r="S32" s="14"/>
      <c r="U32" s="14"/>
    </row>
    <row r="33" spans="1:23" s="1" customFormat="1" ht="33.75" x14ac:dyDescent="0.25">
      <c r="A33" s="1" t="s">
        <v>216</v>
      </c>
      <c r="B33" s="1" t="s">
        <v>195</v>
      </c>
      <c r="C33" s="1" t="s">
        <v>396</v>
      </c>
      <c r="D33" s="1">
        <v>5</v>
      </c>
      <c r="E33" s="1">
        <v>1</v>
      </c>
      <c r="F33" s="1">
        <v>17</v>
      </c>
      <c r="G33" s="1" t="s">
        <v>25</v>
      </c>
      <c r="H33" s="1">
        <v>9</v>
      </c>
      <c r="I33" s="1">
        <v>0</v>
      </c>
      <c r="J33" s="1">
        <v>0</v>
      </c>
      <c r="K33" s="1">
        <v>0</v>
      </c>
      <c r="L33" s="1" t="str">
        <f t="shared" si="1"/>
        <v>Залилов Р.Ю.Соколова Г.Ю.Телина И.С.</v>
      </c>
      <c r="M33" s="1">
        <v>3300</v>
      </c>
      <c r="N33" s="1" t="s">
        <v>329</v>
      </c>
      <c r="O33" s="1">
        <f>R33+T33+V33</f>
        <v>48</v>
      </c>
      <c r="Q33" s="14" t="s">
        <v>186</v>
      </c>
      <c r="R33" s="1">
        <f>4*4</f>
        <v>16</v>
      </c>
      <c r="S33" s="14" t="s">
        <v>74</v>
      </c>
      <c r="T33" s="1">
        <f>4*4</f>
        <v>16</v>
      </c>
      <c r="U33" s="14" t="s">
        <v>79</v>
      </c>
      <c r="V33" s="1">
        <f>4*4</f>
        <v>16</v>
      </c>
      <c r="W33" s="1" t="s">
        <v>387</v>
      </c>
    </row>
    <row r="34" spans="1:23" s="1" customFormat="1" ht="33.75" x14ac:dyDescent="0.25">
      <c r="A34" s="1" t="s">
        <v>216</v>
      </c>
      <c r="B34" s="1" t="s">
        <v>195</v>
      </c>
      <c r="C34" s="1" t="s">
        <v>396</v>
      </c>
      <c r="D34" s="1">
        <v>5</v>
      </c>
      <c r="E34" s="1">
        <v>1</v>
      </c>
      <c r="F34" s="1">
        <v>17</v>
      </c>
      <c r="G34" s="1" t="s">
        <v>25</v>
      </c>
      <c r="H34" s="1">
        <v>9</v>
      </c>
      <c r="I34" s="1">
        <v>0</v>
      </c>
      <c r="J34" s="1">
        <v>0</v>
      </c>
      <c r="K34" s="1">
        <v>0</v>
      </c>
      <c r="L34" s="1" t="str">
        <f t="shared" si="1"/>
        <v>Моркин С.А.Эминов С.И.Сазонова Н.В.</v>
      </c>
      <c r="M34" s="1">
        <v>3300</v>
      </c>
      <c r="N34" s="1" t="s">
        <v>330</v>
      </c>
      <c r="O34" s="1">
        <f t="shared" ref="O34:O35" si="5">R34+T34+V34</f>
        <v>36</v>
      </c>
      <c r="Q34" s="14" t="s">
        <v>69</v>
      </c>
      <c r="R34" s="1">
        <f>4*3</f>
        <v>12</v>
      </c>
      <c r="S34" s="14" t="s">
        <v>68</v>
      </c>
      <c r="T34" s="1">
        <f>4*3</f>
        <v>12</v>
      </c>
      <c r="U34" s="14" t="s">
        <v>325</v>
      </c>
      <c r="V34" s="1">
        <f>4*3</f>
        <v>12</v>
      </c>
      <c r="W34" s="1" t="s">
        <v>387</v>
      </c>
    </row>
    <row r="35" spans="1:23" s="1" customFormat="1" ht="33.75" x14ac:dyDescent="0.25">
      <c r="A35" s="1" t="s">
        <v>216</v>
      </c>
      <c r="B35" s="1" t="s">
        <v>195</v>
      </c>
      <c r="C35" s="1" t="s">
        <v>396</v>
      </c>
      <c r="D35" s="1">
        <v>5</v>
      </c>
      <c r="E35" s="1">
        <v>1</v>
      </c>
      <c r="F35" s="1">
        <v>17</v>
      </c>
      <c r="G35" s="1" t="s">
        <v>25</v>
      </c>
      <c r="H35" s="1">
        <v>9</v>
      </c>
      <c r="I35" s="1">
        <v>0</v>
      </c>
      <c r="J35" s="1">
        <v>0</v>
      </c>
      <c r="K35" s="1">
        <v>0</v>
      </c>
      <c r="L35" s="1" t="str">
        <f t="shared" ref="L35" si="6">CONCATENATE(Q35,"",S35,"",U35)</f>
        <v>Цымбалюк Л.Н.Михайлов Д.В.</v>
      </c>
      <c r="M35" s="1">
        <v>3300</v>
      </c>
      <c r="N35" s="1" t="s">
        <v>330</v>
      </c>
      <c r="O35" s="1">
        <f t="shared" si="5"/>
        <v>36</v>
      </c>
      <c r="Q35" s="14" t="s">
        <v>78</v>
      </c>
      <c r="R35" s="1">
        <f>4*3</f>
        <v>12</v>
      </c>
      <c r="S35" s="14" t="s">
        <v>70</v>
      </c>
      <c r="T35" s="1">
        <f>4*3</f>
        <v>12</v>
      </c>
      <c r="V35" s="1">
        <f>4*3</f>
        <v>12</v>
      </c>
      <c r="W35" s="1" t="s">
        <v>387</v>
      </c>
    </row>
  </sheetData>
  <autoFilter ref="A1:M30" xr:uid="{33138B3D-4F68-4B2D-91FE-823DBB7E30E1}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B642F-CD17-4E44-8AED-0FB2C2287FDC}">
  <sheetPr codeName="Лист15">
    <pageSetUpPr fitToPage="1"/>
  </sheetPr>
  <dimension ref="A1:X32"/>
  <sheetViews>
    <sheetView view="pageBreakPreview" zoomScale="115" zoomScaleNormal="100" zoomScaleSheetLayoutView="115" workbookViewId="0">
      <pane xSplit="1" ySplit="1" topLeftCell="B5" activePane="bottomRight" state="frozenSplit"/>
      <selection activeCell="D26" sqref="D26"/>
      <selection pane="topRight" activeCell="D26" sqref="D26"/>
      <selection pane="bottomLeft" activeCell="D26" sqref="D26"/>
      <selection pane="bottomRight" activeCell="L6" sqref="L6"/>
    </sheetView>
  </sheetViews>
  <sheetFormatPr defaultColWidth="8.85546875" defaultRowHeight="15" x14ac:dyDescent="0.25"/>
  <cols>
    <col min="1" max="1" width="21.5703125" style="3" customWidth="1"/>
    <col min="2" max="2" width="11.42578125" style="3" customWidth="1"/>
    <col min="3" max="3" width="7.5703125" style="3" bestFit="1" customWidth="1"/>
    <col min="4" max="4" width="3.5703125" style="3" bestFit="1" customWidth="1"/>
    <col min="5" max="5" width="7.42578125" style="3" bestFit="1" customWidth="1"/>
    <col min="6" max="6" width="6.5703125" style="3" bestFit="1" customWidth="1"/>
    <col min="7" max="7" width="4.42578125" style="3" customWidth="1"/>
    <col min="8" max="8" width="4" style="3" bestFit="1" customWidth="1"/>
    <col min="9" max="9" width="3.42578125" style="3" bestFit="1" customWidth="1"/>
    <col min="10" max="10" width="4.5703125" style="3" customWidth="1"/>
    <col min="11" max="11" width="4.42578125" style="3" customWidth="1"/>
    <col min="12" max="12" width="17.42578125" style="3" customWidth="1"/>
    <col min="13" max="13" width="14.5703125" style="3" customWidth="1"/>
    <col min="14" max="14" width="10.42578125" style="21" customWidth="1"/>
    <col min="15" max="15" width="7.42578125" style="21" customWidth="1"/>
    <col min="16" max="16" width="4.42578125" style="21" customWidth="1"/>
    <col min="17" max="17" width="8.42578125" style="3" customWidth="1"/>
    <col min="18" max="18" width="5.5703125" style="3" customWidth="1"/>
    <col min="19" max="19" width="8.42578125" style="3" customWidth="1"/>
    <col min="20" max="20" width="5.5703125" style="3" customWidth="1"/>
    <col min="21" max="21" width="11.5703125" style="3" customWidth="1"/>
    <col min="22" max="22" width="2.140625" style="3" bestFit="1" customWidth="1"/>
    <col min="23" max="23" width="4.85546875" style="3" customWidth="1"/>
    <col min="24" max="16384" width="8.85546875" style="3"/>
  </cols>
  <sheetData>
    <row r="1" spans="1:21" s="7" customFormat="1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180</v>
      </c>
      <c r="O1" s="1" t="s">
        <v>210</v>
      </c>
      <c r="P1" s="1" t="s">
        <v>209</v>
      </c>
      <c r="Q1" s="1" t="s">
        <v>177</v>
      </c>
      <c r="R1" s="1" t="s">
        <v>178</v>
      </c>
      <c r="S1" s="1" t="s">
        <v>177</v>
      </c>
      <c r="T1" s="1" t="s">
        <v>178</v>
      </c>
    </row>
    <row r="2" spans="1:21" s="7" customFormat="1" ht="5.8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7">
        <f t="shared" ref="Q2" si="0">L2</f>
        <v>0</v>
      </c>
      <c r="R2" s="19">
        <f>I2+J2+K2+P2+O2</f>
        <v>0</v>
      </c>
      <c r="S2" s="1"/>
      <c r="T2" s="1"/>
    </row>
    <row r="3" spans="1:21" s="7" customFormat="1" ht="5.8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7">
        <f t="shared" ref="Q3" si="1">L3</f>
        <v>0</v>
      </c>
      <c r="R3" s="19">
        <f>I3+J3+K3+P3+O3</f>
        <v>0</v>
      </c>
      <c r="S3" s="1"/>
      <c r="T3" s="1"/>
    </row>
    <row r="4" spans="1:21" s="1" customFormat="1" ht="33.75" x14ac:dyDescent="0.2">
      <c r="A4" s="6" t="s">
        <v>208</v>
      </c>
      <c r="B4" s="1" t="s">
        <v>48</v>
      </c>
      <c r="C4" s="1" t="s">
        <v>321</v>
      </c>
      <c r="D4" s="1">
        <v>3</v>
      </c>
      <c r="E4" s="1">
        <v>1</v>
      </c>
      <c r="F4" s="1">
        <v>13</v>
      </c>
      <c r="G4" s="1" t="s">
        <v>17</v>
      </c>
      <c r="I4" s="1">
        <v>2</v>
      </c>
      <c r="J4" s="1">
        <v>0</v>
      </c>
      <c r="L4" s="1" t="str">
        <f t="shared" ref="L4:L31" si="2">CONCATENATE(Q4,"",S4,"",U4)</f>
        <v>Макевич П.В.</v>
      </c>
      <c r="M4" s="74"/>
      <c r="N4" s="1" t="s">
        <v>224</v>
      </c>
      <c r="Q4" s="17" t="s">
        <v>54</v>
      </c>
      <c r="R4" s="19">
        <v>0</v>
      </c>
      <c r="U4" s="16"/>
    </row>
    <row r="5" spans="1:21" s="1" customFormat="1" ht="22.5" x14ac:dyDescent="0.2">
      <c r="A5" s="1" t="s">
        <v>131</v>
      </c>
      <c r="B5" s="1" t="s">
        <v>48</v>
      </c>
      <c r="C5" s="1" t="s">
        <v>321</v>
      </c>
      <c r="D5" s="1">
        <v>3</v>
      </c>
      <c r="E5" s="1">
        <v>1</v>
      </c>
      <c r="F5" s="1">
        <v>13</v>
      </c>
      <c r="G5" s="1" t="s">
        <v>17</v>
      </c>
      <c r="H5" s="1">
        <v>5</v>
      </c>
      <c r="I5" s="1">
        <v>8</v>
      </c>
      <c r="J5" s="1">
        <v>0</v>
      </c>
      <c r="K5" s="1">
        <v>8</v>
      </c>
      <c r="L5" s="1" t="str">
        <f t="shared" si="2"/>
        <v>Эминов С.И.</v>
      </c>
      <c r="M5" s="74"/>
      <c r="N5" s="1" t="s">
        <v>224</v>
      </c>
      <c r="O5" s="1">
        <v>9.8000000000000007</v>
      </c>
      <c r="P5" s="1">
        <v>6.5</v>
      </c>
      <c r="Q5" s="17" t="s">
        <v>68</v>
      </c>
      <c r="R5" s="19">
        <f>I5+J5+K5+O5+P5</f>
        <v>32.299999999999997</v>
      </c>
      <c r="U5" s="16"/>
    </row>
    <row r="6" spans="1:21" s="1" customFormat="1" ht="33.75" x14ac:dyDescent="0.2">
      <c r="A6" s="1" t="s">
        <v>132</v>
      </c>
      <c r="B6" s="1" t="s">
        <v>48</v>
      </c>
      <c r="C6" s="1" t="s">
        <v>321</v>
      </c>
      <c r="D6" s="1">
        <v>3</v>
      </c>
      <c r="E6" s="1">
        <v>1</v>
      </c>
      <c r="F6" s="1">
        <v>13</v>
      </c>
      <c r="G6" s="1" t="s">
        <v>17</v>
      </c>
      <c r="H6" s="1">
        <v>6</v>
      </c>
      <c r="I6" s="1">
        <v>10</v>
      </c>
      <c r="J6" s="1">
        <v>0</v>
      </c>
      <c r="K6" s="1">
        <v>10</v>
      </c>
      <c r="L6" s="1" t="str">
        <f t="shared" si="2"/>
        <v>Телина И.С.</v>
      </c>
      <c r="M6" s="74"/>
      <c r="N6" s="1" t="s">
        <v>224</v>
      </c>
      <c r="O6" s="1">
        <v>11.7</v>
      </c>
      <c r="P6" s="1">
        <v>7.8</v>
      </c>
      <c r="Q6" s="17" t="s">
        <v>79</v>
      </c>
      <c r="R6" s="19">
        <f t="shared" ref="R6:R9" si="3">I6+J6+K6+O6+P6</f>
        <v>39.5</v>
      </c>
      <c r="U6" s="16"/>
    </row>
    <row r="7" spans="1:21" s="1" customFormat="1" ht="33.75" x14ac:dyDescent="0.2">
      <c r="A7" s="1" t="s">
        <v>132</v>
      </c>
      <c r="B7" s="1" t="s">
        <v>48</v>
      </c>
      <c r="C7" s="1" t="s">
        <v>321</v>
      </c>
      <c r="D7" s="1">
        <v>3</v>
      </c>
      <c r="E7" s="1">
        <v>1</v>
      </c>
      <c r="F7" s="1">
        <v>13</v>
      </c>
      <c r="G7" s="1" t="s">
        <v>123</v>
      </c>
      <c r="H7" s="1">
        <v>1</v>
      </c>
      <c r="I7" s="1">
        <v>0</v>
      </c>
      <c r="J7" s="1">
        <v>0</v>
      </c>
      <c r="K7" s="1">
        <v>0</v>
      </c>
      <c r="L7" s="1" t="str">
        <f t="shared" si="2"/>
        <v>Телина И.С.</v>
      </c>
      <c r="M7" s="74"/>
      <c r="N7" s="1" t="s">
        <v>224</v>
      </c>
      <c r="O7" s="1">
        <v>19.5</v>
      </c>
      <c r="P7" s="1">
        <v>0</v>
      </c>
      <c r="Q7" s="17" t="s">
        <v>79</v>
      </c>
      <c r="R7" s="19">
        <f t="shared" si="3"/>
        <v>19.5</v>
      </c>
      <c r="U7" s="16"/>
    </row>
    <row r="8" spans="1:21" s="1" customFormat="1" ht="33.75" x14ac:dyDescent="0.2">
      <c r="A8" s="1" t="s">
        <v>133</v>
      </c>
      <c r="B8" s="1" t="s">
        <v>48</v>
      </c>
      <c r="C8" s="1" t="s">
        <v>321</v>
      </c>
      <c r="D8" s="1">
        <v>3</v>
      </c>
      <c r="E8" s="1">
        <v>1</v>
      </c>
      <c r="F8" s="1">
        <v>13</v>
      </c>
      <c r="G8" s="1" t="s">
        <v>19</v>
      </c>
      <c r="H8" s="1">
        <v>3</v>
      </c>
      <c r="I8" s="1">
        <v>6</v>
      </c>
      <c r="J8" s="1">
        <v>0</v>
      </c>
      <c r="K8" s="1">
        <v>6</v>
      </c>
      <c r="L8" s="1" t="str">
        <f t="shared" si="2"/>
        <v>Михайлов Д.В.</v>
      </c>
      <c r="M8" s="74"/>
      <c r="N8" s="1" t="s">
        <v>224</v>
      </c>
      <c r="O8" s="1">
        <v>5.9</v>
      </c>
      <c r="P8" s="1">
        <v>0</v>
      </c>
      <c r="Q8" s="17" t="s">
        <v>70</v>
      </c>
      <c r="R8" s="19">
        <f t="shared" si="3"/>
        <v>17.899999999999999</v>
      </c>
      <c r="U8" s="16"/>
    </row>
    <row r="9" spans="1:21" s="1" customFormat="1" ht="22.5" x14ac:dyDescent="0.2">
      <c r="A9" s="1" t="s">
        <v>121</v>
      </c>
      <c r="B9" s="1" t="s">
        <v>48</v>
      </c>
      <c r="C9" s="1" t="s">
        <v>321</v>
      </c>
      <c r="D9" s="1">
        <v>3</v>
      </c>
      <c r="E9" s="1">
        <v>1</v>
      </c>
      <c r="F9" s="1">
        <v>13</v>
      </c>
      <c r="G9" s="1" t="s">
        <v>19</v>
      </c>
      <c r="H9" s="1">
        <v>4</v>
      </c>
      <c r="I9" s="1">
        <v>6</v>
      </c>
      <c r="J9" s="1">
        <v>0</v>
      </c>
      <c r="K9" s="1">
        <v>10</v>
      </c>
      <c r="L9" s="1" t="str">
        <f t="shared" si="2"/>
        <v>Попов В.С.</v>
      </c>
      <c r="M9" s="74"/>
      <c r="N9" s="1" t="s">
        <v>224</v>
      </c>
      <c r="O9" s="1">
        <v>7.8</v>
      </c>
      <c r="P9" s="1">
        <v>0</v>
      </c>
      <c r="Q9" s="17" t="s">
        <v>327</v>
      </c>
      <c r="R9" s="19">
        <f t="shared" si="3"/>
        <v>23.8</v>
      </c>
      <c r="U9" s="16"/>
    </row>
    <row r="10" spans="1:21" s="1" customFormat="1" ht="22.5" x14ac:dyDescent="0.2">
      <c r="A10" s="1" t="s">
        <v>134</v>
      </c>
      <c r="B10" s="1" t="s">
        <v>48</v>
      </c>
      <c r="C10" s="1" t="s">
        <v>321</v>
      </c>
      <c r="D10" s="1">
        <v>3</v>
      </c>
      <c r="E10" s="1">
        <v>1</v>
      </c>
      <c r="F10" s="1">
        <v>13</v>
      </c>
      <c r="G10" s="1" t="s">
        <v>17</v>
      </c>
      <c r="H10" s="1">
        <v>0</v>
      </c>
      <c r="I10" s="1">
        <v>1</v>
      </c>
      <c r="J10" s="1">
        <v>0</v>
      </c>
      <c r="K10" s="1">
        <v>0</v>
      </c>
      <c r="L10" s="1" t="str">
        <f t="shared" si="2"/>
        <v>Цымбалюк Л.Н.</v>
      </c>
      <c r="M10" s="74"/>
      <c r="N10" s="1" t="s">
        <v>223</v>
      </c>
      <c r="O10" s="1">
        <v>0</v>
      </c>
      <c r="P10" s="1">
        <v>0</v>
      </c>
      <c r="Q10" s="17" t="s">
        <v>78</v>
      </c>
      <c r="R10" s="19">
        <v>0</v>
      </c>
      <c r="U10" s="16"/>
    </row>
    <row r="11" spans="1:21" s="1" customFormat="1" ht="33" customHeight="1" x14ac:dyDescent="0.25">
      <c r="A11" s="1" t="s">
        <v>135</v>
      </c>
      <c r="B11" s="1" t="s">
        <v>48</v>
      </c>
      <c r="C11" s="1" t="s">
        <v>321</v>
      </c>
      <c r="D11" s="1">
        <v>3</v>
      </c>
      <c r="E11" s="1">
        <v>1</v>
      </c>
      <c r="F11" s="1">
        <v>13</v>
      </c>
      <c r="G11" s="1" t="s">
        <v>19</v>
      </c>
      <c r="H11" s="1">
        <v>0</v>
      </c>
      <c r="I11" s="1">
        <v>1</v>
      </c>
      <c r="J11" s="1">
        <v>0</v>
      </c>
      <c r="K11" s="1">
        <v>0</v>
      </c>
      <c r="L11" s="1" t="str">
        <f t="shared" si="2"/>
        <v>Яковлев Н.С.</v>
      </c>
      <c r="M11" s="74"/>
      <c r="N11" s="1" t="s">
        <v>223</v>
      </c>
      <c r="O11" s="1">
        <v>0</v>
      </c>
      <c r="P11" s="1">
        <v>0</v>
      </c>
      <c r="Q11" s="109" t="s">
        <v>409</v>
      </c>
      <c r="R11" s="19"/>
      <c r="U11" s="16"/>
    </row>
    <row r="12" spans="1:21" s="1" customFormat="1" ht="33" customHeight="1" x14ac:dyDescent="0.2">
      <c r="A12" s="1" t="s">
        <v>136</v>
      </c>
      <c r="B12" s="1" t="s">
        <v>48</v>
      </c>
      <c r="C12" s="1" t="s">
        <v>321</v>
      </c>
      <c r="D12" s="1">
        <v>3</v>
      </c>
      <c r="E12" s="1">
        <v>1</v>
      </c>
      <c r="F12" s="1">
        <v>13</v>
      </c>
      <c r="G12" s="1" t="s">
        <v>19</v>
      </c>
      <c r="H12" s="1">
        <v>0</v>
      </c>
      <c r="I12" s="1">
        <v>1</v>
      </c>
      <c r="J12" s="1">
        <v>0</v>
      </c>
      <c r="K12" s="1">
        <v>0</v>
      </c>
      <c r="L12" s="1" t="str">
        <f t="shared" si="2"/>
        <v>Телина И.С.</v>
      </c>
      <c r="M12" s="74"/>
      <c r="N12" s="1" t="s">
        <v>223</v>
      </c>
      <c r="O12" s="1">
        <v>0</v>
      </c>
      <c r="P12" s="1">
        <v>0</v>
      </c>
      <c r="Q12" s="17" t="s">
        <v>79</v>
      </c>
      <c r="R12" s="19">
        <v>0</v>
      </c>
      <c r="U12" s="16"/>
    </row>
    <row r="13" spans="1:21" s="1" customFormat="1" ht="33" customHeight="1" x14ac:dyDescent="0.2">
      <c r="A13" s="1" t="s">
        <v>204</v>
      </c>
      <c r="B13" s="1" t="s">
        <v>48</v>
      </c>
      <c r="C13" s="1" t="s">
        <v>321</v>
      </c>
      <c r="D13" s="1">
        <v>3</v>
      </c>
      <c r="E13" s="1">
        <v>1</v>
      </c>
      <c r="F13" s="1">
        <v>13</v>
      </c>
      <c r="G13" s="1" t="s">
        <v>19</v>
      </c>
      <c r="H13" s="1">
        <v>0</v>
      </c>
      <c r="I13" s="1">
        <v>1</v>
      </c>
      <c r="J13" s="1">
        <v>0</v>
      </c>
      <c r="K13" s="1">
        <v>0</v>
      </c>
      <c r="L13" s="1" t="str">
        <f t="shared" si="2"/>
        <v>Фуфин М.Н.</v>
      </c>
      <c r="M13" s="74"/>
      <c r="N13" s="1" t="s">
        <v>223</v>
      </c>
      <c r="O13" s="1">
        <v>0</v>
      </c>
      <c r="P13" s="1">
        <v>0</v>
      </c>
      <c r="Q13" s="17" t="s">
        <v>113</v>
      </c>
      <c r="R13" s="19">
        <v>0</v>
      </c>
      <c r="U13" s="16"/>
    </row>
    <row r="14" spans="1:21" ht="23.25" x14ac:dyDescent="0.25">
      <c r="A14" s="1" t="s">
        <v>189</v>
      </c>
      <c r="B14" s="1" t="s">
        <v>48</v>
      </c>
      <c r="C14" s="1" t="s">
        <v>321</v>
      </c>
      <c r="D14" s="1">
        <v>3</v>
      </c>
      <c r="E14" s="1">
        <v>1</v>
      </c>
      <c r="F14" s="1">
        <v>13</v>
      </c>
      <c r="G14" s="1" t="s">
        <v>25</v>
      </c>
      <c r="H14" s="1">
        <v>3</v>
      </c>
      <c r="I14" s="1">
        <v>0</v>
      </c>
      <c r="J14" s="1">
        <v>2</v>
      </c>
      <c r="K14" s="1">
        <v>0</v>
      </c>
      <c r="L14" s="1" t="str">
        <f t="shared" si="2"/>
        <v>Кулаков И.Ю.Архипова Г.А.</v>
      </c>
      <c r="M14" s="74"/>
      <c r="N14" s="19"/>
      <c r="O14" s="19">
        <v>11.7</v>
      </c>
      <c r="P14" s="19">
        <v>0</v>
      </c>
      <c r="Q14" s="17" t="s">
        <v>81</v>
      </c>
      <c r="R14" s="19">
        <v>9.6999999999999993</v>
      </c>
      <c r="S14" s="17" t="s">
        <v>75</v>
      </c>
      <c r="T14" s="19">
        <v>2</v>
      </c>
    </row>
    <row r="15" spans="1:21" ht="23.25" x14ac:dyDescent="0.25">
      <c r="A15" s="1" t="s">
        <v>190</v>
      </c>
      <c r="B15" s="1" t="s">
        <v>48</v>
      </c>
      <c r="C15" s="1" t="s">
        <v>321</v>
      </c>
      <c r="D15" s="1">
        <v>3</v>
      </c>
      <c r="E15" s="1">
        <v>1</v>
      </c>
      <c r="F15" s="1">
        <v>13</v>
      </c>
      <c r="G15" s="1"/>
      <c r="H15" s="1"/>
      <c r="I15" s="1">
        <v>0</v>
      </c>
      <c r="J15" s="1">
        <v>1</v>
      </c>
      <c r="K15" s="1">
        <v>0</v>
      </c>
      <c r="L15" s="1" t="str">
        <f t="shared" si="2"/>
        <v>Кулаков И.Ю.</v>
      </c>
      <c r="M15" s="1"/>
      <c r="N15" s="1" t="s">
        <v>223</v>
      </c>
      <c r="O15" s="1">
        <v>0</v>
      </c>
      <c r="P15" s="1">
        <v>0</v>
      </c>
      <c r="Q15" s="17" t="s">
        <v>81</v>
      </c>
      <c r="R15" s="19">
        <v>0</v>
      </c>
      <c r="S15" s="18"/>
      <c r="T15" s="18"/>
    </row>
    <row r="16" spans="1:21" s="1" customFormat="1" ht="33.75" x14ac:dyDescent="0.2">
      <c r="A16" s="1" t="s">
        <v>231</v>
      </c>
      <c r="B16" s="1" t="s">
        <v>48</v>
      </c>
      <c r="C16" s="1" t="s">
        <v>321</v>
      </c>
      <c r="D16" s="1">
        <v>3</v>
      </c>
      <c r="E16" s="1">
        <v>1</v>
      </c>
      <c r="F16" s="1">
        <v>13</v>
      </c>
      <c r="G16" s="1" t="s">
        <v>17</v>
      </c>
      <c r="H16" s="1">
        <v>0</v>
      </c>
      <c r="I16" s="1">
        <v>2</v>
      </c>
      <c r="J16" s="1">
        <v>0</v>
      </c>
      <c r="K16" s="1">
        <v>0</v>
      </c>
      <c r="L16" s="1" t="str">
        <f t="shared" si="2"/>
        <v>Макевич П.В.</v>
      </c>
      <c r="M16" s="74"/>
      <c r="N16" s="1" t="s">
        <v>228</v>
      </c>
      <c r="O16" s="1">
        <v>0</v>
      </c>
      <c r="P16" s="1">
        <v>0</v>
      </c>
      <c r="Q16" s="17" t="s">
        <v>54</v>
      </c>
      <c r="R16" s="19">
        <v>0</v>
      </c>
      <c r="U16" s="16"/>
    </row>
    <row r="17" spans="1:24" s="7" customFormat="1" ht="5.85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 t="str">
        <f t="shared" si="2"/>
        <v/>
      </c>
      <c r="M17" s="1"/>
      <c r="N17" s="1"/>
      <c r="O17" s="1"/>
      <c r="P17" s="1"/>
      <c r="Q17" s="17"/>
      <c r="R17" s="19">
        <f t="shared" ref="R17" si="4">I17+J17+K17+P17+O17</f>
        <v>0</v>
      </c>
      <c r="S17" s="1"/>
      <c r="T17" s="1"/>
    </row>
    <row r="18" spans="1:24" ht="33.75" x14ac:dyDescent="0.25">
      <c r="A18" s="6" t="s">
        <v>208</v>
      </c>
      <c r="B18" s="1" t="s">
        <v>48</v>
      </c>
      <c r="C18" s="1" t="s">
        <v>321</v>
      </c>
      <c r="D18" s="1">
        <v>4</v>
      </c>
      <c r="E18" s="1">
        <v>1</v>
      </c>
      <c r="F18" s="1">
        <v>13</v>
      </c>
      <c r="G18" s="102" t="s">
        <v>17</v>
      </c>
      <c r="H18" s="102">
        <v>4</v>
      </c>
      <c r="I18" s="102">
        <v>10</v>
      </c>
      <c r="J18" s="102">
        <v>0</v>
      </c>
      <c r="K18" s="102">
        <v>10</v>
      </c>
      <c r="L18" s="1" t="str">
        <f t="shared" si="2"/>
        <v>Макевич П.В.</v>
      </c>
      <c r="M18" s="74"/>
      <c r="N18" s="19" t="s">
        <v>224</v>
      </c>
      <c r="O18" s="19">
        <v>11.7</v>
      </c>
      <c r="P18" s="19">
        <v>7.8</v>
      </c>
      <c r="Q18" s="17" t="s">
        <v>54</v>
      </c>
      <c r="R18" s="19">
        <f>I18+J18+K18+O18+P18</f>
        <v>39.5</v>
      </c>
      <c r="S18" s="18"/>
      <c r="T18" s="18"/>
    </row>
    <row r="19" spans="1:24" ht="33.75" x14ac:dyDescent="0.25">
      <c r="A19" s="6" t="s">
        <v>208</v>
      </c>
      <c r="B19" s="1" t="s">
        <v>48</v>
      </c>
      <c r="C19" s="1" t="s">
        <v>321</v>
      </c>
      <c r="D19" s="1">
        <v>4</v>
      </c>
      <c r="E19" s="1">
        <v>1</v>
      </c>
      <c r="F19" s="1">
        <v>13</v>
      </c>
      <c r="G19" s="102" t="s">
        <v>123</v>
      </c>
      <c r="H19" s="102">
        <v>1</v>
      </c>
      <c r="I19" s="102"/>
      <c r="J19" s="102"/>
      <c r="K19" s="102"/>
      <c r="L19" s="1" t="str">
        <f t="shared" si="2"/>
        <v>Макевич П.В.</v>
      </c>
      <c r="M19" s="74"/>
      <c r="N19" s="19" t="s">
        <v>120</v>
      </c>
      <c r="O19" s="19">
        <v>19.5</v>
      </c>
      <c r="P19" s="19">
        <v>0</v>
      </c>
      <c r="Q19" s="17" t="s">
        <v>54</v>
      </c>
      <c r="R19" s="19">
        <f t="shared" ref="R19:R24" si="5">I19+J19+K19+O19+P19</f>
        <v>19.5</v>
      </c>
      <c r="S19" s="18"/>
      <c r="T19" s="18"/>
    </row>
    <row r="20" spans="1:24" ht="23.25" x14ac:dyDescent="0.25">
      <c r="A20" s="1" t="s">
        <v>122</v>
      </c>
      <c r="B20" s="1" t="s">
        <v>48</v>
      </c>
      <c r="C20" s="1" t="s">
        <v>321</v>
      </c>
      <c r="D20" s="1">
        <v>4</v>
      </c>
      <c r="E20" s="1">
        <v>1</v>
      </c>
      <c r="F20" s="1">
        <v>13</v>
      </c>
      <c r="G20" s="1" t="s">
        <v>123</v>
      </c>
      <c r="H20" s="102">
        <v>1</v>
      </c>
      <c r="I20" s="102">
        <v>0</v>
      </c>
      <c r="J20" s="102">
        <v>0</v>
      </c>
      <c r="K20" s="102">
        <v>0</v>
      </c>
      <c r="L20" s="1" t="str">
        <f t="shared" si="2"/>
        <v>Цымбалюк Л.Н.</v>
      </c>
      <c r="M20" s="74"/>
      <c r="N20" s="19" t="s">
        <v>120</v>
      </c>
      <c r="O20" s="19">
        <v>19.5</v>
      </c>
      <c r="P20" s="19">
        <v>0</v>
      </c>
      <c r="Q20" s="17" t="s">
        <v>78</v>
      </c>
      <c r="R20" s="19">
        <f t="shared" si="5"/>
        <v>19.5</v>
      </c>
      <c r="S20" s="18"/>
      <c r="T20" s="18"/>
    </row>
    <row r="21" spans="1:24" ht="23.25" x14ac:dyDescent="0.25">
      <c r="A21" s="1" t="s">
        <v>122</v>
      </c>
      <c r="B21" s="1" t="s">
        <v>48</v>
      </c>
      <c r="C21" s="1" t="s">
        <v>321</v>
      </c>
      <c r="D21" s="1">
        <v>4</v>
      </c>
      <c r="E21" s="1">
        <v>1</v>
      </c>
      <c r="F21" s="1">
        <v>13</v>
      </c>
      <c r="G21" s="1" t="s">
        <v>19</v>
      </c>
      <c r="H21" s="102">
        <v>4</v>
      </c>
      <c r="I21" s="102">
        <v>6</v>
      </c>
      <c r="J21" s="102">
        <v>0</v>
      </c>
      <c r="K21" s="102">
        <v>10</v>
      </c>
      <c r="L21" s="1" t="str">
        <f t="shared" si="2"/>
        <v>Цымбалюк Л.Н.</v>
      </c>
      <c r="M21" s="74"/>
      <c r="N21" s="19" t="s">
        <v>224</v>
      </c>
      <c r="O21" s="19">
        <v>7.8</v>
      </c>
      <c r="P21" s="19">
        <v>0</v>
      </c>
      <c r="Q21" s="17" t="s">
        <v>78</v>
      </c>
      <c r="R21" s="19">
        <f t="shared" si="5"/>
        <v>23.8</v>
      </c>
      <c r="S21" s="18"/>
      <c r="T21" s="18"/>
    </row>
    <row r="22" spans="1:24" ht="33.75" x14ac:dyDescent="0.25">
      <c r="A22" s="1" t="s">
        <v>124</v>
      </c>
      <c r="B22" s="1" t="s">
        <v>48</v>
      </c>
      <c r="C22" s="1" t="s">
        <v>321</v>
      </c>
      <c r="D22" s="1">
        <v>4</v>
      </c>
      <c r="E22" s="1">
        <v>1</v>
      </c>
      <c r="F22" s="1">
        <v>13</v>
      </c>
      <c r="G22" s="1" t="s">
        <v>19</v>
      </c>
      <c r="H22" s="102">
        <v>4</v>
      </c>
      <c r="I22" s="102">
        <v>6</v>
      </c>
      <c r="J22" s="102">
        <v>0</v>
      </c>
      <c r="K22" s="102">
        <v>10</v>
      </c>
      <c r="L22" s="1" t="str">
        <f t="shared" si="2"/>
        <v>Телина И.С.</v>
      </c>
      <c r="M22" s="74"/>
      <c r="N22" s="19" t="s">
        <v>224</v>
      </c>
      <c r="O22" s="19">
        <v>7.8</v>
      </c>
      <c r="P22" s="19">
        <v>0</v>
      </c>
      <c r="Q22" s="17" t="s">
        <v>79</v>
      </c>
      <c r="R22" s="19">
        <f t="shared" si="5"/>
        <v>23.8</v>
      </c>
      <c r="S22" s="93"/>
      <c r="T22" s="18"/>
    </row>
    <row r="23" spans="1:24" ht="23.25" x14ac:dyDescent="0.25">
      <c r="A23" s="1" t="s">
        <v>125</v>
      </c>
      <c r="B23" s="1" t="s">
        <v>48</v>
      </c>
      <c r="C23" s="1" t="s">
        <v>321</v>
      </c>
      <c r="D23" s="1">
        <v>4</v>
      </c>
      <c r="E23" s="1">
        <v>1</v>
      </c>
      <c r="F23" s="1">
        <v>13</v>
      </c>
      <c r="G23" s="1" t="s">
        <v>19</v>
      </c>
      <c r="H23" s="1">
        <v>3</v>
      </c>
      <c r="I23" s="102">
        <v>6</v>
      </c>
      <c r="J23" s="1">
        <v>0</v>
      </c>
      <c r="K23" s="1">
        <v>6</v>
      </c>
      <c r="L23" s="1" t="str">
        <f t="shared" si="2"/>
        <v>Телина И.С.</v>
      </c>
      <c r="M23" s="74"/>
      <c r="N23" s="19" t="s">
        <v>224</v>
      </c>
      <c r="O23" s="19">
        <v>5.9</v>
      </c>
      <c r="P23" s="19">
        <v>0</v>
      </c>
      <c r="Q23" s="17" t="s">
        <v>79</v>
      </c>
      <c r="R23" s="19">
        <f t="shared" si="5"/>
        <v>17.899999999999999</v>
      </c>
      <c r="S23" s="18"/>
      <c r="T23" s="18"/>
    </row>
    <row r="24" spans="1:24" ht="33.75" x14ac:dyDescent="0.25">
      <c r="A24" s="1" t="s">
        <v>126</v>
      </c>
      <c r="B24" s="1" t="s">
        <v>48</v>
      </c>
      <c r="C24" s="1" t="s">
        <v>321</v>
      </c>
      <c r="D24" s="1">
        <v>4</v>
      </c>
      <c r="E24" s="1">
        <v>1</v>
      </c>
      <c r="F24" s="1">
        <v>13</v>
      </c>
      <c r="G24" s="51" t="s">
        <v>19</v>
      </c>
      <c r="H24" s="51">
        <v>3</v>
      </c>
      <c r="I24" s="102">
        <v>6</v>
      </c>
      <c r="J24" s="51">
        <v>0</v>
      </c>
      <c r="K24" s="1">
        <v>6</v>
      </c>
      <c r="L24" s="13" t="str">
        <f t="shared" si="2"/>
        <v>Яковлев Н.С.</v>
      </c>
      <c r="M24" s="74"/>
      <c r="N24" s="19" t="s">
        <v>224</v>
      </c>
      <c r="O24" s="19">
        <v>5.9</v>
      </c>
      <c r="P24" s="19">
        <v>0</v>
      </c>
      <c r="Q24" s="109" t="s">
        <v>409</v>
      </c>
      <c r="R24" s="19">
        <f t="shared" si="5"/>
        <v>17.899999999999999</v>
      </c>
      <c r="S24" s="18"/>
      <c r="T24" s="18"/>
    </row>
    <row r="25" spans="1:24" ht="23.25" x14ac:dyDescent="0.25">
      <c r="A25" s="1" t="s">
        <v>189</v>
      </c>
      <c r="B25" s="1" t="s">
        <v>48</v>
      </c>
      <c r="C25" s="1" t="s">
        <v>321</v>
      </c>
      <c r="D25" s="1">
        <v>4</v>
      </c>
      <c r="E25" s="1">
        <v>1</v>
      </c>
      <c r="F25" s="1">
        <v>13</v>
      </c>
      <c r="G25" s="1" t="s">
        <v>25</v>
      </c>
      <c r="H25" s="1">
        <v>3</v>
      </c>
      <c r="I25" s="1">
        <v>0</v>
      </c>
      <c r="J25" s="1">
        <v>2</v>
      </c>
      <c r="K25" s="1">
        <v>0</v>
      </c>
      <c r="L25" s="1" t="str">
        <f t="shared" si="2"/>
        <v>Кулаков И.Ю.Архипова Г.А.</v>
      </c>
      <c r="M25" s="74"/>
      <c r="N25" s="19"/>
      <c r="O25" s="19">
        <v>11.7</v>
      </c>
      <c r="P25" s="19">
        <v>0</v>
      </c>
      <c r="Q25" s="17" t="s">
        <v>81</v>
      </c>
      <c r="R25" s="19">
        <v>9.6999999999999993</v>
      </c>
      <c r="S25" s="17" t="s">
        <v>75</v>
      </c>
      <c r="T25" s="19">
        <v>2</v>
      </c>
    </row>
    <row r="26" spans="1:24" ht="33.75" x14ac:dyDescent="0.25">
      <c r="A26" s="1" t="s">
        <v>49</v>
      </c>
      <c r="B26" s="1" t="s">
        <v>48</v>
      </c>
      <c r="C26" s="1" t="s">
        <v>321</v>
      </c>
      <c r="D26" s="1">
        <v>4</v>
      </c>
      <c r="E26" s="1">
        <v>1</v>
      </c>
      <c r="F26" s="1">
        <v>13</v>
      </c>
      <c r="G26" s="51" t="s">
        <v>25</v>
      </c>
      <c r="H26" s="51">
        <v>6</v>
      </c>
      <c r="I26" s="51">
        <v>0</v>
      </c>
      <c r="J26" s="51">
        <v>2</v>
      </c>
      <c r="K26" s="51">
        <v>0</v>
      </c>
      <c r="L26" s="1" t="str">
        <f t="shared" si="2"/>
        <v>Макевич П.В.Архипова Г.А.</v>
      </c>
      <c r="M26" s="1"/>
      <c r="N26" s="20" t="s">
        <v>230</v>
      </c>
      <c r="O26" s="19">
        <v>11.7</v>
      </c>
      <c r="P26" s="19">
        <v>0</v>
      </c>
      <c r="Q26" s="17" t="s">
        <v>54</v>
      </c>
      <c r="R26" s="19">
        <v>9.6999999999999993</v>
      </c>
      <c r="S26" s="17" t="s">
        <v>75</v>
      </c>
      <c r="T26" s="19">
        <v>2</v>
      </c>
    </row>
    <row r="27" spans="1:24" ht="33.75" x14ac:dyDescent="0.25">
      <c r="A27" s="1" t="s">
        <v>192</v>
      </c>
      <c r="B27" s="1" t="s">
        <v>48</v>
      </c>
      <c r="C27" s="1" t="s">
        <v>321</v>
      </c>
      <c r="D27" s="1">
        <v>4</v>
      </c>
      <c r="E27" s="1">
        <v>1</v>
      </c>
      <c r="F27" s="1">
        <v>13</v>
      </c>
      <c r="G27" s="51"/>
      <c r="H27" s="51"/>
      <c r="I27" s="51">
        <v>0</v>
      </c>
      <c r="J27" s="51">
        <v>1</v>
      </c>
      <c r="K27" s="51">
        <v>0</v>
      </c>
      <c r="L27" s="1" t="str">
        <f t="shared" si="2"/>
        <v>Соколова Г.Ю.</v>
      </c>
      <c r="M27" s="1"/>
      <c r="N27" s="1" t="s">
        <v>223</v>
      </c>
      <c r="O27" s="1">
        <v>0</v>
      </c>
      <c r="P27" s="1">
        <v>0</v>
      </c>
      <c r="Q27" s="17" t="s">
        <v>74</v>
      </c>
      <c r="R27" s="19"/>
      <c r="S27" s="18"/>
      <c r="T27" s="18"/>
    </row>
    <row r="28" spans="1:24" s="7" customFormat="1" ht="5.8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 t="str">
        <f t="shared" si="2"/>
        <v/>
      </c>
      <c r="M28" s="1"/>
      <c r="N28" s="1"/>
      <c r="O28" s="1"/>
      <c r="P28" s="1"/>
      <c r="Q28" s="17"/>
      <c r="R28" s="19">
        <f>I28+J28+K28+P28+O28</f>
        <v>0</v>
      </c>
      <c r="S28" s="1"/>
      <c r="T28" s="1"/>
    </row>
    <row r="29" spans="1:24" s="1" customFormat="1" ht="36" customHeight="1" x14ac:dyDescent="0.25">
      <c r="A29" s="1" t="s">
        <v>44</v>
      </c>
      <c r="B29" s="1" t="s">
        <v>48</v>
      </c>
      <c r="C29" s="1" t="s">
        <v>322</v>
      </c>
      <c r="D29" s="1">
        <v>5</v>
      </c>
      <c r="E29" s="1">
        <v>2</v>
      </c>
      <c r="F29" s="1">
        <v>4</v>
      </c>
      <c r="G29" s="1" t="s">
        <v>25</v>
      </c>
      <c r="H29" s="1">
        <v>21</v>
      </c>
      <c r="I29" s="1">
        <v>0</v>
      </c>
      <c r="J29" s="1">
        <v>2</v>
      </c>
      <c r="K29" s="1">
        <v>0</v>
      </c>
      <c r="L29" s="1" t="str">
        <f t="shared" si="2"/>
        <v>Кулаков И.Ю.Соколова Г.Ю.Архипова Г.А.</v>
      </c>
      <c r="M29" s="1">
        <v>2407.3312000000001</v>
      </c>
      <c r="N29" s="1" t="s">
        <v>221</v>
      </c>
      <c r="O29" s="1">
        <v>21.6</v>
      </c>
      <c r="P29" s="1">
        <v>0</v>
      </c>
      <c r="Q29" s="14" t="s">
        <v>81</v>
      </c>
      <c r="R29" s="1">
        <f>O29+J29-T29-V29-2</f>
        <v>13.600000000000001</v>
      </c>
      <c r="S29" s="14" t="s">
        <v>74</v>
      </c>
      <c r="T29" s="14">
        <v>4</v>
      </c>
      <c r="U29" s="14" t="s">
        <v>75</v>
      </c>
      <c r="V29" s="14">
        <v>4</v>
      </c>
    </row>
    <row r="30" spans="1:24" s="1" customFormat="1" ht="56.25" x14ac:dyDescent="0.25">
      <c r="A30" s="1" t="s">
        <v>216</v>
      </c>
      <c r="B30" s="1" t="s">
        <v>48</v>
      </c>
      <c r="C30" s="1" t="s">
        <v>322</v>
      </c>
      <c r="D30" s="1">
        <v>5</v>
      </c>
      <c r="E30" s="1">
        <v>1</v>
      </c>
      <c r="F30" s="1">
        <v>4</v>
      </c>
      <c r="G30" s="1" t="s">
        <v>17</v>
      </c>
      <c r="H30" s="1">
        <v>9</v>
      </c>
      <c r="I30" s="1">
        <v>0</v>
      </c>
      <c r="J30" s="1">
        <v>0</v>
      </c>
      <c r="K30" s="1">
        <v>0</v>
      </c>
      <c r="L30" s="1" t="str">
        <f t="shared" si="2"/>
        <v>Телина И.С.Соколова Г.Ю.</v>
      </c>
      <c r="M30" s="1">
        <v>3312</v>
      </c>
      <c r="N30" s="1" t="s">
        <v>406</v>
      </c>
      <c r="O30" s="103">
        <f>SUM(P30:V32)</f>
        <v>40.799999999999997</v>
      </c>
      <c r="Q30" s="14" t="s">
        <v>79</v>
      </c>
      <c r="R30" s="1">
        <f>3*6</f>
        <v>18</v>
      </c>
      <c r="S30" s="14" t="s">
        <v>74</v>
      </c>
      <c r="T30" s="1">
        <v>4.8</v>
      </c>
      <c r="U30" s="14"/>
      <c r="W30" s="1" t="s">
        <v>405</v>
      </c>
      <c r="X30" s="1">
        <v>40.799999999999997</v>
      </c>
    </row>
    <row r="31" spans="1:24" s="1" customFormat="1" ht="33.75" x14ac:dyDescent="0.25">
      <c r="A31" s="1" t="s">
        <v>216</v>
      </c>
      <c r="B31" s="1" t="s">
        <v>48</v>
      </c>
      <c r="C31" s="1" t="s">
        <v>322</v>
      </c>
      <c r="D31" s="1">
        <v>5</v>
      </c>
      <c r="E31" s="1">
        <v>1</v>
      </c>
      <c r="F31" s="1">
        <v>4</v>
      </c>
      <c r="G31" s="1" t="s">
        <v>17</v>
      </c>
      <c r="H31" s="1">
        <v>9</v>
      </c>
      <c r="I31" s="1">
        <v>0</v>
      </c>
      <c r="J31" s="1">
        <v>0</v>
      </c>
      <c r="K31" s="1">
        <v>0</v>
      </c>
      <c r="L31" s="1" t="str">
        <f t="shared" si="2"/>
        <v>Цымбалюк Л.Н.Эминов С.И.Соколова Г.Ю.</v>
      </c>
      <c r="M31" s="1">
        <v>3315</v>
      </c>
      <c r="N31" s="1" t="s">
        <v>217</v>
      </c>
      <c r="O31" s="103">
        <v>40.799999999999997</v>
      </c>
      <c r="Q31" s="14" t="s">
        <v>78</v>
      </c>
      <c r="R31" s="1">
        <v>2</v>
      </c>
      <c r="S31" s="14" t="s">
        <v>68</v>
      </c>
      <c r="T31" s="1">
        <v>2</v>
      </c>
      <c r="U31" s="14" t="s">
        <v>74</v>
      </c>
      <c r="V31" s="1">
        <v>2</v>
      </c>
    </row>
    <row r="32" spans="1:24" s="1" customFormat="1" ht="33.75" x14ac:dyDescent="0.25">
      <c r="A32" s="1" t="s">
        <v>216</v>
      </c>
      <c r="B32" s="1" t="s">
        <v>48</v>
      </c>
      <c r="C32" s="1" t="s">
        <v>322</v>
      </c>
      <c r="D32" s="1">
        <v>5</v>
      </c>
      <c r="E32" s="1">
        <v>1</v>
      </c>
      <c r="F32" s="1">
        <v>4</v>
      </c>
      <c r="G32" s="1" t="s">
        <v>17</v>
      </c>
      <c r="H32" s="1">
        <v>9</v>
      </c>
      <c r="I32" s="1">
        <v>0</v>
      </c>
      <c r="J32" s="1">
        <v>0</v>
      </c>
      <c r="K32" s="1">
        <v>0</v>
      </c>
      <c r="L32" s="1" t="str">
        <f t="shared" ref="L32" si="6">CONCATENATE(Q32,"",S32,"",U32)</f>
        <v>Михайлов Д.В.Кулаков И.Ю.Соколова Г.Ю.</v>
      </c>
      <c r="M32" s="1">
        <v>3315</v>
      </c>
      <c r="N32" s="1" t="s">
        <v>300</v>
      </c>
      <c r="Q32" s="14" t="s">
        <v>70</v>
      </c>
      <c r="R32" s="1">
        <v>4</v>
      </c>
      <c r="S32" s="14" t="s">
        <v>81</v>
      </c>
      <c r="T32" s="14">
        <v>4</v>
      </c>
      <c r="U32" s="14" t="s">
        <v>74</v>
      </c>
      <c r="V32" s="14">
        <v>4</v>
      </c>
    </row>
  </sheetData>
  <autoFilter ref="A1:M33" xr:uid="{33138B3D-4F68-4B2D-91FE-823DBB7E30E1}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BEEF-E98C-4AB1-890A-B98825C3B68F}">
  <sheetPr codeName="Лист5">
    <pageSetUpPr fitToPage="1"/>
  </sheetPr>
  <dimension ref="A1:T15"/>
  <sheetViews>
    <sheetView view="pageBreakPreview" zoomScale="115" zoomScaleNormal="130" zoomScaleSheetLayoutView="115" workbookViewId="0">
      <pane xSplit="1" ySplit="1" topLeftCell="E2" activePane="bottomRight" state="frozenSplit"/>
      <selection activeCell="D26" sqref="D26"/>
      <selection pane="topRight" activeCell="D26" sqref="D26"/>
      <selection pane="bottomLeft" activeCell="D26" sqref="D26"/>
      <selection pane="bottomRight" activeCell="L11" sqref="L11"/>
    </sheetView>
  </sheetViews>
  <sheetFormatPr defaultColWidth="8.85546875" defaultRowHeight="15" x14ac:dyDescent="0.25"/>
  <cols>
    <col min="1" max="1" width="17.5703125" style="3" customWidth="1"/>
    <col min="2" max="2" width="11.42578125" style="3" customWidth="1"/>
    <col min="3" max="3" width="7.5703125" style="3" bestFit="1" customWidth="1"/>
    <col min="4" max="4" width="3.5703125" style="3" bestFit="1" customWidth="1"/>
    <col min="5" max="5" width="7.42578125" style="3" bestFit="1" customWidth="1"/>
    <col min="6" max="6" width="6.5703125" style="3" bestFit="1" customWidth="1"/>
    <col min="7" max="7" width="3.42578125" style="3" bestFit="1" customWidth="1"/>
    <col min="8" max="8" width="4" style="3" bestFit="1" customWidth="1"/>
    <col min="9" max="9" width="3.42578125" style="3" bestFit="1" customWidth="1"/>
    <col min="10" max="10" width="2.5703125" style="3" bestFit="1" customWidth="1"/>
    <col min="11" max="11" width="8" style="3" bestFit="1" customWidth="1"/>
    <col min="12" max="12" width="17.42578125" style="3" customWidth="1"/>
    <col min="13" max="13" width="19.42578125" style="3" customWidth="1"/>
    <col min="14" max="14" width="8.85546875" style="3"/>
    <col min="15" max="16" width="4" style="3" customWidth="1"/>
    <col min="17" max="20" width="6.140625" style="3" customWidth="1"/>
    <col min="21" max="16384" width="8.85546875" style="3"/>
  </cols>
  <sheetData>
    <row r="1" spans="1:20" s="7" customFormat="1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22" t="s">
        <v>12</v>
      </c>
      <c r="N1" s="1"/>
      <c r="O1" s="1"/>
      <c r="P1" s="1"/>
      <c r="Q1" s="1" t="s">
        <v>177</v>
      </c>
      <c r="R1" s="1" t="s">
        <v>178</v>
      </c>
      <c r="S1" s="1" t="s">
        <v>177</v>
      </c>
      <c r="T1" s="1" t="s">
        <v>178</v>
      </c>
    </row>
    <row r="2" spans="1:20" ht="33.75" x14ac:dyDescent="0.25">
      <c r="A2" s="13" t="s">
        <v>336</v>
      </c>
      <c r="B2" s="95" t="s">
        <v>366</v>
      </c>
      <c r="C2" s="1" t="s">
        <v>32</v>
      </c>
      <c r="D2" s="1">
        <v>3</v>
      </c>
      <c r="E2" s="1">
        <v>3</v>
      </c>
      <c r="F2" s="1">
        <v>65</v>
      </c>
      <c r="G2" s="1" t="s">
        <v>19</v>
      </c>
      <c r="H2" s="1">
        <v>3</v>
      </c>
      <c r="I2" s="1">
        <v>0</v>
      </c>
      <c r="J2" s="1">
        <f>12*3</f>
        <v>36</v>
      </c>
      <c r="K2" s="1">
        <v>0</v>
      </c>
      <c r="L2" s="1" t="s">
        <v>75</v>
      </c>
      <c r="M2" s="22" t="s">
        <v>229</v>
      </c>
      <c r="N2" s="19" t="s">
        <v>202</v>
      </c>
      <c r="O2" s="1">
        <v>29.3</v>
      </c>
      <c r="P2" s="1">
        <v>0</v>
      </c>
      <c r="Q2" s="17" t="str">
        <f t="shared" ref="Q2:Q5" si="0">L2</f>
        <v>Архипова Г.А.</v>
      </c>
      <c r="R2" s="19">
        <f>I2+J2+K2+O2</f>
        <v>65.3</v>
      </c>
      <c r="S2" s="18"/>
      <c r="T2" s="18"/>
    </row>
    <row r="3" spans="1:20" ht="33.75" x14ac:dyDescent="0.25">
      <c r="A3" s="13" t="s">
        <v>399</v>
      </c>
      <c r="B3" s="95" t="s">
        <v>366</v>
      </c>
      <c r="C3" s="1" t="s">
        <v>32</v>
      </c>
      <c r="D3" s="1">
        <v>2</v>
      </c>
      <c r="E3" s="1">
        <v>4</v>
      </c>
      <c r="F3" s="1">
        <v>60</v>
      </c>
      <c r="G3" s="1" t="s">
        <v>19</v>
      </c>
      <c r="H3" s="1">
        <v>3</v>
      </c>
      <c r="I3" s="1">
        <v>0</v>
      </c>
      <c r="J3" s="1">
        <f>12*3</f>
        <v>36</v>
      </c>
      <c r="K3" s="1">
        <v>0</v>
      </c>
      <c r="L3" s="1" t="s">
        <v>75</v>
      </c>
      <c r="M3" s="22">
        <v>3312</v>
      </c>
      <c r="N3" s="19" t="s">
        <v>320</v>
      </c>
      <c r="O3" s="19">
        <v>29.3</v>
      </c>
      <c r="P3" s="19">
        <v>0</v>
      </c>
      <c r="Q3" s="17" t="str">
        <f t="shared" si="0"/>
        <v>Архипова Г.А.</v>
      </c>
      <c r="R3" s="19">
        <f t="shared" ref="R3" si="1">I3+J3+K3+O3</f>
        <v>65.3</v>
      </c>
      <c r="S3" s="18"/>
      <c r="T3" s="18"/>
    </row>
    <row r="4" spans="1:20" ht="39" x14ac:dyDescent="0.25">
      <c r="A4" s="13" t="s">
        <v>336</v>
      </c>
      <c r="B4" s="95" t="s">
        <v>355</v>
      </c>
      <c r="C4" s="1" t="s">
        <v>32</v>
      </c>
      <c r="D4" s="1">
        <v>4</v>
      </c>
      <c r="E4" s="1">
        <v>3</v>
      </c>
      <c r="F4" s="1">
        <v>65</v>
      </c>
      <c r="G4" s="1" t="s">
        <v>19</v>
      </c>
      <c r="H4" s="1">
        <v>1</v>
      </c>
      <c r="I4" s="1">
        <v>0</v>
      </c>
      <c r="J4" s="1">
        <v>1</v>
      </c>
      <c r="K4" s="1">
        <v>0</v>
      </c>
      <c r="L4" s="1" t="s">
        <v>75</v>
      </c>
      <c r="M4" s="22">
        <v>3312</v>
      </c>
      <c r="N4" s="19" t="s">
        <v>201</v>
      </c>
      <c r="O4" s="1">
        <v>0</v>
      </c>
      <c r="P4" s="1">
        <v>0</v>
      </c>
      <c r="Q4" s="17" t="str">
        <f t="shared" si="0"/>
        <v>Архипова Г.А.</v>
      </c>
      <c r="R4" s="19">
        <v>0</v>
      </c>
      <c r="S4" s="18"/>
      <c r="T4" s="18"/>
    </row>
    <row r="5" spans="1:20" ht="45" x14ac:dyDescent="0.25">
      <c r="A5" s="13" t="s">
        <v>336</v>
      </c>
      <c r="B5" s="1" t="s">
        <v>398</v>
      </c>
      <c r="C5" s="1" t="s">
        <v>32</v>
      </c>
      <c r="D5" s="1">
        <v>5</v>
      </c>
      <c r="E5" s="1">
        <v>3</v>
      </c>
      <c r="F5" s="1">
        <v>62</v>
      </c>
      <c r="G5" s="1" t="s">
        <v>25</v>
      </c>
      <c r="H5" s="1">
        <v>3</v>
      </c>
      <c r="I5" s="1">
        <v>0</v>
      </c>
      <c r="J5" s="1">
        <v>36</v>
      </c>
      <c r="K5" s="1">
        <v>0</v>
      </c>
      <c r="L5" s="17" t="s">
        <v>75</v>
      </c>
      <c r="M5" s="17"/>
      <c r="N5" s="17" t="s">
        <v>202</v>
      </c>
      <c r="O5" s="17">
        <v>27.9</v>
      </c>
      <c r="P5" s="17"/>
      <c r="Q5" s="17" t="str">
        <f t="shared" si="0"/>
        <v>Архипова Г.А.</v>
      </c>
      <c r="R5" s="20">
        <f>I5+J5+K5+O5</f>
        <v>63.9</v>
      </c>
      <c r="S5" s="18"/>
      <c r="T5" s="18"/>
    </row>
    <row r="6" spans="1:20" ht="45" x14ac:dyDescent="0.25">
      <c r="A6" s="13" t="s">
        <v>336</v>
      </c>
      <c r="B6" s="1" t="s">
        <v>398</v>
      </c>
      <c r="C6" s="1" t="s">
        <v>32</v>
      </c>
      <c r="D6" s="1">
        <v>6</v>
      </c>
      <c r="E6" s="1">
        <v>3</v>
      </c>
      <c r="F6" s="1">
        <v>62</v>
      </c>
      <c r="G6" s="1" t="s">
        <v>25</v>
      </c>
      <c r="H6" s="1">
        <v>3</v>
      </c>
      <c r="I6" s="1">
        <v>0</v>
      </c>
      <c r="J6" s="1">
        <v>36</v>
      </c>
      <c r="K6" s="1">
        <v>0</v>
      </c>
      <c r="L6" s="17" t="s">
        <v>75</v>
      </c>
      <c r="M6" s="17"/>
      <c r="N6" s="17" t="s">
        <v>202</v>
      </c>
      <c r="O6" s="17">
        <v>27.9</v>
      </c>
      <c r="P6" s="17"/>
      <c r="Q6" s="17" t="str">
        <f t="shared" ref="Q6" si="2">L6</f>
        <v>Архипова Г.А.</v>
      </c>
      <c r="R6" s="20">
        <f>I6+J6+K6+O6</f>
        <v>63.9</v>
      </c>
      <c r="S6" s="18"/>
      <c r="T6" s="18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22"/>
      <c r="N7" s="18"/>
      <c r="O7" s="18"/>
      <c r="P7" s="18"/>
      <c r="Q7" s="18"/>
      <c r="R7" s="18"/>
      <c r="S7" s="18"/>
      <c r="T7" s="18"/>
    </row>
    <row r="8" spans="1:2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22"/>
      <c r="N8" s="18"/>
      <c r="O8" s="18"/>
      <c r="P8" s="18"/>
      <c r="Q8" s="18"/>
      <c r="R8" s="18"/>
      <c r="S8" s="18"/>
      <c r="T8" s="18"/>
    </row>
    <row r="9" spans="1:20" x14ac:dyDescent="0.25">
      <c r="A9" s="1"/>
      <c r="C9" s="1"/>
      <c r="D9" s="1"/>
      <c r="E9" s="1"/>
      <c r="F9" s="1"/>
      <c r="G9" s="1"/>
      <c r="H9" s="1"/>
      <c r="I9" s="1"/>
      <c r="J9" s="1"/>
      <c r="K9" s="1"/>
      <c r="L9" s="1"/>
      <c r="M9" s="22"/>
      <c r="N9" s="18"/>
      <c r="O9" s="18"/>
      <c r="P9" s="18"/>
      <c r="Q9" s="18"/>
      <c r="R9" s="18"/>
      <c r="S9" s="18"/>
      <c r="T9" s="18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22"/>
      <c r="N10" s="18"/>
      <c r="O10" s="18"/>
      <c r="P10" s="18"/>
      <c r="Q10" s="18"/>
      <c r="R10" s="18"/>
      <c r="S10" s="18"/>
      <c r="T10" s="18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22"/>
      <c r="N11" s="18"/>
      <c r="O11" s="18"/>
      <c r="P11" s="18"/>
      <c r="Q11" s="18"/>
      <c r="R11" s="18"/>
      <c r="S11" s="18"/>
      <c r="T11" s="18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22"/>
      <c r="N12" s="18"/>
      <c r="O12" s="18"/>
      <c r="P12" s="18"/>
      <c r="Q12" s="18"/>
      <c r="R12" s="18"/>
      <c r="S12" s="18"/>
      <c r="T12" s="18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22"/>
      <c r="N13" s="18"/>
      <c r="O13" s="18"/>
      <c r="P13" s="18"/>
      <c r="Q13" s="18"/>
      <c r="R13" s="18"/>
      <c r="S13" s="18"/>
      <c r="T13" s="18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22"/>
      <c r="N14" s="18"/>
      <c r="O14" s="18"/>
      <c r="P14" s="18"/>
      <c r="Q14" s="18"/>
      <c r="R14" s="18"/>
      <c r="S14" s="18"/>
      <c r="T14" s="18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22"/>
      <c r="N15" s="18"/>
      <c r="O15" s="18"/>
      <c r="P15" s="18"/>
      <c r="Q15" s="18"/>
      <c r="R15" s="18"/>
      <c r="S15" s="18"/>
      <c r="T15" s="18"/>
    </row>
  </sheetData>
  <autoFilter ref="A1:T4" xr:uid="{4059BEEF-E98C-4AB1-890A-B98825C3B68F}"/>
  <phoneticPr fontId="6" type="noConversion"/>
  <pageMargins left="0.70866141732283472" right="0.70866141732283472" top="0.74803149606299213" bottom="0.74803149606299213" header="0.31496062992125984" footer="0.31496062992125984"/>
  <pageSetup paperSize="9" scale="85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2183E-21B8-411C-B3EA-E217374F3114}">
  <sheetPr codeName="Лист8">
    <pageSetUpPr fitToPage="1"/>
  </sheetPr>
  <dimension ref="B3:AV43"/>
  <sheetViews>
    <sheetView tabSelected="1" zoomScale="145" zoomScaleNormal="145" workbookViewId="0">
      <pane xSplit="5" ySplit="3" topLeftCell="F4" activePane="bottomRight" state="frozenSplit"/>
      <selection activeCell="D26" sqref="D26"/>
      <selection pane="topRight" activeCell="D26" sqref="D26"/>
      <selection pane="bottomLeft" activeCell="D26" sqref="D26"/>
      <selection pane="bottomRight" activeCell="Z12" sqref="Z12"/>
    </sheetView>
  </sheetViews>
  <sheetFormatPr defaultColWidth="8.85546875" defaultRowHeight="15" x14ac:dyDescent="0.25"/>
  <cols>
    <col min="1" max="1" width="8.85546875" style="3"/>
    <col min="2" max="2" width="4.42578125" style="30" customWidth="1"/>
    <col min="3" max="3" width="4.5703125" style="30" customWidth="1"/>
    <col min="4" max="4" width="5.42578125" style="21" customWidth="1"/>
    <col min="5" max="5" width="13.42578125" style="3" bestFit="1" customWidth="1"/>
    <col min="6" max="6" width="5.5703125" style="24" hidden="1" customWidth="1"/>
    <col min="7" max="7" width="5.140625" style="24" hidden="1" customWidth="1"/>
    <col min="8" max="8" width="3.42578125" style="24" hidden="1" customWidth="1"/>
    <col min="9" max="9" width="6" style="40" hidden="1" customWidth="1"/>
    <col min="10" max="12" width="1.5703125" style="24" hidden="1" customWidth="1"/>
    <col min="13" max="13" width="6.140625" style="46" hidden="1" customWidth="1"/>
    <col min="14" max="14" width="3.42578125" style="24" hidden="1" customWidth="1"/>
    <col min="15" max="16" width="1.85546875" style="24" hidden="1" customWidth="1"/>
    <col min="17" max="17" width="6.140625" style="46" hidden="1" customWidth="1"/>
    <col min="18" max="18" width="4.5703125" style="40" hidden="1" customWidth="1"/>
    <col min="19" max="23" width="4.5703125" style="24" hidden="1" customWidth="1"/>
    <col min="24" max="24" width="7" style="40" hidden="1" customWidth="1"/>
    <col min="25" max="25" width="9.85546875" style="40" bestFit="1" customWidth="1"/>
    <col min="26" max="27" width="4.5703125" style="34" customWidth="1"/>
    <col min="28" max="28" width="5.5703125" style="34" customWidth="1"/>
    <col min="29" max="29" width="6.5703125" style="34" customWidth="1"/>
    <col min="30" max="30" width="9.5703125" style="3" customWidth="1"/>
    <col min="31" max="32" width="8.42578125" style="42" hidden="1" customWidth="1"/>
    <col min="33" max="33" width="5.42578125" style="42" hidden="1" customWidth="1"/>
    <col min="34" max="34" width="8.5703125" style="42" hidden="1" customWidth="1"/>
    <col min="35" max="37" width="6.5703125" style="38" hidden="1" customWidth="1"/>
    <col min="38" max="38" width="6.85546875" style="39" customWidth="1"/>
    <col min="39" max="40" width="4.5703125" style="24" customWidth="1"/>
    <col min="41" max="41" width="4.140625" style="3" customWidth="1"/>
    <col min="42" max="42" width="6" style="3" customWidth="1"/>
    <col min="43" max="43" width="5.5703125" style="3" customWidth="1"/>
    <col min="44" max="44" width="5" style="3" customWidth="1"/>
    <col min="45" max="45" width="4.85546875" style="3" customWidth="1"/>
    <col min="46" max="46" width="4.5703125" style="3" customWidth="1"/>
    <col min="47" max="16384" width="8.85546875" style="3"/>
  </cols>
  <sheetData>
    <row r="3" spans="2:48" ht="34.5" x14ac:dyDescent="0.25">
      <c r="C3" s="30" t="s">
        <v>257</v>
      </c>
      <c r="D3" s="21">
        <v>750</v>
      </c>
      <c r="I3" s="35" t="s">
        <v>181</v>
      </c>
      <c r="M3" s="35" t="s">
        <v>264</v>
      </c>
      <c r="N3" s="35"/>
      <c r="O3" s="35"/>
      <c r="P3" s="35"/>
      <c r="Q3" s="35" t="s">
        <v>265</v>
      </c>
      <c r="R3" s="35" t="s">
        <v>294</v>
      </c>
      <c r="S3" s="35" t="s">
        <v>182</v>
      </c>
      <c r="T3" s="35" t="s">
        <v>267</v>
      </c>
      <c r="U3" s="35" t="s">
        <v>268</v>
      </c>
      <c r="V3" s="35" t="s">
        <v>303</v>
      </c>
      <c r="W3" s="35" t="s">
        <v>184</v>
      </c>
      <c r="X3" s="35" t="s">
        <v>183</v>
      </c>
      <c r="Y3" s="35" t="s">
        <v>256</v>
      </c>
      <c r="Z3" s="34" t="s">
        <v>295</v>
      </c>
      <c r="AB3" s="36" t="s">
        <v>296</v>
      </c>
      <c r="AC3" s="36" t="s">
        <v>332</v>
      </c>
      <c r="AD3" s="36" t="s">
        <v>297</v>
      </c>
      <c r="AE3" s="37" t="s">
        <v>339</v>
      </c>
      <c r="AF3" s="37"/>
      <c r="AG3" s="37"/>
      <c r="AH3" s="37" t="s">
        <v>340</v>
      </c>
      <c r="AM3" s="35" t="s">
        <v>188</v>
      </c>
      <c r="AN3" s="35" t="s">
        <v>187</v>
      </c>
      <c r="AP3" s="3">
        <v>10</v>
      </c>
      <c r="AQ3" s="3">
        <v>750</v>
      </c>
      <c r="AR3" s="3">
        <v>9</v>
      </c>
      <c r="AS3" s="3">
        <f>AR3*AQ3/AP3</f>
        <v>675</v>
      </c>
      <c r="AU3" s="3">
        <v>750</v>
      </c>
      <c r="AV3" s="3">
        <v>1</v>
      </c>
    </row>
    <row r="4" spans="2:48" x14ac:dyDescent="0.25">
      <c r="I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AB4" s="36"/>
      <c r="AC4" s="36"/>
      <c r="AD4" s="36"/>
      <c r="AE4" s="37"/>
      <c r="AF4" s="37"/>
      <c r="AG4" s="37"/>
      <c r="AH4" s="37"/>
      <c r="AM4" s="35"/>
      <c r="AN4" s="35"/>
    </row>
    <row r="5" spans="2:48" x14ac:dyDescent="0.25">
      <c r="B5" s="107">
        <v>1</v>
      </c>
      <c r="D5" s="21">
        <f t="shared" ref="D5:D38" si="0">B5*$D$3-C5*800</f>
        <v>750</v>
      </c>
      <c r="E5" s="44" t="s">
        <v>75</v>
      </c>
      <c r="F5" s="24">
        <f>SUMIFS('ОО-09'!R:R,'ОО-09'!Q:Q,E5)</f>
        <v>385.5</v>
      </c>
      <c r="G5" s="24">
        <f>SUMIFS('ОО-09'!T:T,'ОО-09'!S:S,E5)</f>
        <v>438</v>
      </c>
      <c r="H5" s="24">
        <f>SUMIFS('ОО-09'!V:V,'ОО-09'!U:U,E5)</f>
        <v>10</v>
      </c>
      <c r="I5" s="40">
        <f t="shared" ref="I5:I38" si="1">SUM(F5:H5)</f>
        <v>833.5</v>
      </c>
      <c r="J5" s="24">
        <f>SUMIFS('ОО-09 (у)'!R:R,'ОО-09 (у)'!Q:Q,E5)</f>
        <v>0</v>
      </c>
      <c r="K5" s="24">
        <f>SUMIFS('ОО-09 (у)'!T:T,'ОО-09 (у)'!S:S,E5)</f>
        <v>46</v>
      </c>
      <c r="L5" s="24">
        <f>SUMIFS('ОО-09 (у)'!V:V,'ОО-09 (у)'!U:U,E5)</f>
        <v>4</v>
      </c>
      <c r="M5" s="40">
        <f t="shared" ref="M5:M38" si="2">SUM(J5:L5)</f>
        <v>50</v>
      </c>
      <c r="N5" s="24">
        <f>SUMIFS('ОО-09 (м)'!R:R,'ОО-09 (м)'!Q:Q,E5)</f>
        <v>0</v>
      </c>
      <c r="O5" s="24">
        <f>SUMIFS('ОО-09 (м)'!T:T,'ОО-09 (м)'!S:S,E5)</f>
        <v>20</v>
      </c>
      <c r="P5" s="24">
        <f>SUMIFS('ОО-09 (м)'!V:V,'ОО-09 (м)'!U:U,E5)</f>
        <v>4</v>
      </c>
      <c r="Q5" s="40">
        <f t="shared" ref="Q5:Q38" si="3">SUM(N5:P5)</f>
        <v>24</v>
      </c>
      <c r="R5" s="40">
        <f>SUMIFS('ОО-ПТИ'!R:R,'ОО-ПТИ'!Q:Q,E5)+SUMIFS('ОО-ПТИ'!T:T,'ОО-ПТИ'!S:S,E5)+SUMIFS('ОО-ПТИ'!V:V,'ЗО-09 (с)'!U:U,E5)</f>
        <v>32.549999999999997</v>
      </c>
      <c r="S5" s="34">
        <f>SUMIFS('ЗО-09'!R:R,'ЗО-09'!Q:Q,E5)+SUMIFS('ЗО-09'!T:T,'ЗО-09'!S:S,E5)+SUMIFS('ЗО-09'!V:V,'ЗО-09'!U:U,E5)</f>
        <v>20</v>
      </c>
      <c r="T5" s="34">
        <f>SUMIFS('ЗО-09 (у)'!R:R,'ЗО-09 (у)'!Q:Q,E5)+SUMIFS('ЗО-09 (у)'!T:T,'ЗО-09 (у)'!S:S,E5)+SUMIFS('ЗО-09 (у)'!V:V,'ЗО-09 (у)'!U:U,E5)</f>
        <v>6</v>
      </c>
      <c r="U5" s="34">
        <f>SUMIFS('ЗО-09 (с)'!R:R,'ЗО-09 (с)'!Q:Q,E5)+SUMIFS('ЗО-09 (с)'!T:T,'ЗО-09 (с)'!S:S,E5)+SUMIFS('ЗО-09 (с)'!V:V,'ЗО-09 (с)'!U:U,E5)</f>
        <v>35</v>
      </c>
      <c r="V5" s="34">
        <f>SUMIFS('ЗО-09 (м)'!R:R,'ЗО-09 (м)'!Q:Q,E5)+SUMIFS('ЗО-09 (м)'!T:T,'ЗО-09 (м)'!S:S,E5)+SUMIFS('ЗО-09 (м)'!V:V,'ЗО-09 (м)'!U:U,E5)</f>
        <v>10</v>
      </c>
      <c r="W5" s="34">
        <f>SUMIFS(ЗО!R:R,ЗО!Q:Q,E5)</f>
        <v>258.39999999999998</v>
      </c>
      <c r="X5" s="34">
        <f>SUMIFS(ООНЕ09!R:R,ООНЕ09!Q:Q,E5)+SUMIFS(ООНЕ09!T:T,ООНЕ09!S:S,E5)</f>
        <v>61.5</v>
      </c>
      <c r="Y5" s="21"/>
      <c r="Z5" s="106">
        <f>SUM(I5,M5,Q5,R5:X5)</f>
        <v>1330.9499999999998</v>
      </c>
      <c r="AA5" s="34">
        <f>Z5-D5</f>
        <v>580.94999999999982</v>
      </c>
      <c r="AB5" s="34">
        <f t="shared" ref="AB5:AB38" si="4">B5-C5</f>
        <v>1</v>
      </c>
      <c r="AC5" s="34">
        <f t="shared" ref="AC5:AC38" si="5">Z5-$D$3*AB5</f>
        <v>580.94999999999982</v>
      </c>
      <c r="AD5" s="41">
        <f t="shared" ref="AD5:AD38" si="6">AC5/$D$3</f>
        <v>0.77459999999999973</v>
      </c>
      <c r="AE5" s="42">
        <v>0.75</v>
      </c>
      <c r="AF5" s="26">
        <f t="shared" ref="AF5:AF38" si="7">AE5*$D$3</f>
        <v>562.5</v>
      </c>
      <c r="AG5" s="43">
        <f t="shared" ref="AG5:AG38" si="8">(AD5-AE5)/9*10</f>
        <v>2.7333333333333036E-2</v>
      </c>
      <c r="AH5" s="42">
        <v>0.15</v>
      </c>
      <c r="AI5" s="38">
        <f t="shared" ref="AI5:AI38" si="9">AH5*$AS$3</f>
        <v>101.25</v>
      </c>
      <c r="AJ5" s="43">
        <f>AE5+AH5</f>
        <v>0.9</v>
      </c>
      <c r="AK5" s="38">
        <f>AJ5*$AS$3</f>
        <v>607.5</v>
      </c>
      <c r="AM5" s="21">
        <f>SUMIFS('ЗО-ВБ'!R:R,'ЗО-ВБ'!Q:Q,E5)</f>
        <v>44.400000000000006</v>
      </c>
      <c r="AN5" s="21">
        <f>SUMIFS(В!R:R,В!Q:Q,E5)</f>
        <v>0</v>
      </c>
      <c r="AO5" s="3">
        <f t="shared" ref="AO5:AO20" si="10">SUM(AM5:AN5)</f>
        <v>44.400000000000006</v>
      </c>
      <c r="AU5" s="3">
        <v>200</v>
      </c>
      <c r="AV5" s="3">
        <f>AU5*AV3/AU3</f>
        <v>0.26666666666666666</v>
      </c>
    </row>
    <row r="6" spans="2:48" x14ac:dyDescent="0.25">
      <c r="B6" s="107">
        <v>0.25</v>
      </c>
      <c r="D6" s="21">
        <f t="shared" si="0"/>
        <v>187.5</v>
      </c>
      <c r="E6" s="44" t="s">
        <v>77</v>
      </c>
      <c r="F6" s="24">
        <f>SUMIFS('ОО-09'!R:R,'ОО-09'!Q:Q,E6)</f>
        <v>179</v>
      </c>
      <c r="G6" s="24">
        <f>SUMIFS('ОО-09'!T:T,'ОО-09'!S:S,E6)</f>
        <v>0</v>
      </c>
      <c r="H6" s="24">
        <f>SUMIFS('ОО-09'!V:V,'ОО-09'!U:U,E6)</f>
        <v>50</v>
      </c>
      <c r="I6" s="40">
        <f t="shared" si="1"/>
        <v>229</v>
      </c>
      <c r="J6" s="24">
        <f>SUMIFS('ОО-09 (у)'!R:R,'ОО-09 (у)'!Q:Q,E6)</f>
        <v>34.9</v>
      </c>
      <c r="K6" s="24">
        <f>SUMIFS('ОО-09 (у)'!T:T,'ОО-09 (у)'!S:S,E6)</f>
        <v>0</v>
      </c>
      <c r="L6" s="24">
        <f>SUMIFS('ОО-09 (у)'!V:V,'ОО-09 (у)'!U:U,E6)</f>
        <v>46</v>
      </c>
      <c r="M6" s="40">
        <f t="shared" si="2"/>
        <v>80.900000000000006</v>
      </c>
      <c r="N6" s="24">
        <f>SUMIFS('ОО-09 (м)'!R:R,'ОО-09 (м)'!Q:Q,E6)</f>
        <v>0</v>
      </c>
      <c r="O6" s="24">
        <f>SUMIFS('ОО-09 (м)'!T:T,'ОО-09 (м)'!S:S,E6)</f>
        <v>0</v>
      </c>
      <c r="P6" s="24">
        <f>SUMIFS('ОО-09 (м)'!V:V,'ОО-09 (м)'!U:U,E6)</f>
        <v>18</v>
      </c>
      <c r="Q6" s="40">
        <f t="shared" si="3"/>
        <v>18</v>
      </c>
      <c r="R6" s="40">
        <f>SUMIFS('ОО-ПТИ'!R:R,'ОО-ПТИ'!Q:Q,E6)+SUMIFS('ОО-ПТИ'!T:T,'ОО-ПТИ'!S:S,E6)+SUMIFS('ОО-ПТИ'!V:V,'ЗО-09 (с)'!U:U,E6)</f>
        <v>0</v>
      </c>
      <c r="S6" s="34">
        <f>SUMIFS('ЗО-09'!R:R,'ЗО-09'!Q:Q,E6)+SUMIFS('ЗО-09'!T:T,'ЗО-09'!S:S,E6)+SUMIFS('ЗО-09'!V:V,'ЗО-09'!U:U,E6)</f>
        <v>152</v>
      </c>
      <c r="T6" s="34">
        <f>SUMIFS('ЗО-09 (у)'!R:R,'ЗО-09 (у)'!Q:Q,E6)+SUMIFS('ЗО-09 (у)'!T:T,'ЗО-09 (у)'!S:S,E6)+SUMIFS('ЗО-09 (у)'!V:V,'ЗО-09 (у)'!U:U,E6)</f>
        <v>28.3</v>
      </c>
      <c r="U6" s="34">
        <f>SUMIFS('ЗО-09 (с)'!R:R,'ЗО-09 (с)'!Q:Q,E6)+SUMIFS('ЗО-09 (с)'!T:T,'ЗО-09 (с)'!S:S,E6)+SUMIFS('ЗО-09 (с)'!V:V,'ЗО-09 (с)'!U:U,E6)</f>
        <v>31</v>
      </c>
      <c r="V6" s="34">
        <f>SUMIFS('ЗО-09 (м)'!R:R,'ЗО-09 (м)'!Q:Q,E6)+SUMIFS('ЗО-09 (м)'!T:T,'ЗО-09 (м)'!S:S,E6)+SUMIFS('ЗО-09 (м)'!V:V,'ЗО-09 (м)'!U:U,E6)</f>
        <v>0</v>
      </c>
      <c r="W6" s="34">
        <f>SUMIFS(ЗО!R:R,ЗО!Q:Q,E6)</f>
        <v>0</v>
      </c>
      <c r="X6" s="34">
        <f>SUMIFS(ООНЕ09!R:R,ООНЕ09!Q:Q,E6)+SUMIFS(ООНЕ09!T:T,ООНЕ09!S:S,E6)</f>
        <v>0</v>
      </c>
      <c r="Y6" s="21"/>
      <c r="Z6" s="106">
        <f t="shared" ref="Z6:Z38" si="11">SUM(I6,M6,Q6,R6:X6)</f>
        <v>539.20000000000005</v>
      </c>
      <c r="AA6" s="34">
        <f t="shared" ref="AA6:AA38" si="12">Z6-D6</f>
        <v>351.70000000000005</v>
      </c>
      <c r="AB6" s="34">
        <f t="shared" si="4"/>
        <v>0.25</v>
      </c>
      <c r="AC6" s="34">
        <f t="shared" si="5"/>
        <v>351.70000000000005</v>
      </c>
      <c r="AD6" s="41">
        <f t="shared" si="6"/>
        <v>0.46893333333333337</v>
      </c>
      <c r="AE6" s="42">
        <v>0.55000000000000004</v>
      </c>
      <c r="AF6" s="26">
        <f t="shared" si="7"/>
        <v>412.50000000000006</v>
      </c>
      <c r="AG6" s="43">
        <f t="shared" si="8"/>
        <v>-9.0074074074074084E-2</v>
      </c>
      <c r="AH6" s="42">
        <v>0.35</v>
      </c>
      <c r="AI6" s="38">
        <f t="shared" si="9"/>
        <v>236.24999999999997</v>
      </c>
      <c r="AJ6" s="43">
        <f>AE6+AH6</f>
        <v>0.9</v>
      </c>
      <c r="AK6" s="38">
        <f>AJ6*$AS$3</f>
        <v>607.5</v>
      </c>
      <c r="AM6" s="21">
        <f>SUMIFS('ЗО-ВБ'!R:R,'ЗО-ВБ'!Q:Q,E6)</f>
        <v>0</v>
      </c>
      <c r="AN6" s="21">
        <f>SUMIFS(В!R:R,В!Q:Q,E6)</f>
        <v>0</v>
      </c>
      <c r="AO6" s="3">
        <f t="shared" si="10"/>
        <v>0</v>
      </c>
    </row>
    <row r="7" spans="2:48" x14ac:dyDescent="0.25">
      <c r="B7" s="107">
        <v>0.25</v>
      </c>
      <c r="D7" s="21">
        <f t="shared" si="0"/>
        <v>187.5</v>
      </c>
      <c r="E7" s="44" t="s">
        <v>72</v>
      </c>
      <c r="F7" s="24">
        <f>SUMIFS('ОО-09'!R:R,'ОО-09'!Q:Q,E7)</f>
        <v>36</v>
      </c>
      <c r="G7" s="24">
        <f>SUMIFS('ОО-09'!T:T,'ОО-09'!S:S,E7)</f>
        <v>0</v>
      </c>
      <c r="H7" s="24">
        <f>SUMIFS('ОО-09'!V:V,'ОО-09'!U:U,E7)</f>
        <v>0</v>
      </c>
      <c r="I7" s="40">
        <f t="shared" si="1"/>
        <v>36</v>
      </c>
      <c r="J7" s="24">
        <f>SUMIFS('ОО-09 (у)'!R:R,'ОО-09 (у)'!Q:Q,E7)</f>
        <v>44.5</v>
      </c>
      <c r="K7" s="24">
        <f>SUMIFS('ОО-09 (у)'!T:T,'ОО-09 (у)'!S:S,E7)</f>
        <v>0</v>
      </c>
      <c r="L7" s="24">
        <f>SUMIFS('ОО-09 (у)'!V:V,'ОО-09 (у)'!U:U,E7)</f>
        <v>0</v>
      </c>
      <c r="M7" s="40">
        <f t="shared" si="2"/>
        <v>44.5</v>
      </c>
      <c r="N7" s="24">
        <f>SUMIFS('ОО-09 (м)'!R:R,'ОО-09 (м)'!Q:Q,E7)</f>
        <v>99.5</v>
      </c>
      <c r="O7" s="24">
        <f>SUMIFS('ОО-09 (м)'!T:T,'ОО-09 (м)'!S:S,E7)</f>
        <v>0</v>
      </c>
      <c r="P7" s="24">
        <f>SUMIFS('ОО-09 (м)'!V:V,'ОО-09 (м)'!U:U,E7)</f>
        <v>0</v>
      </c>
      <c r="Q7" s="40">
        <f t="shared" si="3"/>
        <v>99.5</v>
      </c>
      <c r="R7" s="40">
        <f>SUMIFS('ОО-ПТИ'!R:R,'ОО-ПТИ'!Q:Q,E7)+SUMIFS('ОО-ПТИ'!T:T,'ОО-ПТИ'!S:S,E7)+SUMIFS('ОО-ПТИ'!V:V,'ЗО-09 (с)'!U:U,E7)</f>
        <v>0</v>
      </c>
      <c r="S7" s="34">
        <f>SUMIFS('ЗО-09'!R:R,'ЗО-09'!Q:Q,E7)+SUMIFS('ЗО-09'!T:T,'ЗО-09'!S:S,E7)+SUMIFS('ЗО-09'!V:V,'ЗО-09'!U:U,E7)</f>
        <v>87.1</v>
      </c>
      <c r="T7" s="34">
        <f>SUMIFS('ЗО-09 (у)'!R:R,'ЗО-09 (у)'!Q:Q,E7)+SUMIFS('ЗО-09 (у)'!T:T,'ЗО-09 (у)'!S:S,E7)+SUMIFS('ЗО-09 (у)'!V:V,'ЗО-09 (у)'!U:U,E7)</f>
        <v>0</v>
      </c>
      <c r="U7" s="34">
        <f>SUMIFS('ЗО-09 (с)'!R:R,'ЗО-09 (с)'!Q:Q,E7)+SUMIFS('ЗО-09 (с)'!T:T,'ЗО-09 (с)'!S:S,E7)+SUMIFS('ЗО-09 (с)'!V:V,'ЗО-09 (с)'!U:U,E7)</f>
        <v>16</v>
      </c>
      <c r="V7" s="34">
        <f>SUMIFS('ЗО-09 (м)'!R:R,'ЗО-09 (м)'!Q:Q,E7)+SUMIFS('ЗО-09 (м)'!T:T,'ЗО-09 (м)'!S:S,E7)+SUMIFS('ЗО-09 (м)'!V:V,'ЗО-09 (м)'!U:U,E7)</f>
        <v>0</v>
      </c>
      <c r="W7" s="34">
        <f>SUMIFS(ЗО!R:R,ЗО!Q:Q,E7)</f>
        <v>0</v>
      </c>
      <c r="X7" s="34">
        <f>SUMIFS(ООНЕ09!R:R,ООНЕ09!Q:Q,E7)+SUMIFS(ООНЕ09!T:T,ООНЕ09!S:S,E7)</f>
        <v>0</v>
      </c>
      <c r="Y7" s="21"/>
      <c r="Z7" s="106">
        <f t="shared" si="11"/>
        <v>283.10000000000002</v>
      </c>
      <c r="AA7" s="34">
        <f t="shared" si="12"/>
        <v>95.600000000000023</v>
      </c>
      <c r="AB7" s="34">
        <f t="shared" si="4"/>
        <v>0.25</v>
      </c>
      <c r="AC7" s="34">
        <f t="shared" si="5"/>
        <v>95.600000000000023</v>
      </c>
      <c r="AD7" s="41">
        <f t="shared" si="6"/>
        <v>0.1274666666666667</v>
      </c>
      <c r="AE7" s="42">
        <v>0.25</v>
      </c>
      <c r="AF7" s="26">
        <f t="shared" si="7"/>
        <v>187.5</v>
      </c>
      <c r="AG7" s="43">
        <f t="shared" si="8"/>
        <v>-0.1361481481481481</v>
      </c>
      <c r="AH7" s="42">
        <v>0</v>
      </c>
      <c r="AI7" s="38">
        <f t="shared" si="9"/>
        <v>0</v>
      </c>
      <c r="AJ7" s="43"/>
      <c r="AM7" s="21">
        <f>SUMIFS('ЗО-ВБ'!R:R,'ЗО-ВБ'!Q:Q,E7)</f>
        <v>53</v>
      </c>
      <c r="AN7" s="21">
        <f>SUMIFS(В!R:R,В!Q:Q,E7)</f>
        <v>11.8</v>
      </c>
      <c r="AO7" s="3">
        <f t="shared" si="10"/>
        <v>64.8</v>
      </c>
    </row>
    <row r="8" spans="2:48" x14ac:dyDescent="0.25">
      <c r="B8" s="107">
        <v>0.33</v>
      </c>
      <c r="D8" s="21">
        <f t="shared" si="0"/>
        <v>247.5</v>
      </c>
      <c r="E8" s="44" t="s">
        <v>186</v>
      </c>
      <c r="F8" s="24">
        <f>SUMIFS('ОО-09'!R:R,'ОО-09'!Q:Q,E8)</f>
        <v>36</v>
      </c>
      <c r="G8" s="24">
        <f>SUMIFS('ОО-09'!T:T,'ОО-09'!S:S,E8)</f>
        <v>62.2</v>
      </c>
      <c r="H8" s="24">
        <f>SUMIFS('ОО-09'!V:V,'ОО-09'!U:U,E8)</f>
        <v>0</v>
      </c>
      <c r="I8" s="40">
        <f t="shared" si="1"/>
        <v>98.2</v>
      </c>
      <c r="J8" s="24">
        <f>SUMIFS('ОО-09 (у)'!R:R,'ОО-09 (у)'!Q:Q,E8)</f>
        <v>18</v>
      </c>
      <c r="K8" s="24">
        <f>SUMIFS('ОО-09 (у)'!T:T,'ОО-09 (у)'!S:S,E8)</f>
        <v>0</v>
      </c>
      <c r="L8" s="24">
        <f>SUMIFS('ОО-09 (у)'!V:V,'ОО-09 (у)'!U:U,E8)</f>
        <v>0</v>
      </c>
      <c r="M8" s="40">
        <f t="shared" si="2"/>
        <v>18</v>
      </c>
      <c r="N8" s="24">
        <f>SUMIFS('ОО-09 (м)'!R:R,'ОО-09 (м)'!Q:Q,E8)</f>
        <v>0</v>
      </c>
      <c r="O8" s="24">
        <f>SUMIFS('ОО-09 (м)'!T:T,'ОО-09 (м)'!S:S,E8)</f>
        <v>0</v>
      </c>
      <c r="P8" s="24">
        <f>SUMIFS('ОО-09 (м)'!V:V,'ОО-09 (м)'!U:U,E8)</f>
        <v>0</v>
      </c>
      <c r="Q8" s="40">
        <f t="shared" si="3"/>
        <v>0</v>
      </c>
      <c r="R8" s="40">
        <f>SUMIFS('ОО-ПТИ'!R:R,'ОО-ПТИ'!Q:Q,E8)+SUMIFS('ОО-ПТИ'!T:T,'ОО-ПТИ'!S:S,E8)+SUMIFS('ОО-ПТИ'!V:V,'ЗО-09 (с)'!U:U,E8)</f>
        <v>74.300000000000011</v>
      </c>
      <c r="S8" s="34">
        <f>SUMIFS('ЗО-09'!R:R,'ЗО-09'!Q:Q,E8)+SUMIFS('ЗО-09'!T:T,'ЗО-09'!S:S,E8)+SUMIFS('ЗО-09'!V:V,'ЗО-09'!U:U,E8)</f>
        <v>33</v>
      </c>
      <c r="T8" s="34">
        <f>SUMIFS('ЗО-09 (у)'!R:R,'ЗО-09 (у)'!Q:Q,E8)+SUMIFS('ЗО-09 (у)'!T:T,'ЗО-09 (у)'!S:S,E8)+SUMIFS('ЗО-09 (у)'!V:V,'ЗО-09 (у)'!U:U,E8)</f>
        <v>22</v>
      </c>
      <c r="U8" s="34">
        <f>SUMIFS('ЗО-09 (с)'!R:R,'ЗО-09 (с)'!Q:Q,E8)+SUMIFS('ЗО-09 (с)'!T:T,'ЗО-09 (с)'!S:S,E8)+SUMIFS('ЗО-09 (с)'!V:V,'ЗО-09 (с)'!U:U,E8)</f>
        <v>20</v>
      </c>
      <c r="V8" s="34">
        <f>SUMIFS('ЗО-09 (м)'!R:R,'ЗО-09 (м)'!Q:Q,E8)+SUMIFS('ЗО-09 (м)'!T:T,'ЗО-09 (м)'!S:S,E8)+SUMIFS('ЗО-09 (м)'!V:V,'ЗО-09 (м)'!U:U,E8)</f>
        <v>0</v>
      </c>
      <c r="W8" s="34">
        <f>SUMIFS(ЗО!R:R,ЗО!Q:Q,E8)</f>
        <v>0</v>
      </c>
      <c r="X8" s="34">
        <f>SUMIFS(ООНЕ09!R:R,ООНЕ09!Q:Q,E8)+SUMIFS(ООНЕ09!T:T,ООНЕ09!S:S,E8)</f>
        <v>0</v>
      </c>
      <c r="Y8" s="21"/>
      <c r="Z8" s="106">
        <f t="shared" si="11"/>
        <v>265.5</v>
      </c>
      <c r="AA8" s="34">
        <f t="shared" si="12"/>
        <v>18</v>
      </c>
      <c r="AB8" s="34">
        <f t="shared" si="4"/>
        <v>0.33</v>
      </c>
      <c r="AC8" s="34">
        <f t="shared" si="5"/>
        <v>18</v>
      </c>
      <c r="AD8" s="41">
        <f t="shared" si="6"/>
        <v>2.4E-2</v>
      </c>
      <c r="AE8" s="42">
        <v>0</v>
      </c>
      <c r="AF8" s="26">
        <f t="shared" si="7"/>
        <v>0</v>
      </c>
      <c r="AG8" s="43">
        <f t="shared" si="8"/>
        <v>2.6666666666666665E-2</v>
      </c>
      <c r="AH8" s="42">
        <v>0</v>
      </c>
      <c r="AI8" s="38">
        <f t="shared" si="9"/>
        <v>0</v>
      </c>
      <c r="AJ8" s="43"/>
      <c r="AM8" s="21">
        <f>SUMIFS('ЗО-ВБ'!R:R,'ЗО-ВБ'!Q:Q,E8)</f>
        <v>0</v>
      </c>
      <c r="AN8" s="21">
        <f>SUMIFS(В!R:R,В!Q:Q,E8)</f>
        <v>0</v>
      </c>
      <c r="AO8" s="3">
        <f t="shared" si="10"/>
        <v>0</v>
      </c>
    </row>
    <row r="9" spans="2:48" x14ac:dyDescent="0.25">
      <c r="B9" s="107">
        <v>0.5</v>
      </c>
      <c r="D9" s="21">
        <f t="shared" si="0"/>
        <v>375</v>
      </c>
      <c r="E9" s="44" t="s">
        <v>169</v>
      </c>
      <c r="F9" s="24">
        <f>SUMIFS('ОО-09'!R:R,'ОО-09'!Q:Q,E9)</f>
        <v>463</v>
      </c>
      <c r="G9" s="24">
        <f>SUMIFS('ОО-09'!T:T,'ОО-09'!S:S,E9)</f>
        <v>0</v>
      </c>
      <c r="H9" s="24">
        <f>SUMIFS('ОО-09'!V:V,'ОО-09'!U:U,E9)</f>
        <v>0</v>
      </c>
      <c r="I9" s="40">
        <f t="shared" si="1"/>
        <v>463</v>
      </c>
      <c r="J9" s="24">
        <f>SUMIFS('ОО-09 (у)'!R:R,'ОО-09 (у)'!Q:Q,E9)</f>
        <v>35.5</v>
      </c>
      <c r="K9" s="24">
        <f>SUMIFS('ОО-09 (у)'!T:T,'ОО-09 (у)'!S:S,E9)</f>
        <v>0</v>
      </c>
      <c r="L9" s="24">
        <f>SUMIFS('ОО-09 (у)'!V:V,'ОО-09 (у)'!U:U,E9)</f>
        <v>0</v>
      </c>
      <c r="M9" s="40">
        <f t="shared" si="2"/>
        <v>35.5</v>
      </c>
      <c r="N9" s="24">
        <f>SUMIFS('ОО-09 (м)'!R:R,'ОО-09 (м)'!Q:Q,E9)</f>
        <v>0</v>
      </c>
      <c r="O9" s="24">
        <f>SUMIFS('ОО-09 (м)'!T:T,'ОО-09 (м)'!S:S,E9)</f>
        <v>0</v>
      </c>
      <c r="P9" s="24">
        <f>SUMIFS('ОО-09 (м)'!V:V,'ОО-09 (м)'!U:U,E9)</f>
        <v>0</v>
      </c>
      <c r="Q9" s="40">
        <f t="shared" si="3"/>
        <v>0</v>
      </c>
      <c r="R9" s="40">
        <f>SUMIFS('ОО-ПТИ'!R:R,'ОО-ПТИ'!Q:Q,E9)+SUMIFS('ОО-ПТИ'!T:T,'ОО-ПТИ'!S:S,E9)+SUMIFS('ОО-ПТИ'!V:V,'ЗО-09 (с)'!U:U,E9)</f>
        <v>0</v>
      </c>
      <c r="S9" s="34">
        <f>SUMIFS('ЗО-09'!R:R,'ЗО-09'!Q:Q,E9)+SUMIFS('ЗО-09'!T:T,'ЗО-09'!S:S,E9)+SUMIFS('ЗО-09'!V:V,'ЗО-09'!U:U,E9)</f>
        <v>87.5</v>
      </c>
      <c r="T9" s="34">
        <f>SUMIFS('ЗО-09 (у)'!R:R,'ЗО-09 (у)'!Q:Q,E9)+SUMIFS('ЗО-09 (у)'!T:T,'ЗО-09 (у)'!S:S,E9)+SUMIFS('ЗО-09 (у)'!V:V,'ЗО-09 (у)'!U:U,E9)</f>
        <v>0</v>
      </c>
      <c r="U9" s="34">
        <f>SUMIFS('ЗО-09 (с)'!R:R,'ЗО-09 (с)'!Q:Q,E9)+SUMIFS('ЗО-09 (с)'!T:T,'ЗО-09 (с)'!S:S,E9)+SUMIFS('ЗО-09 (с)'!V:V,'ЗО-09 (с)'!U:U,E9)</f>
        <v>21</v>
      </c>
      <c r="V9" s="34">
        <f>SUMIFS('ЗО-09 (м)'!R:R,'ЗО-09 (м)'!Q:Q,E9)+SUMIFS('ЗО-09 (м)'!T:T,'ЗО-09 (м)'!S:S,E9)+SUMIFS('ЗО-09 (м)'!V:V,'ЗО-09 (м)'!U:U,E9)</f>
        <v>0</v>
      </c>
      <c r="W9" s="34">
        <f>SUMIFS(ЗО!R:R,ЗО!Q:Q,E9)</f>
        <v>0</v>
      </c>
      <c r="X9" s="34">
        <f>SUMIFS(ООНЕ09!R:R,ООНЕ09!Q:Q,E9)+SUMIFS(ООНЕ09!T:T,ООНЕ09!S:S,E9)</f>
        <v>0</v>
      </c>
      <c r="Y9" s="21"/>
      <c r="Z9" s="106">
        <f t="shared" si="11"/>
        <v>607</v>
      </c>
      <c r="AA9" s="34">
        <f t="shared" si="12"/>
        <v>232</v>
      </c>
      <c r="AB9" s="34">
        <f t="shared" si="4"/>
        <v>0.5</v>
      </c>
      <c r="AC9" s="34">
        <f t="shared" si="5"/>
        <v>232</v>
      </c>
      <c r="AD9" s="41">
        <f t="shared" si="6"/>
        <v>0.30933333333333335</v>
      </c>
      <c r="AE9" s="42">
        <v>0.9</v>
      </c>
      <c r="AF9" s="26">
        <f t="shared" si="7"/>
        <v>675</v>
      </c>
      <c r="AG9" s="43">
        <f t="shared" si="8"/>
        <v>-0.65629629629629638</v>
      </c>
      <c r="AH9" s="42">
        <v>0</v>
      </c>
      <c r="AI9" s="38">
        <f t="shared" si="9"/>
        <v>0</v>
      </c>
      <c r="AJ9" s="43"/>
      <c r="AM9" s="21">
        <f>SUMIFS('ЗО-ВБ'!R:R,'ЗО-ВБ'!Q:Q,E9)</f>
        <v>0</v>
      </c>
      <c r="AN9" s="21">
        <f>SUMIFS(В!R:R,В!Q:Q,E9)</f>
        <v>0</v>
      </c>
      <c r="AO9" s="3">
        <f t="shared" si="10"/>
        <v>0</v>
      </c>
    </row>
    <row r="10" spans="2:48" x14ac:dyDescent="0.25">
      <c r="B10" s="107">
        <v>1</v>
      </c>
      <c r="D10" s="21">
        <f t="shared" si="0"/>
        <v>750</v>
      </c>
      <c r="E10" s="44" t="s">
        <v>259</v>
      </c>
      <c r="F10" s="24">
        <f>SUMIFS('ОО-09'!R:R,'ОО-09'!Q:Q,E10)</f>
        <v>231.25</v>
      </c>
      <c r="G10" s="24">
        <f>SUMIFS('ОО-09'!T:T,'ОО-09'!S:S,E10)</f>
        <v>250.7</v>
      </c>
      <c r="H10" s="24">
        <f>SUMIFS('ОО-09'!V:V,'ОО-09'!U:U,E10)</f>
        <v>227.5</v>
      </c>
      <c r="I10" s="40">
        <f t="shared" si="1"/>
        <v>709.45</v>
      </c>
      <c r="J10" s="24">
        <f>SUMIFS('ОО-09 (у)'!R:R,'ОО-09 (у)'!Q:Q,E10)</f>
        <v>0</v>
      </c>
      <c r="K10" s="24">
        <f>SUMIFS('ОО-09 (у)'!T:T,'ОО-09 (у)'!S:S,E10)</f>
        <v>93.2</v>
      </c>
      <c r="L10" s="24">
        <f>SUMIFS('ОО-09 (у)'!V:V,'ОО-09 (у)'!U:U,E10)</f>
        <v>0</v>
      </c>
      <c r="M10" s="40">
        <f t="shared" si="2"/>
        <v>93.2</v>
      </c>
      <c r="N10" s="24">
        <f>SUMIFS('ОО-09 (м)'!R:R,'ОО-09 (м)'!Q:Q,E10)</f>
        <v>0</v>
      </c>
      <c r="O10" s="24">
        <f>SUMIFS('ОО-09 (м)'!T:T,'ОО-09 (м)'!S:S,E10)</f>
        <v>0</v>
      </c>
      <c r="P10" s="24">
        <f>SUMIFS('ОО-09 (м)'!V:V,'ОО-09 (м)'!U:U,E10)</f>
        <v>0</v>
      </c>
      <c r="Q10" s="40">
        <f t="shared" si="3"/>
        <v>0</v>
      </c>
      <c r="R10" s="40">
        <f>SUMIFS('ОО-ПТИ'!R:R,'ОО-ПТИ'!Q:Q,E10)+SUMIFS('ОО-ПТИ'!T:T,'ОО-ПТИ'!S:S,E10)+SUMIFS('ОО-ПТИ'!V:V,'ЗО-09 (с)'!U:U,E10)</f>
        <v>0</v>
      </c>
      <c r="S10" s="34">
        <f>SUMIFS('ЗО-09'!R:R,'ЗО-09'!Q:Q,E10)+SUMIFS('ЗО-09'!T:T,'ЗО-09'!S:S,E10)+SUMIFS('ЗО-09'!V:V,'ЗО-09'!U:U,E10)</f>
        <v>0</v>
      </c>
      <c r="T10" s="34">
        <f>SUMIFS('ЗО-09 (у)'!R:R,'ЗО-09 (у)'!Q:Q,E10)+SUMIFS('ЗО-09 (у)'!T:T,'ЗО-09 (у)'!S:S,E10)+SUMIFS('ЗО-09 (у)'!V:V,'ЗО-09 (у)'!U:U,E10)</f>
        <v>0</v>
      </c>
      <c r="U10" s="34">
        <f>SUMIFS('ЗО-09 (с)'!R:R,'ЗО-09 (с)'!Q:Q,E10)+SUMIFS('ЗО-09 (с)'!T:T,'ЗО-09 (с)'!S:S,E10)+SUMIFS('ЗО-09 (с)'!V:V,'ЗО-09 (с)'!U:U,E10)</f>
        <v>12</v>
      </c>
      <c r="V10" s="34">
        <f>SUMIFS('ЗО-09 (м)'!R:R,'ЗО-09 (м)'!Q:Q,E10)+SUMIFS('ЗО-09 (м)'!T:T,'ЗО-09 (м)'!S:S,E10)+SUMIFS('ЗО-09 (м)'!V:V,'ЗО-09 (м)'!U:U,E10)</f>
        <v>0</v>
      </c>
      <c r="W10" s="34">
        <f>SUMIFS(ЗО!R:R,ЗО!Q:Q,E10)</f>
        <v>0</v>
      </c>
      <c r="X10" s="34">
        <f>SUMIFS(ООНЕ09!R:R,ООНЕ09!Q:Q,E10)+SUMIFS(ООНЕ09!T:T,ООНЕ09!S:S,E10)</f>
        <v>0</v>
      </c>
      <c r="Y10" s="21"/>
      <c r="Z10" s="106">
        <f t="shared" si="11"/>
        <v>814.65000000000009</v>
      </c>
      <c r="AA10" s="34">
        <f t="shared" si="12"/>
        <v>64.650000000000091</v>
      </c>
      <c r="AB10" s="34">
        <f t="shared" si="4"/>
        <v>1</v>
      </c>
      <c r="AC10" s="34">
        <f t="shared" si="5"/>
        <v>64.650000000000091</v>
      </c>
      <c r="AD10" s="41">
        <f t="shared" si="6"/>
        <v>8.6200000000000124E-2</v>
      </c>
      <c r="AE10" s="42">
        <v>0.1</v>
      </c>
      <c r="AF10" s="26">
        <f t="shared" si="7"/>
        <v>75</v>
      </c>
      <c r="AG10" s="43">
        <f t="shared" si="8"/>
        <v>-1.5333333333333202E-2</v>
      </c>
      <c r="AH10" s="42">
        <v>0.2</v>
      </c>
      <c r="AI10" s="38">
        <f t="shared" si="9"/>
        <v>135</v>
      </c>
      <c r="AJ10" s="43">
        <f>AE10+AH10</f>
        <v>0.30000000000000004</v>
      </c>
      <c r="AK10" s="38">
        <f>AJ10*$AS$3</f>
        <v>202.50000000000003</v>
      </c>
      <c r="AM10" s="21">
        <f>SUMIFS('ЗО-ВБ'!R:R,'ЗО-ВБ'!Q:Q,E10)</f>
        <v>0</v>
      </c>
      <c r="AN10" s="21">
        <f>SUMIFS(В!R:R,В!Q:Q,E10)</f>
        <v>0</v>
      </c>
      <c r="AO10" s="3">
        <f>SUM(AM10:AN10)</f>
        <v>0</v>
      </c>
    </row>
    <row r="11" spans="2:48" x14ac:dyDescent="0.25">
      <c r="B11" s="107">
        <v>1</v>
      </c>
      <c r="D11" s="21">
        <f t="shared" si="0"/>
        <v>750</v>
      </c>
      <c r="E11" s="45" t="s">
        <v>81</v>
      </c>
      <c r="F11" s="24">
        <f>SUMIFS('ОО-09'!R:R,'ОО-09'!Q:Q,E11)</f>
        <v>537.84999999999991</v>
      </c>
      <c r="G11" s="24">
        <f>SUMIFS('ОО-09'!T:T,'ОО-09'!S:S,E11)</f>
        <v>428.25</v>
      </c>
      <c r="H11" s="24">
        <f>SUMIFS('ОО-09'!V:V,'ОО-09'!U:U,E11)</f>
        <v>171.5</v>
      </c>
      <c r="I11" s="40">
        <f t="shared" si="1"/>
        <v>1137.5999999999999</v>
      </c>
      <c r="J11" s="24">
        <f>SUMIFS('ОО-09 (у)'!R:R,'ОО-09 (у)'!Q:Q,E11)</f>
        <v>109.3</v>
      </c>
      <c r="K11" s="24">
        <f>SUMIFS('ОО-09 (у)'!T:T,'ОО-09 (у)'!S:S,E11)</f>
        <v>76</v>
      </c>
      <c r="L11" s="24">
        <f>SUMIFS('ОО-09 (у)'!V:V,'ОО-09 (у)'!U:U,E11)</f>
        <v>0</v>
      </c>
      <c r="M11" s="40">
        <f t="shared" si="2"/>
        <v>185.3</v>
      </c>
      <c r="N11" s="24">
        <f>SUMIFS('ОО-09 (м)'!R:R,'ОО-09 (м)'!Q:Q,E11)</f>
        <v>440.2</v>
      </c>
      <c r="O11" s="24">
        <f>SUMIFS('ОО-09 (м)'!T:T,'ОО-09 (м)'!S:S,E11)</f>
        <v>0</v>
      </c>
      <c r="P11" s="24">
        <f>SUMIFS('ОО-09 (м)'!V:V,'ОО-09 (м)'!U:U,E11)</f>
        <v>18</v>
      </c>
      <c r="Q11" s="40">
        <f t="shared" si="3"/>
        <v>458.2</v>
      </c>
      <c r="R11" s="40">
        <f>SUMIFS('ОО-ПТИ'!R:R,'ОО-ПТИ'!Q:Q,E11)+SUMIFS('ОО-ПТИ'!T:T,'ОО-ПТИ'!S:S,E11)+SUMIFS('ОО-ПТИ'!V:V,'ЗО-09 (с)'!U:U,E11)</f>
        <v>0</v>
      </c>
      <c r="S11" s="34">
        <f>SUMIFS('ЗО-09'!R:R,'ЗО-09'!Q:Q,E11)+SUMIFS('ЗО-09'!T:T,'ЗО-09'!S:S,E11)+SUMIFS('ЗО-09'!V:V,'ЗО-09'!U:U,E11)</f>
        <v>130</v>
      </c>
      <c r="T11" s="34">
        <f>SUMIFS('ЗО-09 (у)'!R:R,'ЗО-09 (у)'!Q:Q,E11)+SUMIFS('ЗО-09 (у)'!T:T,'ЗО-09 (у)'!S:S,E11)+SUMIFS('ЗО-09 (у)'!V:V,'ЗО-09 (у)'!U:U,E11)</f>
        <v>0</v>
      </c>
      <c r="U11" s="34">
        <f>SUMIFS('ЗО-09 (с)'!R:R,'ЗО-09 (с)'!Q:Q,E11)+SUMIFS('ЗО-09 (с)'!T:T,'ЗО-09 (с)'!S:S,E11)+SUMIFS('ЗО-09 (с)'!V:V,'ЗО-09 (с)'!U:U,E11)</f>
        <v>0</v>
      </c>
      <c r="V11" s="34">
        <f>SUMIFS('ЗО-09 (м)'!R:R,'ЗО-09 (м)'!Q:Q,E11)+SUMIFS('ЗО-09 (м)'!T:T,'ЗО-09 (м)'!S:S,E11)+SUMIFS('ЗО-09 (м)'!V:V,'ЗО-09 (м)'!U:U,E11)</f>
        <v>37</v>
      </c>
      <c r="W11" s="34">
        <f>SUMIFS(ЗО!R:R,ЗО!Q:Q,E11)</f>
        <v>0</v>
      </c>
      <c r="X11" s="34">
        <f>SUMIFS(ООНЕ09!R:R,ООНЕ09!Q:Q,E11)+SUMIFS(ООНЕ09!T:T,ООНЕ09!S:S,E11)</f>
        <v>0</v>
      </c>
      <c r="Y11" s="21"/>
      <c r="Z11" s="106">
        <f t="shared" si="11"/>
        <v>1948.1</v>
      </c>
      <c r="AA11" s="34">
        <f t="shared" si="12"/>
        <v>1198.0999999999999</v>
      </c>
      <c r="AB11" s="34">
        <f t="shared" si="4"/>
        <v>1</v>
      </c>
      <c r="AC11" s="34">
        <f t="shared" si="5"/>
        <v>1198.0999999999999</v>
      </c>
      <c r="AD11" s="41">
        <f t="shared" si="6"/>
        <v>1.5974666666666666</v>
      </c>
      <c r="AE11" s="42">
        <v>1.5</v>
      </c>
      <c r="AF11" s="26">
        <f t="shared" si="7"/>
        <v>1125</v>
      </c>
      <c r="AG11" s="43">
        <f t="shared" si="8"/>
        <v>0.10829629629629621</v>
      </c>
      <c r="AH11" s="42">
        <v>0</v>
      </c>
      <c r="AI11" s="38">
        <f t="shared" si="9"/>
        <v>0</v>
      </c>
      <c r="AJ11" s="43">
        <v>0</v>
      </c>
      <c r="AK11" s="38">
        <f>AJ11*$AS$3</f>
        <v>0</v>
      </c>
      <c r="AM11" s="21">
        <f>SUMIFS('ЗО-ВБ'!R:R,'ЗО-ВБ'!Q:Q,E11)</f>
        <v>0</v>
      </c>
      <c r="AN11" s="21">
        <f>SUMIFS(В!R:R,В!Q:Q,E11)</f>
        <v>2</v>
      </c>
      <c r="AO11" s="3">
        <f t="shared" si="10"/>
        <v>2</v>
      </c>
    </row>
    <row r="12" spans="2:48" x14ac:dyDescent="0.25">
      <c r="B12" s="107"/>
      <c r="D12" s="21">
        <f>B12*$D$3-C12*800</f>
        <v>0</v>
      </c>
      <c r="E12" s="44" t="s">
        <v>408</v>
      </c>
      <c r="F12" s="24">
        <f>SUMIFS('ОО-09'!R:R,'ОО-09'!Q:Q,E12)</f>
        <v>99</v>
      </c>
      <c r="G12" s="24">
        <f>SUMIFS('ОО-09'!T:T,'ОО-09'!S:S,E12)</f>
        <v>0</v>
      </c>
      <c r="H12" s="24">
        <f>SUMIFS('ОО-09'!V:V,'ОО-09'!U:U,E12)</f>
        <v>0</v>
      </c>
      <c r="I12" s="40">
        <f t="shared" si="1"/>
        <v>99</v>
      </c>
      <c r="J12" s="24">
        <f>SUMIFS('ОО-09 (у)'!R:R,'ОО-09 (у)'!Q:Q,E12)</f>
        <v>79</v>
      </c>
      <c r="K12" s="24">
        <f>SUMIFS('ОО-09 (у)'!T:T,'ОО-09 (у)'!S:S,E12)</f>
        <v>0</v>
      </c>
      <c r="L12" s="24">
        <f>SUMIFS('ОО-09 (у)'!V:V,'ОО-09 (у)'!U:U,E12)</f>
        <v>0</v>
      </c>
      <c r="M12" s="40">
        <f t="shared" si="2"/>
        <v>79</v>
      </c>
      <c r="N12" s="24">
        <f>SUMIFS('ОО-09 (м)'!R:R,'ОО-09 (м)'!Q:Q,E12)</f>
        <v>0</v>
      </c>
      <c r="O12" s="24">
        <f>SUMIFS('ОО-09 (м)'!T:T,'ОО-09 (м)'!S:S,E12)</f>
        <v>0</v>
      </c>
      <c r="P12" s="24">
        <f>SUMIFS('ОО-09 (м)'!V:V,'ОО-09 (м)'!U:U,E12)</f>
        <v>0</v>
      </c>
      <c r="Q12" s="40">
        <f t="shared" si="3"/>
        <v>0</v>
      </c>
      <c r="R12" s="40">
        <f>SUMIFS('ОО-ПТИ'!R:R,'ОО-ПТИ'!Q:Q,E12)+SUMIFS('ОО-ПТИ'!T:T,'ОО-ПТИ'!S:S,E12)+SUMIFS('ОО-ПТИ'!V:V,'ЗО-09 (с)'!U:U,E12)</f>
        <v>0</v>
      </c>
      <c r="S12" s="34">
        <f>SUMIFS('ЗО-09'!R:R,'ЗО-09'!Q:Q,E12)+SUMIFS('ЗО-09'!T:T,'ЗО-09'!S:S,E12)+SUMIFS('ЗО-09'!V:V,'ЗО-09'!U:U,E12)</f>
        <v>0</v>
      </c>
      <c r="T12" s="34">
        <f>SUMIFS('ЗО-09 (у)'!R:R,'ЗО-09 (у)'!Q:Q,E12)+SUMIFS('ЗО-09 (у)'!T:T,'ЗО-09 (у)'!S:S,E12)+SUMIFS('ЗО-09 (у)'!V:V,'ЗО-09 (у)'!U:U,E12)</f>
        <v>23</v>
      </c>
      <c r="U12" s="34">
        <f>SUMIFS('ЗО-09 (с)'!R:R,'ЗО-09 (с)'!Q:Q,E12)+SUMIFS('ЗО-09 (с)'!T:T,'ЗО-09 (с)'!S:S,E12)+SUMIFS('ЗО-09 (с)'!V:V,'ЗО-09 (с)'!U:U,E12)</f>
        <v>80.2</v>
      </c>
      <c r="V12" s="34">
        <f>SUMIFS('ЗО-09 (м)'!R:R,'ЗО-09 (м)'!Q:Q,E12)+SUMIFS('ЗО-09 (м)'!T:T,'ЗО-09 (м)'!S:S,E12)+SUMIFS('ЗО-09 (м)'!V:V,'ЗО-09 (м)'!U:U,E12)</f>
        <v>0</v>
      </c>
      <c r="W12" s="34">
        <f>SUMIFS(ЗО!R:R,ЗО!Q:Q,E12)</f>
        <v>0</v>
      </c>
      <c r="X12" s="34">
        <f>SUMIFS(ООНЕ09!R:R,ООНЕ09!Q:Q,E12)+SUMIFS(ООНЕ09!T:T,ООНЕ09!S:S,E12)</f>
        <v>0</v>
      </c>
      <c r="Y12" s="21"/>
      <c r="Z12" s="106">
        <f t="shared" si="11"/>
        <v>281.2</v>
      </c>
      <c r="AA12" s="34">
        <f t="shared" si="12"/>
        <v>281.2</v>
      </c>
      <c r="AB12" s="34">
        <f t="shared" si="4"/>
        <v>0</v>
      </c>
      <c r="AC12" s="34">
        <f t="shared" si="5"/>
        <v>281.2</v>
      </c>
      <c r="AD12" s="41">
        <f t="shared" si="6"/>
        <v>0.37493333333333334</v>
      </c>
      <c r="AE12" s="42">
        <v>0.4</v>
      </c>
      <c r="AF12" s="26">
        <f t="shared" si="7"/>
        <v>300</v>
      </c>
      <c r="AG12" s="43">
        <f t="shared" si="8"/>
        <v>-2.7851851851851871E-2</v>
      </c>
      <c r="AH12" s="42">
        <v>0.3</v>
      </c>
      <c r="AI12" s="38">
        <f t="shared" si="9"/>
        <v>202.5</v>
      </c>
      <c r="AJ12" s="43">
        <f>AE12+AH12</f>
        <v>0.7</v>
      </c>
      <c r="AK12" s="38">
        <f>AJ12*$AS$3</f>
        <v>472.49999999999994</v>
      </c>
      <c r="AM12" s="21">
        <f>SUMIFS('ЗО-ВБ'!R:R,'ЗО-ВБ'!Q:Q,E12)</f>
        <v>34</v>
      </c>
      <c r="AN12" s="21">
        <f>SUMIFS(В!R:R,В!Q:Q,E12)</f>
        <v>0</v>
      </c>
      <c r="AO12" s="3">
        <f t="shared" si="10"/>
        <v>34</v>
      </c>
    </row>
    <row r="13" spans="2:48" x14ac:dyDescent="0.25">
      <c r="B13" s="107">
        <v>0.5</v>
      </c>
      <c r="D13" s="21">
        <f t="shared" si="0"/>
        <v>375</v>
      </c>
      <c r="E13" s="44" t="s">
        <v>54</v>
      </c>
      <c r="F13" s="24">
        <f>SUMIFS('ОО-09'!R:R,'ОО-09'!Q:Q,E13)</f>
        <v>0</v>
      </c>
      <c r="G13" s="24">
        <f>SUMIFS('ОО-09'!T:T,'ОО-09'!S:S,E13)</f>
        <v>0</v>
      </c>
      <c r="H13" s="24">
        <f>SUMIFS('ОО-09'!V:V,'ОО-09'!U:U,E13)</f>
        <v>0</v>
      </c>
      <c r="I13" s="40">
        <f t="shared" si="1"/>
        <v>0</v>
      </c>
      <c r="J13" s="24">
        <f>SUMIFS('ОО-09 (у)'!R:R,'ОО-09 (у)'!Q:Q,E13)</f>
        <v>80.400000000000006</v>
      </c>
      <c r="K13" s="24">
        <f>SUMIFS('ОО-09 (у)'!T:T,'ОО-09 (у)'!S:S,E13)</f>
        <v>0</v>
      </c>
      <c r="L13" s="24">
        <f>SUMIFS('ОО-09 (у)'!V:V,'ОО-09 (у)'!U:U,E13)</f>
        <v>0</v>
      </c>
      <c r="M13" s="40">
        <f t="shared" si="2"/>
        <v>80.400000000000006</v>
      </c>
      <c r="N13" s="24">
        <f>SUMIFS('ОО-09 (м)'!R:R,'ОО-09 (м)'!Q:Q,E13)</f>
        <v>133</v>
      </c>
      <c r="O13" s="24">
        <f>SUMIFS('ОО-09 (м)'!T:T,'ОО-09 (м)'!S:S,E13)</f>
        <v>42</v>
      </c>
      <c r="P13" s="24">
        <f>SUMIFS('ОО-09 (м)'!V:V,'ОО-09 (м)'!U:U,E13)</f>
        <v>0</v>
      </c>
      <c r="Q13" s="40">
        <f t="shared" si="3"/>
        <v>175</v>
      </c>
      <c r="R13" s="40">
        <f>SUMIFS('ОО-ПТИ'!R:R,'ОО-ПТИ'!Q:Q,E13)+SUMIFS('ОО-ПТИ'!T:T,'ОО-ПТИ'!S:S,E13)+SUMIFS('ОО-ПТИ'!V:V,'ЗО-09 (с)'!U:U,E13)</f>
        <v>51</v>
      </c>
      <c r="S13" s="34">
        <f>SUMIFS('ЗО-09'!R:R,'ЗО-09'!Q:Q,E13)+SUMIFS('ЗО-09'!T:T,'ЗО-09'!S:S,E13)+SUMIFS('ЗО-09'!V:V,'ЗО-09'!U:U,E13)</f>
        <v>0</v>
      </c>
      <c r="T13" s="34">
        <f>SUMIFS('ЗО-09 (у)'!R:R,'ЗО-09 (у)'!Q:Q,E13)+SUMIFS('ЗО-09 (у)'!T:T,'ЗО-09 (у)'!S:S,E13)+SUMIFS('ЗО-09 (у)'!V:V,'ЗО-09 (у)'!U:U,E13)</f>
        <v>17</v>
      </c>
      <c r="U13" s="34">
        <f>SUMIFS('ЗО-09 (с)'!R:R,'ЗО-09 (с)'!Q:Q,E13)+SUMIFS('ЗО-09 (с)'!T:T,'ЗО-09 (с)'!S:S,E13)+SUMIFS('ЗО-09 (с)'!V:V,'ЗО-09 (с)'!U:U,E13)</f>
        <v>0</v>
      </c>
      <c r="V13" s="34">
        <f>SUMIFS('ЗО-09 (м)'!R:R,'ЗО-09 (м)'!Q:Q,E13)+SUMIFS('ЗО-09 (м)'!T:T,'ЗО-09 (м)'!S:S,E13)+SUMIFS('ЗО-09 (м)'!V:V,'ЗО-09 (м)'!U:U,E13)</f>
        <v>68.7</v>
      </c>
      <c r="W13" s="34">
        <f>SUMIFS(ЗО!R:R,ЗО!Q:Q,E13)</f>
        <v>0</v>
      </c>
      <c r="X13" s="34">
        <f>SUMIFS(ООНЕ09!R:R,ООНЕ09!Q:Q,E13)+SUMIFS(ООНЕ09!T:T,ООНЕ09!S:S,E13)</f>
        <v>0</v>
      </c>
      <c r="Y13" s="21"/>
      <c r="Z13" s="106">
        <f t="shared" si="11"/>
        <v>392.09999999999997</v>
      </c>
      <c r="AA13" s="34">
        <f t="shared" si="12"/>
        <v>17.099999999999966</v>
      </c>
      <c r="AB13" s="34">
        <f t="shared" si="4"/>
        <v>0.5</v>
      </c>
      <c r="AC13" s="34">
        <f t="shared" si="5"/>
        <v>17.099999999999966</v>
      </c>
      <c r="AD13" s="41">
        <f t="shared" si="6"/>
        <v>2.2799999999999956E-2</v>
      </c>
      <c r="AE13" s="42">
        <v>0.25</v>
      </c>
      <c r="AF13" s="26">
        <f t="shared" si="7"/>
        <v>187.5</v>
      </c>
      <c r="AG13" s="43">
        <f t="shared" si="8"/>
        <v>-0.25244444444444447</v>
      </c>
      <c r="AH13" s="42">
        <v>0.15</v>
      </c>
      <c r="AI13" s="38">
        <f t="shared" si="9"/>
        <v>101.25</v>
      </c>
      <c r="AJ13" s="43">
        <f>AE13+AH13</f>
        <v>0.4</v>
      </c>
      <c r="AK13" s="38">
        <f>AJ13*$AS$3</f>
        <v>270</v>
      </c>
      <c r="AM13" s="21">
        <f>SUMIFS('ЗО-ВБ'!R:R,'ЗО-ВБ'!Q:Q,E13)</f>
        <v>22.8</v>
      </c>
      <c r="AN13" s="21">
        <f>SUMIFS(В!R:R,В!Q:Q,E13)</f>
        <v>21</v>
      </c>
      <c r="AO13" s="3">
        <f t="shared" si="10"/>
        <v>43.8</v>
      </c>
    </row>
    <row r="14" spans="2:48" x14ac:dyDescent="0.25">
      <c r="B14" s="107">
        <v>0.25</v>
      </c>
      <c r="D14" s="21">
        <f t="shared" si="0"/>
        <v>187.5</v>
      </c>
      <c r="E14" s="44" t="s">
        <v>70</v>
      </c>
      <c r="F14" s="24">
        <f>SUMIFS('ОО-09'!R:R,'ОО-09'!Q:Q,E14)</f>
        <v>211.2</v>
      </c>
      <c r="G14" s="24">
        <f>SUMIFS('ОО-09'!T:T,'ОО-09'!S:S,E14)</f>
        <v>0</v>
      </c>
      <c r="H14" s="24">
        <f>SUMIFS('ОО-09'!V:V,'ОО-09'!U:U,E14)</f>
        <v>0</v>
      </c>
      <c r="I14" s="40">
        <f t="shared" si="1"/>
        <v>211.2</v>
      </c>
      <c r="J14" s="24">
        <f>SUMIFS('ОО-09 (у)'!R:R,'ОО-09 (у)'!Q:Q,E14)</f>
        <v>125.4</v>
      </c>
      <c r="K14" s="24">
        <f>SUMIFS('ОО-09 (у)'!T:T,'ОО-09 (у)'!S:S,E14)</f>
        <v>0</v>
      </c>
      <c r="L14" s="24">
        <f>SUMIFS('ОО-09 (у)'!V:V,'ОО-09 (у)'!U:U,E14)</f>
        <v>0</v>
      </c>
      <c r="M14" s="40">
        <f t="shared" si="2"/>
        <v>125.4</v>
      </c>
      <c r="N14" s="24">
        <f>SUMIFS('ОО-09 (м)'!R:R,'ОО-09 (м)'!Q:Q,E14)</f>
        <v>56</v>
      </c>
      <c r="O14" s="24">
        <f>SUMIFS('ОО-09 (м)'!T:T,'ОО-09 (м)'!S:S,E14)</f>
        <v>0</v>
      </c>
      <c r="P14" s="24">
        <f>SUMIFS('ОО-09 (м)'!V:V,'ОО-09 (м)'!U:U,E14)</f>
        <v>0</v>
      </c>
      <c r="Q14" s="40">
        <f t="shared" si="3"/>
        <v>56</v>
      </c>
      <c r="R14" s="40">
        <f>SUMIFS('ОО-ПТИ'!R:R,'ОО-ПТИ'!Q:Q,E14)+SUMIFS('ОО-ПТИ'!T:T,'ОО-ПТИ'!S:S,E14)+SUMIFS('ОО-ПТИ'!V:V,'ЗО-09 (с)'!U:U,E14)</f>
        <v>0</v>
      </c>
      <c r="S14" s="34">
        <f>SUMIFS('ЗО-09'!R:R,'ЗО-09'!Q:Q,E14)+SUMIFS('ЗО-09'!T:T,'ЗО-09'!S:S,E14)+SUMIFS('ЗО-09'!V:V,'ЗО-09'!U:U,E14)</f>
        <v>40.700000000000003</v>
      </c>
      <c r="T14" s="34">
        <f>SUMIFS('ЗО-09 (у)'!R:R,'ЗО-09 (у)'!Q:Q,E14)+SUMIFS('ЗО-09 (у)'!T:T,'ЗО-09 (у)'!S:S,E14)+SUMIFS('ЗО-09 (у)'!V:V,'ЗО-09 (у)'!U:U,E14)</f>
        <v>52</v>
      </c>
      <c r="U14" s="34">
        <f>SUMIFS('ЗО-09 (с)'!R:R,'ЗО-09 (с)'!Q:Q,E14)+SUMIFS('ЗО-09 (с)'!T:T,'ЗО-09 (с)'!S:S,E14)+SUMIFS('ЗО-09 (с)'!V:V,'ЗО-09 (с)'!U:U,E14)</f>
        <v>73</v>
      </c>
      <c r="V14" s="34">
        <f>SUMIFS('ЗО-09 (м)'!R:R,'ЗО-09 (м)'!Q:Q,E14)+SUMIFS('ЗО-09 (м)'!T:T,'ЗО-09 (м)'!S:S,E14)+SUMIFS('ЗО-09 (м)'!V:V,'ЗО-09 (м)'!U:U,E14)</f>
        <v>21.9</v>
      </c>
      <c r="W14" s="34">
        <f>SUMIFS(ЗО!R:R,ЗО!Q:Q,E14)</f>
        <v>0</v>
      </c>
      <c r="X14" s="34">
        <f>SUMIFS(ООНЕ09!R:R,ООНЕ09!Q:Q,E14)+SUMIFS(ООНЕ09!T:T,ООНЕ09!S:S,E14)</f>
        <v>0</v>
      </c>
      <c r="Y14" s="21"/>
      <c r="Z14" s="106">
        <f t="shared" si="11"/>
        <v>580.19999999999993</v>
      </c>
      <c r="AA14" s="34">
        <f t="shared" si="12"/>
        <v>392.69999999999993</v>
      </c>
      <c r="AB14" s="34">
        <f t="shared" si="4"/>
        <v>0.25</v>
      </c>
      <c r="AC14" s="34">
        <f t="shared" si="5"/>
        <v>392.69999999999993</v>
      </c>
      <c r="AD14" s="41">
        <f t="shared" si="6"/>
        <v>0.52359999999999995</v>
      </c>
      <c r="AE14" s="42">
        <v>0.55000000000000004</v>
      </c>
      <c r="AF14" s="26">
        <f t="shared" si="7"/>
        <v>412.50000000000006</v>
      </c>
      <c r="AG14" s="43">
        <f t="shared" si="8"/>
        <v>-2.9333333333333433E-2</v>
      </c>
      <c r="AH14" s="42">
        <v>0</v>
      </c>
      <c r="AI14" s="38">
        <f t="shared" si="9"/>
        <v>0</v>
      </c>
      <c r="AJ14" s="43"/>
      <c r="AM14" s="21">
        <f>SUMIFS('ЗО-ВБ'!R:R,'ЗО-ВБ'!Q:Q,E14)</f>
        <v>38</v>
      </c>
      <c r="AN14" s="21">
        <f>SUMIFS(В!R:R,В!Q:Q,E14)</f>
        <v>0</v>
      </c>
      <c r="AO14" s="3">
        <f t="shared" si="10"/>
        <v>38</v>
      </c>
    </row>
    <row r="15" spans="2:48" x14ac:dyDescent="0.25">
      <c r="B15" s="107">
        <v>1</v>
      </c>
      <c r="C15" s="30">
        <v>0.1</v>
      </c>
      <c r="D15" s="21">
        <f t="shared" si="0"/>
        <v>670</v>
      </c>
      <c r="E15" s="44" t="s">
        <v>69</v>
      </c>
      <c r="F15" s="24">
        <f>SUMIFS('ОО-09'!R:R,'ОО-09'!Q:Q,E15)</f>
        <v>233.2</v>
      </c>
      <c r="G15" s="24">
        <f>SUMIFS('ОО-09'!T:T,'ОО-09'!S:S,E15)</f>
        <v>68</v>
      </c>
      <c r="H15" s="24">
        <f>SUMIFS('ОО-09'!V:V,'ОО-09'!U:U,E15)</f>
        <v>186</v>
      </c>
      <c r="I15" s="40">
        <f t="shared" si="1"/>
        <v>487.2</v>
      </c>
      <c r="J15" s="24">
        <f>SUMIFS('ОО-09 (у)'!R:R,'ОО-09 (у)'!Q:Q,E15)</f>
        <v>4</v>
      </c>
      <c r="K15" s="24">
        <f>SUMIFS('ОО-09 (у)'!T:T,'ОО-09 (у)'!S:S,E15)</f>
        <v>24</v>
      </c>
      <c r="L15" s="24">
        <f>SUMIFS('ОО-09 (у)'!V:V,'ОО-09 (у)'!U:U,E15)</f>
        <v>0</v>
      </c>
      <c r="M15" s="40">
        <f t="shared" si="2"/>
        <v>28</v>
      </c>
      <c r="N15" s="24">
        <f>SUMIFS('ОО-09 (м)'!R:R,'ОО-09 (м)'!Q:Q,E15)</f>
        <v>0</v>
      </c>
      <c r="O15" s="24">
        <f>SUMIFS('ОО-09 (м)'!T:T,'ОО-09 (м)'!S:S,E15)</f>
        <v>0</v>
      </c>
      <c r="P15" s="24">
        <f>SUMIFS('ОО-09 (м)'!V:V,'ОО-09 (м)'!U:U,E15)</f>
        <v>0</v>
      </c>
      <c r="Q15" s="40">
        <f t="shared" si="3"/>
        <v>0</v>
      </c>
      <c r="R15" s="40">
        <f>SUMIFS('ОО-ПТИ'!R:R,'ОО-ПТИ'!Q:Q,E15)+SUMIFS('ОО-ПТИ'!T:T,'ОО-ПТИ'!S:S,E15)+SUMIFS('ОО-ПТИ'!V:V,'ЗО-09 (с)'!U:U,E15)</f>
        <v>0</v>
      </c>
      <c r="S15" s="34">
        <f>SUMIFS('ЗО-09'!R:R,'ЗО-09'!Q:Q,E15)+SUMIFS('ЗО-09'!T:T,'ЗО-09'!S:S,E15)+SUMIFS('ЗО-09'!V:V,'ЗО-09'!U:U,E15)</f>
        <v>37</v>
      </c>
      <c r="T15" s="34">
        <f>SUMIFS('ЗО-09 (у)'!R:R,'ЗО-09 (у)'!Q:Q,E15)+SUMIFS('ЗО-09 (у)'!T:T,'ЗО-09 (у)'!S:S,E15)+SUMIFS('ЗО-09 (у)'!V:V,'ЗО-09 (у)'!U:U,E15)</f>
        <v>12</v>
      </c>
      <c r="U15" s="34">
        <f>SUMIFS('ЗО-09 (с)'!R:R,'ЗО-09 (с)'!Q:Q,E15)+SUMIFS('ЗО-09 (с)'!T:T,'ЗО-09 (с)'!S:S,E15)+SUMIFS('ЗО-09 (с)'!V:V,'ЗО-09 (с)'!U:U,E15)</f>
        <v>16</v>
      </c>
      <c r="V15" s="34">
        <f>SUMIFS('ЗО-09 (м)'!R:R,'ЗО-09 (м)'!Q:Q,E15)+SUMIFS('ЗО-09 (м)'!T:T,'ЗО-09 (м)'!S:S,E15)+SUMIFS('ЗО-09 (м)'!V:V,'ЗО-09 (м)'!U:U,E15)</f>
        <v>0</v>
      </c>
      <c r="W15" s="34">
        <f>SUMIFS(ЗО!R:R,ЗО!Q:Q,E15)</f>
        <v>0</v>
      </c>
      <c r="X15" s="34">
        <f>SUMIFS(ООНЕ09!R:R,ООНЕ09!Q:Q,E15)+SUMIFS(ООНЕ09!T:T,ООНЕ09!S:S,E15)</f>
        <v>277</v>
      </c>
      <c r="Y15" s="21"/>
      <c r="Z15" s="106">
        <f t="shared" si="11"/>
        <v>857.2</v>
      </c>
      <c r="AA15" s="34">
        <f t="shared" si="12"/>
        <v>187.20000000000005</v>
      </c>
      <c r="AB15" s="34">
        <f t="shared" si="4"/>
        <v>0.9</v>
      </c>
      <c r="AC15" s="34">
        <f t="shared" si="5"/>
        <v>182.20000000000005</v>
      </c>
      <c r="AD15" s="41">
        <f t="shared" si="6"/>
        <v>0.24293333333333339</v>
      </c>
      <c r="AE15" s="42">
        <v>0</v>
      </c>
      <c r="AF15" s="26">
        <f t="shared" si="7"/>
        <v>0</v>
      </c>
      <c r="AG15" s="43">
        <f t="shared" si="8"/>
        <v>0.26992592592592601</v>
      </c>
      <c r="AH15" s="42">
        <v>0.1</v>
      </c>
      <c r="AI15" s="38">
        <f t="shared" si="9"/>
        <v>67.5</v>
      </c>
      <c r="AJ15" s="43">
        <f t="shared" ref="AJ15:AJ21" si="13">AE15+AH15</f>
        <v>0.1</v>
      </c>
      <c r="AK15" s="38">
        <f t="shared" ref="AK15:AK21" si="14">AJ15*$AS$3</f>
        <v>67.5</v>
      </c>
      <c r="AM15" s="21">
        <f>SUMIFS('ЗО-ВБ'!R:R,'ЗО-ВБ'!Q:Q,E15)</f>
        <v>18.2</v>
      </c>
      <c r="AN15" s="21">
        <f>SUMIFS(В!R:R,В!Q:Q,E15)</f>
        <v>0</v>
      </c>
      <c r="AO15" s="3">
        <f t="shared" si="10"/>
        <v>18.2</v>
      </c>
    </row>
    <row r="16" spans="2:48" x14ac:dyDescent="0.25">
      <c r="B16" s="107">
        <v>0.25</v>
      </c>
      <c r="D16" s="21">
        <f t="shared" si="0"/>
        <v>187.5</v>
      </c>
      <c r="E16" s="45" t="s">
        <v>95</v>
      </c>
      <c r="F16" s="24">
        <f>SUMIFS('ОО-09'!R:R,'ОО-09'!Q:Q,E16)</f>
        <v>81.900000000000006</v>
      </c>
      <c r="G16" s="24">
        <f>SUMIFS('ОО-09'!T:T,'ОО-09'!S:S,E16)</f>
        <v>112</v>
      </c>
      <c r="H16" s="24">
        <f>SUMIFS('ОО-09'!V:V,'ОО-09'!U:U,E16)</f>
        <v>0</v>
      </c>
      <c r="I16" s="40">
        <f t="shared" si="1"/>
        <v>193.9</v>
      </c>
      <c r="J16" s="24">
        <f>SUMIFS('ОО-09 (у)'!R:R,'ОО-09 (у)'!Q:Q,E16)</f>
        <v>32.5</v>
      </c>
      <c r="K16" s="24">
        <f>SUMIFS('ОО-09 (у)'!T:T,'ОО-09 (у)'!S:S,E16)</f>
        <v>0</v>
      </c>
      <c r="L16" s="24">
        <f>SUMIFS('ОО-09 (у)'!V:V,'ОО-09 (у)'!U:U,E16)</f>
        <v>0</v>
      </c>
      <c r="M16" s="40">
        <f t="shared" si="2"/>
        <v>32.5</v>
      </c>
      <c r="N16" s="24">
        <f>SUMIFS('ОО-09 (м)'!R:R,'ОО-09 (м)'!Q:Q,E16)</f>
        <v>0</v>
      </c>
      <c r="O16" s="24">
        <f>SUMIFS('ОО-09 (м)'!T:T,'ОО-09 (м)'!S:S,E16)</f>
        <v>0</v>
      </c>
      <c r="P16" s="24">
        <f>SUMIFS('ОО-09 (м)'!V:V,'ОО-09 (м)'!U:U,E16)</f>
        <v>0</v>
      </c>
      <c r="Q16" s="40">
        <f t="shared" si="3"/>
        <v>0</v>
      </c>
      <c r="R16" s="40">
        <f>SUMIFS('ОО-ПТИ'!R:R,'ОО-ПТИ'!Q:Q,E16)+SUMIFS('ОО-ПТИ'!T:T,'ОО-ПТИ'!S:S,E16)+SUMIFS('ОО-ПТИ'!V:V,'ЗО-09 (с)'!U:U,E16)</f>
        <v>0</v>
      </c>
      <c r="S16" s="34">
        <f>SUMIFS('ЗО-09'!R:R,'ЗО-09'!Q:Q,E16)+SUMIFS('ЗО-09'!T:T,'ЗО-09'!S:S,E16)+SUMIFS('ЗО-09'!V:V,'ЗО-09'!U:U,E16)</f>
        <v>122.5</v>
      </c>
      <c r="T16" s="34">
        <f>SUMIFS('ЗО-09 (у)'!R:R,'ЗО-09 (у)'!Q:Q,E16)+SUMIFS('ЗО-09 (у)'!T:T,'ЗО-09 (у)'!S:S,E16)+SUMIFS('ЗО-09 (у)'!V:V,'ЗО-09 (у)'!U:U,E16)</f>
        <v>0</v>
      </c>
      <c r="U16" s="34">
        <f>SUMIFS('ЗО-09 (с)'!R:R,'ЗО-09 (с)'!Q:Q,E16)+SUMIFS('ЗО-09 (с)'!T:T,'ЗО-09 (с)'!S:S,E16)+SUMIFS('ЗО-09 (с)'!V:V,'ЗО-09 (с)'!U:U,E16)</f>
        <v>183</v>
      </c>
      <c r="V16" s="34">
        <f>SUMIFS('ЗО-09 (м)'!R:R,'ЗО-09 (м)'!Q:Q,E16)+SUMIFS('ЗО-09 (м)'!T:T,'ЗО-09 (м)'!S:S,E16)+SUMIFS('ЗО-09 (м)'!V:V,'ЗО-09 (м)'!U:U,E16)</f>
        <v>0</v>
      </c>
      <c r="W16" s="34">
        <f>SUMIFS(ЗО!R:R,ЗО!Q:Q,E16)</f>
        <v>0</v>
      </c>
      <c r="X16" s="34">
        <f>SUMIFS(ООНЕ09!R:R,ООНЕ09!Q:Q,E16)+SUMIFS(ООНЕ09!T:T,ООНЕ09!S:S,E16)</f>
        <v>0</v>
      </c>
      <c r="Y16" s="21"/>
      <c r="Z16" s="106">
        <f t="shared" si="11"/>
        <v>531.9</v>
      </c>
      <c r="AA16" s="34">
        <f t="shared" si="12"/>
        <v>344.4</v>
      </c>
      <c r="AB16" s="34">
        <f t="shared" si="4"/>
        <v>0.25</v>
      </c>
      <c r="AC16" s="34">
        <f t="shared" si="5"/>
        <v>344.4</v>
      </c>
      <c r="AD16" s="41">
        <f t="shared" si="6"/>
        <v>0.4592</v>
      </c>
      <c r="AE16" s="42">
        <v>0.3</v>
      </c>
      <c r="AF16" s="26">
        <f t="shared" si="7"/>
        <v>225</v>
      </c>
      <c r="AG16" s="43">
        <f t="shared" si="8"/>
        <v>0.1768888888888889</v>
      </c>
      <c r="AH16" s="42">
        <v>0.1</v>
      </c>
      <c r="AI16" s="38">
        <f t="shared" si="9"/>
        <v>67.5</v>
      </c>
      <c r="AJ16" s="43">
        <f t="shared" si="13"/>
        <v>0.4</v>
      </c>
      <c r="AK16" s="38">
        <f t="shared" si="14"/>
        <v>270</v>
      </c>
      <c r="AM16" s="21">
        <f>SUMIFS('ЗО-ВБ'!R:R,'ЗО-ВБ'!Q:Q,E16)</f>
        <v>45.8</v>
      </c>
      <c r="AN16" s="21">
        <f>SUMIFS(В!R:R,В!Q:Q,E16)</f>
        <v>0</v>
      </c>
      <c r="AO16" s="3">
        <f t="shared" si="10"/>
        <v>45.8</v>
      </c>
    </row>
    <row r="17" spans="2:41" x14ac:dyDescent="0.25">
      <c r="B17" s="107">
        <v>1</v>
      </c>
      <c r="C17" s="30">
        <v>0.1</v>
      </c>
      <c r="D17" s="21">
        <f t="shared" si="0"/>
        <v>670</v>
      </c>
      <c r="E17" s="45" t="s">
        <v>74</v>
      </c>
      <c r="F17" s="24">
        <f>SUMIFS('ОО-09'!R:R,'ОО-09'!Q:Q,E17)</f>
        <v>734.5</v>
      </c>
      <c r="G17" s="24">
        <f>SUMIFS('ОО-09'!T:T,'ОО-09'!S:S,E17)</f>
        <v>6.6</v>
      </c>
      <c r="H17" s="24">
        <f>SUMIFS('ОО-09'!V:V,'ОО-09'!U:U,E17)</f>
        <v>0</v>
      </c>
      <c r="I17" s="40">
        <f t="shared" si="1"/>
        <v>741.1</v>
      </c>
      <c r="J17" s="24">
        <f>SUMIFS('ОО-09 (у)'!R:R,'ОО-09 (у)'!Q:Q,E17)</f>
        <v>96.6</v>
      </c>
      <c r="K17" s="24">
        <f>SUMIFS('ОО-09 (у)'!T:T,'ОО-09 (у)'!S:S,E17)</f>
        <v>9</v>
      </c>
      <c r="L17" s="24">
        <f>SUMIFS('ОО-09 (у)'!V:V,'ОО-09 (у)'!U:U,E17)</f>
        <v>24</v>
      </c>
      <c r="M17" s="40">
        <f t="shared" si="2"/>
        <v>129.6</v>
      </c>
      <c r="N17" s="24">
        <f>SUMIFS('ОО-09 (м)'!R:R,'ОО-09 (м)'!Q:Q,E17)</f>
        <v>38</v>
      </c>
      <c r="O17" s="24">
        <f>SUMIFS('ОО-09 (м)'!T:T,'ОО-09 (м)'!S:S,E17)</f>
        <v>14</v>
      </c>
      <c r="P17" s="24">
        <f>SUMIFS('ОО-09 (м)'!V:V,'ОО-09 (м)'!U:U,E17)</f>
        <v>0</v>
      </c>
      <c r="Q17" s="40">
        <f t="shared" si="3"/>
        <v>52</v>
      </c>
      <c r="R17" s="40">
        <f>SUMIFS('ОО-ПТИ'!R:R,'ОО-ПТИ'!Q:Q,E17)+SUMIFS('ОО-ПТИ'!T:T,'ОО-ПТИ'!S:S,E17)+SUMIFS('ОО-ПТИ'!V:V,'ЗО-09 (с)'!U:U,E17)</f>
        <v>0</v>
      </c>
      <c r="S17" s="34">
        <f>SUMIFS('ЗО-09'!R:R,'ЗО-09'!Q:Q,E17)+SUMIFS('ЗО-09'!T:T,'ЗО-09'!S:S,E17)+SUMIFS('ЗО-09'!V:V,'ЗО-09'!U:U,E17)</f>
        <v>181.79999999999998</v>
      </c>
      <c r="T17" s="34">
        <f>SUMIFS('ЗО-09 (у)'!R:R,'ЗО-09 (у)'!Q:Q,E17)+SUMIFS('ЗО-09 (у)'!T:T,'ЗО-09 (у)'!S:S,E17)+SUMIFS('ЗО-09 (у)'!V:V,'ЗО-09 (у)'!U:U,E17)</f>
        <v>83.6</v>
      </c>
      <c r="U17" s="34">
        <f>SUMIFS('ЗО-09 (с)'!R:R,'ЗО-09 (с)'!Q:Q,E17)+SUMIFS('ЗО-09 (с)'!T:T,'ЗО-09 (с)'!S:S,E17)+SUMIFS('ЗО-09 (с)'!V:V,'ЗО-09 (с)'!U:U,E17)</f>
        <v>167.59999999999997</v>
      </c>
      <c r="V17" s="34">
        <f>SUMIFS('ЗО-09 (м)'!R:R,'ЗО-09 (м)'!Q:Q,E17)+SUMIFS('ЗО-09 (м)'!T:T,'ЗО-09 (м)'!S:S,E17)+SUMIFS('ЗО-09 (м)'!V:V,'ЗО-09 (м)'!U:U,E17)</f>
        <v>14.8</v>
      </c>
      <c r="W17" s="34">
        <f>SUMIFS(ЗО!R:R,ЗО!Q:Q,E17)</f>
        <v>0</v>
      </c>
      <c r="X17" s="34">
        <f>SUMIFS(ООНЕ09!R:R,ООНЕ09!Q:Q,E17)+SUMIFS(ООНЕ09!T:T,ООНЕ09!S:S,E17)</f>
        <v>153.1</v>
      </c>
      <c r="Y17" s="21"/>
      <c r="Z17" s="106">
        <f t="shared" si="11"/>
        <v>1523.5999999999997</v>
      </c>
      <c r="AA17" s="34">
        <f t="shared" si="12"/>
        <v>853.59999999999968</v>
      </c>
      <c r="AB17" s="34">
        <f t="shared" si="4"/>
        <v>0.9</v>
      </c>
      <c r="AC17" s="34">
        <f t="shared" si="5"/>
        <v>848.59999999999968</v>
      </c>
      <c r="AD17" s="41">
        <f t="shared" si="6"/>
        <v>1.1314666666666662</v>
      </c>
      <c r="AE17" s="42">
        <v>1.1000000000000001</v>
      </c>
      <c r="AF17" s="26">
        <f t="shared" si="7"/>
        <v>825.00000000000011</v>
      </c>
      <c r="AG17" s="43">
        <f t="shared" si="8"/>
        <v>3.4962962962962321E-2</v>
      </c>
      <c r="AH17" s="42">
        <v>0.1</v>
      </c>
      <c r="AI17" s="38">
        <f t="shared" si="9"/>
        <v>67.5</v>
      </c>
      <c r="AJ17" s="43">
        <f t="shared" si="13"/>
        <v>1.2000000000000002</v>
      </c>
      <c r="AK17" s="38">
        <f t="shared" si="14"/>
        <v>810.00000000000011</v>
      </c>
      <c r="AM17" s="21">
        <f>SUMIFS('ЗО-ВБ'!R:R,'ЗО-ВБ'!Q:Q,E17)</f>
        <v>4</v>
      </c>
      <c r="AN17" s="21">
        <f>SUMIFS(В!R:R,В!Q:Q,E17)</f>
        <v>0</v>
      </c>
      <c r="AO17" s="3">
        <f t="shared" si="10"/>
        <v>4</v>
      </c>
    </row>
    <row r="18" spans="2:41" x14ac:dyDescent="0.25">
      <c r="B18" s="107">
        <v>0.5</v>
      </c>
      <c r="C18" s="30">
        <v>0.25</v>
      </c>
      <c r="D18" s="21">
        <f t="shared" si="0"/>
        <v>175</v>
      </c>
      <c r="E18" s="45" t="s">
        <v>78</v>
      </c>
      <c r="F18" s="24">
        <f>SUMIFS('ОО-09'!R:R,'ОО-09'!Q:Q,E18)</f>
        <v>387.4</v>
      </c>
      <c r="G18" s="24">
        <f>SUMIFS('ОО-09'!T:T,'ОО-09'!S:S,E18)</f>
        <v>18</v>
      </c>
      <c r="H18" s="24">
        <f>SUMIFS('ОО-09'!V:V,'ОО-09'!U:U,E18)</f>
        <v>24</v>
      </c>
      <c r="I18" s="40">
        <f t="shared" si="1"/>
        <v>429.4</v>
      </c>
      <c r="J18" s="24">
        <f>SUMIFS('ОО-09 (у)'!R:R,'ОО-09 (у)'!Q:Q,E18)</f>
        <v>91.2</v>
      </c>
      <c r="K18" s="24">
        <f>SUMIFS('ОО-09 (у)'!T:T,'ОО-09 (у)'!S:S,E18)</f>
        <v>0</v>
      </c>
      <c r="L18" s="24">
        <f>SUMIFS('ОО-09 (у)'!V:V,'ОО-09 (у)'!U:U,E18)</f>
        <v>12</v>
      </c>
      <c r="M18" s="40">
        <f t="shared" si="2"/>
        <v>103.2</v>
      </c>
      <c r="N18" s="24">
        <f>SUMIFS('ОО-09 (м)'!R:R,'ОО-09 (м)'!Q:Q,E18)</f>
        <v>46</v>
      </c>
      <c r="O18" s="24">
        <f>SUMIFS('ОО-09 (м)'!T:T,'ОО-09 (м)'!S:S,E18)</f>
        <v>0</v>
      </c>
      <c r="P18" s="24">
        <f>SUMIFS('ОО-09 (м)'!V:V,'ОО-09 (м)'!U:U,E18)</f>
        <v>6</v>
      </c>
      <c r="Q18" s="40">
        <f t="shared" si="3"/>
        <v>52</v>
      </c>
      <c r="R18" s="40">
        <f>SUMIFS('ОО-ПТИ'!R:R,'ОО-ПТИ'!Q:Q,E18)+SUMIFS('ОО-ПТИ'!T:T,'ОО-ПТИ'!S:S,E18)+SUMIFS('ОО-ПТИ'!V:V,'ЗО-09 (с)'!U:U,E18)</f>
        <v>0</v>
      </c>
      <c r="S18" s="34">
        <f>SUMIFS('ЗО-09'!R:R,'ЗО-09'!Q:Q,E18)+SUMIFS('ЗО-09'!T:T,'ЗО-09'!S:S,E18)+SUMIFS('ЗО-09'!V:V,'ЗО-09'!U:U,E18)</f>
        <v>113.3</v>
      </c>
      <c r="T18" s="34">
        <f>SUMIFS('ЗО-09 (у)'!R:R,'ЗО-09 (у)'!Q:Q,E18)+SUMIFS('ЗО-09 (у)'!T:T,'ЗО-09 (у)'!S:S,E18)+SUMIFS('ЗО-09 (у)'!V:V,'ЗО-09 (у)'!U:U,E18)</f>
        <v>75.25</v>
      </c>
      <c r="U18" s="34">
        <f>SUMIFS('ЗО-09 (с)'!R:R,'ЗО-09 (с)'!Q:Q,E18)+SUMIFS('ЗО-09 (с)'!T:T,'ЗО-09 (с)'!S:S,E18)+SUMIFS('ЗО-09 (с)'!V:V,'ЗО-09 (с)'!U:U,E18)</f>
        <v>185.25</v>
      </c>
      <c r="V18" s="34">
        <f>SUMIFS('ЗО-09 (м)'!R:R,'ЗО-09 (м)'!Q:Q,E18)+SUMIFS('ЗО-09 (м)'!T:T,'ЗО-09 (м)'!S:S,E18)+SUMIFS('ЗО-09 (м)'!V:V,'ЗО-09 (м)'!U:U,E18)</f>
        <v>45.3</v>
      </c>
      <c r="W18" s="34">
        <f>SUMIFS(ЗО!R:R,ЗО!Q:Q,E18)</f>
        <v>0</v>
      </c>
      <c r="X18" s="34">
        <f>SUMIFS(ООНЕ09!R:R,ООНЕ09!Q:Q,E18)+SUMIFS(ООНЕ09!T:T,ООНЕ09!S:S,E18)</f>
        <v>0</v>
      </c>
      <c r="Y18" s="21"/>
      <c r="Z18" s="106">
        <f t="shared" si="11"/>
        <v>1003.6999999999999</v>
      </c>
      <c r="AA18" s="34">
        <f t="shared" si="12"/>
        <v>828.69999999999993</v>
      </c>
      <c r="AB18" s="34">
        <f t="shared" si="4"/>
        <v>0.25</v>
      </c>
      <c r="AC18" s="34">
        <f t="shared" si="5"/>
        <v>816.19999999999993</v>
      </c>
      <c r="AD18" s="41">
        <f t="shared" si="6"/>
        <v>1.0882666666666665</v>
      </c>
      <c r="AE18" s="42">
        <v>1.1499999999999999</v>
      </c>
      <c r="AF18" s="26">
        <f t="shared" si="7"/>
        <v>862.49999999999989</v>
      </c>
      <c r="AG18" s="43">
        <f t="shared" si="8"/>
        <v>-6.8592592592592691E-2</v>
      </c>
      <c r="AH18" s="42">
        <v>0.15</v>
      </c>
      <c r="AI18" s="38">
        <f t="shared" si="9"/>
        <v>101.25</v>
      </c>
      <c r="AJ18" s="43">
        <f t="shared" si="13"/>
        <v>1.2999999999999998</v>
      </c>
      <c r="AK18" s="38">
        <f t="shared" si="14"/>
        <v>877.49999999999989</v>
      </c>
      <c r="AM18" s="21">
        <f>SUMIFS('ЗО-ВБ'!R:R,'ЗО-ВБ'!Q:Q,E18)</f>
        <v>102.4</v>
      </c>
      <c r="AN18" s="21">
        <f>SUMIFS(В!R:R,В!Q:Q,E18)</f>
        <v>54</v>
      </c>
      <c r="AO18" s="3">
        <f t="shared" si="10"/>
        <v>156.4</v>
      </c>
    </row>
    <row r="19" spans="2:41" x14ac:dyDescent="0.25">
      <c r="B19" s="107">
        <v>0.5</v>
      </c>
      <c r="D19" s="21">
        <f t="shared" si="0"/>
        <v>375</v>
      </c>
      <c r="E19" s="45" t="s">
        <v>281</v>
      </c>
      <c r="F19" s="24">
        <f>SUMIFS('ОО-09'!R:R,'ОО-09'!Q:Q,E19)</f>
        <v>206.2</v>
      </c>
      <c r="G19" s="24">
        <f>SUMIFS('ОО-09'!T:T,'ОО-09'!S:S,E19)</f>
        <v>276.8</v>
      </c>
      <c r="H19" s="24">
        <f>SUMIFS('ОО-09'!V:V,'ОО-09'!U:U,E19)</f>
        <v>40</v>
      </c>
      <c r="I19" s="40">
        <f t="shared" si="1"/>
        <v>523</v>
      </c>
      <c r="J19" s="24">
        <f>SUMIFS('ОО-09 (у)'!R:R,'ОО-09 (у)'!Q:Q,E19)</f>
        <v>187.4</v>
      </c>
      <c r="K19" s="24">
        <f>SUMIFS('ОО-09 (у)'!T:T,'ОО-09 (у)'!S:S,E19)</f>
        <v>89.3</v>
      </c>
      <c r="L19" s="24">
        <f>SUMIFS('ОО-09 (у)'!V:V,'ОО-09 (у)'!U:U,E19)</f>
        <v>0</v>
      </c>
      <c r="M19" s="40">
        <f t="shared" si="2"/>
        <v>276.7</v>
      </c>
      <c r="N19" s="24">
        <f>SUMIFS('ОО-09 (м)'!R:R,'ОО-09 (м)'!Q:Q,E19)</f>
        <v>0</v>
      </c>
      <c r="O19" s="24">
        <f>SUMIFS('ОО-09 (м)'!T:T,'ОО-09 (м)'!S:S,E19)</f>
        <v>32</v>
      </c>
      <c r="P19" s="24">
        <f>SUMIFS('ОО-09 (м)'!V:V,'ОО-09 (м)'!U:U,E19)</f>
        <v>0</v>
      </c>
      <c r="Q19" s="40">
        <f t="shared" si="3"/>
        <v>32</v>
      </c>
      <c r="R19" s="40">
        <f>SUMIFS('ОО-ПТИ'!R:R,'ОО-ПТИ'!Q:Q,E19)+SUMIFS('ОО-ПТИ'!T:T,'ОО-ПТИ'!S:S,E19)+SUMIFS('ОО-ПТИ'!V:V,'ЗО-09 (с)'!U:U,E19)</f>
        <v>0</v>
      </c>
      <c r="S19" s="34">
        <f>SUMIFS('ЗО-09'!R:R,'ЗО-09'!Q:Q,E19)+SUMIFS('ЗО-09'!T:T,'ЗО-09'!S:S,E19)+SUMIFS('ЗО-09'!V:V,'ЗО-09'!U:U,E19)</f>
        <v>27.7</v>
      </c>
      <c r="T19" s="34">
        <f>SUMIFS('ЗО-09 (у)'!R:R,'ЗО-09 (у)'!Q:Q,E19)+SUMIFS('ЗО-09 (у)'!T:T,'ЗО-09 (у)'!S:S,E19)+SUMIFS('ЗО-09 (у)'!V:V,'ЗО-09 (у)'!U:U,E19)</f>
        <v>40</v>
      </c>
      <c r="U19" s="34">
        <f>SUMIFS('ЗО-09 (с)'!R:R,'ЗО-09 (с)'!Q:Q,E19)+SUMIFS('ЗО-09 (с)'!T:T,'ЗО-09 (с)'!S:S,E19)+SUMIFS('ЗО-09 (с)'!V:V,'ЗО-09 (с)'!U:U,E19)</f>
        <v>116</v>
      </c>
      <c r="V19" s="34">
        <f>SUMIFS('ЗО-09 (м)'!R:R,'ЗО-09 (м)'!Q:Q,E19)+SUMIFS('ЗО-09 (м)'!T:T,'ЗО-09 (м)'!S:S,E19)+SUMIFS('ЗО-09 (м)'!V:V,'ЗО-09 (м)'!U:U,E19)</f>
        <v>0</v>
      </c>
      <c r="W19" s="34">
        <f>SUMIFS(ЗО!R:R,ЗО!Q:Q,E19)</f>
        <v>0</v>
      </c>
      <c r="X19" s="34">
        <f>SUMIFS(ООНЕ09!R:R,ООНЕ09!Q:Q,E19)+SUMIFS(ООНЕ09!T:T,ООНЕ09!S:S,E19)</f>
        <v>0</v>
      </c>
      <c r="Y19" s="21"/>
      <c r="Z19" s="106">
        <f t="shared" si="11"/>
        <v>1015.4000000000001</v>
      </c>
      <c r="AA19" s="34">
        <f t="shared" si="12"/>
        <v>640.40000000000009</v>
      </c>
      <c r="AB19" s="34">
        <f t="shared" si="4"/>
        <v>0.5</v>
      </c>
      <c r="AC19" s="34">
        <f t="shared" si="5"/>
        <v>640.40000000000009</v>
      </c>
      <c r="AD19" s="41">
        <f t="shared" si="6"/>
        <v>0.85386666666666677</v>
      </c>
      <c r="AE19" s="42">
        <v>0</v>
      </c>
      <c r="AF19" s="26">
        <f t="shared" si="7"/>
        <v>0</v>
      </c>
      <c r="AG19" s="43">
        <f t="shared" si="8"/>
        <v>0.94874074074074088</v>
      </c>
      <c r="AH19" s="42">
        <v>0.5</v>
      </c>
      <c r="AI19" s="38">
        <f t="shared" si="9"/>
        <v>337.5</v>
      </c>
      <c r="AJ19" s="43">
        <f t="shared" si="13"/>
        <v>0.5</v>
      </c>
      <c r="AK19" s="38">
        <f t="shared" si="14"/>
        <v>337.5</v>
      </c>
      <c r="AM19" s="21">
        <f>SUMIFS('ЗО-ВБ'!R:R,'ЗО-ВБ'!Q:Q,E19)</f>
        <v>0</v>
      </c>
      <c r="AN19" s="21">
        <f>SUMIFS(В!R:R,В!Q:Q,E19)</f>
        <v>0</v>
      </c>
      <c r="AO19" s="3">
        <f>SUM(AM19:AN19)</f>
        <v>0</v>
      </c>
    </row>
    <row r="20" spans="2:41" x14ac:dyDescent="0.25">
      <c r="B20" s="30">
        <v>0.1</v>
      </c>
      <c r="D20" s="21">
        <f t="shared" si="0"/>
        <v>75</v>
      </c>
      <c r="E20" s="45" t="s">
        <v>113</v>
      </c>
      <c r="F20" s="24">
        <f>SUMIFS('ОО-09'!R:R,'ОО-09'!Q:Q,E20)</f>
        <v>0</v>
      </c>
      <c r="G20" s="24">
        <f>SUMIFS('ОО-09'!T:T,'ОО-09'!S:S,E20)</f>
        <v>0</v>
      </c>
      <c r="H20" s="24">
        <f>SUMIFS('ОО-09'!V:V,'ОО-09'!U:U,E20)</f>
        <v>0</v>
      </c>
      <c r="I20" s="40">
        <f t="shared" si="1"/>
        <v>0</v>
      </c>
      <c r="J20" s="24">
        <f>SUMIFS('ОО-09 (у)'!R:R,'ОО-09 (у)'!Q:Q,E20)</f>
        <v>0</v>
      </c>
      <c r="K20" s="24">
        <f>SUMIFS('ОО-09 (у)'!T:T,'ОО-09 (у)'!S:S,E20)</f>
        <v>0</v>
      </c>
      <c r="L20" s="24">
        <f>SUMIFS('ОО-09 (у)'!V:V,'ОО-09 (у)'!U:U,E20)</f>
        <v>0</v>
      </c>
      <c r="M20" s="40">
        <f t="shared" si="2"/>
        <v>0</v>
      </c>
      <c r="N20" s="24">
        <f>SUMIFS('ОО-09 (м)'!R:R,'ОО-09 (м)'!Q:Q,E20)</f>
        <v>0</v>
      </c>
      <c r="O20" s="24">
        <f>SUMIFS('ОО-09 (м)'!T:T,'ОО-09 (м)'!S:S,E20)</f>
        <v>0</v>
      </c>
      <c r="P20" s="24">
        <f>SUMIFS('ОО-09 (м)'!V:V,'ОО-09 (м)'!U:U,E20)</f>
        <v>0</v>
      </c>
      <c r="Q20" s="40">
        <f t="shared" si="3"/>
        <v>0</v>
      </c>
      <c r="R20" s="40">
        <f>SUMIFS('ОО-ПТИ'!R:R,'ОО-ПТИ'!Q:Q,E20)+SUMIFS('ОО-ПТИ'!T:T,'ОО-ПТИ'!S:S,E20)+SUMIFS('ОО-ПТИ'!V:V,'ЗО-09 (с)'!U:U,E20)</f>
        <v>0</v>
      </c>
      <c r="S20" s="34">
        <f>SUMIFS('ЗО-09'!R:R,'ЗО-09'!Q:Q,E20)+SUMIFS('ЗО-09'!T:T,'ЗО-09'!S:S,E20)+SUMIFS('ЗО-09'!V:V,'ЗО-09'!U:U,E20)</f>
        <v>0</v>
      </c>
      <c r="T20" s="34">
        <f>SUMIFS('ЗО-09 (у)'!R:R,'ЗО-09 (у)'!Q:Q,E20)+SUMIFS('ЗО-09 (у)'!T:T,'ЗО-09 (у)'!S:S,E20)+SUMIFS('ЗО-09 (у)'!V:V,'ЗО-09 (у)'!U:U,E20)</f>
        <v>0</v>
      </c>
      <c r="U20" s="34">
        <f>SUMIFS('ЗО-09 (с)'!R:R,'ЗО-09 (с)'!Q:Q,E20)+SUMIFS('ЗО-09 (с)'!T:T,'ЗО-09 (с)'!S:S,E20)+SUMIFS('ЗО-09 (с)'!V:V,'ЗО-09 (с)'!U:U,E20)</f>
        <v>0</v>
      </c>
      <c r="V20" s="34">
        <f>SUMIFS('ЗО-09 (м)'!R:R,'ЗО-09 (м)'!Q:Q,E20)+SUMIFS('ЗО-09 (м)'!T:T,'ЗО-09 (м)'!S:S,E20)+SUMIFS('ЗО-09 (м)'!V:V,'ЗО-09 (м)'!U:U,E20)</f>
        <v>0</v>
      </c>
      <c r="W20" s="34">
        <f>SUMIFS(ЗО!R:R,ЗО!Q:Q,E20)</f>
        <v>0</v>
      </c>
      <c r="X20" s="34">
        <f>SUMIFS(ООНЕ09!R:R,ООНЕ09!Q:Q,E20)+SUMIFS(ООНЕ09!T:T,ООНЕ09!S:S,E20)</f>
        <v>0</v>
      </c>
      <c r="Y20" s="21"/>
      <c r="Z20" s="106">
        <f t="shared" si="11"/>
        <v>0</v>
      </c>
      <c r="AA20" s="34">
        <f t="shared" si="12"/>
        <v>-75</v>
      </c>
      <c r="AB20" s="34">
        <f t="shared" si="4"/>
        <v>0.1</v>
      </c>
      <c r="AC20" s="34">
        <f t="shared" si="5"/>
        <v>-75</v>
      </c>
      <c r="AD20" s="41">
        <f t="shared" si="6"/>
        <v>-0.1</v>
      </c>
      <c r="AE20" s="42">
        <v>0.25</v>
      </c>
      <c r="AF20" s="26">
        <f t="shared" si="7"/>
        <v>187.5</v>
      </c>
      <c r="AG20" s="43">
        <f t="shared" si="8"/>
        <v>-0.3888888888888889</v>
      </c>
      <c r="AH20" s="42">
        <v>0.2</v>
      </c>
      <c r="AI20" s="38">
        <f t="shared" si="9"/>
        <v>135</v>
      </c>
      <c r="AJ20" s="43">
        <f t="shared" si="13"/>
        <v>0.45</v>
      </c>
      <c r="AK20" s="38">
        <f t="shared" si="14"/>
        <v>303.75</v>
      </c>
      <c r="AM20" s="21">
        <f>SUMIFS('ЗО-ВБ'!R:R,'ЗО-ВБ'!Q:Q,E20)</f>
        <v>0</v>
      </c>
      <c r="AN20" s="21">
        <f>SUMIFS(В!R:R,В!Q:Q,E20)</f>
        <v>0</v>
      </c>
      <c r="AO20" s="3">
        <f t="shared" si="10"/>
        <v>0</v>
      </c>
    </row>
    <row r="21" spans="2:41" x14ac:dyDescent="0.25">
      <c r="B21" s="107">
        <v>1</v>
      </c>
      <c r="C21" s="30">
        <v>0.1</v>
      </c>
      <c r="D21" s="21">
        <f t="shared" si="0"/>
        <v>670</v>
      </c>
      <c r="E21" s="45" t="s">
        <v>68</v>
      </c>
      <c r="F21" s="24">
        <f>SUMIFS('ОО-09'!R:R,'ОО-09'!Q:Q,E21)</f>
        <v>506.2</v>
      </c>
      <c r="G21" s="24">
        <f>SUMIFS('ОО-09'!T:T,'ОО-09'!S:S,E21)</f>
        <v>0</v>
      </c>
      <c r="H21" s="24">
        <f>SUMIFS('ОО-09'!V:V,'ОО-09'!U:U,E21)</f>
        <v>36</v>
      </c>
      <c r="I21" s="40">
        <f t="shared" si="1"/>
        <v>542.20000000000005</v>
      </c>
      <c r="J21" s="24">
        <f>SUMIFS('ОО-09 (у)'!R:R,'ОО-09 (у)'!Q:Q,E21)</f>
        <v>0</v>
      </c>
      <c r="K21" s="24">
        <f>SUMIFS('ОО-09 (у)'!T:T,'ОО-09 (у)'!S:S,E21)</f>
        <v>0</v>
      </c>
      <c r="L21" s="24">
        <f>SUMIFS('ОО-09 (у)'!V:V,'ОО-09 (у)'!U:U,E21)</f>
        <v>18</v>
      </c>
      <c r="M21" s="40">
        <f t="shared" si="2"/>
        <v>18</v>
      </c>
      <c r="N21" s="24">
        <f>SUMIFS('ОО-09 (м)'!R:R,'ОО-09 (м)'!Q:Q,E21)</f>
        <v>234.3</v>
      </c>
      <c r="O21" s="24">
        <f>SUMIFS('ОО-09 (м)'!T:T,'ОО-09 (м)'!S:S,E21)</f>
        <v>18</v>
      </c>
      <c r="P21" s="24">
        <f>SUMIFS('ОО-09 (м)'!V:V,'ОО-09 (м)'!U:U,E21)</f>
        <v>0</v>
      </c>
      <c r="Q21" s="40">
        <f t="shared" si="3"/>
        <v>252.3</v>
      </c>
      <c r="R21" s="40">
        <f>SUMIFS('ОО-ПТИ'!R:R,'ОО-ПТИ'!Q:Q,E21)+SUMIFS('ОО-ПТИ'!T:T,'ОО-ПТИ'!S:S,E21)+SUMIFS('ОО-ПТИ'!V:V,'ЗО-09 (с)'!U:U,E21)</f>
        <v>0</v>
      </c>
      <c r="S21" s="34">
        <f>SUMIFS('ЗО-09'!R:R,'ЗО-09'!Q:Q,E21)+SUMIFS('ЗО-09'!T:T,'ЗО-09'!S:S,E21)+SUMIFS('ЗО-09'!V:V,'ЗО-09'!U:U,E21)</f>
        <v>91.199999999999989</v>
      </c>
      <c r="T21" s="34">
        <f>SUMIFS('ЗО-09 (у)'!R:R,'ЗО-09 (у)'!Q:Q,E21)+SUMIFS('ЗО-09 (у)'!T:T,'ЗО-09 (у)'!S:S,E21)+SUMIFS('ЗО-09 (у)'!V:V,'ЗО-09 (у)'!U:U,E21)</f>
        <v>34.6</v>
      </c>
      <c r="U21" s="34">
        <f>SUMIFS('ЗО-09 (с)'!R:R,'ЗО-09 (с)'!Q:Q,E21)+SUMIFS('ЗО-09 (с)'!T:T,'ЗО-09 (с)'!S:S,E21)+SUMIFS('ЗО-09 (с)'!V:V,'ЗО-09 (с)'!U:U,E21)</f>
        <v>62</v>
      </c>
      <c r="V21" s="34">
        <f>SUMIFS('ЗО-09 (м)'!R:R,'ЗО-09 (м)'!Q:Q,E21)+SUMIFS('ЗО-09 (м)'!T:T,'ЗО-09 (м)'!S:S,E21)+SUMIFS('ЗО-09 (м)'!V:V,'ЗО-09 (м)'!U:U,E21)</f>
        <v>34.299999999999997</v>
      </c>
      <c r="W21" s="34">
        <f>SUMIFS(ЗО!R:R,ЗО!Q:Q,E21)</f>
        <v>0</v>
      </c>
      <c r="X21" s="34">
        <f>SUMIFS(ООНЕ09!R:R,ООНЕ09!Q:Q,E21)+SUMIFS(ООНЕ09!T:T,ООНЕ09!S:S,E21)</f>
        <v>0</v>
      </c>
      <c r="Y21" s="21"/>
      <c r="Z21" s="106">
        <f t="shared" si="11"/>
        <v>1034.6000000000001</v>
      </c>
      <c r="AA21" s="34">
        <f t="shared" si="12"/>
        <v>364.60000000000014</v>
      </c>
      <c r="AB21" s="34">
        <f t="shared" si="4"/>
        <v>0.9</v>
      </c>
      <c r="AC21" s="34">
        <f t="shared" si="5"/>
        <v>359.60000000000014</v>
      </c>
      <c r="AD21" s="41">
        <f t="shared" si="6"/>
        <v>0.47946666666666687</v>
      </c>
      <c r="AE21" s="42">
        <v>0.8</v>
      </c>
      <c r="AF21" s="26">
        <f t="shared" si="7"/>
        <v>600</v>
      </c>
      <c r="AG21" s="43">
        <f t="shared" si="8"/>
        <v>-0.35614814814814794</v>
      </c>
      <c r="AH21" s="42">
        <v>0.4</v>
      </c>
      <c r="AI21" s="38">
        <f t="shared" si="9"/>
        <v>270</v>
      </c>
      <c r="AJ21" s="43">
        <f t="shared" si="13"/>
        <v>1.2000000000000002</v>
      </c>
      <c r="AK21" s="38">
        <f t="shared" si="14"/>
        <v>810.00000000000011</v>
      </c>
      <c r="AM21" s="21">
        <f>SUMIFS('ЗО-ВБ'!R:R,'ЗО-ВБ'!Q:Q,E21)</f>
        <v>29.2</v>
      </c>
      <c r="AN21" s="21">
        <f>SUMIFS(В!R:R,В!Q:Q,E21)</f>
        <v>76.5</v>
      </c>
      <c r="AO21" s="3">
        <f t="shared" ref="AO21:AO38" si="15">SUM(AM21:AN21)</f>
        <v>105.7</v>
      </c>
    </row>
    <row r="22" spans="2:41" x14ac:dyDescent="0.25">
      <c r="B22" s="107">
        <v>0.25</v>
      </c>
      <c r="D22" s="21">
        <f t="shared" si="0"/>
        <v>187.5</v>
      </c>
      <c r="E22" s="44" t="s">
        <v>82</v>
      </c>
      <c r="F22" s="24">
        <f>SUMIFS('ОО-09'!R:R,'ОО-09'!Q:Q,E22)</f>
        <v>179</v>
      </c>
      <c r="G22" s="24">
        <f>SUMIFS('ОО-09'!T:T,'ОО-09'!S:S,E22)</f>
        <v>0</v>
      </c>
      <c r="H22" s="24">
        <f>SUMIFS('ОО-09'!V:V,'ОО-09'!U:U,E22)</f>
        <v>18</v>
      </c>
      <c r="I22" s="40">
        <f t="shared" si="1"/>
        <v>197</v>
      </c>
      <c r="J22" s="24">
        <f>SUMIFS('ОО-09 (у)'!R:R,'ОО-09 (у)'!Q:Q,E22)</f>
        <v>52</v>
      </c>
      <c r="K22" s="24">
        <f>SUMIFS('ОО-09 (у)'!T:T,'ОО-09 (у)'!S:S,E22)</f>
        <v>0</v>
      </c>
      <c r="L22" s="24">
        <f>SUMIFS('ОО-09 (у)'!V:V,'ОО-09 (у)'!U:U,E22)</f>
        <v>0</v>
      </c>
      <c r="M22" s="40">
        <f t="shared" si="2"/>
        <v>52</v>
      </c>
      <c r="N22" s="24">
        <f>SUMIFS('ОО-09 (м)'!R:R,'ОО-09 (м)'!Q:Q,E22)</f>
        <v>0</v>
      </c>
      <c r="O22" s="24">
        <f>SUMIFS('ОО-09 (м)'!T:T,'ОО-09 (м)'!S:S,E22)</f>
        <v>0</v>
      </c>
      <c r="P22" s="24">
        <f>SUMIFS('ОО-09 (м)'!V:V,'ОО-09 (м)'!U:U,E22)</f>
        <v>0</v>
      </c>
      <c r="Q22" s="40">
        <f t="shared" si="3"/>
        <v>0</v>
      </c>
      <c r="R22" s="40">
        <f>SUMIFS('ОО-ПТИ'!R:R,'ОО-ПТИ'!Q:Q,E22)+SUMIFS('ОО-ПТИ'!T:T,'ОО-ПТИ'!S:S,E22)+SUMIFS('ОО-ПТИ'!V:V,'ЗО-09 (с)'!U:U,E22)</f>
        <v>0</v>
      </c>
      <c r="S22" s="34">
        <f>SUMIFS('ЗО-09'!R:R,'ЗО-09'!Q:Q,E22)+SUMIFS('ЗО-09'!T:T,'ЗО-09'!S:S,E22)+SUMIFS('ЗО-09'!V:V,'ЗО-09'!U:U,E22)</f>
        <v>0</v>
      </c>
      <c r="T22" s="34">
        <f>SUMIFS('ЗО-09 (у)'!R:R,'ЗО-09 (у)'!Q:Q,E22)+SUMIFS('ЗО-09 (у)'!T:T,'ЗО-09 (у)'!S:S,E22)+SUMIFS('ЗО-09 (у)'!V:V,'ЗО-09 (у)'!U:U,E22)</f>
        <v>0</v>
      </c>
      <c r="U22" s="34">
        <f>SUMIFS('ЗО-09 (с)'!R:R,'ЗО-09 (с)'!Q:Q,E22)+SUMIFS('ЗО-09 (с)'!T:T,'ЗО-09 (с)'!S:S,E22)+SUMIFS('ЗО-09 (с)'!V:V,'ЗО-09 (с)'!U:U,E22)</f>
        <v>12</v>
      </c>
      <c r="V22" s="34">
        <f>SUMIFS('ЗО-09 (м)'!R:R,'ЗО-09 (м)'!Q:Q,E22)+SUMIFS('ЗО-09 (м)'!T:T,'ЗО-09 (м)'!S:S,E22)+SUMIFS('ЗО-09 (м)'!V:V,'ЗО-09 (м)'!U:U,E22)</f>
        <v>0</v>
      </c>
      <c r="W22" s="34">
        <f>SUMIFS(ЗО!R:R,ЗО!Q:Q,E22)</f>
        <v>0</v>
      </c>
      <c r="X22" s="34">
        <f>SUMIFS(ООНЕ09!R:R,ООНЕ09!Q:Q,E22)+SUMIFS(ООНЕ09!T:T,ООНЕ09!S:S,E22)</f>
        <v>0</v>
      </c>
      <c r="Y22" s="21"/>
      <c r="Z22" s="106">
        <f t="shared" si="11"/>
        <v>261</v>
      </c>
      <c r="AA22" s="34">
        <f t="shared" si="12"/>
        <v>73.5</v>
      </c>
      <c r="AB22" s="34">
        <f t="shared" si="4"/>
        <v>0.25</v>
      </c>
      <c r="AC22" s="34">
        <f t="shared" si="5"/>
        <v>73.5</v>
      </c>
      <c r="AD22" s="41">
        <f t="shared" si="6"/>
        <v>9.8000000000000004E-2</v>
      </c>
      <c r="AE22" s="42">
        <v>0.1</v>
      </c>
      <c r="AF22" s="26">
        <f t="shared" si="7"/>
        <v>75</v>
      </c>
      <c r="AG22" s="43">
        <f t="shared" si="8"/>
        <v>-2.2222222222222244E-3</v>
      </c>
      <c r="AH22" s="42">
        <v>0</v>
      </c>
      <c r="AI22" s="38">
        <f t="shared" si="9"/>
        <v>0</v>
      </c>
      <c r="AJ22" s="43"/>
      <c r="AM22" s="21">
        <f>SUMIFS('ЗО-ВБ'!R:R,'ЗО-ВБ'!Q:Q,E22)</f>
        <v>0</v>
      </c>
      <c r="AN22" s="21">
        <f>SUMIFS(В!R:R,В!Q:Q,E22)</f>
        <v>0</v>
      </c>
      <c r="AO22" s="3">
        <f t="shared" si="15"/>
        <v>0</v>
      </c>
    </row>
    <row r="23" spans="2:41" x14ac:dyDescent="0.25">
      <c r="B23" s="107">
        <v>0.3</v>
      </c>
      <c r="D23" s="21">
        <f t="shared" si="0"/>
        <v>225</v>
      </c>
      <c r="E23" s="45" t="s">
        <v>325</v>
      </c>
      <c r="F23" s="24">
        <f>SUMIFS('ОО-09'!R:R,'ОО-09'!Q:Q,E23)</f>
        <v>84</v>
      </c>
      <c r="G23" s="24">
        <f>SUMIFS('ОО-09'!T:T,'ОО-09'!S:S,E23)</f>
        <v>72</v>
      </c>
      <c r="H23" s="24">
        <f>SUMIFS('ОО-09'!V:V,'ОО-09'!U:U,E23)</f>
        <v>0</v>
      </c>
      <c r="I23" s="40">
        <f t="shared" si="1"/>
        <v>156</v>
      </c>
      <c r="J23" s="24">
        <f>SUMIFS('ОО-09 (у)'!R:R,'ОО-09 (у)'!Q:Q,E23)</f>
        <v>0</v>
      </c>
      <c r="K23" s="24">
        <f>SUMIFS('ОО-09 (у)'!T:T,'ОО-09 (у)'!S:S,E23)</f>
        <v>18</v>
      </c>
      <c r="L23" s="24">
        <f>SUMIFS('ОО-09 (у)'!V:V,'ОО-09 (у)'!U:U,E23)</f>
        <v>0</v>
      </c>
      <c r="M23" s="40">
        <f t="shared" si="2"/>
        <v>18</v>
      </c>
      <c r="N23" s="24">
        <f>SUMIFS('ОО-09 (м)'!R:R,'ОО-09 (м)'!Q:Q,E23)</f>
        <v>0</v>
      </c>
      <c r="O23" s="24">
        <f>SUMIFS('ОО-09 (м)'!T:T,'ОО-09 (м)'!S:S,E23)</f>
        <v>0</v>
      </c>
      <c r="P23" s="24">
        <f>SUMIFS('ОО-09 (м)'!V:V,'ОО-09 (м)'!U:U,E23)</f>
        <v>0</v>
      </c>
      <c r="Q23" s="40">
        <f t="shared" si="3"/>
        <v>0</v>
      </c>
      <c r="R23" s="40">
        <f>SUMIFS('ОО-ПТИ'!R:R,'ОО-ПТИ'!Q:Q,E23)+SUMIFS('ОО-ПТИ'!T:T,'ОО-ПТИ'!S:S,E23)+SUMIFS('ОО-ПТИ'!V:V,'ЗО-09 (с)'!U:U,E23)</f>
        <v>0</v>
      </c>
      <c r="S23" s="34">
        <f>SUMIFS('ЗО-09'!R:R,'ЗО-09'!Q:Q,E23)+SUMIFS('ЗО-09'!T:T,'ЗО-09'!S:S,E23)+SUMIFS('ЗО-09'!V:V,'ЗО-09'!U:U,E23)</f>
        <v>41</v>
      </c>
      <c r="T23" s="34">
        <f>SUMIFS('ЗО-09 (у)'!R:R,'ЗО-09 (у)'!Q:Q,E23)+SUMIFS('ЗО-09 (у)'!T:T,'ЗО-09 (у)'!S:S,E23)+SUMIFS('ЗО-09 (у)'!V:V,'ЗО-09 (у)'!U:U,E23)</f>
        <v>12</v>
      </c>
      <c r="U23" s="34">
        <f>SUMIFS('ЗО-09 (с)'!R:R,'ЗО-09 (с)'!Q:Q,E23)+SUMIFS('ЗО-09 (с)'!T:T,'ЗО-09 (с)'!S:S,E23)+SUMIFS('ЗО-09 (с)'!V:V,'ЗО-09 (с)'!U:U,E23)</f>
        <v>12</v>
      </c>
      <c r="V23" s="34">
        <f>SUMIFS('ЗО-09 (м)'!R:R,'ЗО-09 (м)'!Q:Q,E23)+SUMIFS('ЗО-09 (м)'!T:T,'ЗО-09 (м)'!S:S,E23)+SUMIFS('ЗО-09 (м)'!V:V,'ЗО-09 (м)'!U:U,E23)</f>
        <v>0</v>
      </c>
      <c r="W23" s="34">
        <f>SUMIFS(ЗО!R:R,ЗО!Q:Q,E23)</f>
        <v>0</v>
      </c>
      <c r="X23" s="34">
        <f>SUMIFS(ООНЕ09!R:R,ООНЕ09!Q:Q,E23)+SUMIFS(ООНЕ09!T:T,ООНЕ09!S:S,E23)</f>
        <v>0</v>
      </c>
      <c r="Y23" s="21"/>
      <c r="Z23" s="106">
        <f t="shared" si="11"/>
        <v>239</v>
      </c>
      <c r="AA23" s="34">
        <f t="shared" si="12"/>
        <v>14</v>
      </c>
      <c r="AB23" s="34">
        <f t="shared" si="4"/>
        <v>0.3</v>
      </c>
      <c r="AC23" s="34">
        <f t="shared" si="5"/>
        <v>14</v>
      </c>
      <c r="AD23" s="41">
        <f t="shared" si="6"/>
        <v>1.8666666666666668E-2</v>
      </c>
      <c r="AF23" s="26">
        <f t="shared" si="7"/>
        <v>0</v>
      </c>
      <c r="AG23" s="43">
        <f t="shared" si="8"/>
        <v>2.074074074074074E-2</v>
      </c>
      <c r="AH23" s="42">
        <v>0</v>
      </c>
      <c r="AI23" s="38">
        <f t="shared" si="9"/>
        <v>0</v>
      </c>
      <c r="AJ23" s="43">
        <f>AE23+AH23</f>
        <v>0</v>
      </c>
      <c r="AK23" s="38">
        <f>AJ23*$AS$3</f>
        <v>0</v>
      </c>
      <c r="AM23" s="21">
        <f>SUMIFS('ЗО-ВБ'!R:R,'ЗО-ВБ'!Q:Q,E23)</f>
        <v>0</v>
      </c>
      <c r="AN23" s="21">
        <f>SUMIFS(В!R:R,В!Q:Q,E23)</f>
        <v>0</v>
      </c>
      <c r="AO23" s="3">
        <f t="shared" si="15"/>
        <v>0</v>
      </c>
    </row>
    <row r="24" spans="2:41" x14ac:dyDescent="0.25">
      <c r="B24" s="107">
        <v>0.5</v>
      </c>
      <c r="D24" s="21">
        <f t="shared" si="0"/>
        <v>375</v>
      </c>
      <c r="E24" s="45" t="s">
        <v>263</v>
      </c>
      <c r="F24" s="24">
        <f>SUMIFS('ОО-09'!R:R,'ОО-09'!Q:Q,E24)</f>
        <v>379</v>
      </c>
      <c r="G24" s="24">
        <f>SUMIFS('ОО-09'!T:T,'ОО-09'!S:S,E24)</f>
        <v>0</v>
      </c>
      <c r="H24" s="24">
        <f>SUMIFS('ОО-09'!V:V,'ОО-09'!U:U,E24)</f>
        <v>0</v>
      </c>
      <c r="I24" s="40">
        <f t="shared" si="1"/>
        <v>379</v>
      </c>
      <c r="J24" s="24">
        <f>SUMIFS('ОО-09 (у)'!R:R,'ОО-09 (у)'!Q:Q,E24)</f>
        <v>32.5</v>
      </c>
      <c r="K24" s="24">
        <f>SUMIFS('ОО-09 (у)'!T:T,'ОО-09 (у)'!S:S,E24)</f>
        <v>0</v>
      </c>
      <c r="L24" s="24">
        <f>SUMIFS('ОО-09 (у)'!V:V,'ОО-09 (у)'!U:U,E24)</f>
        <v>0</v>
      </c>
      <c r="M24" s="40">
        <f t="shared" si="2"/>
        <v>32.5</v>
      </c>
      <c r="N24" s="24">
        <f>SUMIFS('ОО-09 (м)'!R:R,'ОО-09 (м)'!Q:Q,E24)</f>
        <v>0</v>
      </c>
      <c r="O24" s="24">
        <f>SUMIFS('ОО-09 (м)'!T:T,'ОО-09 (м)'!S:S,E24)</f>
        <v>0</v>
      </c>
      <c r="P24" s="24">
        <f>SUMIFS('ОО-09 (м)'!V:V,'ОО-09 (м)'!U:U,E24)</f>
        <v>0</v>
      </c>
      <c r="Q24" s="40">
        <f t="shared" si="3"/>
        <v>0</v>
      </c>
      <c r="R24" s="40">
        <f>SUMIFS('ОО-ПТИ'!R:R,'ОО-ПТИ'!Q:Q,E24)+SUMIFS('ОО-ПТИ'!T:T,'ОО-ПТИ'!S:S,E24)+SUMIFS('ОО-ПТИ'!V:V,'ЗО-09 (с)'!U:U,E24)</f>
        <v>0</v>
      </c>
      <c r="S24" s="34">
        <f>SUMIFS('ЗО-09'!R:R,'ЗО-09'!Q:Q,E24)+SUMIFS('ЗО-09'!T:T,'ЗО-09'!S:S,E24)+SUMIFS('ЗО-09'!V:V,'ЗО-09'!U:U,E24)</f>
        <v>52.2</v>
      </c>
      <c r="T24" s="34">
        <f>SUMIFS('ЗО-09 (у)'!R:R,'ЗО-09 (у)'!Q:Q,E24)+SUMIFS('ЗО-09 (у)'!T:T,'ЗО-09 (у)'!S:S,E24)+SUMIFS('ЗО-09 (у)'!V:V,'ЗО-09 (у)'!U:U,E24)</f>
        <v>0</v>
      </c>
      <c r="U24" s="34">
        <f>SUMIFS('ЗО-09 (с)'!R:R,'ЗО-09 (с)'!Q:Q,E24)+SUMIFS('ЗО-09 (с)'!T:T,'ЗО-09 (с)'!S:S,E24)+SUMIFS('ЗО-09 (с)'!V:V,'ЗО-09 (с)'!U:U,E24)</f>
        <v>0</v>
      </c>
      <c r="V24" s="34">
        <f>SUMIFS('ЗО-09 (м)'!R:R,'ЗО-09 (м)'!Q:Q,E24)+SUMIFS('ЗО-09 (м)'!T:T,'ЗО-09 (м)'!S:S,E24)+SUMIFS('ЗО-09 (м)'!V:V,'ЗО-09 (м)'!U:U,E24)</f>
        <v>0</v>
      </c>
      <c r="W24" s="34">
        <f>SUMIFS(ЗО!R:R,ЗО!Q:Q,E24)</f>
        <v>0</v>
      </c>
      <c r="X24" s="34">
        <f>SUMIFS(ООНЕ09!R:R,ООНЕ09!Q:Q,E24)+SUMIFS(ООНЕ09!T:T,ООНЕ09!S:S,E24)</f>
        <v>0</v>
      </c>
      <c r="Y24" s="21"/>
      <c r="Z24" s="106">
        <f t="shared" si="11"/>
        <v>463.7</v>
      </c>
      <c r="AA24" s="34">
        <f t="shared" si="12"/>
        <v>88.699999999999989</v>
      </c>
      <c r="AB24" s="34">
        <f t="shared" si="4"/>
        <v>0.5</v>
      </c>
      <c r="AC24" s="34">
        <f t="shared" si="5"/>
        <v>88.699999999999989</v>
      </c>
      <c r="AD24" s="41">
        <f t="shared" si="6"/>
        <v>0.11826666666666664</v>
      </c>
      <c r="AF24" s="26">
        <f t="shared" si="7"/>
        <v>0</v>
      </c>
      <c r="AG24" s="43">
        <f t="shared" si="8"/>
        <v>0.13140740740740736</v>
      </c>
      <c r="AH24" s="42">
        <v>0.4</v>
      </c>
      <c r="AI24" s="38">
        <f t="shared" si="9"/>
        <v>270</v>
      </c>
      <c r="AJ24" s="43">
        <f>AE24+AH24</f>
        <v>0.4</v>
      </c>
      <c r="AK24" s="38">
        <f>AJ24*$AS$3</f>
        <v>270</v>
      </c>
      <c r="AM24" s="21">
        <f>SUMIFS('ЗО-ВБ'!R:R,'ЗО-ВБ'!Q:Q,E24)</f>
        <v>0</v>
      </c>
      <c r="AN24" s="21">
        <f>SUMIFS(В!R:R,В!Q:Q,E24)</f>
        <v>0</v>
      </c>
      <c r="AO24" s="3">
        <f t="shared" si="15"/>
        <v>0</v>
      </c>
    </row>
    <row r="25" spans="2:41" x14ac:dyDescent="0.25">
      <c r="B25" s="107">
        <v>0.5</v>
      </c>
      <c r="D25" s="21">
        <f t="shared" si="0"/>
        <v>375</v>
      </c>
      <c r="E25" s="45" t="s">
        <v>327</v>
      </c>
      <c r="F25" s="24">
        <f>SUMIFS('ОО-09'!R:R,'ОО-09'!Q:Q,E25)</f>
        <v>24</v>
      </c>
      <c r="G25" s="24">
        <f>SUMIFS('ОО-09'!T:T,'ОО-09'!S:S,E25)</f>
        <v>287</v>
      </c>
      <c r="H25" s="24">
        <f>SUMIFS('ОО-09'!V:V,'ОО-09'!U:U,E25)</f>
        <v>0</v>
      </c>
      <c r="I25" s="40">
        <f t="shared" si="1"/>
        <v>311</v>
      </c>
      <c r="J25" s="24">
        <f>SUMIFS('ОО-09 (у)'!R:R,'ОО-09 (у)'!Q:Q,E25)</f>
        <v>16</v>
      </c>
      <c r="K25" s="24">
        <f>SUMIFS('ОО-09 (у)'!T:T,'ОО-09 (у)'!S:S,E25)</f>
        <v>0</v>
      </c>
      <c r="L25" s="24">
        <f>SUMIFS('ОО-09 (у)'!V:V,'ОО-09 (у)'!U:U,E25)</f>
        <v>0</v>
      </c>
      <c r="M25" s="40">
        <f t="shared" si="2"/>
        <v>16</v>
      </c>
      <c r="N25" s="24">
        <f>SUMIFS('ОО-09 (м)'!R:R,'ОО-09 (м)'!Q:Q,E25)</f>
        <v>84</v>
      </c>
      <c r="O25" s="24">
        <f>SUMIFS('ОО-09 (м)'!T:T,'ОО-09 (м)'!S:S,E25)</f>
        <v>0</v>
      </c>
      <c r="P25" s="24">
        <f>SUMIFS('ОО-09 (м)'!V:V,'ОО-09 (м)'!U:U,E25)</f>
        <v>0</v>
      </c>
      <c r="Q25" s="40">
        <f t="shared" si="3"/>
        <v>84</v>
      </c>
      <c r="R25" s="40">
        <f>SUMIFS('ОО-ПТИ'!R:R,'ОО-ПТИ'!Q:Q,E25)+SUMIFS('ОО-ПТИ'!T:T,'ОО-ПТИ'!S:S,E25)+SUMIFS('ОО-ПТИ'!V:V,'ЗО-09 (с)'!U:U,E25)</f>
        <v>270.3</v>
      </c>
      <c r="S25" s="34">
        <f>SUMIFS('ЗО-09'!R:R,'ЗО-09'!Q:Q,E25)+SUMIFS('ЗО-09'!T:T,'ЗО-09'!S:S,E25)+SUMIFS('ЗО-09'!V:V,'ЗО-09'!U:U,E25)</f>
        <v>0</v>
      </c>
      <c r="T25" s="34">
        <f>SUMIFS('ЗО-09 (у)'!R:R,'ЗО-09 (у)'!Q:Q,E25)+SUMIFS('ЗО-09 (у)'!T:T,'ЗО-09 (у)'!S:S,E25)+SUMIFS('ЗО-09 (у)'!V:V,'ЗО-09 (у)'!U:U,E25)</f>
        <v>0</v>
      </c>
      <c r="U25" s="34">
        <f>SUMIFS('ЗО-09 (с)'!R:R,'ЗО-09 (с)'!Q:Q,E25)+SUMIFS('ЗО-09 (с)'!T:T,'ЗО-09 (с)'!S:S,E25)+SUMIFS('ЗО-09 (с)'!V:V,'ЗО-09 (с)'!U:U,E25)</f>
        <v>16</v>
      </c>
      <c r="V25" s="34">
        <f>SUMIFS('ЗО-09 (м)'!R:R,'ЗО-09 (м)'!Q:Q,E25)+SUMIFS('ЗО-09 (м)'!T:T,'ЗО-09 (м)'!S:S,E25)+SUMIFS('ЗО-09 (м)'!V:V,'ЗО-09 (м)'!U:U,E25)</f>
        <v>23.8</v>
      </c>
      <c r="W25" s="34">
        <f>SUMIFS(ЗО!R:R,ЗО!Q:Q,E25)</f>
        <v>0</v>
      </c>
      <c r="X25" s="34">
        <f>SUMIFS(ООНЕ09!R:R,ООНЕ09!Q:Q,E25)+SUMIFS(ООНЕ09!T:T,ООНЕ09!S:S,E25)</f>
        <v>0</v>
      </c>
      <c r="Y25" s="21"/>
      <c r="Z25" s="106">
        <f t="shared" si="11"/>
        <v>721.09999999999991</v>
      </c>
      <c r="AA25" s="34">
        <f t="shared" si="12"/>
        <v>346.09999999999991</v>
      </c>
      <c r="AB25" s="34">
        <f t="shared" si="4"/>
        <v>0.5</v>
      </c>
      <c r="AC25" s="34">
        <f t="shared" si="5"/>
        <v>346.09999999999991</v>
      </c>
      <c r="AD25" s="41">
        <f t="shared" si="6"/>
        <v>0.46146666666666653</v>
      </c>
      <c r="AF25" s="26">
        <f t="shared" si="7"/>
        <v>0</v>
      </c>
      <c r="AG25" s="43">
        <f t="shared" si="8"/>
        <v>0.5127407407407405</v>
      </c>
      <c r="AH25" s="42">
        <v>0.5</v>
      </c>
      <c r="AI25" s="38">
        <f t="shared" si="9"/>
        <v>337.5</v>
      </c>
      <c r="AJ25" s="43">
        <f>AE25+AH25</f>
        <v>0.5</v>
      </c>
      <c r="AK25" s="38">
        <f>AJ25*$AS$3</f>
        <v>337.5</v>
      </c>
      <c r="AM25" s="21">
        <f>SUMIFS('ЗО-ВБ'!R:R,'ЗО-ВБ'!Q:Q,E25)</f>
        <v>0</v>
      </c>
      <c r="AN25" s="21">
        <f>SUMIFS(В!R:R,В!Q:Q,E25)</f>
        <v>0</v>
      </c>
      <c r="AO25" s="3">
        <f t="shared" si="15"/>
        <v>0</v>
      </c>
    </row>
    <row r="26" spans="2:41" x14ac:dyDescent="0.25">
      <c r="B26" s="107">
        <v>0.1</v>
      </c>
      <c r="D26" s="21">
        <f t="shared" si="0"/>
        <v>75</v>
      </c>
      <c r="E26" s="45" t="s">
        <v>342</v>
      </c>
      <c r="F26" s="24">
        <f>SUMIFS('ОО-09'!R:R,'ОО-09'!Q:Q,E26)</f>
        <v>0</v>
      </c>
      <c r="G26" s="24">
        <f>SUMIFS('ОО-09'!T:T,'ОО-09'!S:S,E26)</f>
        <v>0</v>
      </c>
      <c r="H26" s="24">
        <f>SUMIFS('ОО-09'!V:V,'ОО-09'!U:U,E26)</f>
        <v>0</v>
      </c>
      <c r="I26" s="40">
        <f t="shared" si="1"/>
        <v>0</v>
      </c>
      <c r="J26" s="24">
        <f>SUMIFS('ОО-09 (у)'!R:R,'ОО-09 (у)'!Q:Q,E26)</f>
        <v>0</v>
      </c>
      <c r="K26" s="24">
        <f>SUMIFS('ОО-09 (у)'!T:T,'ОО-09 (у)'!S:S,E26)</f>
        <v>0</v>
      </c>
      <c r="L26" s="24">
        <f>SUMIFS('ОО-09 (у)'!V:V,'ОО-09 (у)'!U:U,E26)</f>
        <v>0</v>
      </c>
      <c r="M26" s="40">
        <f t="shared" si="2"/>
        <v>0</v>
      </c>
      <c r="N26" s="24">
        <f>SUMIFS('ОО-09 (м)'!R:R,'ОО-09 (м)'!Q:Q,E26)</f>
        <v>0</v>
      </c>
      <c r="O26" s="24">
        <f>SUMIFS('ОО-09 (м)'!T:T,'ОО-09 (м)'!S:S,E26)</f>
        <v>0</v>
      </c>
      <c r="P26" s="24">
        <f>SUMIFS('ОО-09 (м)'!V:V,'ОО-09 (м)'!U:U,E26)</f>
        <v>0</v>
      </c>
      <c r="Q26" s="40">
        <f t="shared" si="3"/>
        <v>0</v>
      </c>
      <c r="R26" s="40">
        <f>SUMIFS('ОО-ПТИ'!R:R,'ОО-ПТИ'!Q:Q,E26)+SUMIFS('ОО-ПТИ'!T:T,'ОО-ПТИ'!S:S,E26)+SUMIFS('ОО-ПТИ'!V:V,'ЗО-09 (с)'!U:U,E26)</f>
        <v>0</v>
      </c>
      <c r="S26" s="34">
        <f>SUMIFS('ЗО-09'!R:R,'ЗО-09'!Q:Q,E26)+SUMIFS('ЗО-09'!T:T,'ЗО-09'!S:S,E26)+SUMIFS('ЗО-09'!V:V,'ЗО-09'!U:U,E26)</f>
        <v>0</v>
      </c>
      <c r="T26" s="34">
        <f>SUMIFS('ЗО-09 (у)'!R:R,'ЗО-09 (у)'!Q:Q,E26)+SUMIFS('ЗО-09 (у)'!T:T,'ЗО-09 (у)'!S:S,E26)+SUMIFS('ЗО-09 (у)'!V:V,'ЗО-09 (у)'!U:U,E26)</f>
        <v>0</v>
      </c>
      <c r="U26" s="34">
        <f>SUMIFS('ЗО-09 (с)'!R:R,'ЗО-09 (с)'!Q:Q,E26)+SUMIFS('ЗО-09 (с)'!T:T,'ЗО-09 (с)'!S:S,E26)+SUMIFS('ЗО-09 (с)'!V:V,'ЗО-09 (с)'!U:U,E26)</f>
        <v>0</v>
      </c>
      <c r="V26" s="34">
        <f>SUMIFS('ЗО-09 (м)'!R:R,'ЗО-09 (м)'!Q:Q,E26)+SUMIFS('ЗО-09 (м)'!T:T,'ЗО-09 (м)'!S:S,E26)+SUMIFS('ЗО-09 (м)'!V:V,'ЗО-09 (м)'!U:U,E26)</f>
        <v>0</v>
      </c>
      <c r="W26" s="34">
        <f>SUMIFS(ЗО!R:R,ЗО!Q:Q,E26)</f>
        <v>0</v>
      </c>
      <c r="X26" s="34">
        <f>SUMIFS(ООНЕ09!R:R,ООНЕ09!Q:Q,E26)+SUMIFS(ООНЕ09!T:T,ООНЕ09!S:S,E26)</f>
        <v>78</v>
      </c>
      <c r="Y26" s="21"/>
      <c r="Z26" s="106">
        <f t="shared" si="11"/>
        <v>78</v>
      </c>
      <c r="AA26" s="34">
        <f t="shared" si="12"/>
        <v>3</v>
      </c>
      <c r="AB26" s="34">
        <f t="shared" si="4"/>
        <v>0.1</v>
      </c>
      <c r="AC26" s="34">
        <f t="shared" si="5"/>
        <v>3</v>
      </c>
      <c r="AD26" s="41">
        <f t="shared" si="6"/>
        <v>4.0000000000000001E-3</v>
      </c>
      <c r="AF26" s="26">
        <f t="shared" si="7"/>
        <v>0</v>
      </c>
      <c r="AG26" s="43">
        <f t="shared" si="8"/>
        <v>4.4444444444444444E-3</v>
      </c>
      <c r="AI26" s="38">
        <f t="shared" si="9"/>
        <v>0</v>
      </c>
      <c r="AJ26" s="43">
        <f>AE26+AH26</f>
        <v>0</v>
      </c>
      <c r="AK26" s="38">
        <f>AJ26*$AS$3</f>
        <v>0</v>
      </c>
      <c r="AM26" s="21">
        <f>SUMIFS('ЗО-ВБ'!R:R,'ЗО-ВБ'!Q:Q,E26)</f>
        <v>0</v>
      </c>
      <c r="AN26" s="21">
        <f>SUMIFS(В!R:R,В!Q:Q,E26)</f>
        <v>0</v>
      </c>
      <c r="AO26" s="3">
        <f t="shared" si="15"/>
        <v>0</v>
      </c>
    </row>
    <row r="27" spans="2:41" x14ac:dyDescent="0.25">
      <c r="B27" s="107">
        <v>0.2</v>
      </c>
      <c r="D27" s="21">
        <f t="shared" si="0"/>
        <v>150</v>
      </c>
      <c r="E27" s="45" t="s">
        <v>345</v>
      </c>
      <c r="F27" s="24">
        <f>SUMIFS('ОО-09'!R:R,'ОО-09'!Q:Q,E27)</f>
        <v>91</v>
      </c>
      <c r="G27" s="24">
        <f>SUMIFS('ОО-09'!T:T,'ОО-09'!S:S,E27)</f>
        <v>0</v>
      </c>
      <c r="H27" s="24">
        <f>SUMIFS('ОО-09'!V:V,'ОО-09'!U:U,E27)</f>
        <v>42</v>
      </c>
      <c r="I27" s="40">
        <f t="shared" si="1"/>
        <v>133</v>
      </c>
      <c r="J27" s="24">
        <f>SUMIFS('ОО-09 (у)'!R:R,'ОО-09 (у)'!Q:Q,E27)</f>
        <v>0</v>
      </c>
      <c r="K27" s="24">
        <f>SUMIFS('ОО-09 (у)'!T:T,'ОО-09 (у)'!S:S,E27)</f>
        <v>0</v>
      </c>
      <c r="L27" s="24">
        <f>SUMIFS('ОО-09 (у)'!V:V,'ОО-09 (у)'!U:U,E27)</f>
        <v>0</v>
      </c>
      <c r="M27" s="40">
        <f t="shared" si="2"/>
        <v>0</v>
      </c>
      <c r="N27" s="24">
        <f>SUMIFS('ОО-09 (м)'!R:R,'ОО-09 (м)'!Q:Q,E27)</f>
        <v>0</v>
      </c>
      <c r="O27" s="24">
        <f>SUMIFS('ОО-09 (м)'!T:T,'ОО-09 (м)'!S:S,E27)</f>
        <v>0</v>
      </c>
      <c r="P27" s="24">
        <f>SUMIFS('ОО-09 (м)'!V:V,'ОО-09 (м)'!U:U,E27)</f>
        <v>0</v>
      </c>
      <c r="Q27" s="40">
        <f t="shared" si="3"/>
        <v>0</v>
      </c>
      <c r="R27" s="40">
        <f>SUMIFS('ОО-ПТИ'!R:R,'ОО-ПТИ'!Q:Q,E27)+SUMIFS('ОО-ПТИ'!T:T,'ОО-ПТИ'!S:S,E27)+SUMIFS('ОО-ПТИ'!V:V,'ЗО-09 (с)'!U:U,E27)</f>
        <v>0</v>
      </c>
      <c r="S27" s="34">
        <f>SUMIFS('ЗО-09'!R:R,'ЗО-09'!Q:Q,E27)+SUMIFS('ЗО-09'!T:T,'ЗО-09'!S:S,E27)+SUMIFS('ЗО-09'!V:V,'ЗО-09'!U:U,E27)</f>
        <v>0</v>
      </c>
      <c r="T27" s="34">
        <f>SUMIFS('ЗО-09 (у)'!R:R,'ЗО-09 (у)'!Q:Q,E27)+SUMIFS('ЗО-09 (у)'!T:T,'ЗО-09 (у)'!S:S,E27)+SUMIFS('ЗО-09 (у)'!V:V,'ЗО-09 (у)'!U:U,E27)</f>
        <v>0</v>
      </c>
      <c r="U27" s="34">
        <f>SUMIFS('ЗО-09 (с)'!R:R,'ЗО-09 (с)'!Q:Q,E27)+SUMIFS('ЗО-09 (с)'!T:T,'ЗО-09 (с)'!S:S,E27)+SUMIFS('ЗО-09 (с)'!V:V,'ЗО-09 (с)'!U:U,E27)</f>
        <v>0</v>
      </c>
      <c r="V27" s="34">
        <f>SUMIFS('ЗО-09 (м)'!R:R,'ЗО-09 (м)'!Q:Q,E27)+SUMIFS('ЗО-09 (м)'!T:T,'ЗО-09 (м)'!S:S,E27)+SUMIFS('ЗО-09 (м)'!V:V,'ЗО-09 (м)'!U:U,E27)</f>
        <v>0</v>
      </c>
      <c r="W27" s="34">
        <f>SUMIFS(ЗО!R:R,ЗО!Q:Q,E27)</f>
        <v>0</v>
      </c>
      <c r="X27" s="34">
        <f>SUMIFS(ООНЕ09!R:R,ООНЕ09!Q:Q,E27)+SUMIFS(ООНЕ09!T:T,ООНЕ09!S:S,E27)</f>
        <v>0</v>
      </c>
      <c r="Y27" s="21"/>
      <c r="Z27" s="106">
        <f t="shared" si="11"/>
        <v>133</v>
      </c>
      <c r="AA27" s="34">
        <f t="shared" si="12"/>
        <v>-17</v>
      </c>
      <c r="AB27" s="34">
        <f t="shared" si="4"/>
        <v>0.2</v>
      </c>
      <c r="AC27" s="34">
        <f t="shared" si="5"/>
        <v>-17</v>
      </c>
      <c r="AD27" s="41">
        <f t="shared" si="6"/>
        <v>-2.2666666666666668E-2</v>
      </c>
      <c r="AF27" s="26">
        <f t="shared" si="7"/>
        <v>0</v>
      </c>
      <c r="AG27" s="43">
        <f t="shared" si="8"/>
        <v>-2.5185185185185189E-2</v>
      </c>
      <c r="AI27" s="38">
        <f t="shared" si="9"/>
        <v>0</v>
      </c>
      <c r="AJ27" s="43">
        <f>AE27+AH27</f>
        <v>0</v>
      </c>
      <c r="AK27" s="38">
        <f>AJ27*$AS$3</f>
        <v>0</v>
      </c>
      <c r="AM27" s="21">
        <f>SUMIFS('ЗО-ВБ'!R:R,'ЗО-ВБ'!Q:Q,E27)</f>
        <v>0</v>
      </c>
      <c r="AN27" s="21">
        <f>SUMIFS(В!R:R,В!Q:Q,E27)</f>
        <v>0</v>
      </c>
      <c r="AO27" s="3">
        <f t="shared" si="15"/>
        <v>0</v>
      </c>
    </row>
    <row r="28" spans="2:41" x14ac:dyDescent="0.25">
      <c r="B28" s="107">
        <v>0.1</v>
      </c>
      <c r="D28" s="21">
        <f t="shared" si="0"/>
        <v>75</v>
      </c>
      <c r="E28" s="45" t="s">
        <v>67</v>
      </c>
      <c r="F28" s="24">
        <f>SUMIFS('ОО-09'!R:R,'ОО-09'!Q:Q,E28)</f>
        <v>0</v>
      </c>
      <c r="G28" s="24">
        <f>SUMIFS('ОО-09'!T:T,'ОО-09'!S:S,E28)</f>
        <v>0</v>
      </c>
      <c r="H28" s="24">
        <f>SUMIFS('ОО-09'!V:V,'ОО-09'!U:U,E28)</f>
        <v>52</v>
      </c>
      <c r="I28" s="40">
        <f t="shared" si="1"/>
        <v>52</v>
      </c>
      <c r="J28" s="24">
        <f>SUMIFS('ОО-09 (у)'!R:R,'ОО-09 (у)'!Q:Q,E28)</f>
        <v>0</v>
      </c>
      <c r="K28" s="24">
        <f>SUMIFS('ОО-09 (у)'!T:T,'ОО-09 (у)'!S:S,E28)</f>
        <v>0</v>
      </c>
      <c r="L28" s="24">
        <f>SUMIFS('ОО-09 (у)'!V:V,'ОО-09 (у)'!U:U,E28)</f>
        <v>0</v>
      </c>
      <c r="M28" s="40">
        <f t="shared" si="2"/>
        <v>0</v>
      </c>
      <c r="N28" s="24">
        <f>SUMIFS('ОО-09 (м)'!R:R,'ОО-09 (м)'!Q:Q,E28)</f>
        <v>0</v>
      </c>
      <c r="O28" s="24">
        <f>SUMIFS('ОО-09 (м)'!T:T,'ОО-09 (м)'!S:S,E28)</f>
        <v>0</v>
      </c>
      <c r="P28" s="24">
        <f>SUMIFS('ОО-09 (м)'!V:V,'ОО-09 (м)'!U:U,E28)</f>
        <v>0</v>
      </c>
      <c r="Q28" s="40">
        <f t="shared" si="3"/>
        <v>0</v>
      </c>
      <c r="R28" s="40">
        <f>SUMIFS('ОО-ПТИ'!R:R,'ОО-ПТИ'!Q:Q,E28)+SUMIFS('ОО-ПТИ'!T:T,'ОО-ПТИ'!S:S,E28)+SUMIFS('ОО-ПТИ'!V:V,'ЗО-09 (с)'!U:U,E28)</f>
        <v>0</v>
      </c>
      <c r="S28" s="34">
        <f>SUMIFS('ЗО-09'!R:R,'ЗО-09'!Q:Q,E28)+SUMIFS('ЗО-09'!T:T,'ЗО-09'!S:S,E28)+SUMIFS('ЗО-09'!V:V,'ЗО-09'!U:U,E28)</f>
        <v>0</v>
      </c>
      <c r="T28" s="34">
        <f>SUMIFS('ЗО-09 (у)'!R:R,'ЗО-09 (у)'!Q:Q,E28)+SUMIFS('ЗО-09 (у)'!T:T,'ЗО-09 (у)'!S:S,E28)+SUMIFS('ЗО-09 (у)'!V:V,'ЗО-09 (у)'!U:U,E28)</f>
        <v>0</v>
      </c>
      <c r="U28" s="34">
        <f>SUMIFS('ЗО-09 (с)'!R:R,'ЗО-09 (с)'!Q:Q,E28)+SUMIFS('ЗО-09 (с)'!T:T,'ЗО-09 (с)'!S:S,E28)+SUMIFS('ЗО-09 (с)'!V:V,'ЗО-09 (с)'!U:U,E28)</f>
        <v>16</v>
      </c>
      <c r="V28" s="34">
        <f>SUMIFS('ЗО-09 (м)'!R:R,'ЗО-09 (м)'!Q:Q,E28)+SUMIFS('ЗО-09 (м)'!T:T,'ЗО-09 (м)'!S:S,E28)+SUMIFS('ЗО-09 (м)'!V:V,'ЗО-09 (м)'!U:U,E28)</f>
        <v>0</v>
      </c>
      <c r="W28" s="34">
        <f>SUMIFS(ЗО!R:R,ЗО!Q:Q,E28)</f>
        <v>0</v>
      </c>
      <c r="X28" s="34">
        <f>SUMIFS(ООНЕ09!R:R,ООНЕ09!Q:Q,E28)+SUMIFS(ООНЕ09!T:T,ООНЕ09!S:S,E28)</f>
        <v>0</v>
      </c>
      <c r="Y28" s="21"/>
      <c r="Z28" s="106">
        <f t="shared" si="11"/>
        <v>68</v>
      </c>
      <c r="AA28" s="34">
        <f t="shared" si="12"/>
        <v>-7</v>
      </c>
      <c r="AB28" s="34">
        <f t="shared" si="4"/>
        <v>0.1</v>
      </c>
      <c r="AC28" s="34">
        <f t="shared" si="5"/>
        <v>-7</v>
      </c>
      <c r="AD28" s="41">
        <f t="shared" si="6"/>
        <v>-9.3333333333333341E-3</v>
      </c>
      <c r="AE28" s="42">
        <v>0</v>
      </c>
      <c r="AF28" s="26">
        <f t="shared" si="7"/>
        <v>0</v>
      </c>
      <c r="AG28" s="43">
        <f t="shared" si="8"/>
        <v>-1.037037037037037E-2</v>
      </c>
      <c r="AH28" s="42">
        <v>0</v>
      </c>
      <c r="AI28" s="38">
        <f t="shared" si="9"/>
        <v>0</v>
      </c>
      <c r="AM28" s="21">
        <f>SUMIFS('ЗО-ВБ'!R:R,'ЗО-ВБ'!Q:Q,E28)</f>
        <v>133.6</v>
      </c>
      <c r="AN28" s="21">
        <f>SUMIFS(В!R:R,В!Q:Q,E28)</f>
        <v>0</v>
      </c>
      <c r="AO28" s="3">
        <f t="shared" si="15"/>
        <v>133.6</v>
      </c>
    </row>
    <row r="29" spans="2:41" x14ac:dyDescent="0.25">
      <c r="B29" s="107">
        <v>0.25</v>
      </c>
      <c r="D29" s="21">
        <f t="shared" si="0"/>
        <v>187.5</v>
      </c>
      <c r="E29" s="45" t="s">
        <v>381</v>
      </c>
      <c r="F29" s="24">
        <f>SUMIFS('ОО-09'!R:R,'ОО-09'!Q:Q,E29)</f>
        <v>0</v>
      </c>
      <c r="G29" s="24">
        <f>SUMIFS('ОО-09'!T:T,'ОО-09'!S:S,E29)</f>
        <v>107.9</v>
      </c>
      <c r="H29" s="24">
        <f>SUMIFS('ОО-09'!V:V,'ОО-09'!U:U,E29)</f>
        <v>0</v>
      </c>
      <c r="I29" s="40">
        <f t="shared" si="1"/>
        <v>107.9</v>
      </c>
      <c r="J29" s="24">
        <f>SUMIFS('ОО-09 (у)'!R:R,'ОО-09 (у)'!Q:Q,E29)</f>
        <v>38.4</v>
      </c>
      <c r="K29" s="24">
        <f>SUMIFS('ОО-09 (у)'!T:T,'ОО-09 (у)'!S:S,E29)</f>
        <v>33.200000000000003</v>
      </c>
      <c r="L29" s="24">
        <f>SUMIFS('ОО-09 (у)'!V:V,'ОО-09 (у)'!U:U,E29)</f>
        <v>0</v>
      </c>
      <c r="M29" s="40">
        <f t="shared" si="2"/>
        <v>71.599999999999994</v>
      </c>
      <c r="N29" s="24">
        <f>SUMIFS('ОО-09 (м)'!R:R,'ОО-09 (м)'!Q:Q,E29)</f>
        <v>0</v>
      </c>
      <c r="O29" s="24">
        <f>SUMIFS('ОО-09 (м)'!T:T,'ОО-09 (м)'!S:S,E29)</f>
        <v>0</v>
      </c>
      <c r="P29" s="24">
        <f>SUMIFS('ОО-09 (м)'!V:V,'ОО-09 (м)'!U:U,E29)</f>
        <v>0</v>
      </c>
      <c r="Q29" s="40">
        <f t="shared" si="3"/>
        <v>0</v>
      </c>
      <c r="R29" s="40">
        <f>SUMIFS('ОО-ПТИ'!R:R,'ОО-ПТИ'!Q:Q,E29)+SUMIFS('ОО-ПТИ'!T:T,'ОО-ПТИ'!S:S,E29)+SUMIFS('ОО-ПТИ'!V:V,'ЗО-09 (с)'!U:U,E29)</f>
        <v>0</v>
      </c>
      <c r="S29" s="34">
        <f>SUMIFS('ЗО-09'!R:R,'ЗО-09'!Q:Q,E29)+SUMIFS('ЗО-09'!T:T,'ЗО-09'!S:S,E29)+SUMIFS('ЗО-09'!V:V,'ЗО-09'!U:U,E29)</f>
        <v>0</v>
      </c>
      <c r="T29" s="34">
        <f>SUMIFS('ЗО-09 (у)'!R:R,'ЗО-09 (у)'!Q:Q,E29)+SUMIFS('ЗО-09 (у)'!T:T,'ЗО-09 (у)'!S:S,E29)+SUMIFS('ЗО-09 (у)'!V:V,'ЗО-09 (у)'!U:U,E29)</f>
        <v>4</v>
      </c>
      <c r="U29" s="34">
        <f>SUMIFS('ЗО-09 (с)'!R:R,'ЗО-09 (с)'!Q:Q,E29)+SUMIFS('ЗО-09 (с)'!T:T,'ЗО-09 (с)'!S:S,E29)+SUMIFS('ЗО-09 (с)'!V:V,'ЗО-09 (с)'!U:U,E29)</f>
        <v>0</v>
      </c>
      <c r="V29" s="34">
        <f>SUMIFS('ЗО-09 (м)'!R:R,'ЗО-09 (м)'!Q:Q,E29)+SUMIFS('ЗО-09 (м)'!T:T,'ЗО-09 (м)'!S:S,E29)+SUMIFS('ЗО-09 (м)'!V:V,'ЗО-09 (м)'!U:U,E29)</f>
        <v>0</v>
      </c>
      <c r="W29" s="34">
        <f>SUMIFS(ЗО!R:R,ЗО!Q:Q,E29)</f>
        <v>0</v>
      </c>
      <c r="X29" s="34">
        <f>SUMIFS(ООНЕ09!R:R,ООНЕ09!Q:Q,E29)+SUMIFS(ООНЕ09!T:T,ООНЕ09!S:S,E29)</f>
        <v>0</v>
      </c>
      <c r="Y29" s="21"/>
      <c r="Z29" s="106">
        <f t="shared" si="11"/>
        <v>183.5</v>
      </c>
      <c r="AA29" s="34">
        <f t="shared" si="12"/>
        <v>-4</v>
      </c>
      <c r="AB29" s="34">
        <f t="shared" si="4"/>
        <v>0.25</v>
      </c>
      <c r="AC29" s="34">
        <f t="shared" si="5"/>
        <v>-4</v>
      </c>
      <c r="AD29" s="41">
        <f t="shared" si="6"/>
        <v>-5.3333333333333332E-3</v>
      </c>
      <c r="AE29" s="42">
        <v>-0.4</v>
      </c>
      <c r="AF29" s="26">
        <f t="shared" si="7"/>
        <v>-300</v>
      </c>
      <c r="AG29" s="43">
        <f t="shared" si="8"/>
        <v>0.43851851851851853</v>
      </c>
      <c r="AH29" s="42">
        <v>-1</v>
      </c>
      <c r="AI29" s="38">
        <f t="shared" si="9"/>
        <v>-675</v>
      </c>
      <c r="AJ29" s="43"/>
      <c r="AM29" s="21">
        <f>SUMIFS('ЗО-ВБ'!R:R,'ЗО-ВБ'!Q:Q,E29)</f>
        <v>0</v>
      </c>
      <c r="AN29" s="21">
        <f>SUMIFS(В!R:R,В!Q:Q,E29)</f>
        <v>0</v>
      </c>
      <c r="AO29" s="3">
        <f t="shared" si="15"/>
        <v>0</v>
      </c>
    </row>
    <row r="30" spans="2:41" x14ac:dyDescent="0.25">
      <c r="D30" s="21">
        <f t="shared" si="0"/>
        <v>0</v>
      </c>
      <c r="E30" s="45" t="s">
        <v>79</v>
      </c>
      <c r="F30" s="24">
        <f>SUMIFS('ОО-09'!R:R,'ОО-09'!Q:Q,E30)</f>
        <v>14</v>
      </c>
      <c r="G30" s="24">
        <f>SUMIFS('ОО-09'!T:T,'ОО-09'!S:S,E30)</f>
        <v>0</v>
      </c>
      <c r="H30" s="24">
        <f>SUMIFS('ОО-09'!V:V,'ОО-09'!U:U,E30)</f>
        <v>36</v>
      </c>
      <c r="I30" s="40">
        <f t="shared" si="1"/>
        <v>50</v>
      </c>
      <c r="J30" s="24">
        <f>SUMIFS('ОО-09 (у)'!R:R,'ОО-09 (у)'!Q:Q,E30)</f>
        <v>51.7</v>
      </c>
      <c r="K30" s="24">
        <f>SUMIFS('ОО-09 (у)'!T:T,'ОО-09 (у)'!S:S,E30)</f>
        <v>14</v>
      </c>
      <c r="L30" s="24">
        <f>SUMIFS('ОО-09 (у)'!V:V,'ОО-09 (у)'!U:U,E30)</f>
        <v>16</v>
      </c>
      <c r="M30" s="40">
        <f t="shared" si="2"/>
        <v>81.7</v>
      </c>
      <c r="N30" s="24">
        <f>SUMIFS('ОО-09 (м)'!R:R,'ОО-09 (м)'!Q:Q,E30)</f>
        <v>308.70000000000005</v>
      </c>
      <c r="O30" s="24">
        <f>SUMIFS('ОО-09 (м)'!T:T,'ОО-09 (м)'!S:S,E30)</f>
        <v>0</v>
      </c>
      <c r="P30" s="24">
        <f>SUMIFS('ОО-09 (м)'!V:V,'ОО-09 (м)'!U:U,E30)</f>
        <v>18</v>
      </c>
      <c r="Q30" s="40">
        <f t="shared" si="3"/>
        <v>326.70000000000005</v>
      </c>
      <c r="R30" s="40">
        <f>SUMIFS('ОО-ПТИ'!R:R,'ОО-ПТИ'!Q:Q,E30)+SUMIFS('ОО-ПТИ'!T:T,'ОО-ПТИ'!S:S,E30)+SUMIFS('ОО-ПТИ'!V:V,'ЗО-09 (с)'!U:U,E30)</f>
        <v>0</v>
      </c>
      <c r="S30" s="34">
        <f>SUMIFS('ЗО-09'!R:R,'ЗО-09'!Q:Q,E30)+SUMIFS('ЗО-09'!T:T,'ЗО-09'!S:S,E30)+SUMIFS('ЗО-09'!V:V,'ЗО-09'!U:U,E30)</f>
        <v>72.5</v>
      </c>
      <c r="T30" s="34">
        <f>SUMIFS('ЗО-09 (у)'!R:R,'ЗО-09 (у)'!Q:Q,E30)+SUMIFS('ЗО-09 (у)'!T:T,'ЗО-09 (у)'!S:S,E30)+SUMIFS('ЗО-09 (у)'!V:V,'ЗО-09 (у)'!U:U,E30)</f>
        <v>50</v>
      </c>
      <c r="U30" s="34">
        <f>SUMIFS('ЗО-09 (с)'!R:R,'ЗО-09 (с)'!Q:Q,E30)+SUMIFS('ЗО-09 (с)'!T:T,'ЗО-09 (с)'!S:S,E30)+SUMIFS('ЗО-09 (с)'!V:V,'ЗО-09 (с)'!U:U,E30)</f>
        <v>78.3</v>
      </c>
      <c r="V30" s="34">
        <f>SUMIFS('ЗО-09 (м)'!R:R,'ЗО-09 (м)'!Q:Q,E30)+SUMIFS('ЗО-09 (м)'!T:T,'ЗО-09 (м)'!S:S,E30)+SUMIFS('ЗО-09 (м)'!V:V,'ЗО-09 (м)'!U:U,E30)</f>
        <v>118.69999999999999</v>
      </c>
      <c r="W30" s="34">
        <f>SUMIFS(ЗО!R:R,ЗО!Q:Q,E30)</f>
        <v>0</v>
      </c>
      <c r="X30" s="34">
        <f>SUMIFS(ООНЕ09!R:R,ООНЕ09!Q:Q,E30)+SUMIFS(ООНЕ09!T:T,ООНЕ09!S:S,E30)</f>
        <v>0</v>
      </c>
      <c r="Y30" s="21"/>
      <c r="Z30" s="106">
        <f t="shared" si="11"/>
        <v>777.90000000000009</v>
      </c>
      <c r="AA30" s="34">
        <f t="shared" si="12"/>
        <v>777.90000000000009</v>
      </c>
      <c r="AB30" s="34">
        <f t="shared" si="4"/>
        <v>0</v>
      </c>
      <c r="AC30" s="34">
        <f t="shared" si="5"/>
        <v>777.90000000000009</v>
      </c>
      <c r="AD30" s="41">
        <f t="shared" si="6"/>
        <v>1.0372000000000001</v>
      </c>
      <c r="AE30" s="42">
        <v>0.6</v>
      </c>
      <c r="AF30" s="26">
        <f t="shared" si="7"/>
        <v>450</v>
      </c>
      <c r="AG30" s="43">
        <f t="shared" si="8"/>
        <v>0.48577777777777797</v>
      </c>
      <c r="AH30" s="42">
        <v>0</v>
      </c>
      <c r="AI30" s="38">
        <f t="shared" si="9"/>
        <v>0</v>
      </c>
      <c r="AJ30" s="43"/>
      <c r="AM30" s="21">
        <f>SUMIFS('ЗО-ВБ'!R:R,'ЗО-ВБ'!Q:Q,E30)</f>
        <v>2</v>
      </c>
      <c r="AN30" s="21">
        <f>SUMIFS(В!R:R,В!Q:Q,E30)</f>
        <v>0</v>
      </c>
      <c r="AO30" s="3">
        <f t="shared" si="15"/>
        <v>2</v>
      </c>
    </row>
    <row r="31" spans="2:41" x14ac:dyDescent="0.25">
      <c r="D31" s="21">
        <f t="shared" si="0"/>
        <v>0</v>
      </c>
      <c r="E31" s="44" t="s">
        <v>80</v>
      </c>
      <c r="F31" s="24">
        <f>SUMIFS('ОО-09'!R:R,'ОО-09'!Q:Q,E31)</f>
        <v>0</v>
      </c>
      <c r="G31" s="24">
        <f>SUMIFS('ОО-09'!T:T,'ОО-09'!S:S,E31)</f>
        <v>24</v>
      </c>
      <c r="H31" s="24">
        <f>SUMIFS('ОО-09'!V:V,'ОО-09'!U:U,E31)</f>
        <v>14</v>
      </c>
      <c r="I31" s="40">
        <f t="shared" si="1"/>
        <v>38</v>
      </c>
      <c r="J31" s="24">
        <f>SUMIFS('ОО-09 (у)'!R:R,'ОО-09 (у)'!Q:Q,E31)</f>
        <v>0</v>
      </c>
      <c r="K31" s="24">
        <f>SUMIFS('ОО-09 (у)'!T:T,'ОО-09 (у)'!S:S,E31)</f>
        <v>16</v>
      </c>
      <c r="L31" s="24">
        <f>SUMIFS('ОО-09 (у)'!V:V,'ОО-09 (у)'!U:U,E31)</f>
        <v>0</v>
      </c>
      <c r="M31" s="40">
        <f t="shared" si="2"/>
        <v>16</v>
      </c>
      <c r="N31" s="24">
        <f>SUMIFS('ОО-09 (м)'!R:R,'ОО-09 (м)'!Q:Q,E31)</f>
        <v>0</v>
      </c>
      <c r="O31" s="24">
        <f>SUMIFS('ОО-09 (м)'!T:T,'ОО-09 (м)'!S:S,E31)</f>
        <v>18</v>
      </c>
      <c r="P31" s="24">
        <f>SUMIFS('ОО-09 (м)'!V:V,'ОО-09 (м)'!U:U,E31)</f>
        <v>0</v>
      </c>
      <c r="Q31" s="40">
        <f t="shared" si="3"/>
        <v>18</v>
      </c>
      <c r="R31" s="40">
        <f>SUMIFS('ОО-ПТИ'!R:R,'ОО-ПТИ'!Q:Q,E31)+SUMIFS('ОО-ПТИ'!T:T,'ОО-ПТИ'!S:S,E31)+SUMIFS('ОО-ПТИ'!V:V,'ЗО-09 (с)'!U:U,E31)</f>
        <v>0</v>
      </c>
      <c r="S31" s="34">
        <f>SUMIFS('ЗО-09'!R:R,'ЗО-09'!Q:Q,E31)+SUMIFS('ЗО-09'!T:T,'ЗО-09'!S:S,E31)+SUMIFS('ЗО-09'!V:V,'ЗО-09'!U:U,E31)</f>
        <v>43.5</v>
      </c>
      <c r="T31" s="34">
        <f>SUMIFS('ЗО-09 (у)'!R:R,'ЗО-09 (у)'!Q:Q,E31)+SUMIFS('ЗО-09 (у)'!T:T,'ЗО-09 (у)'!S:S,E31)+SUMIFS('ЗО-09 (у)'!V:V,'ЗО-09 (у)'!U:U,E31)</f>
        <v>0</v>
      </c>
      <c r="U31" s="34">
        <f>SUMIFS('ЗО-09 (с)'!R:R,'ЗО-09 (с)'!Q:Q,E31)+SUMIFS('ЗО-09 (с)'!T:T,'ЗО-09 (с)'!S:S,E31)+SUMIFS('ЗО-09 (с)'!V:V,'ЗО-09 (с)'!U:U,E31)</f>
        <v>16</v>
      </c>
      <c r="V31" s="34">
        <f>SUMIFS('ЗО-09 (м)'!R:R,'ЗО-09 (м)'!Q:Q,E31)+SUMIFS('ЗО-09 (м)'!T:T,'ЗО-09 (м)'!S:S,E31)+SUMIFS('ЗО-09 (м)'!V:V,'ЗО-09 (м)'!U:U,E31)</f>
        <v>0</v>
      </c>
      <c r="W31" s="34">
        <f>SUMIFS(ЗО!R:R,ЗО!Q:Q,E31)</f>
        <v>0</v>
      </c>
      <c r="X31" s="34">
        <f>SUMIFS(ООНЕ09!R:R,ООНЕ09!Q:Q,E31)+SUMIFS(ООНЕ09!T:T,ООНЕ09!S:S,E31)</f>
        <v>0</v>
      </c>
      <c r="Y31" s="21"/>
      <c r="Z31" s="106">
        <f t="shared" si="11"/>
        <v>131.5</v>
      </c>
      <c r="AA31" s="34">
        <f t="shared" si="12"/>
        <v>131.5</v>
      </c>
      <c r="AB31" s="34">
        <f t="shared" si="4"/>
        <v>0</v>
      </c>
      <c r="AC31" s="34">
        <f t="shared" si="5"/>
        <v>131.5</v>
      </c>
      <c r="AD31" s="41">
        <f t="shared" si="6"/>
        <v>0.17533333333333334</v>
      </c>
      <c r="AE31" s="42">
        <v>0.3</v>
      </c>
      <c r="AF31" s="26">
        <f t="shared" si="7"/>
        <v>225</v>
      </c>
      <c r="AG31" s="43">
        <f t="shared" si="8"/>
        <v>-0.13851851851851849</v>
      </c>
      <c r="AH31" s="42">
        <v>0.1</v>
      </c>
      <c r="AI31" s="38">
        <f t="shared" si="9"/>
        <v>67.5</v>
      </c>
      <c r="AJ31" s="43">
        <f>AE31+AH31</f>
        <v>0.4</v>
      </c>
      <c r="AK31" s="38">
        <f>AJ31*$AS$3</f>
        <v>270</v>
      </c>
      <c r="AM31" s="21">
        <f>SUMIFS('ЗО-ВБ'!R:R,'ЗО-ВБ'!Q:Q,E31)</f>
        <v>0</v>
      </c>
      <c r="AN31" s="21">
        <f>SUMIFS(В!R:R,В!Q:Q,E31)</f>
        <v>0</v>
      </c>
      <c r="AO31" s="3">
        <f t="shared" si="15"/>
        <v>0</v>
      </c>
    </row>
    <row r="32" spans="2:41" x14ac:dyDescent="0.25">
      <c r="D32" s="21">
        <f t="shared" si="0"/>
        <v>0</v>
      </c>
      <c r="E32" s="44" t="s">
        <v>73</v>
      </c>
      <c r="F32" s="24">
        <f>SUMIFS('ОО-09'!R:R,'ОО-09'!Q:Q,E32)</f>
        <v>0</v>
      </c>
      <c r="G32" s="24">
        <f>SUMIFS('ОО-09'!T:T,'ОО-09'!S:S,E32)</f>
        <v>0</v>
      </c>
      <c r="H32" s="24">
        <f>SUMIFS('ОО-09'!V:V,'ОО-09'!U:U,E32)</f>
        <v>0</v>
      </c>
      <c r="I32" s="40">
        <f t="shared" si="1"/>
        <v>0</v>
      </c>
      <c r="J32" s="24">
        <f>SUMIFS('ОО-09 (у)'!R:R,'ОО-09 (у)'!Q:Q,E32)</f>
        <v>0</v>
      </c>
      <c r="K32" s="24">
        <f>SUMIFS('ОО-09 (у)'!T:T,'ОО-09 (у)'!S:S,E32)</f>
        <v>0</v>
      </c>
      <c r="L32" s="24">
        <f>SUMIFS('ОО-09 (у)'!V:V,'ОО-09 (у)'!U:U,E32)</f>
        <v>0</v>
      </c>
      <c r="M32" s="40">
        <f t="shared" si="2"/>
        <v>0</v>
      </c>
      <c r="N32" s="24">
        <f>SUMIFS('ОО-09 (м)'!R:R,'ОО-09 (м)'!Q:Q,E32)</f>
        <v>47</v>
      </c>
      <c r="O32" s="24">
        <f>SUMIFS('ОО-09 (м)'!T:T,'ОО-09 (м)'!S:S,E32)</f>
        <v>0</v>
      </c>
      <c r="P32" s="24">
        <f>SUMIFS('ОО-09 (м)'!V:V,'ОО-09 (м)'!U:U,E32)</f>
        <v>0</v>
      </c>
      <c r="Q32" s="40">
        <f t="shared" si="3"/>
        <v>47</v>
      </c>
      <c r="R32" s="40">
        <f>SUMIFS('ОО-ПТИ'!R:R,'ОО-ПТИ'!Q:Q,E32)+SUMIFS('ОО-ПТИ'!T:T,'ОО-ПТИ'!S:S,E32)+SUMIFS('ОО-ПТИ'!V:V,'ЗО-09 (с)'!U:U,E32)</f>
        <v>0</v>
      </c>
      <c r="S32" s="34">
        <f>SUMIFS('ЗО-09'!R:R,'ЗО-09'!Q:Q,E32)+SUMIFS('ЗО-09'!T:T,'ЗО-09'!S:S,E32)+SUMIFS('ЗО-09'!V:V,'ЗО-09'!U:U,E32)</f>
        <v>17.7</v>
      </c>
      <c r="T32" s="34">
        <f>SUMIFS('ЗО-09 (у)'!R:R,'ЗО-09 (у)'!Q:Q,E32)+SUMIFS('ЗО-09 (у)'!T:T,'ЗО-09 (у)'!S:S,E32)+SUMIFS('ЗО-09 (у)'!V:V,'ЗО-09 (у)'!U:U,E32)</f>
        <v>0</v>
      </c>
      <c r="U32" s="34">
        <f>SUMIFS('ЗО-09 (с)'!R:R,'ЗО-09 (с)'!Q:Q,E32)+SUMIFS('ЗО-09 (с)'!T:T,'ЗО-09 (с)'!S:S,E32)+SUMIFS('ЗО-09 (с)'!V:V,'ЗО-09 (с)'!U:U,E32)</f>
        <v>0</v>
      </c>
      <c r="V32" s="34">
        <f>SUMIFS('ЗО-09 (м)'!R:R,'ЗО-09 (м)'!Q:Q,E32)+SUMIFS('ЗО-09 (м)'!T:T,'ЗО-09 (м)'!S:S,E32)+SUMIFS('ЗО-09 (м)'!V:V,'ЗО-09 (м)'!U:U,E32)</f>
        <v>0</v>
      </c>
      <c r="W32" s="34">
        <f>SUMIFS(ЗО!R:R,ЗО!Q:Q,E32)</f>
        <v>0</v>
      </c>
      <c r="X32" s="34">
        <f>SUMIFS(ООНЕ09!R:R,ООНЕ09!Q:Q,E32)+SUMIFS(ООНЕ09!T:T,ООНЕ09!S:S,E32)</f>
        <v>0</v>
      </c>
      <c r="Y32" s="21"/>
      <c r="Z32" s="106">
        <f t="shared" si="11"/>
        <v>64.7</v>
      </c>
      <c r="AA32" s="34">
        <f t="shared" si="12"/>
        <v>64.7</v>
      </c>
      <c r="AB32" s="34">
        <f t="shared" si="4"/>
        <v>0</v>
      </c>
      <c r="AC32" s="34">
        <f t="shared" si="5"/>
        <v>64.7</v>
      </c>
      <c r="AD32" s="41">
        <f t="shared" si="6"/>
        <v>8.6266666666666672E-2</v>
      </c>
      <c r="AE32" s="42">
        <v>0.4</v>
      </c>
      <c r="AF32" s="26">
        <f t="shared" si="7"/>
        <v>300</v>
      </c>
      <c r="AG32" s="43">
        <f t="shared" si="8"/>
        <v>-0.34859259259259262</v>
      </c>
      <c r="AH32" s="42">
        <v>0</v>
      </c>
      <c r="AI32" s="38">
        <f t="shared" si="9"/>
        <v>0</v>
      </c>
      <c r="AJ32" s="43"/>
      <c r="AM32" s="21">
        <f>SUMIFS('ЗО-ВБ'!R:R,'ЗО-ВБ'!Q:Q,E32)</f>
        <v>2</v>
      </c>
      <c r="AN32" s="21">
        <f>SUMIFS(В!R:R,В!Q:Q,E32)</f>
        <v>0</v>
      </c>
      <c r="AO32" s="3">
        <f t="shared" si="15"/>
        <v>2</v>
      </c>
    </row>
    <row r="33" spans="2:41" x14ac:dyDescent="0.25">
      <c r="D33" s="21">
        <f t="shared" si="0"/>
        <v>0</v>
      </c>
      <c r="E33" s="44" t="s">
        <v>71</v>
      </c>
      <c r="F33" s="24">
        <f>SUMIFS('ОО-09'!R:R,'ОО-09'!Q:Q,E33)</f>
        <v>166</v>
      </c>
      <c r="G33" s="24">
        <f>SUMIFS('ОО-09'!T:T,'ОО-09'!S:S,E33)</f>
        <v>0</v>
      </c>
      <c r="H33" s="24">
        <f>SUMIFS('ОО-09'!V:V,'ОО-09'!U:U,E33)</f>
        <v>0</v>
      </c>
      <c r="I33" s="40">
        <f t="shared" si="1"/>
        <v>166</v>
      </c>
      <c r="J33" s="24">
        <f>SUMIFS('ОО-09 (у)'!R:R,'ОО-09 (у)'!Q:Q,E33)</f>
        <v>134.80000000000001</v>
      </c>
      <c r="K33" s="24">
        <f>SUMIFS('ОО-09 (у)'!T:T,'ОО-09 (у)'!S:S,E33)</f>
        <v>0</v>
      </c>
      <c r="L33" s="24">
        <f>SUMIFS('ОО-09 (у)'!V:V,'ОО-09 (у)'!U:U,E33)</f>
        <v>0</v>
      </c>
      <c r="M33" s="40">
        <f t="shared" si="2"/>
        <v>134.80000000000001</v>
      </c>
      <c r="N33" s="24">
        <f>SUMIFS('ОО-09 (м)'!R:R,'ОО-09 (м)'!Q:Q,E33)</f>
        <v>0</v>
      </c>
      <c r="O33" s="24">
        <f>SUMIFS('ОО-09 (м)'!T:T,'ОО-09 (м)'!S:S,E33)</f>
        <v>0</v>
      </c>
      <c r="P33" s="24">
        <f>SUMIFS('ОО-09 (м)'!V:V,'ОО-09 (м)'!U:U,E33)</f>
        <v>0</v>
      </c>
      <c r="Q33" s="40">
        <f t="shared" si="3"/>
        <v>0</v>
      </c>
      <c r="R33" s="40">
        <f>SUMIFS('ОО-ПТИ'!R:R,'ОО-ПТИ'!Q:Q,E33)+SUMIFS('ОО-ПТИ'!T:T,'ОО-ПТИ'!S:S,E33)+SUMIFS('ОО-ПТИ'!V:V,'ЗО-09 (с)'!U:U,E33)</f>
        <v>0</v>
      </c>
      <c r="S33" s="34">
        <f>SUMIFS('ЗО-09'!R:R,'ЗО-09'!Q:Q,E33)+SUMIFS('ЗО-09'!T:T,'ЗО-09'!S:S,E33)+SUMIFS('ЗО-09'!V:V,'ЗО-09'!U:U,E33)</f>
        <v>82.4</v>
      </c>
      <c r="T33" s="34">
        <f>SUMIFS('ЗО-09 (у)'!R:R,'ЗО-09 (у)'!Q:Q,E33)+SUMIFS('ЗО-09 (у)'!T:T,'ЗО-09 (у)'!S:S,E33)+SUMIFS('ЗО-09 (у)'!V:V,'ЗО-09 (у)'!U:U,E33)</f>
        <v>22.6</v>
      </c>
      <c r="U33" s="34">
        <f>SUMIFS('ЗО-09 (с)'!R:R,'ЗО-09 (с)'!Q:Q,E33)+SUMIFS('ЗО-09 (с)'!T:T,'ЗО-09 (с)'!S:S,E33)+SUMIFS('ЗО-09 (с)'!V:V,'ЗО-09 (с)'!U:U,E33)</f>
        <v>0</v>
      </c>
      <c r="V33" s="34">
        <f>SUMIFS('ЗО-09 (м)'!R:R,'ЗО-09 (м)'!Q:Q,E33)+SUMIFS('ЗО-09 (м)'!T:T,'ЗО-09 (м)'!S:S,E33)+SUMIFS('ЗО-09 (м)'!V:V,'ЗО-09 (м)'!U:U,E33)</f>
        <v>0</v>
      </c>
      <c r="W33" s="34">
        <f>SUMIFS(ЗО!R:R,ЗО!Q:Q,E33)</f>
        <v>0</v>
      </c>
      <c r="X33" s="34">
        <f>SUMIFS(ООНЕ09!R:R,ООНЕ09!Q:Q,E33)+SUMIFS(ООНЕ09!T:T,ООНЕ09!S:S,E33)</f>
        <v>0</v>
      </c>
      <c r="Y33" s="21"/>
      <c r="Z33" s="106">
        <f t="shared" si="11"/>
        <v>405.80000000000007</v>
      </c>
      <c r="AA33" s="34">
        <f t="shared" si="12"/>
        <v>405.80000000000007</v>
      </c>
      <c r="AB33" s="34">
        <f t="shared" si="4"/>
        <v>0</v>
      </c>
      <c r="AC33" s="34">
        <f t="shared" si="5"/>
        <v>405.80000000000007</v>
      </c>
      <c r="AD33" s="41">
        <f t="shared" si="6"/>
        <v>0.54106666666666681</v>
      </c>
      <c r="AE33" s="42">
        <v>0.7</v>
      </c>
      <c r="AF33" s="26">
        <f t="shared" si="7"/>
        <v>525</v>
      </c>
      <c r="AG33" s="43">
        <f t="shared" si="8"/>
        <v>-0.17659259259259238</v>
      </c>
      <c r="AH33" s="42">
        <v>0</v>
      </c>
      <c r="AI33" s="38">
        <f t="shared" si="9"/>
        <v>0</v>
      </c>
      <c r="AJ33" s="43"/>
      <c r="AM33" s="21">
        <f>SUMIFS('ЗО-ВБ'!R:R,'ЗО-ВБ'!Q:Q,E33)</f>
        <v>0</v>
      </c>
      <c r="AN33" s="21">
        <f>SUMIFS(В!R:R,В!Q:Q,E33)</f>
        <v>0</v>
      </c>
      <c r="AO33" s="3">
        <f t="shared" si="15"/>
        <v>0</v>
      </c>
    </row>
    <row r="34" spans="2:41" x14ac:dyDescent="0.25">
      <c r="D34" s="21">
        <f t="shared" si="0"/>
        <v>0</v>
      </c>
      <c r="E34" s="44" t="s">
        <v>76</v>
      </c>
      <c r="F34" s="24">
        <f>SUMIFS('ОО-09'!R:R,'ОО-09'!Q:Q,E34)</f>
        <v>120.2</v>
      </c>
      <c r="G34" s="24">
        <f>SUMIFS('ОО-09'!T:T,'ОО-09'!S:S,E34)</f>
        <v>0</v>
      </c>
      <c r="H34" s="24">
        <f>SUMIFS('ОО-09'!V:V,'ОО-09'!U:U,E34)</f>
        <v>0</v>
      </c>
      <c r="I34" s="40">
        <f t="shared" si="1"/>
        <v>120.2</v>
      </c>
      <c r="J34" s="24">
        <f>SUMIFS('ОО-09 (у)'!R:R,'ОО-09 (у)'!Q:Q,E34)</f>
        <v>0</v>
      </c>
      <c r="K34" s="24">
        <f>SUMIFS('ОО-09 (у)'!T:T,'ОО-09 (у)'!S:S,E34)</f>
        <v>0</v>
      </c>
      <c r="L34" s="24">
        <f>SUMIFS('ОО-09 (у)'!V:V,'ОО-09 (у)'!U:U,E34)</f>
        <v>0</v>
      </c>
      <c r="M34" s="40">
        <f t="shared" si="2"/>
        <v>0</v>
      </c>
      <c r="N34" s="24">
        <f>SUMIFS('ОО-09 (м)'!R:R,'ОО-09 (м)'!Q:Q,E34)</f>
        <v>0</v>
      </c>
      <c r="O34" s="24">
        <f>SUMIFS('ОО-09 (м)'!T:T,'ОО-09 (м)'!S:S,E34)</f>
        <v>0</v>
      </c>
      <c r="P34" s="24">
        <f>SUMIFS('ОО-09 (м)'!V:V,'ОО-09 (м)'!U:U,E34)</f>
        <v>0</v>
      </c>
      <c r="Q34" s="40">
        <f t="shared" si="3"/>
        <v>0</v>
      </c>
      <c r="R34" s="40">
        <f>SUMIFS('ОО-ПТИ'!R:R,'ОО-ПТИ'!Q:Q,E34)+SUMIFS('ОО-ПТИ'!T:T,'ОО-ПТИ'!S:S,E34)+SUMIFS('ОО-ПТИ'!V:V,'ЗО-09 (с)'!U:U,E34)</f>
        <v>0</v>
      </c>
      <c r="S34" s="34">
        <f>SUMIFS('ЗО-09'!R:R,'ЗО-09'!Q:Q,E34)+SUMIFS('ЗО-09'!T:T,'ЗО-09'!S:S,E34)+SUMIFS('ЗО-09'!V:V,'ЗО-09'!U:U,E34)</f>
        <v>0</v>
      </c>
      <c r="T34" s="34">
        <f>SUMIFS('ЗО-09 (у)'!R:R,'ЗО-09 (у)'!Q:Q,E34)+SUMIFS('ЗО-09 (у)'!T:T,'ЗО-09 (у)'!S:S,E34)+SUMIFS('ЗО-09 (у)'!V:V,'ЗО-09 (у)'!U:U,E34)</f>
        <v>0</v>
      </c>
      <c r="U34" s="34">
        <f>SUMIFS('ЗО-09 (с)'!R:R,'ЗО-09 (с)'!Q:Q,E34)+SUMIFS('ЗО-09 (с)'!T:T,'ЗО-09 (с)'!S:S,E34)+SUMIFS('ЗО-09 (с)'!V:V,'ЗО-09 (с)'!U:U,E34)</f>
        <v>25</v>
      </c>
      <c r="V34" s="34">
        <f>SUMIFS('ЗО-09 (м)'!R:R,'ЗО-09 (м)'!Q:Q,E34)+SUMIFS('ЗО-09 (м)'!T:T,'ЗО-09 (м)'!S:S,E34)+SUMIFS('ЗО-09 (м)'!V:V,'ЗО-09 (м)'!U:U,E34)</f>
        <v>0</v>
      </c>
      <c r="W34" s="34">
        <f>SUMIFS(ЗО!R:R,ЗО!Q:Q,E34)</f>
        <v>0</v>
      </c>
      <c r="X34" s="34">
        <f>SUMIFS(ООНЕ09!R:R,ООНЕ09!Q:Q,E34)+SUMIFS(ООНЕ09!T:T,ООНЕ09!S:S,E34)</f>
        <v>0</v>
      </c>
      <c r="Y34" s="21"/>
      <c r="Z34" s="106">
        <f t="shared" si="11"/>
        <v>145.19999999999999</v>
      </c>
      <c r="AA34" s="34">
        <f t="shared" si="12"/>
        <v>145.19999999999999</v>
      </c>
      <c r="AB34" s="34">
        <f t="shared" si="4"/>
        <v>0</v>
      </c>
      <c r="AC34" s="34">
        <f t="shared" si="5"/>
        <v>145.19999999999999</v>
      </c>
      <c r="AD34" s="41">
        <f t="shared" si="6"/>
        <v>0.19359999999999999</v>
      </c>
      <c r="AE34" s="42">
        <v>0.1</v>
      </c>
      <c r="AF34" s="26">
        <f t="shared" si="7"/>
        <v>75</v>
      </c>
      <c r="AG34" s="43">
        <f t="shared" si="8"/>
        <v>0.104</v>
      </c>
      <c r="AH34" s="42">
        <v>0</v>
      </c>
      <c r="AI34" s="38">
        <f t="shared" si="9"/>
        <v>0</v>
      </c>
      <c r="AJ34" s="43"/>
      <c r="AM34" s="21">
        <f>SUMIFS('ЗО-ВБ'!R:R,'ЗО-ВБ'!Q:Q,E34)</f>
        <v>29.2</v>
      </c>
      <c r="AN34" s="21">
        <f>SUMIFS(В!R:R,В!Q:Q,E34)</f>
        <v>0</v>
      </c>
      <c r="AO34" s="3">
        <f t="shared" si="15"/>
        <v>29.2</v>
      </c>
    </row>
    <row r="35" spans="2:41" x14ac:dyDescent="0.25">
      <c r="D35" s="21">
        <f t="shared" si="0"/>
        <v>0</v>
      </c>
      <c r="E35" s="45" t="s">
        <v>105</v>
      </c>
      <c r="F35" s="24">
        <f>SUMIFS('ОО-09'!R:R,'ОО-09'!Q:Q,E35)</f>
        <v>136</v>
      </c>
      <c r="G35" s="24">
        <f>SUMIFS('ОО-09'!T:T,'ОО-09'!S:S,E35)</f>
        <v>0</v>
      </c>
      <c r="H35" s="24">
        <f>SUMIFS('ОО-09'!V:V,'ОО-09'!U:U,E35)</f>
        <v>0</v>
      </c>
      <c r="I35" s="40">
        <f t="shared" si="1"/>
        <v>136</v>
      </c>
      <c r="J35" s="24">
        <f>SUMIFS('ОО-09 (у)'!R:R,'ОО-09 (у)'!Q:Q,E35)</f>
        <v>84.8</v>
      </c>
      <c r="K35" s="24">
        <f>SUMIFS('ОО-09 (у)'!T:T,'ОО-09 (у)'!S:S,E35)</f>
        <v>0</v>
      </c>
      <c r="L35" s="24">
        <f>SUMIFS('ОО-09 (у)'!V:V,'ОО-09 (у)'!U:U,E35)</f>
        <v>0</v>
      </c>
      <c r="M35" s="40">
        <f t="shared" si="2"/>
        <v>84.8</v>
      </c>
      <c r="N35" s="24">
        <f>SUMIFS('ОО-09 (м)'!R:R,'ОО-09 (м)'!Q:Q,E35)</f>
        <v>0</v>
      </c>
      <c r="O35" s="24">
        <f>SUMIFS('ОО-09 (м)'!T:T,'ОО-09 (м)'!S:S,E35)</f>
        <v>0</v>
      </c>
      <c r="P35" s="24">
        <f>SUMIFS('ОО-09 (м)'!V:V,'ОО-09 (м)'!U:U,E35)</f>
        <v>0</v>
      </c>
      <c r="Q35" s="40">
        <f t="shared" si="3"/>
        <v>0</v>
      </c>
      <c r="R35" s="40">
        <f>SUMIFS('ОО-ПТИ'!R:R,'ОО-ПТИ'!Q:Q,E35)+SUMIFS('ОО-ПТИ'!T:T,'ОО-ПТИ'!S:S,E35)+SUMIFS('ОО-ПТИ'!V:V,'ЗО-09 (с)'!U:U,E35)</f>
        <v>0</v>
      </c>
      <c r="S35" s="34">
        <f>SUMIFS('ЗО-09'!R:R,'ЗО-09'!Q:Q,E35)+SUMIFS('ЗО-09'!T:T,'ЗО-09'!S:S,E35)+SUMIFS('ЗО-09'!V:V,'ЗО-09'!U:U,E35)</f>
        <v>35.299999999999997</v>
      </c>
      <c r="T35" s="34">
        <f>SUMIFS('ЗО-09 (у)'!R:R,'ЗО-09 (у)'!Q:Q,E35)+SUMIFS('ЗО-09 (у)'!T:T,'ЗО-09 (у)'!S:S,E35)+SUMIFS('ЗО-09 (у)'!V:V,'ЗО-09 (у)'!U:U,E35)</f>
        <v>29.8</v>
      </c>
      <c r="U35" s="34">
        <f>SUMIFS('ЗО-09 (с)'!R:R,'ЗО-09 (с)'!Q:Q,E35)+SUMIFS('ЗО-09 (с)'!T:T,'ЗО-09 (с)'!S:S,E35)+SUMIFS('ЗО-09 (с)'!V:V,'ЗО-09 (с)'!U:U,E35)</f>
        <v>2</v>
      </c>
      <c r="V35" s="34">
        <f>SUMIFS('ЗО-09 (м)'!R:R,'ЗО-09 (м)'!Q:Q,E35)+SUMIFS('ЗО-09 (м)'!T:T,'ЗО-09 (м)'!S:S,E35)+SUMIFS('ЗО-09 (м)'!V:V,'ЗО-09 (м)'!U:U,E35)</f>
        <v>0</v>
      </c>
      <c r="W35" s="34">
        <f>SUMIFS(ЗО!R:R,ЗО!Q:Q,E35)</f>
        <v>0</v>
      </c>
      <c r="X35" s="34">
        <f>SUMIFS(ООНЕ09!R:R,ООНЕ09!Q:Q,E35)+SUMIFS(ООНЕ09!T:T,ООНЕ09!S:S,E35)</f>
        <v>0</v>
      </c>
      <c r="Y35" s="21"/>
      <c r="Z35" s="106">
        <f t="shared" si="11"/>
        <v>287.90000000000003</v>
      </c>
      <c r="AA35" s="34">
        <f t="shared" si="12"/>
        <v>287.90000000000003</v>
      </c>
      <c r="AB35" s="34">
        <f t="shared" si="4"/>
        <v>0</v>
      </c>
      <c r="AC35" s="34">
        <f t="shared" si="5"/>
        <v>287.90000000000003</v>
      </c>
      <c r="AD35" s="41">
        <f t="shared" si="6"/>
        <v>0.38386666666666669</v>
      </c>
      <c r="AE35" s="42">
        <v>0.4</v>
      </c>
      <c r="AF35" s="26">
        <f t="shared" si="7"/>
        <v>300</v>
      </c>
      <c r="AG35" s="43">
        <f t="shared" si="8"/>
        <v>-1.7925925925925925E-2</v>
      </c>
      <c r="AH35" s="42">
        <v>0</v>
      </c>
      <c r="AI35" s="38">
        <f t="shared" si="9"/>
        <v>0</v>
      </c>
      <c r="AJ35" s="43"/>
      <c r="AM35" s="21">
        <f>SUMIFS('ЗО-ВБ'!R:R,'ЗО-ВБ'!Q:Q,E35)</f>
        <v>2</v>
      </c>
      <c r="AN35" s="21">
        <f>SUMIFS(В!R:R,В!Q:Q,E35)</f>
        <v>0</v>
      </c>
      <c r="AO35" s="3">
        <f t="shared" si="15"/>
        <v>2</v>
      </c>
    </row>
    <row r="36" spans="2:41" x14ac:dyDescent="0.25">
      <c r="D36" s="21">
        <f t="shared" ref="D36" si="16">B36*$D$3-C36*800</f>
        <v>0</v>
      </c>
      <c r="E36" s="45" t="s">
        <v>409</v>
      </c>
      <c r="F36" s="24">
        <f>SUMIFS('ОО-09'!R:R,'ОО-09'!Q:Q,E36)</f>
        <v>69.8</v>
      </c>
      <c r="G36" s="24">
        <f>SUMIFS('ОО-09'!T:T,'ОО-09'!S:S,E36)</f>
        <v>28</v>
      </c>
      <c r="H36" s="24">
        <f>SUMIFS('ОО-09'!V:V,'ОО-09'!U:U,E36)</f>
        <v>0</v>
      </c>
      <c r="I36" s="40">
        <f t="shared" ref="I36" si="17">SUM(F36:H36)</f>
        <v>97.8</v>
      </c>
      <c r="J36" s="24">
        <f>SUMIFS('ОО-09 (у)'!R:R,'ОО-09 (у)'!Q:Q,E36)</f>
        <v>0</v>
      </c>
      <c r="K36" s="24">
        <f>SUMIFS('ОО-09 (у)'!T:T,'ОО-09 (у)'!S:S,E36)</f>
        <v>0</v>
      </c>
      <c r="L36" s="24">
        <f>SUMIFS('ОО-09 (у)'!V:V,'ОО-09 (у)'!U:U,E36)</f>
        <v>0</v>
      </c>
      <c r="M36" s="40">
        <f t="shared" ref="M36" si="18">SUM(J36:L36)</f>
        <v>0</v>
      </c>
      <c r="N36" s="24">
        <f>SUMIFS('ОО-09 (м)'!R:R,'ОО-09 (м)'!Q:Q,E36)</f>
        <v>61.5</v>
      </c>
      <c r="O36" s="24">
        <f>SUMIFS('ОО-09 (м)'!T:T,'ОО-09 (м)'!S:S,E36)</f>
        <v>0</v>
      </c>
      <c r="P36" s="24">
        <f>SUMIFS('ОО-09 (м)'!V:V,'ОО-09 (м)'!U:U,E36)</f>
        <v>0</v>
      </c>
      <c r="Q36" s="40">
        <f t="shared" ref="Q36" si="19">SUM(N36:P36)</f>
        <v>61.5</v>
      </c>
      <c r="R36" s="40">
        <f>SUMIFS('ОО-ПТИ'!R:R,'ОО-ПТИ'!Q:Q,E36)+SUMIFS('ОО-ПТИ'!T:T,'ОО-ПТИ'!S:S,E36)+SUMIFS('ОО-ПТИ'!V:V,'ЗО-09 (с)'!U:U,E36)</f>
        <v>0</v>
      </c>
      <c r="S36" s="34">
        <f>SUMIFS('ЗО-09'!R:R,'ЗО-09'!Q:Q,E36)+SUMIFS('ЗО-09'!T:T,'ЗО-09'!S:S,E36)+SUMIFS('ЗО-09'!V:V,'ЗО-09'!U:U,E36)</f>
        <v>0</v>
      </c>
      <c r="T36" s="34">
        <f>SUMIFS('ЗО-09 (у)'!R:R,'ЗО-09 (у)'!Q:Q,E36)+SUMIFS('ЗО-09 (у)'!T:T,'ЗО-09 (у)'!S:S,E36)+SUMIFS('ЗО-09 (у)'!V:V,'ЗО-09 (у)'!U:U,E36)</f>
        <v>0</v>
      </c>
      <c r="U36" s="34">
        <f>SUMIFS('ЗО-09 (с)'!R:R,'ЗО-09 (с)'!Q:Q,E36)+SUMIFS('ЗО-09 (с)'!T:T,'ЗО-09 (с)'!S:S,E36)+SUMIFS('ЗО-09 (с)'!V:V,'ЗО-09 (с)'!U:U,E36)</f>
        <v>0</v>
      </c>
      <c r="V36" s="34">
        <f>SUMIFS('ЗО-09 (м)'!R:R,'ЗО-09 (м)'!Q:Q,E36)+SUMIFS('ЗО-09 (м)'!T:T,'ЗО-09 (м)'!S:S,E36)+SUMIFS('ЗО-09 (м)'!V:V,'ЗО-09 (м)'!U:U,E36)</f>
        <v>17.899999999999999</v>
      </c>
      <c r="W36" s="34">
        <f>SUMIFS(ЗО!R:R,ЗО!Q:Q,E36)</f>
        <v>0</v>
      </c>
      <c r="X36" s="34">
        <f>SUMIFS(ООНЕ09!R:R,ООНЕ09!Q:Q,E36)+SUMIFS(ООНЕ09!T:T,ООНЕ09!S:S,E36)</f>
        <v>0</v>
      </c>
      <c r="Y36" s="21"/>
      <c r="Z36" s="106">
        <f t="shared" ref="Z36" si="20">SUM(I36,M36,Q36,R36:X36)</f>
        <v>177.20000000000002</v>
      </c>
      <c r="AA36" s="34">
        <f t="shared" ref="AA36" si="21">Z36-D36</f>
        <v>177.20000000000002</v>
      </c>
      <c r="AB36" s="34">
        <f t="shared" ref="AB36" si="22">B36-C36</f>
        <v>0</v>
      </c>
      <c r="AC36" s="34">
        <f t="shared" ref="AC36" si="23">Z36-$D$3*AB36</f>
        <v>177.20000000000002</v>
      </c>
      <c r="AD36" s="41">
        <f t="shared" ref="AD36" si="24">AC36/$D$3</f>
        <v>0.23626666666666668</v>
      </c>
      <c r="AE36" s="42">
        <v>1.4</v>
      </c>
      <c r="AF36" s="26">
        <f t="shared" ref="AF36" si="25">AE36*$D$3</f>
        <v>1050</v>
      </c>
      <c r="AG36" s="43">
        <f t="shared" ref="AG36" si="26">(AD36-AE36)/9*10</f>
        <v>-1.293037037037037</v>
      </c>
      <c r="AH36" s="42">
        <v>1</v>
      </c>
      <c r="AI36" s="38">
        <f t="shared" ref="AI36" si="27">AH36*$AS$3</f>
        <v>675</v>
      </c>
      <c r="AJ36" s="43"/>
      <c r="AM36" s="21">
        <f>SUMIFS('ЗО-ВБ'!R:R,'ЗО-ВБ'!Q:Q,E36)</f>
        <v>0</v>
      </c>
      <c r="AN36" s="21">
        <f>SUMIFS(В!R:R,В!Q:Q,E36)</f>
        <v>0</v>
      </c>
      <c r="AO36" s="3">
        <f t="shared" ref="AO36" si="28">SUM(AM36:AN36)</f>
        <v>0</v>
      </c>
    </row>
    <row r="37" spans="2:41" x14ac:dyDescent="0.25">
      <c r="D37" s="21">
        <f t="shared" ref="D37" si="29">B37*$D$3-C37*800</f>
        <v>0</v>
      </c>
      <c r="E37" s="45" t="s">
        <v>410</v>
      </c>
      <c r="F37" s="24">
        <f>SUMIFS('ОО-09'!R:R,'ОО-09'!Q:Q,E37)</f>
        <v>183.3</v>
      </c>
      <c r="G37" s="24">
        <f>SUMIFS('ОО-09'!T:T,'ОО-09'!S:S,E37)</f>
        <v>0</v>
      </c>
      <c r="H37" s="24">
        <f>SUMIFS('ОО-09'!V:V,'ОО-09'!U:U,E37)</f>
        <v>0</v>
      </c>
      <c r="I37" s="40">
        <f t="shared" ref="I37" si="30">SUM(F37:H37)</f>
        <v>183.3</v>
      </c>
      <c r="J37" s="24">
        <f>SUMIFS('ОО-09 (у)'!R:R,'ОО-09 (у)'!Q:Q,E37)</f>
        <v>0</v>
      </c>
      <c r="K37" s="24">
        <f>SUMIFS('ОО-09 (у)'!T:T,'ОО-09 (у)'!S:S,E37)</f>
        <v>0</v>
      </c>
      <c r="L37" s="24">
        <f>SUMIFS('ОО-09 (у)'!V:V,'ОО-09 (у)'!U:U,E37)</f>
        <v>0</v>
      </c>
      <c r="M37" s="40">
        <f t="shared" ref="M37" si="31">SUM(J37:L37)</f>
        <v>0</v>
      </c>
      <c r="N37" s="24">
        <f>SUMIFS('ОО-09 (м)'!R:R,'ОО-09 (м)'!Q:Q,E37)</f>
        <v>0</v>
      </c>
      <c r="O37" s="24">
        <f>SUMIFS('ОО-09 (м)'!T:T,'ОО-09 (м)'!S:S,E37)</f>
        <v>0</v>
      </c>
      <c r="P37" s="24">
        <f>SUMIFS('ОО-09 (м)'!V:V,'ОО-09 (м)'!U:U,E37)</f>
        <v>0</v>
      </c>
      <c r="Q37" s="40">
        <f t="shared" ref="Q37" si="32">SUM(N37:P37)</f>
        <v>0</v>
      </c>
      <c r="R37" s="40">
        <f>SUMIFS('ОО-ПТИ'!R:R,'ОО-ПТИ'!Q:Q,E37)+SUMIFS('ОО-ПТИ'!T:T,'ОО-ПТИ'!S:S,E37)+SUMIFS('ОО-ПТИ'!V:V,'ЗО-09 (с)'!U:U,E37)</f>
        <v>0</v>
      </c>
      <c r="S37" s="34">
        <f>SUMIFS('ЗО-09'!R:R,'ЗО-09'!Q:Q,E37)+SUMIFS('ЗО-09'!T:T,'ЗО-09'!S:S,E37)+SUMIFS('ЗО-09'!V:V,'ЗО-09'!U:U,E37)</f>
        <v>0</v>
      </c>
      <c r="T37" s="34">
        <f>SUMIFS('ЗО-09 (у)'!R:R,'ЗО-09 (у)'!Q:Q,E37)+SUMIFS('ЗО-09 (у)'!T:T,'ЗО-09 (у)'!S:S,E37)+SUMIFS('ЗО-09 (у)'!V:V,'ЗО-09 (у)'!U:U,E37)</f>
        <v>29.8</v>
      </c>
      <c r="U37" s="34">
        <f>SUMIFS('ЗО-09 (с)'!R:R,'ЗО-09 (с)'!Q:Q,E37)+SUMIFS('ЗО-09 (с)'!T:T,'ЗО-09 (с)'!S:S,E37)+SUMIFS('ЗО-09 (с)'!V:V,'ЗО-09 (с)'!U:U,E37)</f>
        <v>0</v>
      </c>
      <c r="V37" s="34">
        <f>SUMIFS('ЗО-09 (м)'!R:R,'ЗО-09 (м)'!Q:Q,E37)+SUMIFS('ЗО-09 (м)'!T:T,'ЗО-09 (м)'!S:S,E37)+SUMIFS('ЗО-09 (м)'!V:V,'ЗО-09 (м)'!U:U,E37)</f>
        <v>0</v>
      </c>
      <c r="W37" s="34">
        <f>SUMIFS(ЗО!R:R,ЗО!Q:Q,E37)</f>
        <v>0</v>
      </c>
      <c r="X37" s="34">
        <f>SUMIFS(ООНЕ09!R:R,ООНЕ09!Q:Q,E37)+SUMIFS(ООНЕ09!T:T,ООНЕ09!S:S,E37)</f>
        <v>0</v>
      </c>
      <c r="Y37" s="21"/>
      <c r="Z37" s="106">
        <f t="shared" ref="Z37" si="33">SUM(I37,M37,Q37,R37:X37)</f>
        <v>213.10000000000002</v>
      </c>
      <c r="AA37" s="34">
        <f t="shared" ref="AA37" si="34">Z37-D37</f>
        <v>213.10000000000002</v>
      </c>
      <c r="AB37" s="34">
        <f t="shared" ref="AB37" si="35">B37-C37</f>
        <v>0</v>
      </c>
      <c r="AC37" s="34">
        <f t="shared" ref="AC37" si="36">Z37-$D$3*AB37</f>
        <v>213.10000000000002</v>
      </c>
      <c r="AD37" s="41">
        <f t="shared" ref="AD37" si="37">AC37/$D$3</f>
        <v>0.28413333333333335</v>
      </c>
      <c r="AE37" s="42">
        <v>3.4</v>
      </c>
      <c r="AF37" s="26">
        <f t="shared" ref="AF37" si="38">AE37*$D$3</f>
        <v>2550</v>
      </c>
      <c r="AG37" s="43">
        <f t="shared" ref="AG37" si="39">(AD37-AE37)/9*10</f>
        <v>-3.4620740740740734</v>
      </c>
      <c r="AH37" s="42">
        <v>3</v>
      </c>
      <c r="AI37" s="38">
        <f t="shared" ref="AI37" si="40">AH37*$AS$3</f>
        <v>2025</v>
      </c>
      <c r="AJ37" s="43"/>
      <c r="AM37" s="21">
        <f>SUMIFS('ЗО-ВБ'!R:R,'ЗО-ВБ'!Q:Q,E37)</f>
        <v>0</v>
      </c>
      <c r="AN37" s="21">
        <f>SUMIFS(В!R:R,В!Q:Q,E37)</f>
        <v>0</v>
      </c>
      <c r="AO37" s="3">
        <f t="shared" ref="AO37" si="41">SUM(AM37:AN37)</f>
        <v>0</v>
      </c>
    </row>
    <row r="38" spans="2:41" x14ac:dyDescent="0.25">
      <c r="D38" s="21">
        <f t="shared" si="0"/>
        <v>0</v>
      </c>
      <c r="E38" s="45" t="s">
        <v>179</v>
      </c>
      <c r="F38" s="24">
        <f>SUMIFS('ОО-09'!R:R,'ОО-09'!Q:Q,E38)</f>
        <v>75.25</v>
      </c>
      <c r="G38" s="24">
        <f>SUMIFS('ОО-09'!T:T,'ОО-09'!S:S,E38)</f>
        <v>0</v>
      </c>
      <c r="H38" s="24">
        <f>SUMIFS('ОО-09'!V:V,'ОО-09'!U:U,E38)</f>
        <v>0</v>
      </c>
      <c r="I38" s="40">
        <f t="shared" si="1"/>
        <v>75.25</v>
      </c>
      <c r="J38" s="24">
        <f>SUMIFS('ОО-09 (у)'!R:R,'ОО-09 (у)'!Q:Q,E38)</f>
        <v>0</v>
      </c>
      <c r="K38" s="24">
        <f>SUMIFS('ОО-09 (у)'!T:T,'ОО-09 (у)'!S:S,E38)</f>
        <v>0</v>
      </c>
      <c r="L38" s="24">
        <f>SUMIFS('ОО-09 (у)'!V:V,'ОО-09 (у)'!U:U,E38)</f>
        <v>0</v>
      </c>
      <c r="M38" s="40">
        <f t="shared" si="2"/>
        <v>0</v>
      </c>
      <c r="N38" s="24">
        <f>SUMIFS('ОО-09 (м)'!R:R,'ОО-09 (м)'!Q:Q,E38)</f>
        <v>0</v>
      </c>
      <c r="O38" s="24">
        <f>SUMIFS('ОО-09 (м)'!T:T,'ОО-09 (м)'!S:S,E38)</f>
        <v>0</v>
      </c>
      <c r="P38" s="24">
        <f>SUMIFS('ОО-09 (м)'!V:V,'ОО-09 (м)'!U:U,E38)</f>
        <v>0</v>
      </c>
      <c r="Q38" s="40">
        <f t="shared" si="3"/>
        <v>0</v>
      </c>
      <c r="R38" s="40">
        <f>SUMIFS('ОО-ПТИ'!R:R,'ОО-ПТИ'!Q:Q,E38)+SUMIFS('ОО-ПТИ'!T:T,'ОО-ПТИ'!S:S,E38)+SUMIFS('ОО-ПТИ'!V:V,'ЗО-09 (с)'!U:U,E38)</f>
        <v>0</v>
      </c>
      <c r="S38" s="34">
        <f>SUMIFS('ЗО-09'!R:R,'ЗО-09'!Q:Q,E38)+SUMIFS('ЗО-09'!T:T,'ЗО-09'!S:S,E38)+SUMIFS('ЗО-09'!V:V,'ЗО-09'!U:U,E38)</f>
        <v>0</v>
      </c>
      <c r="T38" s="34">
        <f>SUMIFS('ЗО-09 (у)'!R:R,'ЗО-09 (у)'!Q:Q,E38)+SUMIFS('ЗО-09 (у)'!T:T,'ЗО-09 (у)'!S:S,E38)+SUMIFS('ЗО-09 (у)'!V:V,'ЗО-09 (у)'!U:U,E38)</f>
        <v>0</v>
      </c>
      <c r="U38" s="34">
        <f>SUMIFS('ЗО-09 (с)'!R:R,'ЗО-09 (с)'!Q:Q,E38)+SUMIFS('ЗО-09 (с)'!T:T,'ЗО-09 (с)'!S:S,E38)+SUMIFS('ЗО-09 (с)'!V:V,'ЗО-09 (с)'!U:U,E38)</f>
        <v>0</v>
      </c>
      <c r="V38" s="34">
        <f>SUMIFS('ЗО-09 (м)'!R:R,'ЗО-09 (м)'!Q:Q,E38)+SUMIFS('ЗО-09 (м)'!T:T,'ЗО-09 (м)'!S:S,E38)+SUMIFS('ЗО-09 (м)'!V:V,'ЗО-09 (м)'!U:U,E38)</f>
        <v>0</v>
      </c>
      <c r="W38" s="34">
        <f>SUMIFS(ЗО!R:R,ЗО!Q:Q,E38)</f>
        <v>0</v>
      </c>
      <c r="X38" s="34">
        <f>SUMIFS(ООНЕ09!R:R,ООНЕ09!Q:Q,E38)+SUMIFS(ООНЕ09!T:T,ООНЕ09!S:S,E38)</f>
        <v>0</v>
      </c>
      <c r="Y38" s="21"/>
      <c r="Z38" s="106">
        <f t="shared" si="11"/>
        <v>75.25</v>
      </c>
      <c r="AA38" s="34">
        <f t="shared" si="12"/>
        <v>75.25</v>
      </c>
      <c r="AB38" s="34">
        <f t="shared" si="4"/>
        <v>0</v>
      </c>
      <c r="AC38" s="34">
        <f t="shared" si="5"/>
        <v>75.25</v>
      </c>
      <c r="AD38" s="41">
        <f t="shared" si="6"/>
        <v>0.10033333333333333</v>
      </c>
      <c r="AE38" s="42">
        <v>0.1</v>
      </c>
      <c r="AF38" s="26">
        <f t="shared" si="7"/>
        <v>75</v>
      </c>
      <c r="AG38" s="43">
        <f t="shared" si="8"/>
        <v>3.7037037037036043E-4</v>
      </c>
      <c r="AH38" s="42">
        <v>0</v>
      </c>
      <c r="AI38" s="38">
        <f t="shared" si="9"/>
        <v>0</v>
      </c>
      <c r="AJ38" s="43"/>
      <c r="AM38" s="21">
        <f>SUMIFS('ЗО-ВБ'!R:R,'ЗО-ВБ'!Q:Q,E38)</f>
        <v>0</v>
      </c>
      <c r="AN38" s="21">
        <f>SUMIFS(В!R:R,В!Q:Q,E38)</f>
        <v>0</v>
      </c>
      <c r="AO38" s="3">
        <f t="shared" si="15"/>
        <v>0</v>
      </c>
    </row>
    <row r="39" spans="2:41" x14ac:dyDescent="0.25">
      <c r="B39" s="30">
        <f>SUM(B3:B38)</f>
        <v>11.629999999999999</v>
      </c>
      <c r="R39" s="47"/>
      <c r="S39" s="21"/>
      <c r="T39" s="21"/>
      <c r="U39" s="21"/>
      <c r="V39" s="21"/>
      <c r="W39" s="21"/>
      <c r="X39" s="47"/>
      <c r="Y39" s="47"/>
      <c r="AB39" s="48">
        <f>SUM(AB5:AB38)</f>
        <v>11.08</v>
      </c>
      <c r="AD39" s="48">
        <f>SUM(AD5:AD38)</f>
        <v>12.165666666666668</v>
      </c>
      <c r="AE39" s="42">
        <f>SUM(AE5:AE38)</f>
        <v>15.950000000000001</v>
      </c>
      <c r="AI39" s="26">
        <f>SUM(AI5:AI38)</f>
        <v>4522.5</v>
      </c>
      <c r="AJ39" s="26"/>
      <c r="AK39" s="26"/>
      <c r="AM39" s="21"/>
      <c r="AN39" s="21"/>
    </row>
    <row r="40" spans="2:41" x14ac:dyDescent="0.25">
      <c r="R40" s="47"/>
      <c r="S40" s="21"/>
      <c r="T40" s="21"/>
      <c r="U40" s="21"/>
      <c r="V40" s="21"/>
      <c r="W40" s="21"/>
      <c r="X40" s="47"/>
      <c r="Y40" s="47"/>
      <c r="AM40" s="21"/>
      <c r="AN40" s="21"/>
    </row>
    <row r="41" spans="2:41" x14ac:dyDescent="0.25">
      <c r="W41" s="21"/>
      <c r="X41" s="47"/>
      <c r="Y41" s="47"/>
      <c r="AM41" s="21"/>
      <c r="AN41" s="21"/>
    </row>
    <row r="42" spans="2:41" x14ac:dyDescent="0.25">
      <c r="W42" s="21"/>
      <c r="X42" s="47"/>
      <c r="Y42" s="47"/>
      <c r="AD42" s="3">
        <v>21478.500000000007</v>
      </c>
      <c r="AE42" s="42">
        <f>AD42/750</f>
        <v>28.638000000000009</v>
      </c>
      <c r="AM42" s="21"/>
      <c r="AN42" s="21"/>
    </row>
    <row r="43" spans="2:41" x14ac:dyDescent="0.25">
      <c r="W43" s="21"/>
      <c r="X43" s="47"/>
      <c r="Y43" s="47"/>
      <c r="AD43" s="49">
        <v>17644</v>
      </c>
      <c r="AM43" s="21"/>
      <c r="AN43" s="21"/>
    </row>
  </sheetData>
  <autoFilter ref="B3:AI39" xr:uid="{9B12183E-21B8-411C-B3EA-E217374F3114}"/>
  <phoneticPr fontId="6" type="noConversion"/>
  <conditionalFormatting sqref="AC1:AC1048576">
    <cfRule type="cellIs" dxfId="3" priority="4" operator="lessThan">
      <formula>0</formula>
    </cfRule>
  </conditionalFormatting>
  <conditionalFormatting sqref="AD3:AD4">
    <cfRule type="cellIs" dxfId="2" priority="3" operator="lessThan">
      <formula>0</formula>
    </cfRule>
  </conditionalFormatting>
  <conditionalFormatting sqref="AD5:AD38">
    <cfRule type="cellIs" dxfId="1" priority="1" operator="greaterThan">
      <formula>1.01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landscape" horizontalDpi="0" verticalDpi="0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5081C-BACF-49CC-8DD5-8E8615190B78}">
  <sheetPr codeName="Лист9"/>
  <dimension ref="A1:W142"/>
  <sheetViews>
    <sheetView view="pageBreakPreview" topLeftCell="A62" zoomScale="115" zoomScaleNormal="100" zoomScaleSheetLayoutView="115" workbookViewId="0">
      <selection activeCell="M16" sqref="M16"/>
    </sheetView>
  </sheetViews>
  <sheetFormatPr defaultColWidth="9.140625" defaultRowHeight="15" x14ac:dyDescent="0.25"/>
  <cols>
    <col min="1" max="1" width="4.5703125" style="24" customWidth="1"/>
    <col min="2" max="2" width="20.140625" customWidth="1"/>
    <col min="3" max="3" width="10.42578125" style="3" customWidth="1"/>
    <col min="4" max="4" width="5.140625" style="3" customWidth="1"/>
    <col min="5" max="5" width="3.5703125" style="3" bestFit="1" customWidth="1"/>
    <col min="6" max="6" width="5" style="3" customWidth="1"/>
    <col min="7" max="7" width="3.42578125" style="3" customWidth="1"/>
    <col min="8" max="12" width="5.42578125" customWidth="1"/>
    <col min="13" max="13" width="19" style="3" customWidth="1"/>
    <col min="14" max="14" width="10.42578125" style="3" customWidth="1"/>
    <col min="15" max="15" width="9.140625" style="3"/>
    <col min="16" max="16" width="6.5703125" style="3" customWidth="1"/>
    <col min="17" max="17" width="4.42578125" style="3" customWidth="1"/>
    <col min="18" max="18" width="9" style="3" customWidth="1"/>
    <col min="19" max="19" width="3.85546875" style="3" customWidth="1"/>
    <col min="20" max="23" width="4.5703125" style="3" customWidth="1"/>
    <col min="24" max="24" width="9" style="3" customWidth="1"/>
    <col min="25" max="16384" width="9.140625" style="3"/>
  </cols>
  <sheetData>
    <row r="1" spans="1:23" ht="24" customHeight="1" x14ac:dyDescent="0.25">
      <c r="B1" s="38" t="s">
        <v>236</v>
      </c>
      <c r="C1" s="111" t="s">
        <v>207</v>
      </c>
      <c r="D1" s="111"/>
      <c r="E1" s="111"/>
      <c r="F1" s="111"/>
      <c r="G1" s="111"/>
      <c r="H1" s="111"/>
      <c r="I1" s="111"/>
      <c r="J1" s="111"/>
      <c r="K1" s="111"/>
      <c r="L1" s="111"/>
      <c r="M1" s="25" t="str" cm="1">
        <f t="array" ref="M1">INDEX(ППС!E5:E38,НагрузкаВнеБюджет!R1)</f>
        <v>Довгалюк П.М.</v>
      </c>
      <c r="N1" s="26">
        <f>SUMIFS(S:S,R:R,M1)+SUMIFS(U:U,T:T,M1)+SUMIFS(W:W,V:V,M1)</f>
        <v>0</v>
      </c>
      <c r="O1" s="27"/>
      <c r="R1" s="27">
        <v>18</v>
      </c>
      <c r="S1" s="27"/>
      <c r="T1" s="27"/>
      <c r="U1" s="27"/>
      <c r="V1" s="27"/>
      <c r="W1" s="27"/>
    </row>
    <row r="2" spans="1:23" ht="56.25" x14ac:dyDescent="0.25">
      <c r="B2" s="1" t="str">
        <f>'ОО-09'!A1</f>
        <v>Дисциплина</v>
      </c>
      <c r="C2" s="1" t="str">
        <f>'ОО-09'!B1</f>
        <v>Шифр специальноси</v>
      </c>
      <c r="D2" s="1" t="str">
        <f>'ОО-09'!C1</f>
        <v>№ группы</v>
      </c>
      <c r="E2" s="1" t="str">
        <f>'ОО-09'!D1</f>
        <v>Сем</v>
      </c>
      <c r="F2" s="1" t="str">
        <f>'ОО-09'!E1</f>
        <v>Ко-во групп (по нагрузке)</v>
      </c>
      <c r="G2" s="1" t="str">
        <f>'ОО-09'!F1</f>
        <v>Кол.студ</v>
      </c>
      <c r="H2" s="1" t="str">
        <f>'ОО-09'!G1</f>
        <v>Атт</v>
      </c>
      <c r="I2" s="1" t="str">
        <f>'ОО-09'!H1</f>
        <v>ZET</v>
      </c>
      <c r="J2" s="1" t="str">
        <f>'ОО-09'!I1</f>
        <v>Лек</v>
      </c>
      <c r="K2" s="1" t="str">
        <f>'ОО-09'!J1</f>
        <v>ПЗ</v>
      </c>
      <c r="L2" s="1" t="str">
        <f>'ОО-09'!K1</f>
        <v>ЛР, кол-во п/групп</v>
      </c>
      <c r="M2" s="1" t="str">
        <f>'ОО-09'!L1</f>
        <v>ФИО преподавателя, звание, должность</v>
      </c>
      <c r="N2" s="1" t="str">
        <f>'ОО-09'!M1</f>
        <v>Информация о занятости почасовиков, совместителей</v>
      </c>
      <c r="O2" s="1" t="str">
        <f>'ОО-09'!N1</f>
        <v>Количество подгрупп для пр и лр</v>
      </c>
      <c r="P2" s="1" t="str">
        <f>'ОО-09'!O1</f>
        <v>HKR/ HPR</v>
      </c>
      <c r="Q2" s="1" t="str">
        <f>'ОО-09'!P1</f>
        <v>HAT</v>
      </c>
      <c r="R2" s="1" t="str">
        <f>'ОО-09'!Q1</f>
        <v>ФИО</v>
      </c>
      <c r="S2" s="1" t="str">
        <f>'ОО-09'!R1</f>
        <v>Часы</v>
      </c>
      <c r="T2" s="1" t="str">
        <f>'ОО-09'!S1</f>
        <v>ФИО</v>
      </c>
      <c r="U2" s="1" t="str">
        <f>'ОО-09'!T1</f>
        <v>Часы</v>
      </c>
      <c r="V2" s="1" t="str">
        <f>'ОО-09'!U1</f>
        <v>ФИО</v>
      </c>
      <c r="W2" s="1" t="str">
        <f>'ОО-09'!V1</f>
        <v>Часы</v>
      </c>
    </row>
    <row r="3" spans="1:23" customFormat="1" ht="19.5" customHeight="1" x14ac:dyDescent="0.25">
      <c r="A3" s="24" t="s">
        <v>187</v>
      </c>
      <c r="B3" s="1" t="str">
        <f>В!A2</f>
        <v>Алгоритмические языки и программирование</v>
      </c>
      <c r="C3" s="1" t="str">
        <f>В!B2</f>
        <v xml:space="preserve">38.03.05(75) </v>
      </c>
      <c r="D3" s="1" t="str">
        <f>В!C2</f>
        <v>ОЭК</v>
      </c>
      <c r="E3" s="1">
        <f>В!D2</f>
        <v>5</v>
      </c>
      <c r="F3" s="1">
        <f>В!E2</f>
        <v>1</v>
      </c>
      <c r="G3" s="1">
        <f>В!F2</f>
        <v>5</v>
      </c>
      <c r="H3" s="1" t="str">
        <f>В!G2</f>
        <v>Э</v>
      </c>
      <c r="I3" s="1">
        <f>В!H2</f>
        <v>4</v>
      </c>
      <c r="J3" s="1">
        <f>В!I2</f>
        <v>0</v>
      </c>
      <c r="K3" s="1">
        <f>В!J2</f>
        <v>0</v>
      </c>
      <c r="L3" s="1">
        <f>В!K2</f>
        <v>30</v>
      </c>
      <c r="M3" s="1" t="str">
        <f>В!L2</f>
        <v>Макевич П.В.</v>
      </c>
      <c r="N3" s="1" t="str">
        <f>В!M2</f>
        <v>2407, 50%</v>
      </c>
      <c r="O3" s="1">
        <f>В!N2</f>
        <v>1</v>
      </c>
      <c r="P3" s="1">
        <f>В!O2</f>
        <v>3.6</v>
      </c>
      <c r="Q3" s="1">
        <f>В!P2</f>
        <v>2.4</v>
      </c>
      <c r="R3" s="1" t="str">
        <f>В!Q2</f>
        <v>Макевич П.В.</v>
      </c>
      <c r="S3" s="1">
        <f>В!R2</f>
        <v>21</v>
      </c>
      <c r="T3" s="1">
        <f>В!S2</f>
        <v>0</v>
      </c>
      <c r="U3" s="1">
        <f>В!T2</f>
        <v>0</v>
      </c>
      <c r="V3" s="1">
        <f>В!U2</f>
        <v>0</v>
      </c>
      <c r="W3" s="1">
        <f>В!V2</f>
        <v>0</v>
      </c>
    </row>
    <row r="4" spans="1:23" customFormat="1" ht="19.5" customHeight="1" x14ac:dyDescent="0.25">
      <c r="A4" s="24" t="s">
        <v>187</v>
      </c>
      <c r="B4" s="1" t="str">
        <f>В!A3</f>
        <v>Сети и телекоммуникации</v>
      </c>
      <c r="C4" s="1" t="str">
        <f>В!B3</f>
        <v xml:space="preserve">38.03.05(75) </v>
      </c>
      <c r="D4" s="1" t="str">
        <f>В!C3</f>
        <v>ОЭК</v>
      </c>
      <c r="E4" s="1">
        <f>В!D3</f>
        <v>5</v>
      </c>
      <c r="F4" s="1">
        <f>В!E3</f>
        <v>1</v>
      </c>
      <c r="G4" s="1">
        <f>В!F3</f>
        <v>5</v>
      </c>
      <c r="H4" s="1" t="str">
        <f>В!G3</f>
        <v>ЗАЧ</v>
      </c>
      <c r="I4" s="1">
        <f>В!H3</f>
        <v>2</v>
      </c>
      <c r="J4" s="1">
        <f>В!I3</f>
        <v>10</v>
      </c>
      <c r="K4" s="1">
        <f>В!J3</f>
        <v>10</v>
      </c>
      <c r="L4" s="1">
        <f>В!K3</f>
        <v>0</v>
      </c>
      <c r="M4" s="1" t="str">
        <f>В!L3</f>
        <v>Журавлева М.П.</v>
      </c>
      <c r="N4" s="1" t="str">
        <f>В!M3</f>
        <v>2909, 50%</v>
      </c>
      <c r="O4" s="1">
        <f>В!N3</f>
        <v>1</v>
      </c>
      <c r="P4" s="1">
        <f>В!O3</f>
        <v>1.8</v>
      </c>
      <c r="Q4" s="1">
        <f>В!P3</f>
        <v>0</v>
      </c>
      <c r="R4" s="1" t="str">
        <f>В!Q3</f>
        <v>Журавлева М.П.</v>
      </c>
      <c r="S4" s="1">
        <f>В!R3</f>
        <v>11.8</v>
      </c>
      <c r="T4" s="1">
        <f>В!S3</f>
        <v>0</v>
      </c>
      <c r="U4" s="1">
        <f>В!T3</f>
        <v>0</v>
      </c>
      <c r="V4" s="1">
        <f>В!U3</f>
        <v>0</v>
      </c>
      <c r="W4" s="1">
        <f>В!V3</f>
        <v>0</v>
      </c>
    </row>
    <row r="5" spans="1:23" customFormat="1" ht="19.5" customHeight="1" x14ac:dyDescent="0.25">
      <c r="A5" s="24" t="s">
        <v>187</v>
      </c>
      <c r="B5" s="1" t="str">
        <f>В!A4</f>
        <v>Базы данных</v>
      </c>
      <c r="C5" s="1" t="str">
        <f>В!B4</f>
        <v xml:space="preserve">38.03.05(75) </v>
      </c>
      <c r="D5" s="1" t="str">
        <f>В!C4</f>
        <v>ОЭК</v>
      </c>
      <c r="E5" s="1">
        <f>В!D4</f>
        <v>5</v>
      </c>
      <c r="F5" s="1">
        <f>В!E4</f>
        <v>1</v>
      </c>
      <c r="G5" s="1">
        <f>В!F4</f>
        <v>6</v>
      </c>
      <c r="H5" s="1" t="str">
        <f>В!G4</f>
        <v>Э</v>
      </c>
      <c r="I5" s="1">
        <f>В!H4</f>
        <v>6</v>
      </c>
      <c r="J5" s="1">
        <f>В!I4</f>
        <v>20</v>
      </c>
      <c r="K5" s="1">
        <f>В!J4</f>
        <v>30</v>
      </c>
      <c r="L5" s="1">
        <f>В!K4</f>
        <v>0</v>
      </c>
      <c r="M5" s="1" t="str">
        <f>В!L4</f>
        <v>Цымбалюк Л.Н.</v>
      </c>
      <c r="N5" s="1" t="str">
        <f>В!M4</f>
        <v>124, 50%</v>
      </c>
      <c r="O5" s="1">
        <f>В!N4</f>
        <v>1</v>
      </c>
      <c r="P5" s="1">
        <f>В!O4</f>
        <v>5.4</v>
      </c>
      <c r="Q5" s="1">
        <f>В!P4</f>
        <v>3.6</v>
      </c>
      <c r="R5" s="1" t="str">
        <f>В!Q4</f>
        <v>Цымбалюк Л.Н.</v>
      </c>
      <c r="S5" s="1">
        <f>В!R4</f>
        <v>34</v>
      </c>
      <c r="T5" s="1">
        <f>В!S4</f>
        <v>0</v>
      </c>
      <c r="U5" s="1">
        <f>В!T4</f>
        <v>0</v>
      </c>
      <c r="V5" s="1">
        <f>В!U4</f>
        <v>0</v>
      </c>
      <c r="W5" s="1">
        <f>В!V4</f>
        <v>0</v>
      </c>
    </row>
    <row r="6" spans="1:23" customFormat="1" ht="19.5" customHeight="1" x14ac:dyDescent="0.25">
      <c r="A6" s="24" t="s">
        <v>187</v>
      </c>
      <c r="B6" s="1" t="str">
        <f>В!A5</f>
        <v>Базы данных</v>
      </c>
      <c r="C6" s="1" t="str">
        <f>В!B5</f>
        <v xml:space="preserve">38.03.05(75) </v>
      </c>
      <c r="D6" s="1" t="str">
        <f>В!C5</f>
        <v>ОЭК</v>
      </c>
      <c r="E6" s="1">
        <f>В!D5</f>
        <v>5</v>
      </c>
      <c r="F6" s="1">
        <f>В!E5</f>
        <v>1</v>
      </c>
      <c r="G6" s="1">
        <f>В!F5</f>
        <v>6</v>
      </c>
      <c r="H6" s="1" t="str">
        <f>В!G5</f>
        <v>КР</v>
      </c>
      <c r="I6" s="1">
        <f>В!H5</f>
        <v>1</v>
      </c>
      <c r="J6" s="1">
        <f>В!I5</f>
        <v>0</v>
      </c>
      <c r="K6" s="1">
        <f>В!J5</f>
        <v>0</v>
      </c>
      <c r="L6" s="1">
        <f>В!K5</f>
        <v>0</v>
      </c>
      <c r="M6" s="1" t="str">
        <f>В!L5</f>
        <v>Цымбалюк Л.Н.</v>
      </c>
      <c r="N6" s="1">
        <f>В!M5</f>
        <v>124</v>
      </c>
      <c r="O6" s="1">
        <f>В!N5</f>
        <v>1</v>
      </c>
      <c r="P6" s="1">
        <f>В!O5</f>
        <v>9</v>
      </c>
      <c r="Q6" s="1">
        <f>В!P5</f>
        <v>0</v>
      </c>
      <c r="R6" s="1" t="str">
        <f>В!Q5</f>
        <v>Цымбалюк Л.Н.</v>
      </c>
      <c r="S6" s="1">
        <f>В!R5</f>
        <v>9</v>
      </c>
      <c r="T6" s="1">
        <f>В!S5</f>
        <v>0</v>
      </c>
      <c r="U6" s="1">
        <f>В!T5</f>
        <v>0</v>
      </c>
      <c r="V6" s="1">
        <f>В!U5</f>
        <v>0</v>
      </c>
      <c r="W6" s="1">
        <f>В!V5</f>
        <v>0</v>
      </c>
    </row>
    <row r="7" spans="1:23" customFormat="1" ht="19.5" customHeight="1" x14ac:dyDescent="0.25">
      <c r="A7" s="24" t="s">
        <v>187</v>
      </c>
      <c r="B7" s="1" t="str">
        <f>В!A6</f>
        <v>Анализ временных рядов</v>
      </c>
      <c r="C7" s="1" t="str">
        <f>В!B6</f>
        <v xml:space="preserve">38.03.05(75) </v>
      </c>
      <c r="D7" s="1" t="str">
        <f>В!C6</f>
        <v>ОЭК</v>
      </c>
      <c r="E7" s="1">
        <f>В!D6</f>
        <v>7</v>
      </c>
      <c r="F7" s="1">
        <f>В!E6</f>
        <v>1</v>
      </c>
      <c r="G7" s="1">
        <f>В!F6</f>
        <v>5</v>
      </c>
      <c r="H7" s="1" t="str">
        <f>В!G6</f>
        <v>Э</v>
      </c>
      <c r="I7" s="1">
        <f>В!H6</f>
        <v>6</v>
      </c>
      <c r="J7" s="1">
        <f>В!I6</f>
        <v>8</v>
      </c>
      <c r="K7" s="1">
        <f>В!J6</f>
        <v>12</v>
      </c>
      <c r="L7" s="1">
        <f>В!K6</f>
        <v>0</v>
      </c>
      <c r="M7" s="1" t="str">
        <f>В!L6</f>
        <v>Эминов С.И.</v>
      </c>
      <c r="N7" s="1" t="str">
        <f>В!M6</f>
        <v>50%
3312, 3315, 2407, 3305</v>
      </c>
      <c r="O7" s="1">
        <f>В!N6</f>
        <v>1</v>
      </c>
      <c r="P7" s="1">
        <f>В!O6</f>
        <v>4.5</v>
      </c>
      <c r="Q7" s="1">
        <f>В!P6</f>
        <v>3</v>
      </c>
      <c r="R7" s="1" t="str">
        <f>В!Q6</f>
        <v>Эминов С.И.</v>
      </c>
      <c r="S7" s="1">
        <f>В!R6</f>
        <v>17.5</v>
      </c>
      <c r="T7" s="1">
        <f>В!S6</f>
        <v>0</v>
      </c>
      <c r="U7" s="1">
        <f>В!T6</f>
        <v>0</v>
      </c>
      <c r="V7" s="1">
        <f>В!U6</f>
        <v>0</v>
      </c>
      <c r="W7" s="1">
        <f>В!V6</f>
        <v>0</v>
      </c>
    </row>
    <row r="8" spans="1:23" customFormat="1" ht="19.5" customHeight="1" x14ac:dyDescent="0.25">
      <c r="A8" s="24" t="s">
        <v>187</v>
      </c>
      <c r="B8" s="1" t="str">
        <f>В!A7</f>
        <v>Технологии разработки программного обеспечения</v>
      </c>
      <c r="C8" s="1" t="str">
        <f>В!B7</f>
        <v xml:space="preserve">38.03.05(75) </v>
      </c>
      <c r="D8" s="1" t="str">
        <f>В!C7</f>
        <v>ОЭК</v>
      </c>
      <c r="E8" s="1">
        <f>В!D7</f>
        <v>7</v>
      </c>
      <c r="F8" s="1">
        <f>В!E7</f>
        <v>1</v>
      </c>
      <c r="G8" s="1">
        <f>В!F7</f>
        <v>5</v>
      </c>
      <c r="H8" s="1" t="str">
        <f>В!G7</f>
        <v>ДЗ</v>
      </c>
      <c r="I8" s="1">
        <f>В!H7</f>
        <v>4</v>
      </c>
      <c r="J8" s="1">
        <f>В!I7</f>
        <v>4</v>
      </c>
      <c r="K8" s="1">
        <f>В!J7</f>
        <v>4</v>
      </c>
      <c r="L8" s="1">
        <f>В!K7</f>
        <v>8</v>
      </c>
      <c r="M8" s="1" t="str">
        <f>В!L7</f>
        <v>Цымбалюк Л.Н.</v>
      </c>
      <c r="N8" s="1" t="str">
        <f>В!M7</f>
        <v>124
50%</v>
      </c>
      <c r="O8" s="1">
        <f>В!N7</f>
        <v>1</v>
      </c>
      <c r="P8" s="1">
        <f>В!O7</f>
        <v>3</v>
      </c>
      <c r="Q8" s="1">
        <f>В!P7</f>
        <v>0</v>
      </c>
      <c r="R8" s="1" t="str">
        <f>В!Q7</f>
        <v>Цымбалюк Л.Н.</v>
      </c>
      <c r="S8" s="1">
        <f>В!R7</f>
        <v>11</v>
      </c>
      <c r="T8" s="1">
        <f>В!S7</f>
        <v>0</v>
      </c>
      <c r="U8" s="1">
        <f>В!T7</f>
        <v>0</v>
      </c>
      <c r="V8" s="1">
        <f>В!U7</f>
        <v>0</v>
      </c>
      <c r="W8" s="1">
        <f>В!V7</f>
        <v>0</v>
      </c>
    </row>
    <row r="9" spans="1:23" customFormat="1" ht="40.5" customHeight="1" x14ac:dyDescent="0.25">
      <c r="A9" s="24" t="s">
        <v>187</v>
      </c>
      <c r="B9" s="1" t="str">
        <f>В!A8</f>
        <v>Информационно-аналитическое моделирование</v>
      </c>
      <c r="C9" s="1" t="str">
        <f>В!B8</f>
        <v xml:space="preserve">38.03.05(75) </v>
      </c>
      <c r="D9" s="1" t="str">
        <f>В!C8</f>
        <v>ОЭК</v>
      </c>
      <c r="E9" s="1">
        <f>В!D8</f>
        <v>7</v>
      </c>
      <c r="F9" s="1">
        <f>В!E8</f>
        <v>1</v>
      </c>
      <c r="G9" s="1">
        <f>В!F8</f>
        <v>5</v>
      </c>
      <c r="H9" s="1" t="str">
        <f>В!G8</f>
        <v>ДЗ</v>
      </c>
      <c r="I9" s="1">
        <f>В!H8</f>
        <v>6</v>
      </c>
      <c r="J9" s="1">
        <f>В!I8</f>
        <v>20</v>
      </c>
      <c r="K9" s="1">
        <f>В!J8</f>
        <v>30</v>
      </c>
      <c r="L9" s="1">
        <f>В!K8</f>
        <v>0</v>
      </c>
      <c r="M9" s="1" t="str">
        <f>В!L8</f>
        <v>Эминов С.И.</v>
      </c>
      <c r="N9" s="1" t="str">
        <f>В!M8</f>
        <v>3312, 3315, 2407, 3305
50%</v>
      </c>
      <c r="O9" s="1">
        <f>В!N8</f>
        <v>1</v>
      </c>
      <c r="P9" s="1">
        <f>В!O8</f>
        <v>5.4</v>
      </c>
      <c r="Q9" s="1">
        <f>В!P8</f>
        <v>3.6</v>
      </c>
      <c r="R9" s="1" t="str">
        <f>В!Q8</f>
        <v>Эминов С.И.</v>
      </c>
      <c r="S9" s="1">
        <f>В!R8</f>
        <v>59</v>
      </c>
      <c r="T9" s="1">
        <f>В!S8</f>
        <v>0</v>
      </c>
      <c r="U9" s="1">
        <f>В!T8</f>
        <v>0</v>
      </c>
      <c r="V9" s="1">
        <f>В!U8</f>
        <v>0</v>
      </c>
      <c r="W9" s="1">
        <f>В!V8</f>
        <v>0</v>
      </c>
    </row>
    <row r="10" spans="1:23" customFormat="1" ht="30.75" customHeight="1" x14ac:dyDescent="0.25">
      <c r="A10" s="24" t="s">
        <v>187</v>
      </c>
      <c r="B10" s="1" t="str">
        <f>В!A9</f>
        <v>Основные модели программирования (установ.)</v>
      </c>
      <c r="C10" s="1" t="str">
        <f>В!B9</f>
        <v xml:space="preserve">38.03.05(75) </v>
      </c>
      <c r="D10" s="1" t="str">
        <f>В!C9</f>
        <v>ОЭК</v>
      </c>
      <c r="E10" s="1">
        <f>В!D9</f>
        <v>8</v>
      </c>
      <c r="F10" s="1">
        <f>В!E9</f>
        <v>1</v>
      </c>
      <c r="G10" s="1">
        <f>В!F9</f>
        <v>5</v>
      </c>
      <c r="H10" s="1">
        <f>В!G9</f>
        <v>0</v>
      </c>
      <c r="I10" s="1">
        <f>В!H9</f>
        <v>0</v>
      </c>
      <c r="J10" s="1">
        <f>В!I9</f>
        <v>2</v>
      </c>
      <c r="K10" s="1">
        <f>В!J9</f>
        <v>0</v>
      </c>
      <c r="L10" s="1">
        <f>В!K9</f>
        <v>0</v>
      </c>
      <c r="M10" s="1" t="str">
        <f>В!L9</f>
        <v>Кулаков И.Ю.</v>
      </c>
      <c r="N10" s="1">
        <f>В!M9</f>
        <v>3315</v>
      </c>
      <c r="O10" s="1" t="str">
        <f>В!N9</f>
        <v>уст.</v>
      </c>
      <c r="P10" s="1">
        <f>В!O9</f>
        <v>0</v>
      </c>
      <c r="Q10" s="1">
        <f>В!P9</f>
        <v>0</v>
      </c>
      <c r="R10" s="1" t="str">
        <f>В!Q9</f>
        <v>Кулаков И.Ю.</v>
      </c>
      <c r="S10" s="1">
        <f>В!R9</f>
        <v>2</v>
      </c>
      <c r="T10" s="1">
        <f>В!S9</f>
        <v>0</v>
      </c>
      <c r="U10" s="1">
        <f>В!T9</f>
        <v>0</v>
      </c>
      <c r="V10" s="1">
        <f>В!U9</f>
        <v>0</v>
      </c>
      <c r="W10" s="1">
        <f>В!V9</f>
        <v>0</v>
      </c>
    </row>
    <row r="11" spans="1:23" customFormat="1" ht="19.5" customHeight="1" x14ac:dyDescent="0.25">
      <c r="A11" s="24"/>
      <c r="B11" s="1">
        <f>В!A10</f>
        <v>0</v>
      </c>
      <c r="C11" s="1">
        <f>В!B10</f>
        <v>0</v>
      </c>
      <c r="D11" s="1">
        <f>В!C10</f>
        <v>0</v>
      </c>
      <c r="E11" s="1">
        <f>В!D10</f>
        <v>0</v>
      </c>
      <c r="F11" s="1">
        <f>В!E10</f>
        <v>0</v>
      </c>
      <c r="G11" s="1">
        <f>В!F10</f>
        <v>0</v>
      </c>
      <c r="H11" s="1">
        <f>В!G10</f>
        <v>0</v>
      </c>
      <c r="I11" s="1">
        <f>В!H10</f>
        <v>0</v>
      </c>
      <c r="J11" s="1">
        <f>В!I10</f>
        <v>0</v>
      </c>
      <c r="K11" s="1">
        <f>В!J10</f>
        <v>0</v>
      </c>
      <c r="L11" s="1">
        <f>В!K10</f>
        <v>0</v>
      </c>
      <c r="M11" s="1">
        <f>В!L10</f>
        <v>0</v>
      </c>
      <c r="N11" s="1">
        <f>В!M10</f>
        <v>0</v>
      </c>
      <c r="O11" s="1">
        <f>В!N10</f>
        <v>0</v>
      </c>
      <c r="P11" s="1">
        <f>В!O10</f>
        <v>0</v>
      </c>
      <c r="Q11" s="1">
        <f>В!P10</f>
        <v>0</v>
      </c>
      <c r="R11" s="1">
        <f>В!Q10</f>
        <v>0</v>
      </c>
      <c r="S11" s="1">
        <f>В!R10</f>
        <v>0</v>
      </c>
      <c r="T11" s="1">
        <f>В!S10</f>
        <v>0</v>
      </c>
      <c r="U11" s="1">
        <f>В!T10</f>
        <v>0</v>
      </c>
      <c r="V11" s="1">
        <f>В!U10</f>
        <v>0</v>
      </c>
      <c r="W11" s="1">
        <f>В!V10</f>
        <v>0</v>
      </c>
    </row>
    <row r="12" spans="1:23" customFormat="1" ht="22.5" x14ac:dyDescent="0.25">
      <c r="A12" s="24" t="s">
        <v>249</v>
      </c>
      <c r="B12" s="1" t="str">
        <f>'ЗО-ВБ'!A14</f>
        <v>IT в профессиональной деятельности</v>
      </c>
      <c r="C12" s="1" t="str">
        <f>'ЗО-ВБ'!B14</f>
        <v xml:space="preserve">46.03.01(23) </v>
      </c>
      <c r="D12" s="1" t="str">
        <f>'ЗО-ВБ'!C14</f>
        <v>ОИА</v>
      </c>
      <c r="E12" s="1">
        <f>'ЗО-ВБ'!D14</f>
        <v>3</v>
      </c>
      <c r="F12" s="1">
        <f>'ЗО-ВБ'!E14</f>
        <v>1</v>
      </c>
      <c r="G12" s="1">
        <f>'ЗО-ВБ'!F14</f>
        <v>15</v>
      </c>
      <c r="H12" s="1" t="str">
        <f>'ЗО-ВБ'!G14</f>
        <v>ЗАЧ</v>
      </c>
      <c r="I12" s="1">
        <f>'ЗО-ВБ'!H14</f>
        <v>1</v>
      </c>
      <c r="J12" s="1">
        <f>'ЗО-ВБ'!I14</f>
        <v>0</v>
      </c>
      <c r="K12" s="1">
        <f>'ЗО-ВБ'!J14</f>
        <v>4</v>
      </c>
      <c r="L12" s="1">
        <f>'ЗО-ВБ'!K14</f>
        <v>0</v>
      </c>
      <c r="M12" s="1" t="str">
        <f>'ЗО-ВБ'!L14</f>
        <v>Эрштейн Л.Б.</v>
      </c>
      <c r="N12" s="1" t="str">
        <f>'ЗО-ВБ'!M14</f>
        <v>ДО</v>
      </c>
      <c r="O12" s="1" t="str">
        <f>'ЗО-ВБ'!N14</f>
        <v>1п</v>
      </c>
      <c r="P12" s="1">
        <f>'ЗО-ВБ'!O14</f>
        <v>2.2999999999999998</v>
      </c>
      <c r="Q12" s="1">
        <f>'ЗО-ВБ'!P14</f>
        <v>0</v>
      </c>
      <c r="R12" s="1" t="str">
        <f>'ЗО-ВБ'!Q14</f>
        <v>Эрштейн Л.Б.</v>
      </c>
      <c r="S12" s="1">
        <f>'ЗО-ВБ'!R14</f>
        <v>6.3</v>
      </c>
      <c r="T12" s="1">
        <f>'ЗО-ВБ'!S14</f>
        <v>0</v>
      </c>
      <c r="U12" s="1">
        <f>'ЗО-ВБ'!T14</f>
        <v>0</v>
      </c>
      <c r="V12" s="1">
        <f>'ЗО-ВБ'!U14</f>
        <v>0</v>
      </c>
      <c r="W12" s="1">
        <f>'ЗО-ВБ'!V14</f>
        <v>0</v>
      </c>
    </row>
    <row r="13" spans="1:23" customFormat="1" ht="78.75" x14ac:dyDescent="0.25">
      <c r="A13" s="24" t="s">
        <v>249</v>
      </c>
      <c r="B13" s="1" t="str">
        <f>'ЗО-ВБ'!A15</f>
        <v>IT в профессиональной деятельности</v>
      </c>
      <c r="C13" s="1" t="str">
        <f>'ЗО-ВБ'!B15</f>
        <v xml:space="preserve">13.03.01(41у) 13.03.01(41) 13.03.02(41у) 23.03.03(06у) </v>
      </c>
      <c r="D13" s="1" t="str">
        <f>'ЗО-ВБ'!C15</f>
        <v>ОМЭ</v>
      </c>
      <c r="E13" s="1">
        <f>'ЗО-ВБ'!D15</f>
        <v>5</v>
      </c>
      <c r="F13" s="1">
        <f>'ЗО-ВБ'!E15</f>
        <v>2</v>
      </c>
      <c r="G13" s="1">
        <f>'ЗО-ВБ'!F15</f>
        <v>23</v>
      </c>
      <c r="H13" s="1" t="str">
        <f>'ЗО-ВБ'!G15</f>
        <v>ЗАЧ</v>
      </c>
      <c r="I13" s="1">
        <f>'ЗО-ВБ'!H15</f>
        <v>1</v>
      </c>
      <c r="J13" s="1">
        <f>'ЗО-ВБ'!I15</f>
        <v>0</v>
      </c>
      <c r="K13" s="1">
        <f>'ЗО-ВБ'!J15</f>
        <v>4</v>
      </c>
      <c r="L13" s="1">
        <f>'ЗО-ВБ'!K15</f>
        <v>0</v>
      </c>
      <c r="M13" s="1" t="str">
        <f>'ЗО-ВБ'!L15</f>
        <v>Эрштейн Л.Б.</v>
      </c>
      <c r="N13" s="1" t="str">
        <f>'ЗО-ВБ'!M15</f>
        <v>ДО</v>
      </c>
      <c r="O13" s="1" t="str">
        <f>'ЗО-ВБ'!N15</f>
        <v>1п</v>
      </c>
      <c r="P13" s="1">
        <f>'ЗО-ВБ'!O15</f>
        <v>3.5</v>
      </c>
      <c r="Q13" s="1">
        <f>'ЗО-ВБ'!P15</f>
        <v>0</v>
      </c>
      <c r="R13" s="1" t="str">
        <f>'ЗО-ВБ'!Q15</f>
        <v>Эрштейн Л.Б.</v>
      </c>
      <c r="S13" s="1">
        <f>'ЗО-ВБ'!R15</f>
        <v>7.5</v>
      </c>
      <c r="T13" s="1">
        <f>'ЗО-ВБ'!S15</f>
        <v>0</v>
      </c>
      <c r="U13" s="1">
        <f>'ЗО-ВБ'!T15</f>
        <v>0</v>
      </c>
      <c r="V13" s="1">
        <f>'ЗО-ВБ'!U15</f>
        <v>0</v>
      </c>
      <c r="W13" s="1">
        <f>'ЗО-ВБ'!V15</f>
        <v>0</v>
      </c>
    </row>
    <row r="14" spans="1:23" customFormat="1" ht="22.5" x14ac:dyDescent="0.25">
      <c r="A14" s="24" t="s">
        <v>249</v>
      </c>
      <c r="B14" s="1" t="str">
        <f>'ЗО-ВБ'!A16</f>
        <v>ЭВМ и периферийные устройства(установ.)</v>
      </c>
      <c r="C14" s="1" t="str">
        <f>'ЗО-ВБ'!B16</f>
        <v>09.03.01(09)</v>
      </c>
      <c r="D14" s="1" t="str">
        <f>'ЗО-ВБ'!C16</f>
        <v>ОИНФ</v>
      </c>
      <c r="E14" s="1">
        <f>'ЗО-ВБ'!D16</f>
        <v>7</v>
      </c>
      <c r="F14" s="1">
        <f>'ЗО-ВБ'!E16</f>
        <v>1</v>
      </c>
      <c r="G14" s="1">
        <f>'ЗО-ВБ'!F16</f>
        <v>22</v>
      </c>
      <c r="H14" s="1">
        <f>'ЗО-ВБ'!G16</f>
        <v>0</v>
      </c>
      <c r="I14" s="1">
        <f>'ЗО-ВБ'!H16</f>
        <v>0</v>
      </c>
      <c r="J14" s="1">
        <f>'ЗО-ВБ'!I16</f>
        <v>2</v>
      </c>
      <c r="K14" s="1">
        <f>'ЗО-ВБ'!J16</f>
        <v>0</v>
      </c>
      <c r="L14" s="1">
        <f>'ЗО-ВБ'!K16</f>
        <v>0</v>
      </c>
      <c r="M14" s="1" t="str">
        <f>'ЗО-ВБ'!L16</f>
        <v>Савинова М.А.</v>
      </c>
      <c r="N14" s="1">
        <f>'ЗО-ВБ'!M16</f>
        <v>108</v>
      </c>
      <c r="O14" s="1" t="str">
        <f>'ЗО-ВБ'!N16</f>
        <v>уст</v>
      </c>
      <c r="P14" s="1">
        <f>'ЗО-ВБ'!O16</f>
        <v>0</v>
      </c>
      <c r="Q14" s="1">
        <f>'ЗО-ВБ'!P16</f>
        <v>0</v>
      </c>
      <c r="R14" s="1" t="str">
        <f>'ЗО-ВБ'!Q16</f>
        <v>Савинова М.А.</v>
      </c>
      <c r="S14" s="1">
        <f>'ЗО-ВБ'!R16</f>
        <v>2</v>
      </c>
      <c r="T14" s="1">
        <f>'ЗО-ВБ'!S16</f>
        <v>0</v>
      </c>
      <c r="U14" s="1">
        <f>'ЗО-ВБ'!T16</f>
        <v>0</v>
      </c>
      <c r="V14" s="1">
        <f>'ЗО-ВБ'!U16</f>
        <v>0</v>
      </c>
      <c r="W14" s="1">
        <f>'ЗО-ВБ'!V16</f>
        <v>0</v>
      </c>
    </row>
    <row r="15" spans="1:23" customFormat="1" ht="22.5" x14ac:dyDescent="0.25">
      <c r="A15" s="24" t="s">
        <v>249</v>
      </c>
      <c r="B15" s="1" t="str">
        <f>'ЗО-ВБ'!A17</f>
        <v>Сети и телекоммуникации</v>
      </c>
      <c r="C15" s="1" t="str">
        <f>'ЗО-ВБ'!B17</f>
        <v>09.03.01(09)</v>
      </c>
      <c r="D15" s="1" t="str">
        <f>'ЗО-ВБ'!C17</f>
        <v>ОИНФ</v>
      </c>
      <c r="E15" s="1">
        <f>'ЗО-ВБ'!D17</f>
        <v>7</v>
      </c>
      <c r="F15" s="1">
        <f>'ЗО-ВБ'!E17</f>
        <v>1</v>
      </c>
      <c r="G15" s="1">
        <f>'ЗО-ВБ'!F17</f>
        <v>22</v>
      </c>
      <c r="H15" s="1" t="str">
        <f>'ЗО-ВБ'!G17</f>
        <v>Э</v>
      </c>
      <c r="I15" s="1">
        <f>'ЗО-ВБ'!H17</f>
        <v>6</v>
      </c>
      <c r="J15" s="1">
        <v>6</v>
      </c>
      <c r="K15" s="1">
        <f>'ЗО-ВБ'!J17</f>
        <v>0</v>
      </c>
      <c r="L15" s="1">
        <f>'ЗО-ВБ'!K17</f>
        <v>12</v>
      </c>
      <c r="M15" s="1" t="str">
        <f>'ЗО-ВБ'!L17</f>
        <v>Журавлева М.П.</v>
      </c>
      <c r="N15" s="1">
        <f>'ЗО-ВБ'!M17</f>
        <v>2309</v>
      </c>
      <c r="O15" s="1" t="str">
        <f>'ЗО-ВБ'!N17</f>
        <v>2п</v>
      </c>
      <c r="P15" s="1">
        <f>'ЗО-ВБ'!O17</f>
        <v>19.8</v>
      </c>
      <c r="Q15" s="1">
        <f>'ЗО-ВБ'!P17</f>
        <v>13.2</v>
      </c>
      <c r="R15" s="1" t="str">
        <f>'ЗО-ВБ'!Q17</f>
        <v>Журавлева М.П.</v>
      </c>
      <c r="S15" s="1">
        <f>'ЗО-ВБ'!R17</f>
        <v>53</v>
      </c>
      <c r="T15" s="1">
        <f>'ЗО-ВБ'!S17</f>
        <v>0</v>
      </c>
      <c r="U15" s="1">
        <f>'ЗО-ВБ'!T17</f>
        <v>0</v>
      </c>
      <c r="V15" s="1">
        <f>'ЗО-ВБ'!U17</f>
        <v>0</v>
      </c>
      <c r="W15" s="1">
        <f>'ЗО-ВБ'!V17</f>
        <v>0</v>
      </c>
    </row>
    <row r="16" spans="1:23" customFormat="1" ht="22.5" x14ac:dyDescent="0.25">
      <c r="A16" s="24" t="s">
        <v>249</v>
      </c>
      <c r="B16" s="1" t="str">
        <f>'ЗО-ВБ'!A18</f>
        <v>Системы искусственного интеллекта(установ.)</v>
      </c>
      <c r="C16" s="1" t="str">
        <f>'ЗО-ВБ'!B18</f>
        <v>09.03.01(09)</v>
      </c>
      <c r="D16" s="1" t="str">
        <f>'ЗО-ВБ'!C18</f>
        <v>ОИНФ</v>
      </c>
      <c r="E16" s="1">
        <f>'ЗО-ВБ'!D18</f>
        <v>7</v>
      </c>
      <c r="F16" s="1">
        <f>'ЗО-ВБ'!E18</f>
        <v>1</v>
      </c>
      <c r="G16" s="1">
        <f>'ЗО-ВБ'!F18</f>
        <v>22</v>
      </c>
      <c r="H16" s="1">
        <f>'ЗО-ВБ'!G18</f>
        <v>0</v>
      </c>
      <c r="I16" s="1">
        <f>'ЗО-ВБ'!H18</f>
        <v>0</v>
      </c>
      <c r="J16" s="1">
        <f>'ЗО-ВБ'!I18</f>
        <v>2</v>
      </c>
      <c r="K16" s="1">
        <f>'ЗО-ВБ'!J18</f>
        <v>0</v>
      </c>
      <c r="L16" s="1">
        <f>'ЗО-ВБ'!K18</f>
        <v>0</v>
      </c>
      <c r="M16" s="1" t="str">
        <f>'ЗО-ВБ'!L18</f>
        <v>Михайлов Д.В.</v>
      </c>
      <c r="N16" s="1">
        <f>'ЗО-ВБ'!M18</f>
        <v>3305</v>
      </c>
      <c r="O16" s="1" t="str">
        <f>'ЗО-ВБ'!N18</f>
        <v>уст</v>
      </c>
      <c r="P16" s="1">
        <f>'ЗО-ВБ'!O18</f>
        <v>0</v>
      </c>
      <c r="Q16" s="1">
        <f>'ЗО-ВБ'!P18</f>
        <v>0</v>
      </c>
      <c r="R16" s="1" t="str">
        <f>'ЗО-ВБ'!Q18</f>
        <v>Михайлов Д.В.</v>
      </c>
      <c r="S16" s="1">
        <f>'ЗО-ВБ'!R18</f>
        <v>2</v>
      </c>
      <c r="T16" s="1">
        <f>'ЗО-ВБ'!S18</f>
        <v>0</v>
      </c>
      <c r="U16" s="1">
        <f>'ЗО-ВБ'!T18</f>
        <v>0</v>
      </c>
      <c r="V16" s="1">
        <f>'ЗО-ВБ'!U18</f>
        <v>0</v>
      </c>
      <c r="W16" s="1">
        <f>'ЗО-ВБ'!V18</f>
        <v>0</v>
      </c>
    </row>
    <row r="17" spans="1:23" customFormat="1" ht="22.5" x14ac:dyDescent="0.25">
      <c r="A17" s="24" t="s">
        <v>249</v>
      </c>
      <c r="B17" s="1" t="str">
        <f>'ЗО-ВБ'!A19</f>
        <v>Моделирование систем</v>
      </c>
      <c r="C17" s="1" t="str">
        <f>'ЗО-ВБ'!B19</f>
        <v>09.03.01(09)</v>
      </c>
      <c r="D17" s="1" t="str">
        <f>'ЗО-ВБ'!C19</f>
        <v>ОИНФ</v>
      </c>
      <c r="E17" s="1">
        <f>'ЗО-ВБ'!D19</f>
        <v>7</v>
      </c>
      <c r="F17" s="1">
        <f>'ЗО-ВБ'!E19</f>
        <v>1</v>
      </c>
      <c r="G17" s="1">
        <f>'ЗО-ВБ'!F19</f>
        <v>22</v>
      </c>
      <c r="H17" s="1" t="str">
        <f>'ЗО-ВБ'!G19</f>
        <v>ДЗ</v>
      </c>
      <c r="I17" s="1">
        <f>'ЗО-ВБ'!H19</f>
        <v>4</v>
      </c>
      <c r="J17" s="1">
        <v>2</v>
      </c>
      <c r="K17" s="1">
        <f>'ЗО-ВБ'!J19</f>
        <v>0</v>
      </c>
      <c r="L17" s="1">
        <f>'ЗО-ВБ'!K19</f>
        <v>12</v>
      </c>
      <c r="M17" s="1" t="str">
        <f>'ЗО-ВБ'!L19</f>
        <v>Эминов С.И.</v>
      </c>
      <c r="N17" s="1" t="str">
        <f>'ЗО-ВБ'!M19</f>
        <v>3312, 3305, 3315</v>
      </c>
      <c r="O17" s="1" t="str">
        <f>'ЗО-ВБ'!N19</f>
        <v>2п</v>
      </c>
      <c r="P17" s="1">
        <f>'ЗО-ВБ'!O19</f>
        <v>13.2</v>
      </c>
      <c r="Q17" s="1">
        <f>'ЗО-ВБ'!P19</f>
        <v>0</v>
      </c>
      <c r="R17" s="1" t="str">
        <f>'ЗО-ВБ'!Q19</f>
        <v>Эминов С.И.</v>
      </c>
      <c r="S17" s="1">
        <f>'ЗО-ВБ'!R19</f>
        <v>29.2</v>
      </c>
      <c r="T17" s="1">
        <f>'ЗО-ВБ'!S19</f>
        <v>0</v>
      </c>
      <c r="U17" s="1">
        <f>'ЗО-ВБ'!T19</f>
        <v>0</v>
      </c>
      <c r="V17" s="1">
        <f>'ЗО-ВБ'!U19</f>
        <v>0</v>
      </c>
      <c r="W17" s="1">
        <f>'ЗО-ВБ'!V19</f>
        <v>0</v>
      </c>
    </row>
    <row r="18" spans="1:23" customFormat="1" ht="22.5" x14ac:dyDescent="0.25">
      <c r="A18" s="24" t="s">
        <v>249</v>
      </c>
      <c r="B18" s="1" t="str">
        <f>'ЗО-ВБ'!A20</f>
        <v>Защита информации(установ.)</v>
      </c>
      <c r="C18" s="1" t="str">
        <f>'ЗО-ВБ'!B20</f>
        <v>09.03.01(09)</v>
      </c>
      <c r="D18" s="1" t="str">
        <f>'ЗО-ВБ'!C20</f>
        <v>ОИНФ</v>
      </c>
      <c r="E18" s="1">
        <f>'ЗО-ВБ'!D20</f>
        <v>7</v>
      </c>
      <c r="F18" s="1">
        <f>'ЗО-ВБ'!E20</f>
        <v>1</v>
      </c>
      <c r="G18" s="1">
        <f>'ЗО-ВБ'!F20</f>
        <v>22</v>
      </c>
      <c r="H18" s="1">
        <f>'ЗО-ВБ'!G20</f>
        <v>0</v>
      </c>
      <c r="I18" s="1">
        <f>'ЗО-ВБ'!H20</f>
        <v>0</v>
      </c>
      <c r="J18" s="1">
        <f>'ЗО-ВБ'!I20</f>
        <v>2</v>
      </c>
      <c r="K18" s="1">
        <f>'ЗО-ВБ'!J20</f>
        <v>0</v>
      </c>
      <c r="L18" s="1">
        <f>'ЗО-ВБ'!K20</f>
        <v>0</v>
      </c>
      <c r="M18" s="1" t="str">
        <f>'ЗО-ВБ'!L20</f>
        <v>Жгун Т.</v>
      </c>
      <c r="N18" s="1" t="str">
        <f>'ЗО-ВБ'!M20</f>
        <v>3300, 3305</v>
      </c>
      <c r="O18" s="1" t="str">
        <f>'ЗО-ВБ'!N20</f>
        <v>уст</v>
      </c>
      <c r="P18" s="1">
        <f>'ЗО-ВБ'!O20</f>
        <v>0</v>
      </c>
      <c r="Q18" s="1">
        <f>'ЗО-ВБ'!P20</f>
        <v>0</v>
      </c>
      <c r="R18" s="1" t="str">
        <f>'ЗО-ВБ'!Q20</f>
        <v>Жгун Т.</v>
      </c>
      <c r="S18" s="1">
        <f>'ЗО-ВБ'!R20</f>
        <v>2</v>
      </c>
      <c r="T18" s="1">
        <f>'ЗО-ВБ'!S20</f>
        <v>0</v>
      </c>
      <c r="U18" s="1">
        <f>'ЗО-ВБ'!T20</f>
        <v>0</v>
      </c>
      <c r="V18" s="1">
        <f>'ЗО-ВБ'!U20</f>
        <v>0</v>
      </c>
      <c r="W18" s="1">
        <f>'ЗО-ВБ'!V20</f>
        <v>0</v>
      </c>
    </row>
    <row r="19" spans="1:23" ht="33.75" x14ac:dyDescent="0.25">
      <c r="A19" s="24" t="s">
        <v>249</v>
      </c>
      <c r="B19" s="1" t="str">
        <f>'ЗО-ВБ'!A21</f>
        <v>Проектирование информационных систем(установ.)</v>
      </c>
      <c r="C19" s="1" t="str">
        <f>'ЗО-ВБ'!B21</f>
        <v>09.03.01(09)</v>
      </c>
      <c r="D19" s="1" t="str">
        <f>'ЗО-ВБ'!C21</f>
        <v>ОИНФ</v>
      </c>
      <c r="E19" s="1">
        <f>'ЗО-ВБ'!D21</f>
        <v>7</v>
      </c>
      <c r="F19" s="1">
        <f>'ЗО-ВБ'!E21</f>
        <v>1</v>
      </c>
      <c r="G19" s="1">
        <f>'ЗО-ВБ'!F21</f>
        <v>22</v>
      </c>
      <c r="H19" s="1">
        <f>'ЗО-ВБ'!G21</f>
        <v>0</v>
      </c>
      <c r="I19" s="1">
        <f>'ЗО-ВБ'!H21</f>
        <v>0</v>
      </c>
      <c r="J19" s="1">
        <f>'ЗО-ВБ'!I21</f>
        <v>2</v>
      </c>
      <c r="K19" s="1">
        <f>'ЗО-ВБ'!J21</f>
        <v>0</v>
      </c>
      <c r="L19" s="1">
        <f>'ЗО-ВБ'!K21</f>
        <v>0</v>
      </c>
      <c r="M19" s="1" t="str">
        <f>'ЗО-ВБ'!L21</f>
        <v>Цымбалюк Л.Н.</v>
      </c>
      <c r="N19" s="1">
        <f>'ЗО-ВБ'!M21</f>
        <v>124</v>
      </c>
      <c r="O19" s="1" t="str">
        <f>'ЗО-ВБ'!N21</f>
        <v>уст</v>
      </c>
      <c r="P19" s="1">
        <f>'ЗО-ВБ'!O21</f>
        <v>0</v>
      </c>
      <c r="Q19" s="1">
        <f>'ЗО-ВБ'!P21</f>
        <v>0</v>
      </c>
      <c r="R19" s="1" t="str">
        <f>'ЗО-ВБ'!Q21</f>
        <v>Цымбалюк Л.Н.</v>
      </c>
      <c r="S19" s="1">
        <f>'ЗО-ВБ'!R21</f>
        <v>2</v>
      </c>
      <c r="T19" s="1">
        <f>'ЗО-ВБ'!S21</f>
        <v>0</v>
      </c>
      <c r="U19" s="1">
        <f>'ЗО-ВБ'!T21</f>
        <v>0</v>
      </c>
      <c r="V19" s="1">
        <f>'ЗО-ВБ'!U21</f>
        <v>0</v>
      </c>
      <c r="W19" s="1">
        <f>'ЗО-ВБ'!V21</f>
        <v>0</v>
      </c>
    </row>
    <row r="20" spans="1:23" ht="33.75" x14ac:dyDescent="0.25">
      <c r="A20" s="24" t="s">
        <v>249</v>
      </c>
      <c r="B20" s="1" t="str">
        <f>'ЗО-ВБ'!A22</f>
        <v>Технология разработки программного обеспечения</v>
      </c>
      <c r="C20" s="1" t="str">
        <f>'ЗО-ВБ'!B22</f>
        <v>09.03.01(09)</v>
      </c>
      <c r="D20" s="1" t="str">
        <f>'ЗО-ВБ'!C22</f>
        <v>ОИНФ</v>
      </c>
      <c r="E20" s="1">
        <f>'ЗО-ВБ'!D22</f>
        <v>7</v>
      </c>
      <c r="F20" s="1">
        <f>'ЗО-ВБ'!E22</f>
        <v>1</v>
      </c>
      <c r="G20" s="1">
        <f>'ЗО-ВБ'!F22</f>
        <v>22</v>
      </c>
      <c r="H20" s="1" t="str">
        <f>'ЗО-ВБ'!G22</f>
        <v>Э</v>
      </c>
      <c r="I20" s="1">
        <f>'ЗО-ВБ'!H22</f>
        <v>4</v>
      </c>
      <c r="J20" s="1">
        <v>2</v>
      </c>
      <c r="K20" s="1">
        <f>'ЗО-ВБ'!J22</f>
        <v>4</v>
      </c>
      <c r="L20" s="1">
        <f>'ЗО-ВБ'!K22</f>
        <v>4</v>
      </c>
      <c r="M20" s="1" t="str">
        <f>'ЗО-ВБ'!L22</f>
        <v>Алексеев П.С.</v>
      </c>
      <c r="N20" s="1">
        <f>'ЗО-ВБ'!M22</f>
        <v>3312</v>
      </c>
      <c r="O20" s="1" t="str">
        <f>'ЗО-ВБ'!N22</f>
        <v>2п</v>
      </c>
      <c r="P20" s="1">
        <f>'ЗО-ВБ'!O22</f>
        <v>13.2</v>
      </c>
      <c r="Q20" s="1">
        <f>'ЗО-ВБ'!P22</f>
        <v>8.8000000000000007</v>
      </c>
      <c r="R20" s="1" t="str">
        <f>'ЗО-ВБ'!Q22</f>
        <v>Алексеев П.С.</v>
      </c>
      <c r="S20" s="1">
        <f>'ЗО-ВБ'!R22</f>
        <v>34</v>
      </c>
      <c r="T20" s="1">
        <f>'ЗО-ВБ'!S22</f>
        <v>0</v>
      </c>
      <c r="U20" s="1">
        <f>'ЗО-ВБ'!T22</f>
        <v>0</v>
      </c>
      <c r="V20" s="1">
        <f>'ЗО-ВБ'!U22</f>
        <v>0</v>
      </c>
      <c r="W20" s="1">
        <f>'ЗО-ВБ'!V22</f>
        <v>0</v>
      </c>
    </row>
    <row r="21" spans="1:23" ht="45" x14ac:dyDescent="0.25">
      <c r="A21" s="24" t="s">
        <v>249</v>
      </c>
      <c r="B21" s="1" t="str">
        <f>'ЗО-ВБ'!A23</f>
        <v>Введение в информационные технологии больших данных (установ.)</v>
      </c>
      <c r="C21" s="1" t="str">
        <f>'ЗО-ВБ'!B23</f>
        <v>09.03.01(09)</v>
      </c>
      <c r="D21" s="1" t="str">
        <f>'ЗО-ВБ'!C23</f>
        <v>ОИНФ</v>
      </c>
      <c r="E21" s="1">
        <f>'ЗО-ВБ'!D23</f>
        <v>7</v>
      </c>
      <c r="F21" s="1">
        <f>'ЗО-ВБ'!E23</f>
        <v>1</v>
      </c>
      <c r="G21" s="1">
        <f>'ЗО-ВБ'!F23</f>
        <v>22</v>
      </c>
      <c r="H21" s="1">
        <f>'ЗО-ВБ'!G23</f>
        <v>0</v>
      </c>
      <c r="I21" s="1">
        <f>'ЗО-ВБ'!H23</f>
        <v>0</v>
      </c>
      <c r="J21" s="1">
        <f>'ЗО-ВБ'!I23</f>
        <v>2</v>
      </c>
      <c r="K21" s="1">
        <f>'ЗО-ВБ'!J23</f>
        <v>0</v>
      </c>
      <c r="L21" s="1">
        <f>'ЗО-ВБ'!K23</f>
        <v>0</v>
      </c>
      <c r="M21" s="1" t="str">
        <f>'ЗО-ВБ'!L23</f>
        <v>Цымбалюк Л.Н.</v>
      </c>
      <c r="N21" s="1">
        <f>'ЗО-ВБ'!M23</f>
        <v>124</v>
      </c>
      <c r="O21" s="1" t="str">
        <f>'ЗО-ВБ'!N23</f>
        <v>уст</v>
      </c>
      <c r="P21" s="1">
        <f>'ЗО-ВБ'!O23</f>
        <v>0</v>
      </c>
      <c r="Q21" s="1">
        <f>'ЗО-ВБ'!P23</f>
        <v>0</v>
      </c>
      <c r="R21" s="1" t="str">
        <f>'ЗО-ВБ'!Q23</f>
        <v>Цымбалюк Л.Н.</v>
      </c>
      <c r="S21" s="1">
        <f>'ЗО-ВБ'!R23</f>
        <v>2</v>
      </c>
      <c r="T21" s="1">
        <f>'ЗО-ВБ'!S23</f>
        <v>0</v>
      </c>
      <c r="U21" s="1">
        <f>'ЗО-ВБ'!T23</f>
        <v>0</v>
      </c>
      <c r="V21" s="1">
        <f>'ЗО-ВБ'!U23</f>
        <v>0</v>
      </c>
      <c r="W21" s="1">
        <f>'ЗО-ВБ'!V23</f>
        <v>0</v>
      </c>
    </row>
    <row r="22" spans="1:23" ht="45" x14ac:dyDescent="0.25">
      <c r="A22" s="24" t="s">
        <v>249</v>
      </c>
      <c r="B22" s="1" t="str">
        <f>'ЗО-ВБ'!A24</f>
        <v>Разработка программного обеспечения микроконтроллеров и ПЛИС</v>
      </c>
      <c r="C22" s="1" t="str">
        <f>'ЗО-ВБ'!B24</f>
        <v>09.03.01(09)</v>
      </c>
      <c r="D22" s="1" t="str">
        <f>'ЗО-ВБ'!C24</f>
        <v>ОИНФ</v>
      </c>
      <c r="E22" s="1">
        <f>'ЗО-ВБ'!D24</f>
        <v>7</v>
      </c>
      <c r="F22" s="1">
        <f>'ЗО-ВБ'!E24</f>
        <v>1</v>
      </c>
      <c r="G22" s="1">
        <f>'ЗО-ВБ'!F24</f>
        <v>22</v>
      </c>
      <c r="H22" s="1" t="str">
        <f>'ЗО-ВБ'!G24</f>
        <v>ДЗ</v>
      </c>
      <c r="I22" s="1">
        <f>'ЗО-ВБ'!H24</f>
        <v>4</v>
      </c>
      <c r="J22" s="1">
        <v>2</v>
      </c>
      <c r="K22" s="1">
        <f>'ЗО-ВБ'!J24</f>
        <v>6</v>
      </c>
      <c r="L22" s="1">
        <f>'ЗО-ВБ'!K24</f>
        <v>6</v>
      </c>
      <c r="M22" s="1" t="str">
        <f>'ЗО-ВБ'!L24</f>
        <v>Килиба Ю.В.</v>
      </c>
      <c r="N22" s="1">
        <f>'ЗО-ВБ'!M24</f>
        <v>3305</v>
      </c>
      <c r="O22" s="1" t="str">
        <f>'ЗО-ВБ'!N24</f>
        <v>2п</v>
      </c>
      <c r="P22" s="1">
        <f>'ЗО-ВБ'!O24</f>
        <v>0</v>
      </c>
      <c r="Q22" s="1">
        <f>'ЗО-ВБ'!P24</f>
        <v>13.2</v>
      </c>
      <c r="R22" s="1" t="str">
        <f>'ЗО-ВБ'!Q24</f>
        <v>Килиба Ю.В.</v>
      </c>
      <c r="S22" s="1">
        <f>'ЗО-ВБ'!R24</f>
        <v>29.2</v>
      </c>
      <c r="T22" s="1">
        <f>'ЗО-ВБ'!S24</f>
        <v>0</v>
      </c>
      <c r="U22" s="1">
        <f>'ЗО-ВБ'!T24</f>
        <v>0</v>
      </c>
      <c r="V22" s="1">
        <f>'ЗО-ВБ'!U24</f>
        <v>0</v>
      </c>
      <c r="W22" s="1">
        <f>'ЗО-ВБ'!V24</f>
        <v>0</v>
      </c>
    </row>
    <row r="23" spans="1:23" ht="22.5" x14ac:dyDescent="0.25">
      <c r="A23" s="24" t="s">
        <v>249</v>
      </c>
      <c r="B23" s="1" t="str">
        <f>'ЗО-ВБ'!A25</f>
        <v>Проектный практикум</v>
      </c>
      <c r="C23" s="1" t="str">
        <f>'ЗО-ВБ'!B25</f>
        <v>09.03.01(09)</v>
      </c>
      <c r="D23" s="1" t="str">
        <f>'ЗО-ВБ'!C25</f>
        <v>ОИНФ</v>
      </c>
      <c r="E23" s="1">
        <f>'ЗО-ВБ'!D25</f>
        <v>7</v>
      </c>
      <c r="F23" s="1">
        <f>'ЗО-ВБ'!E25</f>
        <v>1</v>
      </c>
      <c r="G23" s="1">
        <f>'ЗО-ВБ'!F25</f>
        <v>22</v>
      </c>
      <c r="H23" s="1" t="str">
        <f>'ЗО-ВБ'!G25</f>
        <v>ДЗ</v>
      </c>
      <c r="I23" s="1">
        <f>'ЗО-ВБ'!H25</f>
        <v>1</v>
      </c>
      <c r="J23" s="1">
        <f>'ЗО-ВБ'!I25</f>
        <v>0</v>
      </c>
      <c r="K23" s="1">
        <f>'ЗО-ВБ'!J25</f>
        <v>4</v>
      </c>
      <c r="L23" s="1">
        <f>'ЗО-ВБ'!K25</f>
        <v>0</v>
      </c>
      <c r="M23" s="1" t="str">
        <f>'ЗО-ВБ'!L25</f>
        <v>Савинова М.А.</v>
      </c>
      <c r="N23" s="1">
        <f>'ЗО-ВБ'!M25</f>
        <v>108</v>
      </c>
      <c r="O23" s="1" t="str">
        <f>'ЗО-ВБ'!N25</f>
        <v>1п</v>
      </c>
      <c r="P23" s="1">
        <f>'ЗО-ВБ'!O25</f>
        <v>3.3</v>
      </c>
      <c r="Q23" s="1">
        <f>'ЗО-ВБ'!P25</f>
        <v>0</v>
      </c>
      <c r="R23" s="1" t="str">
        <f>'ЗО-ВБ'!Q25</f>
        <v>Савинова М.А.</v>
      </c>
      <c r="S23" s="1">
        <f>'ЗО-ВБ'!R25</f>
        <v>7.3</v>
      </c>
      <c r="T23" s="1">
        <f>'ЗО-ВБ'!S25</f>
        <v>0</v>
      </c>
      <c r="U23" s="1">
        <f>'ЗО-ВБ'!T25</f>
        <v>0</v>
      </c>
      <c r="V23" s="1">
        <f>'ЗО-ВБ'!U25</f>
        <v>0</v>
      </c>
      <c r="W23" s="1">
        <f>'ЗО-ВБ'!V25</f>
        <v>0</v>
      </c>
    </row>
    <row r="24" spans="1:23" ht="45" x14ac:dyDescent="0.25">
      <c r="A24" s="24" t="s">
        <v>249</v>
      </c>
      <c r="B24" s="1" t="str">
        <f>'ЗО-ВБ'!A26</f>
        <v>Практика учебная: Практика эксплуатационная(установ.)</v>
      </c>
      <c r="C24" s="1" t="str">
        <f>'ЗО-ВБ'!B26</f>
        <v>09.03.01(09)</v>
      </c>
      <c r="D24" s="1" t="str">
        <f>'ЗО-ВБ'!C26</f>
        <v>ОИНФ</v>
      </c>
      <c r="E24" s="1">
        <f>'ЗО-ВБ'!D26</f>
        <v>7</v>
      </c>
      <c r="F24" s="1">
        <f>'ЗО-ВБ'!E26</f>
        <v>1</v>
      </c>
      <c r="G24" s="1">
        <f>'ЗО-ВБ'!F26</f>
        <v>22</v>
      </c>
      <c r="H24" s="1">
        <f>'ЗО-ВБ'!G26</f>
        <v>0</v>
      </c>
      <c r="I24" s="1">
        <f>'ЗО-ВБ'!H26</f>
        <v>0</v>
      </c>
      <c r="J24" s="1">
        <f>'ЗО-ВБ'!I26</f>
        <v>1</v>
      </c>
      <c r="K24" s="1">
        <f>'ЗО-ВБ'!J26</f>
        <v>0</v>
      </c>
      <c r="L24" s="1">
        <f>'ЗО-ВБ'!K26</f>
        <v>0</v>
      </c>
      <c r="M24" s="1" t="str">
        <f>'ЗО-ВБ'!L26</f>
        <v>Макевич П.В.</v>
      </c>
      <c r="N24" s="1">
        <f>'ЗО-ВБ'!M26</f>
        <v>2407</v>
      </c>
      <c r="O24" s="1" t="str">
        <f>'ЗО-ВБ'!N26</f>
        <v>уст</v>
      </c>
      <c r="P24" s="1">
        <f>'ЗО-ВБ'!O26</f>
        <v>0</v>
      </c>
      <c r="Q24" s="1">
        <f>'ЗО-ВБ'!P26</f>
        <v>0</v>
      </c>
      <c r="R24" s="1" t="str">
        <f>'ЗО-ВБ'!Q26</f>
        <v>Макевич П.В.</v>
      </c>
      <c r="S24" s="1">
        <f>'ЗО-ВБ'!R26</f>
        <v>1</v>
      </c>
      <c r="T24" s="1">
        <f>'ЗО-ВБ'!S26</f>
        <v>0</v>
      </c>
      <c r="U24" s="1">
        <f>'ЗО-ВБ'!T26</f>
        <v>0</v>
      </c>
      <c r="V24" s="1">
        <f>'ЗО-ВБ'!U26</f>
        <v>0</v>
      </c>
      <c r="W24" s="1">
        <f>'ЗО-ВБ'!V26</f>
        <v>0</v>
      </c>
    </row>
    <row r="25" spans="1:23" ht="33.75" x14ac:dyDescent="0.25">
      <c r="A25" s="24" t="s">
        <v>249</v>
      </c>
      <c r="B25" s="1" t="str">
        <f>'ЗО-ВБ'!A27</f>
        <v>Практика учебная: Практика проектно-технологическая</v>
      </c>
      <c r="C25" s="1" t="str">
        <f>'ЗО-ВБ'!B27</f>
        <v>09.03.01(09)</v>
      </c>
      <c r="D25" s="1" t="str">
        <f>'ЗО-ВБ'!C27</f>
        <v>ОИНФ</v>
      </c>
      <c r="E25" s="1">
        <f>'ЗО-ВБ'!D27</f>
        <v>7</v>
      </c>
      <c r="F25" s="1">
        <f>'ЗО-ВБ'!E27</f>
        <v>1</v>
      </c>
      <c r="G25" s="1">
        <f>'ЗО-ВБ'!F27</f>
        <v>22</v>
      </c>
      <c r="H25" s="1" t="str">
        <f>'ЗО-ВБ'!G27</f>
        <v>ДЗ</v>
      </c>
      <c r="I25" s="1">
        <f>'ЗО-ВБ'!H27</f>
        <v>1</v>
      </c>
      <c r="J25" s="1">
        <f>'ЗО-ВБ'!I27</f>
        <v>0</v>
      </c>
      <c r="K25" s="1">
        <f>'ЗО-ВБ'!J27</f>
        <v>2</v>
      </c>
      <c r="L25" s="1">
        <f>'ЗО-ВБ'!K27</f>
        <v>0</v>
      </c>
      <c r="M25" s="1" t="str">
        <f>'ЗО-ВБ'!L27</f>
        <v>Моркин С.А.</v>
      </c>
      <c r="N25" s="1">
        <f>'ЗО-ВБ'!M27</f>
        <v>3312.3305</v>
      </c>
      <c r="O25" s="1" t="str">
        <f>'ЗО-ВБ'!N27</f>
        <v>1п</v>
      </c>
      <c r="P25" s="1">
        <f>'ЗО-ВБ'!O27</f>
        <v>6.6</v>
      </c>
      <c r="Q25" s="1">
        <f>'ЗО-ВБ'!P27</f>
        <v>0</v>
      </c>
      <c r="R25" s="1" t="str">
        <f>'ЗО-ВБ'!Q27</f>
        <v>Моркин С.А.</v>
      </c>
      <c r="S25" s="1">
        <f>'ЗО-ВБ'!R27</f>
        <v>8.6</v>
      </c>
      <c r="T25" s="1">
        <f>'ЗО-ВБ'!S27</f>
        <v>0</v>
      </c>
      <c r="U25" s="1">
        <f>'ЗО-ВБ'!T27</f>
        <v>0</v>
      </c>
      <c r="V25" s="1">
        <f>'ЗО-ВБ'!U27</f>
        <v>0</v>
      </c>
      <c r="W25" s="1">
        <f>'ЗО-ВБ'!V27</f>
        <v>0</v>
      </c>
    </row>
    <row r="26" spans="1:23" ht="33.75" x14ac:dyDescent="0.25">
      <c r="A26" s="24" t="s">
        <v>249</v>
      </c>
      <c r="B26" s="1" t="str">
        <f>'ЗО-ВБ'!A28</f>
        <v>Практика учебная: Практика проектно-технологическая(установ.)</v>
      </c>
      <c r="C26" s="1" t="str">
        <f>'ЗО-ВБ'!B28</f>
        <v>09.03.01(09)</v>
      </c>
      <c r="D26" s="1" t="str">
        <f>'ЗО-ВБ'!C28</f>
        <v>ОИНФ</v>
      </c>
      <c r="E26" s="1">
        <f>'ЗО-ВБ'!D28</f>
        <v>7</v>
      </c>
      <c r="F26" s="1">
        <f>'ЗО-ВБ'!E28</f>
        <v>1</v>
      </c>
      <c r="G26" s="1">
        <f>'ЗО-ВБ'!F28</f>
        <v>22</v>
      </c>
      <c r="H26" s="1">
        <f>'ЗО-ВБ'!G28</f>
        <v>0</v>
      </c>
      <c r="I26" s="1">
        <f>'ЗО-ВБ'!H28</f>
        <v>0</v>
      </c>
      <c r="J26" s="1">
        <f>'ЗО-ВБ'!I28</f>
        <v>1</v>
      </c>
      <c r="K26" s="1">
        <f>'ЗО-ВБ'!J28</f>
        <v>0</v>
      </c>
      <c r="L26" s="1">
        <f>'ЗО-ВБ'!K28</f>
        <v>0</v>
      </c>
      <c r="M26" s="1" t="str">
        <f>'ЗО-ВБ'!L28</f>
        <v>Моркин С.А.</v>
      </c>
      <c r="N26" s="1">
        <f>'ЗО-ВБ'!M28</f>
        <v>2407</v>
      </c>
      <c r="O26" s="1" t="str">
        <f>'ЗО-ВБ'!N28</f>
        <v>уст</v>
      </c>
      <c r="P26" s="1">
        <f>'ЗО-ВБ'!O28</f>
        <v>0</v>
      </c>
      <c r="Q26" s="1">
        <f>'ЗО-ВБ'!P28</f>
        <v>0</v>
      </c>
      <c r="R26" s="1" t="str">
        <f>'ЗО-ВБ'!Q28</f>
        <v>Моркин С.А.</v>
      </c>
      <c r="S26" s="1">
        <f>'ЗО-ВБ'!R28</f>
        <v>1</v>
      </c>
      <c r="T26" s="1">
        <f>'ЗО-ВБ'!S28</f>
        <v>0</v>
      </c>
      <c r="U26" s="1">
        <f>'ЗО-ВБ'!T28</f>
        <v>0</v>
      </c>
      <c r="V26" s="1">
        <f>'ЗО-ВБ'!U28</f>
        <v>0</v>
      </c>
      <c r="W26" s="1">
        <f>'ЗО-ВБ'!V28</f>
        <v>0</v>
      </c>
    </row>
    <row r="27" spans="1:23" ht="67.5" x14ac:dyDescent="0.25">
      <c r="A27" s="24" t="s">
        <v>249</v>
      </c>
      <c r="B27" s="1" t="str">
        <f>'ЗО-ВБ'!A29</f>
        <v>IT в профессиональной деятельности</v>
      </c>
      <c r="C27" s="1" t="str">
        <f>'ЗО-ВБ'!B29</f>
        <v xml:space="preserve">13.03.01(41у) 13.03.02(41у) 23.03.03(06у) </v>
      </c>
      <c r="D27" s="1" t="str">
        <f>'ЗО-ВБ'!C29</f>
        <v>ОМЭ</v>
      </c>
      <c r="E27" s="1">
        <f>'ЗО-ВБ'!D29</f>
        <v>7</v>
      </c>
      <c r="F27" s="1">
        <f>'ЗО-ВБ'!E29</f>
        <v>3</v>
      </c>
      <c r="G27" s="1">
        <f>'ЗО-ВБ'!F29</f>
        <v>38</v>
      </c>
      <c r="H27" s="1" t="str">
        <f>'ЗО-ВБ'!G29</f>
        <v>ЗАЧ</v>
      </c>
      <c r="I27" s="1">
        <f>'ЗО-ВБ'!H29</f>
        <v>1</v>
      </c>
      <c r="J27" s="1">
        <f>'ЗО-ВБ'!I29</f>
        <v>0</v>
      </c>
      <c r="K27" s="1">
        <f>'ЗО-ВБ'!J29</f>
        <v>4</v>
      </c>
      <c r="L27" s="1">
        <f>'ЗО-ВБ'!K29</f>
        <v>0</v>
      </c>
      <c r="M27" s="1" t="str">
        <f>'ЗО-ВБ'!L29</f>
        <v>Эрштейн Л.Б.</v>
      </c>
      <c r="N27" s="1" t="str">
        <f>'ЗО-ВБ'!M29</f>
        <v>ДО</v>
      </c>
      <c r="O27" s="1" t="str">
        <f>'ЗО-ВБ'!N29</f>
        <v>4п</v>
      </c>
      <c r="P27" s="1">
        <f>'ЗО-ВБ'!O29</f>
        <v>5.7</v>
      </c>
      <c r="Q27" s="1">
        <f>'ЗО-ВБ'!P29</f>
        <v>1.1000000000000001</v>
      </c>
      <c r="R27" s="1" t="str">
        <f>'ЗО-ВБ'!Q29</f>
        <v>Эрштейн Л.Б.</v>
      </c>
      <c r="S27" s="1">
        <f>'ЗО-ВБ'!R29</f>
        <v>10.799999999999999</v>
      </c>
      <c r="T27" s="1">
        <f>'ЗО-ВБ'!S29</f>
        <v>0</v>
      </c>
      <c r="U27" s="1">
        <f>'ЗО-ВБ'!T29</f>
        <v>0</v>
      </c>
      <c r="V27" s="1">
        <f>'ЗО-ВБ'!U29</f>
        <v>0</v>
      </c>
      <c r="W27" s="1">
        <f>'ЗО-ВБ'!V29</f>
        <v>0</v>
      </c>
    </row>
    <row r="28" spans="1:23" ht="22.5" x14ac:dyDescent="0.25">
      <c r="A28" s="24" t="s">
        <v>249</v>
      </c>
      <c r="B28" s="1" t="str">
        <f>'ЗО-ВБ'!A30</f>
        <v>IT в профессиональной деятельности</v>
      </c>
      <c r="C28" s="1" t="str">
        <f>'ЗО-ВБ'!B30</f>
        <v xml:space="preserve">46.03.01(23) </v>
      </c>
      <c r="D28" s="1" t="str">
        <f>'ЗО-ВБ'!C30</f>
        <v>ОИА</v>
      </c>
      <c r="E28" s="1">
        <f>'ЗО-ВБ'!D30</f>
        <v>4</v>
      </c>
      <c r="F28" s="1">
        <f>'ЗО-ВБ'!E30</f>
        <v>1</v>
      </c>
      <c r="G28" s="1">
        <f>'ЗО-ВБ'!F30</f>
        <v>15</v>
      </c>
      <c r="H28" s="1" t="str">
        <f>'ЗО-ВБ'!G30</f>
        <v>ЗАЧ</v>
      </c>
      <c r="I28" s="1">
        <f>'ЗО-ВБ'!H30</f>
        <v>1</v>
      </c>
      <c r="J28" s="1">
        <f>'ЗО-ВБ'!I30</f>
        <v>0</v>
      </c>
      <c r="K28" s="1">
        <f>'ЗО-ВБ'!J30</f>
        <v>4</v>
      </c>
      <c r="L28" s="1">
        <f>'ЗО-ВБ'!K30</f>
        <v>0</v>
      </c>
      <c r="M28" s="1" t="str">
        <f>'ЗО-ВБ'!L30</f>
        <v>Эрштейн Л.Б.</v>
      </c>
      <c r="N28" s="1" t="str">
        <f>'ЗО-ВБ'!M30</f>
        <v>ДО</v>
      </c>
      <c r="O28" s="1" t="str">
        <f>'ЗО-ВБ'!N30</f>
        <v>1п</v>
      </c>
      <c r="P28" s="1">
        <f>'ЗО-ВБ'!O30</f>
        <v>2.2999999999999998</v>
      </c>
      <c r="Q28" s="1">
        <f>'ЗО-ВБ'!P30</f>
        <v>0</v>
      </c>
      <c r="R28" s="1" t="str">
        <f>'ЗО-ВБ'!Q30</f>
        <v>Эрштейн Л.Б.</v>
      </c>
      <c r="S28" s="1">
        <f>'ЗО-ВБ'!R30</f>
        <v>6.3</v>
      </c>
      <c r="T28" s="1">
        <f>'ЗО-ВБ'!S30</f>
        <v>0</v>
      </c>
      <c r="U28" s="1">
        <f>'ЗО-ВБ'!T30</f>
        <v>0</v>
      </c>
      <c r="V28" s="1">
        <f>'ЗО-ВБ'!U30</f>
        <v>0</v>
      </c>
      <c r="W28" s="1">
        <f>'ЗО-ВБ'!V30</f>
        <v>0</v>
      </c>
    </row>
    <row r="29" spans="1:23" ht="78.75" x14ac:dyDescent="0.25">
      <c r="A29" s="24" t="s">
        <v>249</v>
      </c>
      <c r="B29" s="1" t="str">
        <f>'ЗО-ВБ'!A31</f>
        <v>IT в профессиональной деятельности</v>
      </c>
      <c r="C29" s="1" t="str">
        <f>'ЗО-ВБ'!B31</f>
        <v xml:space="preserve">13.03.01(41у) 13.03.01(41) 13.03.02(41у) 23.03.03(06у) </v>
      </c>
      <c r="D29" s="1" t="str">
        <f>'ЗО-ВБ'!C31</f>
        <v>ОМЭ</v>
      </c>
      <c r="E29" s="1">
        <f>'ЗО-ВБ'!D31</f>
        <v>6</v>
      </c>
      <c r="F29" s="1">
        <f>'ЗО-ВБ'!E31</f>
        <v>2</v>
      </c>
      <c r="G29" s="1">
        <f>'ЗО-ВБ'!F31</f>
        <v>23</v>
      </c>
      <c r="H29" s="1" t="str">
        <f>'ЗО-ВБ'!G31</f>
        <v>ЗАЧ</v>
      </c>
      <c r="I29" s="1">
        <f>'ЗО-ВБ'!H31</f>
        <v>1</v>
      </c>
      <c r="J29" s="1">
        <f>'ЗО-ВБ'!I31</f>
        <v>0</v>
      </c>
      <c r="K29" s="1">
        <f>'ЗО-ВБ'!J31</f>
        <v>4</v>
      </c>
      <c r="L29" s="1">
        <f>'ЗО-ВБ'!K31</f>
        <v>0</v>
      </c>
      <c r="M29" s="1" t="str">
        <f>'ЗО-ВБ'!L31</f>
        <v>Эрштейн Л.Б.</v>
      </c>
      <c r="N29" s="1" t="str">
        <f>'ЗО-ВБ'!M31</f>
        <v>ДО</v>
      </c>
      <c r="O29" s="1" t="str">
        <f>'ЗО-ВБ'!N31</f>
        <v>1п</v>
      </c>
      <c r="P29" s="1">
        <f>'ЗО-ВБ'!O31</f>
        <v>3.5</v>
      </c>
      <c r="Q29" s="1">
        <f>'ЗО-ВБ'!P31</f>
        <v>0</v>
      </c>
      <c r="R29" s="1" t="str">
        <f>'ЗО-ВБ'!Q31</f>
        <v>Эрштейн Л.Б.</v>
      </c>
      <c r="S29" s="1">
        <f>'ЗО-ВБ'!R31</f>
        <v>7.5</v>
      </c>
      <c r="T29" s="1">
        <f>'ЗО-ВБ'!S31</f>
        <v>0</v>
      </c>
      <c r="U29" s="1">
        <f>'ЗО-ВБ'!T31</f>
        <v>0</v>
      </c>
      <c r="V29" s="1">
        <f>'ЗО-ВБ'!U31</f>
        <v>0</v>
      </c>
      <c r="W29" s="1">
        <f>'ЗО-ВБ'!V31</f>
        <v>0</v>
      </c>
    </row>
    <row r="30" spans="1:23" ht="22.5" x14ac:dyDescent="0.25">
      <c r="A30" s="24" t="s">
        <v>249</v>
      </c>
      <c r="B30" s="1" t="str">
        <f>'ЗО-ВБ'!A32</f>
        <v>ЭВМ и периферийные устройства(установ.)</v>
      </c>
      <c r="C30" s="1" t="str">
        <f>'ЗО-ВБ'!B32</f>
        <v>09.03.01(09)</v>
      </c>
      <c r="D30" s="1" t="str">
        <f>'ЗО-ВБ'!C32</f>
        <v>ОИНФ</v>
      </c>
      <c r="E30" s="1">
        <f>'ЗО-ВБ'!D32</f>
        <v>8</v>
      </c>
      <c r="F30" s="1">
        <f>'ЗО-ВБ'!E32</f>
        <v>1</v>
      </c>
      <c r="G30" s="1">
        <f>'ЗО-ВБ'!F32</f>
        <v>22</v>
      </c>
      <c r="H30" s="1" t="str">
        <f>'ЗО-ВБ'!G32</f>
        <v>ДЗ</v>
      </c>
      <c r="I30" s="1">
        <f>'ЗО-ВБ'!H32</f>
        <v>4</v>
      </c>
      <c r="J30" s="1">
        <f>'ЗО-ВБ'!I32</f>
        <v>8</v>
      </c>
      <c r="K30" s="1">
        <f>'ЗО-ВБ'!J32</f>
        <v>0</v>
      </c>
      <c r="L30" s="1">
        <f>'ЗО-ВБ'!K32</f>
        <v>8</v>
      </c>
      <c r="M30" s="1" t="str">
        <f>'ЗО-ВБ'!L32</f>
        <v>Савинова М.А.</v>
      </c>
      <c r="N30" s="1">
        <f>'ЗО-ВБ'!M32</f>
        <v>108</v>
      </c>
      <c r="O30" s="1" t="str">
        <f>'ЗО-ВБ'!N32</f>
        <v>1п</v>
      </c>
      <c r="P30" s="1">
        <f>'ЗО-ВБ'!O32</f>
        <v>13.2</v>
      </c>
      <c r="Q30" s="1">
        <f>'ЗО-ВБ'!P32</f>
        <v>0</v>
      </c>
      <c r="R30" s="1" t="str">
        <f>'ЗО-ВБ'!Q32</f>
        <v>Савинова М.А.</v>
      </c>
      <c r="S30" s="1">
        <f>'ЗО-ВБ'!R32</f>
        <v>29.2</v>
      </c>
      <c r="T30" s="1">
        <f>'ЗО-ВБ'!S32</f>
        <v>0</v>
      </c>
      <c r="U30" s="1">
        <f>'ЗО-ВБ'!T32</f>
        <v>0</v>
      </c>
      <c r="V30" s="1">
        <f>'ЗО-ВБ'!U32</f>
        <v>0</v>
      </c>
      <c r="W30" s="1">
        <f>'ЗО-ВБ'!V32</f>
        <v>0</v>
      </c>
    </row>
    <row r="31" spans="1:23" ht="22.5" x14ac:dyDescent="0.25">
      <c r="A31" s="24" t="s">
        <v>249</v>
      </c>
      <c r="B31" s="1" t="str">
        <f>'ЗО-ВБ'!A33</f>
        <v>Системы искусственного интеллекта</v>
      </c>
      <c r="C31" s="1" t="str">
        <f>'ЗО-ВБ'!B33</f>
        <v>09.03.01(09)</v>
      </c>
      <c r="D31" s="1" t="str">
        <f>'ЗО-ВБ'!C33</f>
        <v>ОИНФ</v>
      </c>
      <c r="E31" s="1">
        <f>'ЗО-ВБ'!D33</f>
        <v>8</v>
      </c>
      <c r="F31" s="1">
        <f>'ЗО-ВБ'!E33</f>
        <v>1</v>
      </c>
      <c r="G31" s="1">
        <f>'ЗО-ВБ'!F33</f>
        <v>22</v>
      </c>
      <c r="H31" s="1" t="str">
        <f>'ЗО-ВБ'!G33</f>
        <v>ЭКЗ</v>
      </c>
      <c r="I31" s="1">
        <f>'ЗО-ВБ'!H33</f>
        <v>4</v>
      </c>
      <c r="J31" s="1">
        <f>'ЗО-ВБ'!I33</f>
        <v>4</v>
      </c>
      <c r="K31" s="1">
        <f>'ЗО-ВБ'!J33</f>
        <v>4</v>
      </c>
      <c r="L31" s="1">
        <f>'ЗО-ВБ'!K33</f>
        <v>4</v>
      </c>
      <c r="M31" s="1" t="str">
        <f>'ЗО-ВБ'!L33</f>
        <v>Михайлов Д.В.</v>
      </c>
      <c r="N31" s="1">
        <f>'ЗО-ВБ'!M33</f>
        <v>3305</v>
      </c>
      <c r="O31" s="1" t="str">
        <f>'ЗО-ВБ'!N33</f>
        <v>1п</v>
      </c>
      <c r="P31" s="1">
        <f>'ЗО-ВБ'!O33</f>
        <v>13.2</v>
      </c>
      <c r="Q31" s="1">
        <f>'ЗО-ВБ'!P33</f>
        <v>8.8000000000000007</v>
      </c>
      <c r="R31" s="1" t="str">
        <f>'ЗО-ВБ'!Q33</f>
        <v>Михайлов Д.В.</v>
      </c>
      <c r="S31" s="1">
        <f>'ЗО-ВБ'!R33</f>
        <v>34</v>
      </c>
      <c r="T31" s="1">
        <f>'ЗО-ВБ'!S33</f>
        <v>0</v>
      </c>
      <c r="U31" s="1">
        <f>'ЗО-ВБ'!T33</f>
        <v>0</v>
      </c>
      <c r="V31" s="1">
        <f>'ЗО-ВБ'!U33</f>
        <v>0</v>
      </c>
      <c r="W31" s="1">
        <f>'ЗО-ВБ'!V33</f>
        <v>0</v>
      </c>
    </row>
    <row r="32" spans="1:23" ht="22.5" x14ac:dyDescent="0.25">
      <c r="A32" s="24" t="s">
        <v>249</v>
      </c>
      <c r="B32" s="1" t="str">
        <f>'ЗО-ВБ'!A34</f>
        <v>Защита информации</v>
      </c>
      <c r="C32" s="1" t="str">
        <f>'ЗО-ВБ'!B34</f>
        <v>09.03.01(09)</v>
      </c>
      <c r="D32" s="1" t="str">
        <f>'ЗО-ВБ'!C34</f>
        <v>ОИНФ</v>
      </c>
      <c r="E32" s="1">
        <f>'ЗО-ВБ'!D34</f>
        <v>8</v>
      </c>
      <c r="F32" s="1">
        <f>'ЗО-ВБ'!E34</f>
        <v>1</v>
      </c>
      <c r="G32" s="1">
        <f>'ЗО-ВБ'!F34</f>
        <v>22</v>
      </c>
      <c r="H32" s="1" t="str">
        <f>'ЗО-ВБ'!G34</f>
        <v>ДЗ</v>
      </c>
      <c r="I32" s="1">
        <f>'ЗО-ВБ'!H34</f>
        <v>4</v>
      </c>
      <c r="J32" s="1">
        <f>'ЗО-ВБ'!I34</f>
        <v>4</v>
      </c>
      <c r="K32" s="1">
        <f>'ЗО-ВБ'!J34</f>
        <v>0</v>
      </c>
      <c r="L32" s="1">
        <f>'ЗО-ВБ'!K34</f>
        <v>12</v>
      </c>
      <c r="M32" s="1" t="str">
        <f>'ЗО-ВБ'!L34</f>
        <v>Жгун Т.</v>
      </c>
      <c r="N32" s="1" t="str">
        <f>'ЗО-ВБ'!M34</f>
        <v>3305, 3300</v>
      </c>
      <c r="O32" s="1" t="str">
        <f>'ЗО-ВБ'!N34</f>
        <v>1п</v>
      </c>
      <c r="P32" s="1">
        <f>'ЗО-ВБ'!O34</f>
        <v>13.2</v>
      </c>
      <c r="Q32" s="1">
        <f>'ЗО-ВБ'!P34</f>
        <v>0</v>
      </c>
      <c r="R32" s="1" t="str">
        <f>'ЗО-ВБ'!Q34</f>
        <v>Жгун Т.</v>
      </c>
      <c r="S32" s="1">
        <f>'ЗО-ВБ'!R34</f>
        <v>29.2</v>
      </c>
      <c r="T32" s="1">
        <f>'ЗО-ВБ'!S34</f>
        <v>0</v>
      </c>
      <c r="U32" s="1">
        <f>'ЗО-ВБ'!T34</f>
        <v>0</v>
      </c>
      <c r="V32" s="1">
        <f>'ЗО-ВБ'!U34</f>
        <v>0</v>
      </c>
      <c r="W32" s="1">
        <f>'ЗО-ВБ'!V34</f>
        <v>0</v>
      </c>
    </row>
    <row r="33" spans="1:23" ht="22.5" x14ac:dyDescent="0.25">
      <c r="A33" s="24" t="s">
        <v>249</v>
      </c>
      <c r="B33" s="1" t="str">
        <f>'ЗО-ВБ'!A35</f>
        <v>Проектирование информационных систем</v>
      </c>
      <c r="C33" s="1" t="str">
        <f>'ЗО-ВБ'!B35</f>
        <v>09.03.01(09)</v>
      </c>
      <c r="D33" s="1" t="str">
        <f>'ЗО-ВБ'!C35</f>
        <v>ОИНФ</v>
      </c>
      <c r="E33" s="1">
        <f>'ЗО-ВБ'!D35</f>
        <v>8</v>
      </c>
      <c r="F33" s="1">
        <f>'ЗО-ВБ'!E35</f>
        <v>1</v>
      </c>
      <c r="G33" s="1">
        <f>'ЗО-ВБ'!F35</f>
        <v>22</v>
      </c>
      <c r="H33" s="1" t="str">
        <f>'ЗО-ВБ'!G35</f>
        <v>ЭКЗ</v>
      </c>
      <c r="I33" s="1">
        <f>'ЗО-ВБ'!H35</f>
        <v>5</v>
      </c>
      <c r="J33" s="1">
        <f>'ЗО-ВБ'!I35</f>
        <v>4</v>
      </c>
      <c r="K33" s="1">
        <f>'ЗО-ВБ'!J35</f>
        <v>0</v>
      </c>
      <c r="L33" s="1">
        <f>'ЗО-ВБ'!K35</f>
        <v>12</v>
      </c>
      <c r="M33" s="1" t="str">
        <f>'ЗО-ВБ'!L35</f>
        <v>Цымбалюк Л.Н.</v>
      </c>
      <c r="N33" s="1">
        <f>'ЗО-ВБ'!M35</f>
        <v>124</v>
      </c>
      <c r="O33" s="1" t="str">
        <f>'ЗО-ВБ'!N35</f>
        <v>1п</v>
      </c>
      <c r="P33" s="1">
        <f>'ЗО-ВБ'!O35</f>
        <v>16.5</v>
      </c>
      <c r="Q33" s="1">
        <f>'ЗО-ВБ'!P35</f>
        <v>11</v>
      </c>
      <c r="R33" s="1" t="str">
        <f>'ЗО-ВБ'!Q35</f>
        <v>Цымбалюк Л.Н.</v>
      </c>
      <c r="S33" s="1">
        <f>'ЗО-ВБ'!R35</f>
        <v>43.5</v>
      </c>
      <c r="T33" s="1">
        <f>'ЗО-ВБ'!S35</f>
        <v>0</v>
      </c>
      <c r="U33" s="1">
        <f>'ЗО-ВБ'!T35</f>
        <v>0</v>
      </c>
      <c r="V33" s="1">
        <f>'ЗО-ВБ'!U35</f>
        <v>0</v>
      </c>
      <c r="W33" s="1">
        <f>'ЗО-ВБ'!V35</f>
        <v>0</v>
      </c>
    </row>
    <row r="34" spans="1:23" ht="22.5" x14ac:dyDescent="0.25">
      <c r="A34" s="24" t="s">
        <v>249</v>
      </c>
      <c r="B34" s="1" t="str">
        <f>'ЗО-ВБ'!A36</f>
        <v>Проектирование информационных систем</v>
      </c>
      <c r="C34" s="1" t="str">
        <f>'ЗО-ВБ'!B36</f>
        <v>09.03.01(09)</v>
      </c>
      <c r="D34" s="1" t="str">
        <f>'ЗО-ВБ'!C36</f>
        <v>ОИНФ</v>
      </c>
      <c r="E34" s="1">
        <f>'ЗО-ВБ'!D36</f>
        <v>8</v>
      </c>
      <c r="F34" s="1">
        <f>'ЗО-ВБ'!E36</f>
        <v>1</v>
      </c>
      <c r="G34" s="1">
        <f>'ЗО-ВБ'!F36</f>
        <v>22</v>
      </c>
      <c r="H34" s="1" t="str">
        <f>'ЗО-ВБ'!G36</f>
        <v>КП</v>
      </c>
      <c r="I34" s="1">
        <f>'ЗО-ВБ'!H36</f>
        <v>1</v>
      </c>
      <c r="J34" s="1">
        <f>'ЗО-ВБ'!I36</f>
        <v>0</v>
      </c>
      <c r="K34" s="1">
        <f>'ЗО-ВБ'!J36</f>
        <v>0</v>
      </c>
      <c r="L34" s="1">
        <f>'ЗО-ВБ'!K36</f>
        <v>0</v>
      </c>
      <c r="M34" s="1" t="str">
        <f>'ЗО-ВБ'!L36</f>
        <v>Цымбалюк Л.Н.</v>
      </c>
      <c r="N34" s="1">
        <f>'ЗО-ВБ'!M36</f>
        <v>124</v>
      </c>
      <c r="O34" s="1" t="str">
        <f>'ЗО-ВБ'!N36</f>
        <v>кп</v>
      </c>
      <c r="P34" s="1">
        <f>'ЗО-ВБ'!O36</f>
        <v>33</v>
      </c>
      <c r="Q34" s="1">
        <f>'ЗО-ВБ'!P36</f>
        <v>0</v>
      </c>
      <c r="R34" s="1" t="str">
        <f>'ЗО-ВБ'!Q36</f>
        <v>Цымбалюк Л.Н.</v>
      </c>
      <c r="S34" s="1">
        <f>'ЗО-ВБ'!R36</f>
        <v>33</v>
      </c>
      <c r="T34" s="1">
        <f>'ЗО-ВБ'!S36</f>
        <v>0</v>
      </c>
      <c r="U34" s="1">
        <f>'ЗО-ВБ'!T36</f>
        <v>0</v>
      </c>
      <c r="V34" s="1">
        <f>'ЗО-ВБ'!U36</f>
        <v>0</v>
      </c>
      <c r="W34" s="1">
        <f>'ЗО-ВБ'!V36</f>
        <v>0</v>
      </c>
    </row>
    <row r="35" spans="1:23" ht="33.75" x14ac:dyDescent="0.25">
      <c r="A35" s="24" t="s">
        <v>249</v>
      </c>
      <c r="B35" s="1" t="str">
        <f>'ЗО-ВБ'!A37</f>
        <v>Распознавание образов и обработка изображений(установ.)</v>
      </c>
      <c r="C35" s="1" t="str">
        <f>'ЗО-ВБ'!B37</f>
        <v>09.03.01(09)</v>
      </c>
      <c r="D35" s="1" t="str">
        <f>'ЗО-ВБ'!C37</f>
        <v>ОИНФ</v>
      </c>
      <c r="E35" s="1">
        <f>'ЗО-ВБ'!D37</f>
        <v>8</v>
      </c>
      <c r="F35" s="1">
        <f>'ЗО-ВБ'!E37</f>
        <v>1</v>
      </c>
      <c r="G35" s="1">
        <f>'ЗО-ВБ'!F37</f>
        <v>22</v>
      </c>
      <c r="H35" s="1">
        <f>'ЗО-ВБ'!G37</f>
        <v>0</v>
      </c>
      <c r="I35" s="1">
        <f>'ЗО-ВБ'!H37</f>
        <v>0</v>
      </c>
      <c r="J35" s="1">
        <f>'ЗО-ВБ'!I37</f>
        <v>2</v>
      </c>
      <c r="K35" s="1">
        <f>'ЗО-ВБ'!J37</f>
        <v>0</v>
      </c>
      <c r="L35" s="1">
        <f>'ЗО-ВБ'!K37</f>
        <v>0</v>
      </c>
      <c r="M35" s="1" t="str">
        <f>'ЗО-ВБ'!L37</f>
        <v>Корнышев Н.П.</v>
      </c>
      <c r="N35" s="1">
        <f>'ЗО-ВБ'!M37</f>
        <v>2407</v>
      </c>
      <c r="O35" s="1" t="str">
        <f>'ЗО-ВБ'!N37</f>
        <v>уст</v>
      </c>
      <c r="P35" s="1">
        <f>'ЗО-ВБ'!O37</f>
        <v>0</v>
      </c>
      <c r="Q35" s="1">
        <f>'ЗО-ВБ'!P37</f>
        <v>0</v>
      </c>
      <c r="R35" s="1" t="str">
        <f>'ЗО-ВБ'!Q37</f>
        <v>Корнышев Н.П.</v>
      </c>
      <c r="S35" s="1">
        <f>'ЗО-ВБ'!R37</f>
        <v>2</v>
      </c>
      <c r="T35" s="1">
        <f>'ЗО-ВБ'!S37</f>
        <v>0</v>
      </c>
      <c r="U35" s="1">
        <f>'ЗО-ВБ'!T37</f>
        <v>0</v>
      </c>
      <c r="V35" s="1">
        <f>'ЗО-ВБ'!U37</f>
        <v>0</v>
      </c>
      <c r="W35" s="1">
        <f>'ЗО-ВБ'!V37</f>
        <v>0</v>
      </c>
    </row>
    <row r="36" spans="1:23" ht="22.5" x14ac:dyDescent="0.25">
      <c r="A36" s="24" t="s">
        <v>249</v>
      </c>
      <c r="B36" s="1" t="str">
        <f>'ЗО-ВБ'!A38</f>
        <v>Управление качеством(установ.)</v>
      </c>
      <c r="C36" s="1" t="str">
        <f>'ЗО-ВБ'!B38</f>
        <v>09.03.01(09)</v>
      </c>
      <c r="D36" s="1" t="str">
        <f>'ЗО-ВБ'!C38</f>
        <v>ОИНФ</v>
      </c>
      <c r="E36" s="1">
        <f>'ЗО-ВБ'!D38</f>
        <v>8</v>
      </c>
      <c r="F36" s="1">
        <f>'ЗО-ВБ'!E38</f>
        <v>1</v>
      </c>
      <c r="G36" s="1">
        <f>'ЗО-ВБ'!F38</f>
        <v>22</v>
      </c>
      <c r="H36" s="1">
        <f>'ЗО-ВБ'!G38</f>
        <v>0</v>
      </c>
      <c r="I36" s="1">
        <f>'ЗО-ВБ'!H38</f>
        <v>0</v>
      </c>
      <c r="J36" s="1">
        <f>'ЗО-ВБ'!I38</f>
        <v>2</v>
      </c>
      <c r="K36" s="1">
        <f>'ЗО-ВБ'!J38</f>
        <v>0</v>
      </c>
      <c r="L36" s="1">
        <f>'ЗО-ВБ'!K38</f>
        <v>0</v>
      </c>
      <c r="M36" s="1" t="str">
        <f>'ЗО-ВБ'!L38</f>
        <v>Бритвина Л.Е.</v>
      </c>
      <c r="N36" s="1" t="str">
        <f>'ЗО-ВБ'!M38</f>
        <v>3305, 3312</v>
      </c>
      <c r="O36" s="1" t="str">
        <f>'ЗО-ВБ'!N38</f>
        <v>уст</v>
      </c>
      <c r="P36" s="1">
        <f>'ЗО-ВБ'!O38</f>
        <v>0</v>
      </c>
      <c r="Q36" s="1">
        <f>'ЗО-ВБ'!P38</f>
        <v>0</v>
      </c>
      <c r="R36" s="1" t="str">
        <f>'ЗО-ВБ'!Q38</f>
        <v>Бритвина Л.Е.</v>
      </c>
      <c r="S36" s="1">
        <f>'ЗО-ВБ'!R38</f>
        <v>2</v>
      </c>
      <c r="T36" s="1">
        <f>'ЗО-ВБ'!S38</f>
        <v>0</v>
      </c>
      <c r="U36" s="1">
        <f>'ЗО-ВБ'!T38</f>
        <v>0</v>
      </c>
      <c r="V36" s="1">
        <f>'ЗО-ВБ'!U38</f>
        <v>0</v>
      </c>
      <c r="W36" s="1">
        <f>'ЗО-ВБ'!V38</f>
        <v>0</v>
      </c>
    </row>
    <row r="37" spans="1:23" ht="45" x14ac:dyDescent="0.25">
      <c r="A37" s="24" t="s">
        <v>249</v>
      </c>
      <c r="B37" s="1" t="str">
        <f>'ЗО-ВБ'!A39</f>
        <v>Введение в информационные технологии больших данных</v>
      </c>
      <c r="C37" s="1" t="str">
        <f>'ЗО-ВБ'!B39</f>
        <v>09.03.01(09)</v>
      </c>
      <c r="D37" s="1" t="str">
        <f>'ЗО-ВБ'!C39</f>
        <v>ОИНФ</v>
      </c>
      <c r="E37" s="1">
        <f>'ЗО-ВБ'!D39</f>
        <v>8</v>
      </c>
      <c r="F37" s="1">
        <f>'ЗО-ВБ'!E39</f>
        <v>1</v>
      </c>
      <c r="G37" s="1">
        <f>'ЗО-ВБ'!F39</f>
        <v>22</v>
      </c>
      <c r="H37" s="1" t="str">
        <f>'ЗО-ВБ'!G39</f>
        <v>ДЗ</v>
      </c>
      <c r="I37" s="1">
        <f>'ЗО-ВБ'!H39</f>
        <v>3</v>
      </c>
      <c r="J37" s="1">
        <f>'ЗО-ВБ'!I39</f>
        <v>4</v>
      </c>
      <c r="K37" s="1">
        <f>'ЗО-ВБ'!J39</f>
        <v>0</v>
      </c>
      <c r="L37" s="1">
        <f>'ЗО-ВБ'!K39</f>
        <v>8</v>
      </c>
      <c r="M37" s="1" t="str">
        <f>'ЗО-ВБ'!L39</f>
        <v>Цымбалюк Л.Н.</v>
      </c>
      <c r="N37" s="1">
        <f>'ЗО-ВБ'!M39</f>
        <v>124</v>
      </c>
      <c r="O37" s="1" t="str">
        <f>'ЗО-ВБ'!N39</f>
        <v>1п</v>
      </c>
      <c r="P37" s="1">
        <f>'ЗО-ВБ'!O39</f>
        <v>9.9</v>
      </c>
      <c r="Q37" s="1">
        <f>'ЗО-ВБ'!P39</f>
        <v>0</v>
      </c>
      <c r="R37" s="1" t="str">
        <f>'ЗО-ВБ'!Q39</f>
        <v>Цымбалюк Л.Н.</v>
      </c>
      <c r="S37" s="1">
        <f>'ЗО-ВБ'!R39</f>
        <v>21.9</v>
      </c>
      <c r="T37" s="1">
        <f>'ЗО-ВБ'!S39</f>
        <v>0</v>
      </c>
      <c r="U37" s="1">
        <f>'ЗО-ВБ'!T39</f>
        <v>0</v>
      </c>
      <c r="V37" s="1">
        <f>'ЗО-ВБ'!U39</f>
        <v>0</v>
      </c>
      <c r="W37" s="1">
        <f>'ЗО-ВБ'!V39</f>
        <v>0</v>
      </c>
    </row>
    <row r="38" spans="1:23" ht="22.5" x14ac:dyDescent="0.25">
      <c r="A38" s="24" t="s">
        <v>249</v>
      </c>
      <c r="B38" s="1" t="str">
        <f>'ЗО-ВБ'!A40</f>
        <v>Машинное обучение и большие данные(установ.)</v>
      </c>
      <c r="C38" s="1" t="str">
        <f>'ЗО-ВБ'!B40</f>
        <v>09.03.01(09)</v>
      </c>
      <c r="D38" s="1" t="str">
        <f>'ЗО-ВБ'!C40</f>
        <v>ОИНФ</v>
      </c>
      <c r="E38" s="1">
        <f>'ЗО-ВБ'!D40</f>
        <v>8</v>
      </c>
      <c r="F38" s="1">
        <f>'ЗО-ВБ'!E40</f>
        <v>1</v>
      </c>
      <c r="G38" s="1">
        <f>'ЗО-ВБ'!F40</f>
        <v>22</v>
      </c>
      <c r="H38" s="1">
        <f>'ЗО-ВБ'!G40</f>
        <v>0</v>
      </c>
      <c r="I38" s="1">
        <f>'ЗО-ВБ'!H40</f>
        <v>0</v>
      </c>
      <c r="J38" s="1">
        <f>'ЗО-ВБ'!I40</f>
        <v>2</v>
      </c>
      <c r="K38" s="1">
        <f>'ЗО-ВБ'!J40</f>
        <v>0</v>
      </c>
      <c r="L38" s="1">
        <f>'ЗО-ВБ'!K40</f>
        <v>0</v>
      </c>
      <c r="M38" s="1" t="str">
        <f>'ЗО-ВБ'!L40</f>
        <v>Телина И.С.</v>
      </c>
      <c r="N38" s="1">
        <f>'ЗО-ВБ'!M40</f>
        <v>3312</v>
      </c>
      <c r="O38" s="1" t="str">
        <f>'ЗО-ВБ'!N40</f>
        <v>уст</v>
      </c>
      <c r="P38" s="1">
        <f>'ЗО-ВБ'!O40</f>
        <v>0</v>
      </c>
      <c r="Q38" s="1">
        <f>'ЗО-ВБ'!P40</f>
        <v>0</v>
      </c>
      <c r="R38" s="1" t="str">
        <f>'ЗО-ВБ'!Q40</f>
        <v>Телина И.С.</v>
      </c>
      <c r="S38" s="1">
        <f>'ЗО-ВБ'!R40</f>
        <v>2</v>
      </c>
      <c r="T38" s="1">
        <f>'ЗО-ВБ'!S40</f>
        <v>0</v>
      </c>
      <c r="U38" s="1">
        <f>'ЗО-ВБ'!T40</f>
        <v>0</v>
      </c>
      <c r="V38" s="1">
        <f>'ЗО-ВБ'!U40</f>
        <v>0</v>
      </c>
      <c r="W38" s="1">
        <f>'ЗО-ВБ'!V40</f>
        <v>0</v>
      </c>
    </row>
    <row r="39" spans="1:23" ht="45" x14ac:dyDescent="0.25">
      <c r="A39" s="24" t="s">
        <v>249</v>
      </c>
      <c r="B39" s="1" t="str">
        <f>'ЗО-ВБ'!A41</f>
        <v>Функциональное и логическое программирование(установ.)</v>
      </c>
      <c r="C39" s="1" t="str">
        <f>'ЗО-ВБ'!B41</f>
        <v>09.03.01(09)</v>
      </c>
      <c r="D39" s="1" t="str">
        <f>'ЗО-ВБ'!C41</f>
        <v>ОИНФ</v>
      </c>
      <c r="E39" s="1">
        <f>'ЗО-ВБ'!D41</f>
        <v>8</v>
      </c>
      <c r="F39" s="1">
        <f>'ЗО-ВБ'!E41</f>
        <v>1</v>
      </c>
      <c r="G39" s="1">
        <f>'ЗО-ВБ'!F41</f>
        <v>22</v>
      </c>
      <c r="H39" s="1">
        <f>'ЗО-ВБ'!G41</f>
        <v>0</v>
      </c>
      <c r="I39" s="1">
        <f>'ЗО-ВБ'!H41</f>
        <v>0</v>
      </c>
      <c r="J39" s="1">
        <f>'ЗО-ВБ'!I41</f>
        <v>2</v>
      </c>
      <c r="K39" s="1">
        <f>'ЗО-ВБ'!J41</f>
        <v>0</v>
      </c>
      <c r="L39" s="1">
        <f>'ЗО-ВБ'!K41</f>
        <v>0</v>
      </c>
      <c r="M39" s="1" t="str">
        <f>'ЗО-ВБ'!L41</f>
        <v>Михайлов Д.В.</v>
      </c>
      <c r="N39" s="1">
        <f>'ЗО-ВБ'!M41</f>
        <v>3305</v>
      </c>
      <c r="O39" s="1" t="str">
        <f>'ЗО-ВБ'!N41</f>
        <v>уст</v>
      </c>
      <c r="P39" s="1">
        <f>'ЗО-ВБ'!O41</f>
        <v>0</v>
      </c>
      <c r="Q39" s="1">
        <f>'ЗО-ВБ'!P41</f>
        <v>0</v>
      </c>
      <c r="R39" s="1" t="str">
        <f>'ЗО-ВБ'!Q41</f>
        <v>Михайлов Д.В.</v>
      </c>
      <c r="S39" s="1">
        <f>'ЗО-ВБ'!R41</f>
        <v>2</v>
      </c>
      <c r="T39" s="1">
        <f>'ЗО-ВБ'!S41</f>
        <v>0</v>
      </c>
      <c r="U39" s="1">
        <f>'ЗО-ВБ'!T41</f>
        <v>0</v>
      </c>
      <c r="V39" s="1">
        <f>'ЗО-ВБ'!U41</f>
        <v>0</v>
      </c>
      <c r="W39" s="1">
        <f>'ЗО-ВБ'!V41</f>
        <v>0</v>
      </c>
    </row>
    <row r="40" spans="1:23" ht="56.25" x14ac:dyDescent="0.25">
      <c r="A40" s="24" t="s">
        <v>249</v>
      </c>
      <c r="B40" s="1" t="str">
        <f>'ЗО-ВБ'!A42</f>
        <v>Основы автоматизированных информационных систем управления предприятием(установ.)</v>
      </c>
      <c r="C40" s="1" t="str">
        <f>'ЗО-ВБ'!B42</f>
        <v>09.03.01(09)</v>
      </c>
      <c r="D40" s="1" t="str">
        <f>'ЗО-ВБ'!C42</f>
        <v>ОИНФ</v>
      </c>
      <c r="E40" s="1">
        <f>'ЗО-ВБ'!D42</f>
        <v>8</v>
      </c>
      <c r="F40" s="1">
        <f>'ЗО-ВБ'!E42</f>
        <v>1</v>
      </c>
      <c r="G40" s="1">
        <f>'ЗО-ВБ'!F42</f>
        <v>22</v>
      </c>
      <c r="H40" s="1">
        <f>'ЗО-ВБ'!G42</f>
        <v>0</v>
      </c>
      <c r="I40" s="1">
        <f>'ЗО-ВБ'!H42</f>
        <v>0</v>
      </c>
      <c r="J40" s="1">
        <f>'ЗО-ВБ'!I42</f>
        <v>2</v>
      </c>
      <c r="K40" s="1">
        <f>'ЗО-ВБ'!J42</f>
        <v>0</v>
      </c>
      <c r="L40" s="1">
        <f>'ЗО-ВБ'!K42</f>
        <v>0</v>
      </c>
      <c r="M40" s="1" t="str">
        <f>'ЗО-ВБ'!L42</f>
        <v>Соколова Г.Ю.</v>
      </c>
      <c r="N40" s="1">
        <f>'ЗО-ВБ'!M42</f>
        <v>3300</v>
      </c>
      <c r="O40" s="1" t="str">
        <f>'ЗО-ВБ'!N42</f>
        <v>уст</v>
      </c>
      <c r="P40" s="1">
        <f>'ЗО-ВБ'!O42</f>
        <v>0</v>
      </c>
      <c r="Q40" s="1">
        <f>'ЗО-ВБ'!P42</f>
        <v>0</v>
      </c>
      <c r="R40" s="1" t="str">
        <f>'ЗО-ВБ'!Q42</f>
        <v>Соколова Г.Ю.</v>
      </c>
      <c r="S40" s="1">
        <f>'ЗО-ВБ'!R42</f>
        <v>2</v>
      </c>
      <c r="T40" s="1">
        <f>'ЗО-ВБ'!S42</f>
        <v>0</v>
      </c>
      <c r="U40" s="1">
        <f>'ЗО-ВБ'!T42</f>
        <v>0</v>
      </c>
      <c r="V40" s="1">
        <f>'ЗО-ВБ'!U42</f>
        <v>0</v>
      </c>
      <c r="W40" s="1">
        <f>'ЗО-ВБ'!V42</f>
        <v>0</v>
      </c>
    </row>
    <row r="41" spans="1:23" ht="22.5" x14ac:dyDescent="0.25">
      <c r="A41" s="24" t="s">
        <v>249</v>
      </c>
      <c r="B41" s="1" t="str">
        <f>'ЗО-ВБ'!A43</f>
        <v>Проектный практикум</v>
      </c>
      <c r="C41" s="1" t="str">
        <f>'ЗО-ВБ'!B43</f>
        <v>09.03.01(09)</v>
      </c>
      <c r="D41" s="1" t="str">
        <f>'ЗО-ВБ'!C43</f>
        <v>ОИНФ</v>
      </c>
      <c r="E41" s="1">
        <f>'ЗО-ВБ'!D43</f>
        <v>8</v>
      </c>
      <c r="F41" s="1">
        <f>'ЗО-ВБ'!E43</f>
        <v>1</v>
      </c>
      <c r="G41" s="1">
        <f>'ЗО-ВБ'!F43</f>
        <v>22</v>
      </c>
      <c r="H41" s="1" t="str">
        <f>'ЗО-ВБ'!G43</f>
        <v>ЗАЧ</v>
      </c>
      <c r="I41" s="1">
        <f>'ЗО-ВБ'!H43</f>
        <v>1</v>
      </c>
      <c r="J41" s="1">
        <f>'ЗО-ВБ'!I43</f>
        <v>0</v>
      </c>
      <c r="K41" s="1">
        <f>'ЗО-ВБ'!J43</f>
        <v>4</v>
      </c>
      <c r="L41" s="1">
        <f>'ЗО-ВБ'!K43</f>
        <v>0</v>
      </c>
      <c r="M41" s="1" t="str">
        <f>'ЗО-ВБ'!L43</f>
        <v>Савинова М.А.</v>
      </c>
      <c r="N41" s="1">
        <f>'ЗО-ВБ'!M43</f>
        <v>108</v>
      </c>
      <c r="O41" s="1" t="str">
        <f>'ЗО-ВБ'!N43</f>
        <v>1п</v>
      </c>
      <c r="P41" s="1">
        <f>'ЗО-ВБ'!O43</f>
        <v>3.3</v>
      </c>
      <c r="Q41" s="1">
        <f>'ЗО-ВБ'!P43</f>
        <v>0</v>
      </c>
      <c r="R41" s="1" t="str">
        <f>'ЗО-ВБ'!Q43</f>
        <v>Савинова М.А.</v>
      </c>
      <c r="S41" s="1">
        <f>'ЗО-ВБ'!R43</f>
        <v>7.3</v>
      </c>
      <c r="T41" s="1">
        <f>'ЗО-ВБ'!S43</f>
        <v>0</v>
      </c>
      <c r="U41" s="1">
        <f>'ЗО-ВБ'!T43</f>
        <v>0</v>
      </c>
      <c r="V41" s="1">
        <f>'ЗО-ВБ'!U43</f>
        <v>0</v>
      </c>
      <c r="W41" s="1">
        <f>'ЗО-ВБ'!V43</f>
        <v>0</v>
      </c>
    </row>
    <row r="42" spans="1:23" ht="33.75" x14ac:dyDescent="0.25">
      <c r="A42" s="24" t="s">
        <v>249</v>
      </c>
      <c r="B42" s="1" t="str">
        <f>'ЗО-ВБ'!A44</f>
        <v>Практика учебная: Практика эксплуатационная</v>
      </c>
      <c r="C42" s="1" t="str">
        <f>'ЗО-ВБ'!B44</f>
        <v>09.03.01(09)</v>
      </c>
      <c r="D42" s="1" t="str">
        <f>'ЗО-ВБ'!C44</f>
        <v>ОИНФ</v>
      </c>
      <c r="E42" s="1">
        <f>'ЗО-ВБ'!D44</f>
        <v>8</v>
      </c>
      <c r="F42" s="1">
        <f>'ЗО-ВБ'!E44</f>
        <v>1</v>
      </c>
      <c r="G42" s="1">
        <f>'ЗО-ВБ'!F44</f>
        <v>22</v>
      </c>
      <c r="H42" s="1" t="str">
        <f>'ЗО-ВБ'!G44</f>
        <v>ДЗ</v>
      </c>
      <c r="I42" s="1">
        <f>'ЗО-ВБ'!H44</f>
        <v>3</v>
      </c>
      <c r="J42" s="1">
        <f>'ЗО-ВБ'!I44</f>
        <v>0</v>
      </c>
      <c r="K42" s="1">
        <f>'ЗО-ВБ'!J44</f>
        <v>2</v>
      </c>
      <c r="L42" s="1">
        <f>'ЗО-ВБ'!K44</f>
        <v>0</v>
      </c>
      <c r="M42" s="1" t="str">
        <f>'ЗО-ВБ'!L44</f>
        <v>Макевич П.В.</v>
      </c>
      <c r="N42" s="1">
        <f>'ЗО-ВБ'!M44</f>
        <v>2407</v>
      </c>
      <c r="O42" s="1" t="str">
        <f>'ЗО-ВБ'!N44</f>
        <v>1п</v>
      </c>
      <c r="P42" s="1">
        <f>'ЗО-ВБ'!O44</f>
        <v>19.8</v>
      </c>
      <c r="Q42" s="1">
        <f>'ЗО-ВБ'!P44</f>
        <v>0</v>
      </c>
      <c r="R42" s="1" t="str">
        <f>'ЗО-ВБ'!Q44</f>
        <v>Макевич П.В.</v>
      </c>
      <c r="S42" s="1">
        <f>'ЗО-ВБ'!R44</f>
        <v>21.8</v>
      </c>
      <c r="T42" s="1">
        <f>'ЗО-ВБ'!S44</f>
        <v>0</v>
      </c>
      <c r="U42" s="1">
        <f>'ЗО-ВБ'!T44</f>
        <v>0</v>
      </c>
      <c r="V42" s="1">
        <f>'ЗО-ВБ'!U44</f>
        <v>0</v>
      </c>
      <c r="W42" s="1">
        <f>'ЗО-ВБ'!V44</f>
        <v>0</v>
      </c>
    </row>
    <row r="43" spans="1:23" ht="33.75" x14ac:dyDescent="0.25">
      <c r="A43" s="24" t="s">
        <v>249</v>
      </c>
      <c r="B43" s="1" t="str">
        <f>'ЗО-ВБ'!A45</f>
        <v>Практика учебная: Практика проектно-технологическая</v>
      </c>
      <c r="C43" s="1" t="str">
        <f>'ЗО-ВБ'!B45</f>
        <v>09.03.01(09)</v>
      </c>
      <c r="D43" s="1" t="str">
        <f>'ЗО-ВБ'!C45</f>
        <v>ОИНФ</v>
      </c>
      <c r="E43" s="1">
        <f>'ЗО-ВБ'!D45</f>
        <v>8</v>
      </c>
      <c r="F43" s="1">
        <f>'ЗО-ВБ'!E45</f>
        <v>1</v>
      </c>
      <c r="G43" s="1">
        <f>'ЗО-ВБ'!F45</f>
        <v>22</v>
      </c>
      <c r="H43" s="1" t="str">
        <f>'ЗО-ВБ'!G45</f>
        <v>ДЗ</v>
      </c>
      <c r="I43" s="1">
        <f>'ЗО-ВБ'!H45</f>
        <v>1</v>
      </c>
      <c r="J43" s="1">
        <f>'ЗО-ВБ'!I45</f>
        <v>0</v>
      </c>
      <c r="K43" s="1">
        <f>'ЗО-ВБ'!J45</f>
        <v>2</v>
      </c>
      <c r="L43" s="1">
        <f>'ЗО-ВБ'!K45</f>
        <v>0</v>
      </c>
      <c r="M43" s="1" t="str">
        <f>'ЗО-ВБ'!L45</f>
        <v>Моркин С.А.</v>
      </c>
      <c r="N43" s="1">
        <f>'ЗО-ВБ'!M45</f>
        <v>3312.2406999999998</v>
      </c>
      <c r="O43" s="1" t="str">
        <f>'ЗО-ВБ'!N45</f>
        <v>1п</v>
      </c>
      <c r="P43" s="1">
        <f>'ЗО-ВБ'!O45</f>
        <v>6.6</v>
      </c>
      <c r="Q43" s="1">
        <f>'ЗО-ВБ'!P45</f>
        <v>0</v>
      </c>
      <c r="R43" s="1" t="str">
        <f>'ЗО-ВБ'!Q45</f>
        <v>Моркин С.А.</v>
      </c>
      <c r="S43" s="1">
        <f>'ЗО-ВБ'!R45</f>
        <v>8.6</v>
      </c>
      <c r="T43" s="1">
        <f>'ЗО-ВБ'!S45</f>
        <v>0</v>
      </c>
      <c r="U43" s="1">
        <f>'ЗО-ВБ'!T45</f>
        <v>0</v>
      </c>
      <c r="V43" s="1">
        <f>'ЗО-ВБ'!U45</f>
        <v>0</v>
      </c>
      <c r="W43" s="1">
        <f>'ЗО-ВБ'!V45</f>
        <v>0</v>
      </c>
    </row>
    <row r="44" spans="1:23" ht="56.25" x14ac:dyDescent="0.25">
      <c r="A44" s="24" t="s">
        <v>249</v>
      </c>
      <c r="B44" s="1" t="str">
        <f>'ЗО-ВБ'!A46</f>
        <v>Практика производственная: Практика эксплуатационная(установ.)</v>
      </c>
      <c r="C44" s="1" t="str">
        <f>'ЗО-ВБ'!B46</f>
        <v>09.03.01(09)</v>
      </c>
      <c r="D44" s="1" t="str">
        <f>'ЗО-ВБ'!C46</f>
        <v>ОИНФ</v>
      </c>
      <c r="E44" s="1">
        <f>'ЗО-ВБ'!D46</f>
        <v>8</v>
      </c>
      <c r="F44" s="1">
        <f>'ЗО-ВБ'!E46</f>
        <v>1</v>
      </c>
      <c r="G44" s="1">
        <f>'ЗО-ВБ'!F46</f>
        <v>22</v>
      </c>
      <c r="H44" s="1">
        <f>'ЗО-ВБ'!G46</f>
        <v>0</v>
      </c>
      <c r="I44" s="1">
        <f>'ЗО-ВБ'!H46</f>
        <v>0</v>
      </c>
      <c r="J44" s="1">
        <f>'ЗО-ВБ'!I46</f>
        <v>0</v>
      </c>
      <c r="K44" s="1">
        <f>'ЗО-ВБ'!J46</f>
        <v>1</v>
      </c>
      <c r="L44" s="1">
        <f>'ЗО-ВБ'!K46</f>
        <v>0</v>
      </c>
      <c r="M44" s="1" t="str">
        <f>'ЗО-ВБ'!L46</f>
        <v>Соколова Г.Ю.</v>
      </c>
      <c r="N44" s="1">
        <f>'ЗО-ВБ'!M46</f>
        <v>3300</v>
      </c>
      <c r="O44" s="1" t="str">
        <f>'ЗО-ВБ'!N46</f>
        <v>уст</v>
      </c>
      <c r="P44" s="1">
        <f>'ЗО-ВБ'!O46</f>
        <v>0</v>
      </c>
      <c r="Q44" s="1">
        <f>'ЗО-ВБ'!P46</f>
        <v>0</v>
      </c>
      <c r="R44" s="1" t="str">
        <f>'ЗО-ВБ'!Q46</f>
        <v>Соколова Г.Ю.</v>
      </c>
      <c r="S44" s="1">
        <f>'ЗО-ВБ'!R46</f>
        <v>1</v>
      </c>
      <c r="T44" s="1">
        <f>'ЗО-ВБ'!S46</f>
        <v>0</v>
      </c>
      <c r="U44" s="1">
        <f>'ЗО-ВБ'!T46</f>
        <v>0</v>
      </c>
      <c r="V44" s="1">
        <f>'ЗО-ВБ'!U46</f>
        <v>0</v>
      </c>
      <c r="W44" s="1">
        <f>'ЗО-ВБ'!V46</f>
        <v>0</v>
      </c>
    </row>
    <row r="45" spans="1:23" ht="45" x14ac:dyDescent="0.25">
      <c r="A45" s="24" t="s">
        <v>249</v>
      </c>
      <c r="B45" s="1" t="str">
        <f>'ЗО-ВБ'!A47</f>
        <v>Практика производственная: Практика проектно-технологическая(установ.)</v>
      </c>
      <c r="C45" s="1" t="str">
        <f>'ЗО-ВБ'!B47</f>
        <v>09.03.01(09)</v>
      </c>
      <c r="D45" s="1" t="str">
        <f>'ЗО-ВБ'!C47</f>
        <v>ОИНФ</v>
      </c>
      <c r="E45" s="1">
        <f>'ЗО-ВБ'!D47</f>
        <v>8</v>
      </c>
      <c r="F45" s="1">
        <f>'ЗО-ВБ'!E47</f>
        <v>1</v>
      </c>
      <c r="G45" s="1">
        <f>'ЗО-ВБ'!F47</f>
        <v>22</v>
      </c>
      <c r="H45" s="1">
        <f>'ЗО-ВБ'!G47</f>
        <v>0</v>
      </c>
      <c r="I45" s="1">
        <f>'ЗО-ВБ'!H47</f>
        <v>0</v>
      </c>
      <c r="J45" s="1">
        <f>'ЗО-ВБ'!I47</f>
        <v>0</v>
      </c>
      <c r="K45" s="1">
        <f>'ЗО-ВБ'!J47</f>
        <v>1</v>
      </c>
      <c r="L45" s="1">
        <f>'ЗО-ВБ'!K47</f>
        <v>0</v>
      </c>
      <c r="M45" s="1" t="str">
        <f>'ЗО-ВБ'!L47</f>
        <v>Соколова Г.Ю.</v>
      </c>
      <c r="N45" s="1">
        <f>'ЗО-ВБ'!M47</f>
        <v>3300</v>
      </c>
      <c r="O45" s="1" t="str">
        <f>'ЗО-ВБ'!N47</f>
        <v>уст</v>
      </c>
      <c r="P45" s="1">
        <f>'ЗО-ВБ'!O47</f>
        <v>0</v>
      </c>
      <c r="Q45" s="1">
        <f>'ЗО-ВБ'!P47</f>
        <v>0</v>
      </c>
      <c r="R45" s="1" t="str">
        <f>'ЗО-ВБ'!Q47</f>
        <v>Соколова Г.Ю.</v>
      </c>
      <c r="S45" s="1">
        <f>'ЗО-ВБ'!R47</f>
        <v>1</v>
      </c>
      <c r="T45" s="1">
        <f>'ЗО-ВБ'!S47</f>
        <v>0</v>
      </c>
      <c r="U45" s="1">
        <f>'ЗО-ВБ'!T47</f>
        <v>0</v>
      </c>
      <c r="V45" s="1">
        <f>'ЗО-ВБ'!U47</f>
        <v>0</v>
      </c>
      <c r="W45" s="1">
        <f>'ЗО-ВБ'!V47</f>
        <v>0</v>
      </c>
    </row>
    <row r="46" spans="1:23" ht="67.5" x14ac:dyDescent="0.25">
      <c r="A46" s="24" t="s">
        <v>249</v>
      </c>
      <c r="B46" s="1" t="str">
        <f>'ЗО-ВБ'!A48</f>
        <v>IT в профессиональной деятельности</v>
      </c>
      <c r="C46" s="1" t="str">
        <f>'ЗО-ВБ'!B48</f>
        <v xml:space="preserve">13.03.01(41у) 13.03.02(41у) 23.03.03(06у) </v>
      </c>
      <c r="D46" s="1" t="str">
        <f>'ЗО-ВБ'!C48</f>
        <v>ОМЭ</v>
      </c>
      <c r="E46" s="1">
        <f>'ЗО-ВБ'!D48</f>
        <v>8</v>
      </c>
      <c r="F46" s="1">
        <f>'ЗО-ВБ'!E48</f>
        <v>3</v>
      </c>
      <c r="G46" s="1">
        <f>'ЗО-ВБ'!F48</f>
        <v>38</v>
      </c>
      <c r="H46" s="1" t="str">
        <f>'ЗО-ВБ'!G48</f>
        <v>ЗАЧ</v>
      </c>
      <c r="I46" s="1">
        <f>'ЗО-ВБ'!H48</f>
        <v>1</v>
      </c>
      <c r="J46" s="1">
        <f>'ЗО-ВБ'!I48</f>
        <v>0</v>
      </c>
      <c r="K46" s="1">
        <f>'ЗО-ВБ'!J48</f>
        <v>4</v>
      </c>
      <c r="L46" s="1">
        <f>'ЗО-ВБ'!K48</f>
        <v>0</v>
      </c>
      <c r="M46" s="1" t="str">
        <f>'ЗО-ВБ'!L48</f>
        <v>Эрштейн Л.Б.</v>
      </c>
      <c r="N46" s="1" t="str">
        <f>'ЗО-ВБ'!M48</f>
        <v>ДО</v>
      </c>
      <c r="O46" s="1" t="str">
        <f>'ЗО-ВБ'!N48</f>
        <v>до</v>
      </c>
      <c r="P46" s="1">
        <f>'ЗО-ВБ'!O48</f>
        <v>5.7</v>
      </c>
      <c r="Q46" s="1">
        <f>'ЗО-ВБ'!P48</f>
        <v>1.1000000000000001</v>
      </c>
      <c r="R46" s="1" t="str">
        <f>'ЗО-ВБ'!Q48</f>
        <v>Эрштейн Л.Б.</v>
      </c>
      <c r="S46" s="1">
        <f>'ЗО-ВБ'!R48</f>
        <v>10.799999999999999</v>
      </c>
      <c r="T46" s="1">
        <f>'ЗО-ВБ'!S48</f>
        <v>0</v>
      </c>
      <c r="U46" s="1">
        <f>'ЗО-ВБ'!T48</f>
        <v>0</v>
      </c>
      <c r="V46" s="1">
        <f>'ЗО-ВБ'!U48</f>
        <v>0</v>
      </c>
      <c r="W46" s="1">
        <f>'ЗО-ВБ'!V48</f>
        <v>0</v>
      </c>
    </row>
    <row r="47" spans="1:23" x14ac:dyDescent="0.25">
      <c r="A47" s="24" t="s">
        <v>249</v>
      </c>
      <c r="B47" s="1">
        <f>'ЗО-ВБ'!A49</f>
        <v>0</v>
      </c>
      <c r="C47" s="1">
        <f>'ЗО-ВБ'!B49</f>
        <v>0</v>
      </c>
      <c r="D47" s="1">
        <f>'ЗО-ВБ'!C49</f>
        <v>0</v>
      </c>
      <c r="E47" s="1">
        <f>'ЗО-ВБ'!D49</f>
        <v>0</v>
      </c>
      <c r="F47" s="1">
        <f>'ЗО-ВБ'!E49</f>
        <v>0</v>
      </c>
      <c r="G47" s="1">
        <f>'ЗО-ВБ'!F49</f>
        <v>0</v>
      </c>
      <c r="H47" s="1">
        <f>'ЗО-ВБ'!G49</f>
        <v>0</v>
      </c>
      <c r="I47" s="1">
        <f>'ЗО-ВБ'!H49</f>
        <v>0</v>
      </c>
      <c r="J47" s="1">
        <f>'ЗО-ВБ'!I49</f>
        <v>0</v>
      </c>
      <c r="K47" s="1">
        <f>'ЗО-ВБ'!J49</f>
        <v>0</v>
      </c>
      <c r="L47" s="1">
        <f>'ЗО-ВБ'!K49</f>
        <v>0</v>
      </c>
      <c r="M47" s="1">
        <f>'ЗО-ВБ'!L49</f>
        <v>0</v>
      </c>
      <c r="N47" s="1">
        <f>'ЗО-ВБ'!M49</f>
        <v>0</v>
      </c>
      <c r="O47" s="1">
        <f>'ЗО-ВБ'!N49</f>
        <v>0</v>
      </c>
      <c r="P47" s="1">
        <f>'ЗО-ВБ'!O49</f>
        <v>0</v>
      </c>
      <c r="Q47" s="1">
        <f>'ЗО-ВБ'!P49</f>
        <v>0</v>
      </c>
      <c r="R47" s="1">
        <f>'ЗО-ВБ'!Q49</f>
        <v>0</v>
      </c>
      <c r="S47" s="1">
        <f>'ЗО-ВБ'!R49</f>
        <v>0</v>
      </c>
      <c r="T47" s="1">
        <f>'ЗО-ВБ'!S49</f>
        <v>0</v>
      </c>
      <c r="U47" s="1">
        <f>'ЗО-ВБ'!T49</f>
        <v>0</v>
      </c>
      <c r="V47" s="1">
        <f>'ЗО-ВБ'!U49</f>
        <v>0</v>
      </c>
      <c r="W47" s="1">
        <f>'ЗО-ВБ'!V49</f>
        <v>0</v>
      </c>
    </row>
    <row r="48" spans="1:23" x14ac:dyDescent="0.25">
      <c r="A48" s="24" t="s">
        <v>249</v>
      </c>
      <c r="B48" s="1">
        <f>'ЗО-ВБ'!A50</f>
        <v>0</v>
      </c>
      <c r="C48" s="1">
        <f>'ЗО-ВБ'!B50</f>
        <v>0</v>
      </c>
      <c r="D48" s="1">
        <f>'ЗО-ВБ'!C50</f>
        <v>0</v>
      </c>
      <c r="E48" s="1">
        <f>'ЗО-ВБ'!D50</f>
        <v>0</v>
      </c>
      <c r="F48" s="1">
        <f>'ЗО-ВБ'!E50</f>
        <v>0</v>
      </c>
      <c r="G48" s="1">
        <f>'ЗО-ВБ'!F50</f>
        <v>0</v>
      </c>
      <c r="H48" s="1">
        <f>'ЗО-ВБ'!G50</f>
        <v>0</v>
      </c>
      <c r="I48" s="1">
        <f>'ЗО-ВБ'!H50</f>
        <v>0</v>
      </c>
      <c r="J48" s="1">
        <f>'ЗО-ВБ'!I50</f>
        <v>0</v>
      </c>
      <c r="K48" s="1">
        <f>'ЗО-ВБ'!J50</f>
        <v>0</v>
      </c>
      <c r="L48" s="1">
        <f>'ЗО-ВБ'!K50</f>
        <v>0</v>
      </c>
      <c r="M48" s="1">
        <f>'ЗО-ВБ'!L50</f>
        <v>0</v>
      </c>
      <c r="N48" s="1">
        <f>'ЗО-ВБ'!M50</f>
        <v>0</v>
      </c>
      <c r="O48" s="1">
        <f>'ЗО-ВБ'!N50</f>
        <v>0</v>
      </c>
      <c r="P48" s="1">
        <f>'ЗО-ВБ'!O50</f>
        <v>0</v>
      </c>
      <c r="Q48" s="1">
        <f>'ЗО-ВБ'!P50</f>
        <v>0</v>
      </c>
      <c r="R48" s="1">
        <f>'ЗО-ВБ'!Q50</f>
        <v>0</v>
      </c>
      <c r="S48" s="1">
        <f>'ЗО-ВБ'!R50</f>
        <v>0</v>
      </c>
      <c r="T48" s="1">
        <f>'ЗО-ВБ'!S50</f>
        <v>0</v>
      </c>
      <c r="U48" s="1">
        <f>'ЗО-ВБ'!T50</f>
        <v>0</v>
      </c>
      <c r="V48" s="1">
        <f>'ЗО-ВБ'!U50</f>
        <v>0</v>
      </c>
      <c r="W48" s="1">
        <f>'ЗО-ВБ'!V50</f>
        <v>0</v>
      </c>
    </row>
    <row r="49" spans="1:23" x14ac:dyDescent="0.25">
      <c r="A49" s="24" t="s">
        <v>249</v>
      </c>
      <c r="B49" s="1">
        <f>'ЗО-ВБ'!A51</f>
        <v>0</v>
      </c>
      <c r="C49" s="1">
        <f>'ЗО-ВБ'!B51</f>
        <v>0</v>
      </c>
      <c r="D49" s="1">
        <f>'ЗО-ВБ'!C51</f>
        <v>0</v>
      </c>
      <c r="E49" s="1">
        <f>'ЗО-ВБ'!D51</f>
        <v>0</v>
      </c>
      <c r="F49" s="1">
        <f>'ЗО-ВБ'!E51</f>
        <v>0</v>
      </c>
      <c r="G49" s="1">
        <f>'ЗО-ВБ'!F51</f>
        <v>0</v>
      </c>
      <c r="H49" s="1">
        <f>'ЗО-ВБ'!G51</f>
        <v>0</v>
      </c>
      <c r="I49" s="1">
        <f>'ЗО-ВБ'!H51</f>
        <v>0</v>
      </c>
      <c r="J49" s="1">
        <f>'ЗО-ВБ'!I51</f>
        <v>0</v>
      </c>
      <c r="K49" s="1">
        <f>'ЗО-ВБ'!J51</f>
        <v>0</v>
      </c>
      <c r="L49" s="1">
        <f>'ЗО-ВБ'!K51</f>
        <v>0</v>
      </c>
      <c r="M49" s="1">
        <f>'ЗО-ВБ'!L51</f>
        <v>0</v>
      </c>
      <c r="N49" s="1">
        <f>'ЗО-ВБ'!M51</f>
        <v>0</v>
      </c>
      <c r="O49" s="1">
        <f>'ЗО-ВБ'!N51</f>
        <v>0</v>
      </c>
      <c r="P49" s="1">
        <f>'ЗО-ВБ'!O51</f>
        <v>0</v>
      </c>
      <c r="Q49" s="1">
        <f>'ЗО-ВБ'!P51</f>
        <v>0</v>
      </c>
      <c r="R49" s="1">
        <f>'ЗО-ВБ'!Q51</f>
        <v>0</v>
      </c>
      <c r="S49" s="1">
        <f>'ЗО-ВБ'!R51</f>
        <v>0</v>
      </c>
      <c r="T49" s="1">
        <f>'ЗО-ВБ'!S51</f>
        <v>0</v>
      </c>
      <c r="U49" s="1">
        <f>'ЗО-ВБ'!T51</f>
        <v>0</v>
      </c>
      <c r="V49" s="1">
        <f>'ЗО-ВБ'!U51</f>
        <v>0</v>
      </c>
      <c r="W49" s="1">
        <f>'ЗО-ВБ'!V51</f>
        <v>0</v>
      </c>
    </row>
    <row r="50" spans="1:23" x14ac:dyDescent="0.25">
      <c r="A50" s="24" t="s">
        <v>249</v>
      </c>
      <c r="B50" s="1">
        <f>'ЗО-ВБ'!A52</f>
        <v>0</v>
      </c>
      <c r="C50" s="1">
        <f>'ЗО-ВБ'!B52</f>
        <v>0</v>
      </c>
      <c r="D50" s="1">
        <f>'ЗО-ВБ'!C52</f>
        <v>0</v>
      </c>
      <c r="E50" s="1">
        <f>'ЗО-ВБ'!D52</f>
        <v>0</v>
      </c>
      <c r="F50" s="1">
        <f>'ЗО-ВБ'!E52</f>
        <v>0</v>
      </c>
      <c r="G50" s="1">
        <f>'ЗО-ВБ'!F52</f>
        <v>0</v>
      </c>
      <c r="H50" s="1">
        <f>'ЗО-ВБ'!G52</f>
        <v>0</v>
      </c>
      <c r="I50" s="1">
        <f>'ЗО-ВБ'!H52</f>
        <v>0</v>
      </c>
      <c r="J50" s="1">
        <f>'ЗО-ВБ'!I52</f>
        <v>0</v>
      </c>
      <c r="K50" s="1">
        <f>'ЗО-ВБ'!J52</f>
        <v>0</v>
      </c>
      <c r="L50" s="1">
        <f>'ЗО-ВБ'!K52</f>
        <v>0</v>
      </c>
      <c r="M50" s="1">
        <f>'ЗО-ВБ'!L52</f>
        <v>0</v>
      </c>
      <c r="N50" s="1">
        <f>'ЗО-ВБ'!M52</f>
        <v>0</v>
      </c>
      <c r="O50" s="1">
        <f>'ЗО-ВБ'!N52</f>
        <v>0</v>
      </c>
      <c r="P50" s="1">
        <f>'ЗО-ВБ'!O52</f>
        <v>0</v>
      </c>
      <c r="Q50" s="1">
        <f>'ЗО-ВБ'!P52</f>
        <v>0</v>
      </c>
      <c r="R50" s="1">
        <f>'ЗО-ВБ'!Q52</f>
        <v>0</v>
      </c>
      <c r="S50" s="1">
        <f>'ЗО-ВБ'!R52</f>
        <v>0</v>
      </c>
      <c r="T50" s="1">
        <f>'ЗО-ВБ'!S52</f>
        <v>0</v>
      </c>
      <c r="U50" s="1">
        <f>'ЗО-ВБ'!T52</f>
        <v>0</v>
      </c>
      <c r="V50" s="1">
        <f>'ЗО-ВБ'!U52</f>
        <v>0</v>
      </c>
      <c r="W50" s="1">
        <f>'ЗО-ВБ'!V52</f>
        <v>0</v>
      </c>
    </row>
    <row r="51" spans="1:23" x14ac:dyDescent="0.25">
      <c r="A51" s="24" t="s">
        <v>249</v>
      </c>
      <c r="B51" s="1">
        <f>'ЗО-ВБ'!A53</f>
        <v>0</v>
      </c>
      <c r="C51" s="1">
        <f>'ЗО-ВБ'!B53</f>
        <v>0</v>
      </c>
      <c r="D51" s="1">
        <f>'ЗО-ВБ'!C53</f>
        <v>0</v>
      </c>
      <c r="E51" s="1">
        <f>'ЗО-ВБ'!D53</f>
        <v>0</v>
      </c>
      <c r="F51" s="1">
        <f>'ЗО-ВБ'!E53</f>
        <v>0</v>
      </c>
      <c r="G51" s="1">
        <f>'ЗО-ВБ'!F53</f>
        <v>0</v>
      </c>
      <c r="H51" s="1">
        <f>'ЗО-ВБ'!G53</f>
        <v>0</v>
      </c>
      <c r="I51" s="1">
        <f>'ЗО-ВБ'!H53</f>
        <v>0</v>
      </c>
      <c r="J51" s="1">
        <f>'ЗО-ВБ'!I53</f>
        <v>0</v>
      </c>
      <c r="K51" s="1">
        <f>'ЗО-ВБ'!J53</f>
        <v>0</v>
      </c>
      <c r="L51" s="1">
        <f>'ЗО-ВБ'!K53</f>
        <v>0</v>
      </c>
      <c r="M51" s="1">
        <f>'ЗО-ВБ'!L53</f>
        <v>0</v>
      </c>
      <c r="N51" s="1">
        <f>'ЗО-ВБ'!M53</f>
        <v>0</v>
      </c>
      <c r="O51" s="1">
        <f>'ЗО-ВБ'!N53</f>
        <v>0</v>
      </c>
      <c r="P51" s="1">
        <f>'ЗО-ВБ'!O53</f>
        <v>0</v>
      </c>
      <c r="Q51" s="1">
        <f>'ЗО-ВБ'!P53</f>
        <v>0</v>
      </c>
      <c r="R51" s="1">
        <f>'ЗО-ВБ'!Q53</f>
        <v>0</v>
      </c>
      <c r="S51" s="1">
        <f>'ЗО-ВБ'!R53</f>
        <v>0</v>
      </c>
      <c r="T51" s="1">
        <f>'ЗО-ВБ'!S53</f>
        <v>0</v>
      </c>
      <c r="U51" s="1">
        <f>'ЗО-ВБ'!T53</f>
        <v>0</v>
      </c>
      <c r="V51" s="1">
        <f>'ЗО-ВБ'!U53</f>
        <v>0</v>
      </c>
      <c r="W51" s="1">
        <f>'ЗО-ВБ'!V53</f>
        <v>0</v>
      </c>
    </row>
    <row r="52" spans="1:23" x14ac:dyDescent="0.25">
      <c r="A52" s="24" t="s">
        <v>249</v>
      </c>
      <c r="B52" s="1">
        <f>'ЗО-ВБ'!A54</f>
        <v>0</v>
      </c>
      <c r="C52" s="1">
        <f>'ЗО-ВБ'!B54</f>
        <v>0</v>
      </c>
      <c r="D52" s="1">
        <f>'ЗО-ВБ'!C54</f>
        <v>0</v>
      </c>
      <c r="E52" s="1">
        <f>'ЗО-ВБ'!D54</f>
        <v>0</v>
      </c>
      <c r="F52" s="1">
        <f>'ЗО-ВБ'!E54</f>
        <v>0</v>
      </c>
      <c r="G52" s="1">
        <f>'ЗО-ВБ'!F54</f>
        <v>0</v>
      </c>
      <c r="H52" s="1">
        <f>'ЗО-ВБ'!G54</f>
        <v>0</v>
      </c>
      <c r="I52" s="1">
        <f>'ЗО-ВБ'!H54</f>
        <v>0</v>
      </c>
      <c r="J52" s="1">
        <f>'ЗО-ВБ'!I54</f>
        <v>0</v>
      </c>
      <c r="K52" s="1">
        <f>'ЗО-ВБ'!J54</f>
        <v>0</v>
      </c>
      <c r="L52" s="1">
        <f>'ЗО-ВБ'!K54</f>
        <v>0</v>
      </c>
      <c r="M52" s="1">
        <f>'ЗО-ВБ'!L54</f>
        <v>0</v>
      </c>
      <c r="N52" s="1">
        <f>'ЗО-ВБ'!M54</f>
        <v>0</v>
      </c>
      <c r="O52" s="1">
        <f>'ЗО-ВБ'!N54</f>
        <v>0</v>
      </c>
      <c r="P52" s="1">
        <f>'ЗО-ВБ'!O54</f>
        <v>0</v>
      </c>
      <c r="Q52" s="1">
        <f>'ЗО-ВБ'!P54</f>
        <v>0</v>
      </c>
      <c r="R52" s="1">
        <f>'ЗО-ВБ'!Q54</f>
        <v>0</v>
      </c>
      <c r="S52" s="1">
        <f>'ЗО-ВБ'!R54</f>
        <v>0</v>
      </c>
      <c r="T52" s="1">
        <f>'ЗО-ВБ'!S54</f>
        <v>0</v>
      </c>
      <c r="U52" s="1">
        <f>'ЗО-ВБ'!T54</f>
        <v>0</v>
      </c>
      <c r="V52" s="1">
        <f>'ЗО-ВБ'!U54</f>
        <v>0</v>
      </c>
      <c r="W52" s="1">
        <f>'ЗО-ВБ'!V54</f>
        <v>0</v>
      </c>
    </row>
    <row r="53" spans="1:23" x14ac:dyDescent="0.25">
      <c r="A53" s="24" t="s">
        <v>249</v>
      </c>
      <c r="B53" s="1">
        <f>'ЗО-ВБ'!A55</f>
        <v>0</v>
      </c>
      <c r="C53" s="1">
        <f>'ЗО-ВБ'!B55</f>
        <v>0</v>
      </c>
      <c r="D53" s="1">
        <f>'ЗО-ВБ'!C55</f>
        <v>0</v>
      </c>
      <c r="E53" s="1">
        <f>'ЗО-ВБ'!D55</f>
        <v>0</v>
      </c>
      <c r="F53" s="1">
        <f>'ЗО-ВБ'!E55</f>
        <v>0</v>
      </c>
      <c r="G53" s="1">
        <f>'ЗО-ВБ'!F55</f>
        <v>0</v>
      </c>
      <c r="H53" s="1">
        <f>'ЗО-ВБ'!G55</f>
        <v>0</v>
      </c>
      <c r="I53" s="1">
        <f>'ЗО-ВБ'!H55</f>
        <v>0</v>
      </c>
      <c r="J53" s="1">
        <f>'ЗО-ВБ'!I55</f>
        <v>0</v>
      </c>
      <c r="K53" s="1">
        <f>'ЗО-ВБ'!J55</f>
        <v>0</v>
      </c>
      <c r="L53" s="1">
        <f>'ЗО-ВБ'!K55</f>
        <v>0</v>
      </c>
      <c r="M53" s="1">
        <f>'ЗО-ВБ'!L55</f>
        <v>0</v>
      </c>
      <c r="N53" s="1">
        <f>'ЗО-ВБ'!M55</f>
        <v>0</v>
      </c>
      <c r="O53" s="1">
        <f>'ЗО-ВБ'!N55</f>
        <v>0</v>
      </c>
      <c r="P53" s="1">
        <f>'ЗО-ВБ'!O55</f>
        <v>0</v>
      </c>
      <c r="Q53" s="1">
        <f>'ЗО-ВБ'!P55</f>
        <v>0</v>
      </c>
      <c r="R53" s="1">
        <f>'ЗО-ВБ'!Q55</f>
        <v>0</v>
      </c>
      <c r="S53" s="1">
        <f>'ЗО-ВБ'!R55</f>
        <v>0</v>
      </c>
      <c r="T53" s="1">
        <f>'ЗО-ВБ'!S55</f>
        <v>0</v>
      </c>
      <c r="U53" s="1">
        <f>'ЗО-ВБ'!T55</f>
        <v>0</v>
      </c>
      <c r="V53" s="1">
        <f>'ЗО-ВБ'!U55</f>
        <v>0</v>
      </c>
      <c r="W53" s="1">
        <f>'ЗО-ВБ'!V55</f>
        <v>0</v>
      </c>
    </row>
    <row r="54" spans="1:23" x14ac:dyDescent="0.25">
      <c r="A54" s="24" t="s">
        <v>249</v>
      </c>
      <c r="B54" s="1">
        <f>'ЗО-ВБ'!A56</f>
        <v>0</v>
      </c>
      <c r="C54" s="1">
        <f>'ЗО-ВБ'!B56</f>
        <v>0</v>
      </c>
      <c r="D54" s="1">
        <f>'ЗО-ВБ'!C56</f>
        <v>0</v>
      </c>
      <c r="E54" s="1">
        <f>'ЗО-ВБ'!D56</f>
        <v>0</v>
      </c>
      <c r="F54" s="1">
        <f>'ЗО-ВБ'!E56</f>
        <v>0</v>
      </c>
      <c r="G54" s="1">
        <f>'ЗО-ВБ'!F56</f>
        <v>0</v>
      </c>
      <c r="H54" s="1">
        <f>'ЗО-ВБ'!G56</f>
        <v>0</v>
      </c>
      <c r="I54" s="1">
        <f>'ЗО-ВБ'!H56</f>
        <v>0</v>
      </c>
      <c r="J54" s="1">
        <f>'ЗО-ВБ'!I56</f>
        <v>0</v>
      </c>
      <c r="K54" s="1">
        <f>'ЗО-ВБ'!J56</f>
        <v>0</v>
      </c>
      <c r="L54" s="1">
        <f>'ЗО-ВБ'!K56</f>
        <v>0</v>
      </c>
      <c r="M54" s="1">
        <f>'ЗО-ВБ'!L56</f>
        <v>0</v>
      </c>
      <c r="N54" s="1">
        <f>'ЗО-ВБ'!M56</f>
        <v>0</v>
      </c>
      <c r="O54" s="1">
        <f>'ЗО-ВБ'!N56</f>
        <v>0</v>
      </c>
      <c r="P54" s="1">
        <f>'ЗО-ВБ'!O56</f>
        <v>0</v>
      </c>
      <c r="Q54" s="1">
        <f>'ЗО-ВБ'!P56</f>
        <v>0</v>
      </c>
      <c r="R54" s="1">
        <f>'ЗО-ВБ'!Q56</f>
        <v>0</v>
      </c>
      <c r="S54" s="1">
        <f>'ЗО-ВБ'!R56</f>
        <v>0</v>
      </c>
      <c r="T54" s="1">
        <f>'ЗО-ВБ'!S56</f>
        <v>0</v>
      </c>
      <c r="U54" s="1">
        <f>'ЗО-ВБ'!T56</f>
        <v>0</v>
      </c>
      <c r="V54" s="1">
        <f>'ЗО-ВБ'!U56</f>
        <v>0</v>
      </c>
      <c r="W54" s="1">
        <f>'ЗО-ВБ'!V56</f>
        <v>0</v>
      </c>
    </row>
    <row r="55" spans="1:23" x14ac:dyDescent="0.25">
      <c r="A55" s="24" t="s">
        <v>249</v>
      </c>
      <c r="B55" s="1">
        <f>'ЗО-ВБ'!A57</f>
        <v>0</v>
      </c>
      <c r="C55" s="1">
        <f>'ЗО-ВБ'!B57</f>
        <v>0</v>
      </c>
      <c r="D55" s="1">
        <f>'ЗО-ВБ'!C57</f>
        <v>0</v>
      </c>
      <c r="E55" s="1">
        <f>'ЗО-ВБ'!D57</f>
        <v>0</v>
      </c>
      <c r="F55" s="1">
        <f>'ЗО-ВБ'!E57</f>
        <v>0</v>
      </c>
      <c r="G55" s="1">
        <f>'ЗО-ВБ'!F57</f>
        <v>0</v>
      </c>
      <c r="H55" s="1">
        <f>'ЗО-ВБ'!G57</f>
        <v>0</v>
      </c>
      <c r="I55" s="1">
        <f>'ЗО-ВБ'!H57</f>
        <v>0</v>
      </c>
      <c r="J55" s="1">
        <f>'ЗО-ВБ'!I57</f>
        <v>0</v>
      </c>
      <c r="K55" s="1">
        <f>'ЗО-ВБ'!J57</f>
        <v>0</v>
      </c>
      <c r="L55" s="1">
        <f>'ЗО-ВБ'!K57</f>
        <v>0</v>
      </c>
      <c r="M55" s="1">
        <f>'ЗО-ВБ'!L57</f>
        <v>0</v>
      </c>
      <c r="N55" s="1">
        <f>'ЗО-ВБ'!M57</f>
        <v>0</v>
      </c>
      <c r="O55" s="1">
        <f>'ЗО-ВБ'!N57</f>
        <v>0</v>
      </c>
      <c r="P55" s="1">
        <f>'ЗО-ВБ'!O57</f>
        <v>0</v>
      </c>
      <c r="Q55" s="1">
        <f>'ЗО-ВБ'!P57</f>
        <v>0</v>
      </c>
      <c r="R55" s="1">
        <f>'ЗО-ВБ'!Q57</f>
        <v>0</v>
      </c>
      <c r="S55" s="1">
        <f>'ЗО-ВБ'!R57</f>
        <v>0</v>
      </c>
      <c r="T55" s="1">
        <f>'ЗО-ВБ'!S57</f>
        <v>0</v>
      </c>
      <c r="U55" s="1">
        <f>'ЗО-ВБ'!T57</f>
        <v>0</v>
      </c>
      <c r="V55" s="1">
        <f>'ЗО-ВБ'!U57</f>
        <v>0</v>
      </c>
      <c r="W55" s="1">
        <f>'ЗО-ВБ'!V57</f>
        <v>0</v>
      </c>
    </row>
    <row r="56" spans="1:23" x14ac:dyDescent="0.25">
      <c r="A56" s="24" t="s">
        <v>249</v>
      </c>
      <c r="B56" s="1">
        <f>'ЗО-ВБ'!A58</f>
        <v>0</v>
      </c>
      <c r="C56" s="1">
        <f>'ЗО-ВБ'!B58</f>
        <v>0</v>
      </c>
      <c r="D56" s="1">
        <f>'ЗО-ВБ'!C58</f>
        <v>0</v>
      </c>
      <c r="E56" s="1">
        <f>'ЗО-ВБ'!D58</f>
        <v>0</v>
      </c>
      <c r="F56" s="1">
        <f>'ЗО-ВБ'!E58</f>
        <v>0</v>
      </c>
      <c r="G56" s="1">
        <f>'ЗО-ВБ'!F58</f>
        <v>0</v>
      </c>
      <c r="H56" s="1">
        <f>'ЗО-ВБ'!G58</f>
        <v>0</v>
      </c>
      <c r="I56" s="1">
        <f>'ЗО-ВБ'!H58</f>
        <v>0</v>
      </c>
      <c r="J56" s="1">
        <f>'ЗО-ВБ'!I58</f>
        <v>0</v>
      </c>
      <c r="K56" s="1">
        <f>'ЗО-ВБ'!J58</f>
        <v>0</v>
      </c>
      <c r="L56" s="1">
        <f>'ЗО-ВБ'!K58</f>
        <v>0</v>
      </c>
      <c r="M56" s="1">
        <f>'ЗО-ВБ'!L58</f>
        <v>0</v>
      </c>
      <c r="N56" s="1">
        <f>'ЗО-ВБ'!M58</f>
        <v>0</v>
      </c>
      <c r="O56" s="1">
        <f>'ЗО-ВБ'!N58</f>
        <v>0</v>
      </c>
      <c r="P56" s="1">
        <f>'ЗО-ВБ'!O58</f>
        <v>0</v>
      </c>
      <c r="Q56" s="1">
        <f>'ЗО-ВБ'!P58</f>
        <v>0</v>
      </c>
      <c r="R56" s="1">
        <f>'ЗО-ВБ'!Q58</f>
        <v>0</v>
      </c>
      <c r="S56" s="1">
        <f>'ЗО-ВБ'!R58</f>
        <v>0</v>
      </c>
      <c r="T56" s="1">
        <f>'ЗО-ВБ'!S58</f>
        <v>0</v>
      </c>
      <c r="U56" s="1">
        <f>'ЗО-ВБ'!T58</f>
        <v>0</v>
      </c>
      <c r="V56" s="1">
        <f>'ЗО-ВБ'!U58</f>
        <v>0</v>
      </c>
      <c r="W56" s="1">
        <f>'ЗО-ВБ'!V58</f>
        <v>0</v>
      </c>
    </row>
    <row r="57" spans="1:23" x14ac:dyDescent="0.25">
      <c r="A57" s="24" t="s">
        <v>249</v>
      </c>
      <c r="B57" s="1">
        <f>'ЗО-ВБ'!A59</f>
        <v>0</v>
      </c>
      <c r="C57" s="1">
        <f>'ЗО-ВБ'!B59</f>
        <v>0</v>
      </c>
      <c r="D57" s="1">
        <f>'ЗО-ВБ'!C59</f>
        <v>0</v>
      </c>
      <c r="E57" s="1">
        <f>'ЗО-ВБ'!D59</f>
        <v>0</v>
      </c>
      <c r="F57" s="1">
        <f>'ЗО-ВБ'!E59</f>
        <v>0</v>
      </c>
      <c r="G57" s="1">
        <f>'ЗО-ВБ'!F59</f>
        <v>0</v>
      </c>
      <c r="H57" s="1">
        <f>'ЗО-ВБ'!G59</f>
        <v>0</v>
      </c>
      <c r="I57" s="1">
        <f>'ЗО-ВБ'!H59</f>
        <v>0</v>
      </c>
      <c r="J57" s="1">
        <f>'ЗО-ВБ'!I59</f>
        <v>0</v>
      </c>
      <c r="K57" s="1">
        <f>'ЗО-ВБ'!J59</f>
        <v>0</v>
      </c>
      <c r="L57" s="1">
        <f>'ЗО-ВБ'!K59</f>
        <v>0</v>
      </c>
      <c r="M57" s="1">
        <f>'ЗО-ВБ'!L59</f>
        <v>0</v>
      </c>
      <c r="N57" s="1">
        <f>'ЗО-ВБ'!M59</f>
        <v>0</v>
      </c>
      <c r="O57" s="1">
        <f>'ЗО-ВБ'!N59</f>
        <v>0</v>
      </c>
      <c r="P57" s="1">
        <f>'ЗО-ВБ'!O59</f>
        <v>0</v>
      </c>
      <c r="Q57" s="1">
        <f>'ЗО-ВБ'!P59</f>
        <v>0</v>
      </c>
      <c r="R57" s="1">
        <f>'ЗО-ВБ'!Q59</f>
        <v>0</v>
      </c>
      <c r="S57" s="1">
        <f>'ЗО-ВБ'!R59</f>
        <v>0</v>
      </c>
      <c r="T57" s="1">
        <f>'ЗО-ВБ'!S59</f>
        <v>0</v>
      </c>
      <c r="U57" s="1">
        <f>'ЗО-ВБ'!T59</f>
        <v>0</v>
      </c>
      <c r="V57" s="1">
        <f>'ЗО-ВБ'!U59</f>
        <v>0</v>
      </c>
      <c r="W57" s="1">
        <f>'ЗО-ВБ'!V59</f>
        <v>0</v>
      </c>
    </row>
    <row r="58" spans="1:23" x14ac:dyDescent="0.25">
      <c r="A58" s="24" t="s">
        <v>249</v>
      </c>
      <c r="B58" s="1">
        <f>'ЗО-ВБ'!A60</f>
        <v>0</v>
      </c>
      <c r="C58" s="1">
        <f>'ЗО-ВБ'!B60</f>
        <v>0</v>
      </c>
      <c r="D58" s="1">
        <f>'ЗО-ВБ'!C60</f>
        <v>0</v>
      </c>
      <c r="E58" s="1">
        <f>'ЗО-ВБ'!D60</f>
        <v>0</v>
      </c>
      <c r="F58" s="1">
        <f>'ЗО-ВБ'!E60</f>
        <v>0</v>
      </c>
      <c r="G58" s="1">
        <f>'ЗО-ВБ'!F60</f>
        <v>0</v>
      </c>
      <c r="H58" s="1">
        <f>'ЗО-ВБ'!G60</f>
        <v>0</v>
      </c>
      <c r="I58" s="1">
        <f>'ЗО-ВБ'!H60</f>
        <v>0</v>
      </c>
      <c r="J58" s="1">
        <f>'ЗО-ВБ'!I60</f>
        <v>0</v>
      </c>
      <c r="K58" s="1">
        <f>'ЗО-ВБ'!J60</f>
        <v>0</v>
      </c>
      <c r="L58" s="1">
        <f>'ЗО-ВБ'!K60</f>
        <v>0</v>
      </c>
      <c r="M58" s="1">
        <f>'ЗО-ВБ'!L60</f>
        <v>0</v>
      </c>
      <c r="N58" s="1">
        <f>'ЗО-ВБ'!M60</f>
        <v>0</v>
      </c>
      <c r="O58" s="1">
        <f>'ЗО-ВБ'!N60</f>
        <v>0</v>
      </c>
      <c r="P58" s="1">
        <f>'ЗО-ВБ'!O60</f>
        <v>0</v>
      </c>
      <c r="Q58" s="1">
        <f>'ЗО-ВБ'!P60</f>
        <v>0</v>
      </c>
      <c r="R58" s="1">
        <f>'ЗО-ВБ'!Q60</f>
        <v>0</v>
      </c>
      <c r="S58" s="1">
        <f>'ЗО-ВБ'!R60</f>
        <v>0</v>
      </c>
      <c r="T58" s="1">
        <f>'ЗО-ВБ'!S60</f>
        <v>0</v>
      </c>
      <c r="U58" s="1">
        <f>'ЗО-ВБ'!T60</f>
        <v>0</v>
      </c>
      <c r="V58" s="1">
        <f>'ЗО-ВБ'!U60</f>
        <v>0</v>
      </c>
      <c r="W58" s="1">
        <f>'ЗО-ВБ'!V60</f>
        <v>0</v>
      </c>
    </row>
    <row r="59" spans="1:23" x14ac:dyDescent="0.25">
      <c r="A59" s="24" t="s">
        <v>249</v>
      </c>
      <c r="B59" s="1">
        <f>'ЗО-ВБ'!A61</f>
        <v>0</v>
      </c>
      <c r="C59" s="1">
        <f>'ЗО-ВБ'!B61</f>
        <v>0</v>
      </c>
      <c r="D59" s="1">
        <f>'ЗО-ВБ'!C61</f>
        <v>0</v>
      </c>
      <c r="E59" s="1">
        <f>'ЗО-ВБ'!D61</f>
        <v>0</v>
      </c>
      <c r="F59" s="1">
        <f>'ЗО-ВБ'!E61</f>
        <v>0</v>
      </c>
      <c r="G59" s="1">
        <f>'ЗО-ВБ'!F61</f>
        <v>0</v>
      </c>
      <c r="H59" s="1">
        <f>'ЗО-ВБ'!G61</f>
        <v>0</v>
      </c>
      <c r="I59" s="1">
        <f>'ЗО-ВБ'!H61</f>
        <v>0</v>
      </c>
      <c r="J59" s="1">
        <f>'ЗО-ВБ'!I61</f>
        <v>0</v>
      </c>
      <c r="K59" s="1">
        <f>'ЗО-ВБ'!J61</f>
        <v>0</v>
      </c>
      <c r="L59" s="1">
        <f>'ЗО-ВБ'!K61</f>
        <v>0</v>
      </c>
      <c r="M59" s="1">
        <f>'ЗО-ВБ'!L61</f>
        <v>0</v>
      </c>
      <c r="N59" s="1">
        <f>'ЗО-ВБ'!M61</f>
        <v>0</v>
      </c>
      <c r="O59" s="1">
        <f>'ЗО-ВБ'!N61</f>
        <v>0</v>
      </c>
      <c r="P59" s="1">
        <f>'ЗО-ВБ'!O61</f>
        <v>0</v>
      </c>
      <c r="Q59" s="1">
        <f>'ЗО-ВБ'!P61</f>
        <v>0</v>
      </c>
      <c r="R59" s="1">
        <f>'ЗО-ВБ'!Q61</f>
        <v>0</v>
      </c>
      <c r="S59" s="1">
        <f>'ЗО-ВБ'!R61</f>
        <v>0</v>
      </c>
      <c r="T59" s="1">
        <f>'ЗО-ВБ'!S61</f>
        <v>0</v>
      </c>
      <c r="U59" s="1">
        <f>'ЗО-ВБ'!T61</f>
        <v>0</v>
      </c>
      <c r="V59" s="1">
        <f>'ЗО-ВБ'!U61</f>
        <v>0</v>
      </c>
      <c r="W59" s="1">
        <f>'ЗО-ВБ'!V61</f>
        <v>0</v>
      </c>
    </row>
    <row r="60" spans="1:23" x14ac:dyDescent="0.25">
      <c r="A60" s="24" t="s">
        <v>249</v>
      </c>
      <c r="B60" s="1">
        <f>'ЗО-ВБ'!A62</f>
        <v>0</v>
      </c>
      <c r="C60" s="1">
        <f>'ЗО-ВБ'!B62</f>
        <v>0</v>
      </c>
      <c r="D60" s="1">
        <f>'ЗО-ВБ'!C62</f>
        <v>0</v>
      </c>
      <c r="E60" s="1">
        <f>'ЗО-ВБ'!D62</f>
        <v>0</v>
      </c>
      <c r="F60" s="1">
        <f>'ЗО-ВБ'!E62</f>
        <v>0</v>
      </c>
      <c r="G60" s="1">
        <f>'ЗО-ВБ'!F62</f>
        <v>0</v>
      </c>
      <c r="H60" s="1">
        <f>'ЗО-ВБ'!G62</f>
        <v>0</v>
      </c>
      <c r="I60" s="1">
        <f>'ЗО-ВБ'!H62</f>
        <v>0</v>
      </c>
      <c r="J60" s="1">
        <f>'ЗО-ВБ'!I62</f>
        <v>0</v>
      </c>
      <c r="K60" s="1">
        <f>'ЗО-ВБ'!J62</f>
        <v>0</v>
      </c>
      <c r="L60" s="1">
        <f>'ЗО-ВБ'!K62</f>
        <v>0</v>
      </c>
      <c r="M60" s="1">
        <f>'ЗО-ВБ'!L62</f>
        <v>0</v>
      </c>
      <c r="N60" s="1">
        <f>'ЗО-ВБ'!M62</f>
        <v>0</v>
      </c>
      <c r="O60" s="1">
        <f>'ЗО-ВБ'!N62</f>
        <v>0</v>
      </c>
      <c r="P60" s="1">
        <f>'ЗО-ВБ'!O62</f>
        <v>0</v>
      </c>
      <c r="Q60" s="1">
        <f>'ЗО-ВБ'!P62</f>
        <v>0</v>
      </c>
      <c r="R60" s="1">
        <f>'ЗО-ВБ'!Q62</f>
        <v>0</v>
      </c>
      <c r="S60" s="1">
        <f>'ЗО-ВБ'!R62</f>
        <v>0</v>
      </c>
      <c r="T60" s="1">
        <f>'ЗО-ВБ'!S62</f>
        <v>0</v>
      </c>
      <c r="U60" s="1">
        <f>'ЗО-ВБ'!T62</f>
        <v>0</v>
      </c>
      <c r="V60" s="1">
        <f>'ЗО-ВБ'!U62</f>
        <v>0</v>
      </c>
      <c r="W60" s="1">
        <f>'ЗО-ВБ'!V62</f>
        <v>0</v>
      </c>
    </row>
    <row r="61" spans="1:23" x14ac:dyDescent="0.25">
      <c r="A61" s="24" t="s">
        <v>249</v>
      </c>
      <c r="B61" s="1">
        <f>'ЗО-ВБ'!A63</f>
        <v>0</v>
      </c>
      <c r="C61" s="1">
        <f>'ЗО-ВБ'!B63</f>
        <v>0</v>
      </c>
      <c r="D61" s="1">
        <f>'ЗО-ВБ'!C63</f>
        <v>0</v>
      </c>
      <c r="E61" s="1">
        <f>'ЗО-ВБ'!D63</f>
        <v>0</v>
      </c>
      <c r="F61" s="1">
        <f>'ЗО-ВБ'!E63</f>
        <v>0</v>
      </c>
      <c r="G61" s="1">
        <f>'ЗО-ВБ'!F63</f>
        <v>0</v>
      </c>
      <c r="H61" s="1">
        <f>'ЗО-ВБ'!G63</f>
        <v>0</v>
      </c>
      <c r="I61" s="1">
        <f>'ЗО-ВБ'!H63</f>
        <v>0</v>
      </c>
      <c r="J61" s="1">
        <f>'ЗО-ВБ'!I63</f>
        <v>0</v>
      </c>
      <c r="K61" s="1">
        <f>'ЗО-ВБ'!J63</f>
        <v>0</v>
      </c>
      <c r="L61" s="1">
        <f>'ЗО-ВБ'!K63</f>
        <v>0</v>
      </c>
      <c r="M61" s="1">
        <f>'ЗО-ВБ'!L63</f>
        <v>0</v>
      </c>
      <c r="N61" s="1">
        <f>'ЗО-ВБ'!M63</f>
        <v>0</v>
      </c>
      <c r="O61" s="1">
        <f>'ЗО-ВБ'!N63</f>
        <v>0</v>
      </c>
      <c r="P61" s="1">
        <f>'ЗО-ВБ'!O63</f>
        <v>0</v>
      </c>
      <c r="Q61" s="1">
        <f>'ЗО-ВБ'!P63</f>
        <v>0</v>
      </c>
      <c r="R61" s="1">
        <f>'ЗО-ВБ'!Q63</f>
        <v>0</v>
      </c>
      <c r="S61" s="1">
        <f>'ЗО-ВБ'!R63</f>
        <v>0</v>
      </c>
      <c r="T61" s="1">
        <f>'ЗО-ВБ'!S63</f>
        <v>0</v>
      </c>
      <c r="U61" s="1">
        <f>'ЗО-ВБ'!T63</f>
        <v>0</v>
      </c>
      <c r="V61" s="1">
        <f>'ЗО-ВБ'!U63</f>
        <v>0</v>
      </c>
      <c r="W61" s="1">
        <f>'ЗО-ВБ'!V63</f>
        <v>0</v>
      </c>
    </row>
    <row r="62" spans="1:23" x14ac:dyDescent="0.25">
      <c r="A62" s="24" t="s">
        <v>249</v>
      </c>
      <c r="B62" s="1">
        <f>'ЗО-ВБ'!A64</f>
        <v>0</v>
      </c>
      <c r="C62" s="1">
        <f>'ЗО-ВБ'!B64</f>
        <v>0</v>
      </c>
      <c r="D62" s="1">
        <f>'ЗО-ВБ'!C64</f>
        <v>0</v>
      </c>
      <c r="E62" s="1">
        <f>'ЗО-ВБ'!D64</f>
        <v>0</v>
      </c>
      <c r="F62" s="1">
        <f>'ЗО-ВБ'!E64</f>
        <v>0</v>
      </c>
      <c r="G62" s="1">
        <f>'ЗО-ВБ'!F64</f>
        <v>0</v>
      </c>
      <c r="H62" s="1">
        <f>'ЗО-ВБ'!G64</f>
        <v>0</v>
      </c>
      <c r="I62" s="1">
        <f>'ЗО-ВБ'!H64</f>
        <v>0</v>
      </c>
      <c r="J62" s="1">
        <f>'ЗО-ВБ'!I64</f>
        <v>0</v>
      </c>
      <c r="K62" s="1">
        <f>'ЗО-ВБ'!J64</f>
        <v>0</v>
      </c>
      <c r="L62" s="1">
        <f>'ЗО-ВБ'!K64</f>
        <v>0</v>
      </c>
      <c r="M62" s="1">
        <f>'ЗО-ВБ'!L64</f>
        <v>0</v>
      </c>
      <c r="N62" s="1">
        <f>'ЗО-ВБ'!M64</f>
        <v>0</v>
      </c>
      <c r="O62" s="1">
        <f>'ЗО-ВБ'!N64</f>
        <v>0</v>
      </c>
      <c r="P62" s="1">
        <f>'ЗО-ВБ'!O64</f>
        <v>0</v>
      </c>
      <c r="Q62" s="1">
        <f>'ЗО-ВБ'!P64</f>
        <v>0</v>
      </c>
      <c r="R62" s="1">
        <f>'ЗО-ВБ'!Q64</f>
        <v>0</v>
      </c>
      <c r="S62" s="1">
        <f>'ЗО-ВБ'!R64</f>
        <v>0</v>
      </c>
      <c r="T62" s="1">
        <f>'ЗО-ВБ'!S64</f>
        <v>0</v>
      </c>
      <c r="U62" s="1">
        <f>'ЗО-ВБ'!T64</f>
        <v>0</v>
      </c>
      <c r="V62" s="1">
        <f>'ЗО-ВБ'!U64</f>
        <v>0</v>
      </c>
      <c r="W62" s="1">
        <f>'ЗО-ВБ'!V64</f>
        <v>0</v>
      </c>
    </row>
    <row r="63" spans="1:23" x14ac:dyDescent="0.25">
      <c r="A63" s="24" t="s">
        <v>249</v>
      </c>
      <c r="B63" s="1">
        <f>'ЗО-ВБ'!A65</f>
        <v>0</v>
      </c>
      <c r="C63" s="1">
        <f>'ЗО-ВБ'!B65</f>
        <v>0</v>
      </c>
      <c r="D63" s="1">
        <f>'ЗО-ВБ'!C65</f>
        <v>0</v>
      </c>
      <c r="E63" s="1">
        <f>'ЗО-ВБ'!D65</f>
        <v>0</v>
      </c>
      <c r="F63" s="1">
        <f>'ЗО-ВБ'!E65</f>
        <v>0</v>
      </c>
      <c r="G63" s="1">
        <f>'ЗО-ВБ'!F65</f>
        <v>0</v>
      </c>
      <c r="H63" s="1">
        <f>'ЗО-ВБ'!G65</f>
        <v>0</v>
      </c>
      <c r="I63" s="1">
        <f>'ЗО-ВБ'!H65</f>
        <v>0</v>
      </c>
      <c r="J63" s="1">
        <f>'ЗО-ВБ'!I65</f>
        <v>0</v>
      </c>
      <c r="K63" s="1">
        <f>'ЗО-ВБ'!J65</f>
        <v>0</v>
      </c>
      <c r="L63" s="1">
        <f>'ЗО-ВБ'!K65</f>
        <v>0</v>
      </c>
      <c r="M63" s="1">
        <f>'ЗО-ВБ'!L65</f>
        <v>0</v>
      </c>
      <c r="N63" s="1">
        <f>'ЗО-ВБ'!M65</f>
        <v>0</v>
      </c>
      <c r="O63" s="1">
        <f>'ЗО-ВБ'!N65</f>
        <v>0</v>
      </c>
      <c r="P63" s="1">
        <f>'ЗО-ВБ'!O65</f>
        <v>0</v>
      </c>
      <c r="Q63" s="1">
        <f>'ЗО-ВБ'!P65</f>
        <v>0</v>
      </c>
      <c r="R63" s="1">
        <f>'ЗО-ВБ'!Q65</f>
        <v>0</v>
      </c>
      <c r="S63" s="1">
        <f>'ЗО-ВБ'!R65</f>
        <v>0</v>
      </c>
      <c r="T63" s="1">
        <f>'ЗО-ВБ'!S65</f>
        <v>0</v>
      </c>
      <c r="U63" s="1">
        <f>'ЗО-ВБ'!T65</f>
        <v>0</v>
      </c>
      <c r="V63" s="1">
        <f>'ЗО-ВБ'!U65</f>
        <v>0</v>
      </c>
      <c r="W63" s="1">
        <f>'ЗО-ВБ'!V65</f>
        <v>0</v>
      </c>
    </row>
    <row r="64" spans="1:23" x14ac:dyDescent="0.25">
      <c r="A64" s="24" t="s">
        <v>249</v>
      </c>
      <c r="B64" s="1">
        <f>'ЗО-ВБ'!A66</f>
        <v>0</v>
      </c>
      <c r="C64" s="1">
        <f>'ЗО-ВБ'!B66</f>
        <v>0</v>
      </c>
      <c r="D64" s="1">
        <f>'ЗО-ВБ'!C66</f>
        <v>0</v>
      </c>
      <c r="E64" s="1">
        <f>'ЗО-ВБ'!D66</f>
        <v>0</v>
      </c>
      <c r="F64" s="1">
        <f>'ЗО-ВБ'!E66</f>
        <v>0</v>
      </c>
      <c r="G64" s="1">
        <f>'ЗО-ВБ'!F66</f>
        <v>0</v>
      </c>
      <c r="H64" s="1">
        <f>'ЗО-ВБ'!G66</f>
        <v>0</v>
      </c>
      <c r="I64" s="1">
        <f>'ЗО-ВБ'!H66</f>
        <v>0</v>
      </c>
      <c r="J64" s="1">
        <f>'ЗО-ВБ'!I66</f>
        <v>0</v>
      </c>
      <c r="K64" s="1">
        <f>'ЗО-ВБ'!J66</f>
        <v>0</v>
      </c>
      <c r="L64" s="1">
        <f>'ЗО-ВБ'!K66</f>
        <v>0</v>
      </c>
      <c r="M64" s="1">
        <f>'ЗО-ВБ'!L66</f>
        <v>0</v>
      </c>
      <c r="N64" s="1">
        <f>'ЗО-ВБ'!M66</f>
        <v>0</v>
      </c>
      <c r="O64" s="1">
        <f>'ЗО-ВБ'!N66</f>
        <v>0</v>
      </c>
      <c r="P64" s="1">
        <f>'ЗО-ВБ'!O66</f>
        <v>0</v>
      </c>
      <c r="Q64" s="1">
        <f>'ЗО-ВБ'!P66</f>
        <v>0</v>
      </c>
      <c r="R64" s="1">
        <f>'ЗО-ВБ'!Q66</f>
        <v>0</v>
      </c>
      <c r="S64" s="1">
        <f>'ЗО-ВБ'!R66</f>
        <v>0</v>
      </c>
      <c r="T64" s="1">
        <f>'ЗО-ВБ'!S66</f>
        <v>0</v>
      </c>
      <c r="U64" s="1">
        <f>'ЗО-ВБ'!T66</f>
        <v>0</v>
      </c>
      <c r="V64" s="1">
        <f>'ЗО-ВБ'!U66</f>
        <v>0</v>
      </c>
      <c r="W64" s="1">
        <f>'ЗО-ВБ'!V66</f>
        <v>0</v>
      </c>
    </row>
    <row r="65" spans="1:23" x14ac:dyDescent="0.25">
      <c r="A65" s="24" t="s">
        <v>249</v>
      </c>
      <c r="B65" s="1">
        <f>'ЗО-ВБ'!A67</f>
        <v>0</v>
      </c>
      <c r="C65" s="1">
        <f>'ЗО-ВБ'!B67</f>
        <v>0</v>
      </c>
      <c r="D65" s="1">
        <f>'ЗО-ВБ'!C67</f>
        <v>0</v>
      </c>
      <c r="E65" s="1">
        <f>'ЗО-ВБ'!D67</f>
        <v>0</v>
      </c>
      <c r="F65" s="1">
        <f>'ЗО-ВБ'!E67</f>
        <v>0</v>
      </c>
      <c r="G65" s="1">
        <f>'ЗО-ВБ'!F67</f>
        <v>0</v>
      </c>
      <c r="H65" s="1">
        <f>'ЗО-ВБ'!G67</f>
        <v>0</v>
      </c>
      <c r="I65" s="1">
        <f>'ЗО-ВБ'!H67</f>
        <v>0</v>
      </c>
      <c r="J65" s="1">
        <f>'ЗО-ВБ'!I67</f>
        <v>0</v>
      </c>
      <c r="K65" s="1">
        <f>'ЗО-ВБ'!J67</f>
        <v>0</v>
      </c>
      <c r="L65" s="1">
        <f>'ЗО-ВБ'!K67</f>
        <v>0</v>
      </c>
      <c r="M65" s="1">
        <f>'ЗО-ВБ'!L67</f>
        <v>0</v>
      </c>
      <c r="N65" s="1">
        <f>'ЗО-ВБ'!M67</f>
        <v>0</v>
      </c>
      <c r="O65" s="1">
        <f>'ЗО-ВБ'!N67</f>
        <v>0</v>
      </c>
      <c r="P65" s="1">
        <f>'ЗО-ВБ'!O67</f>
        <v>0</v>
      </c>
      <c r="Q65" s="1">
        <f>'ЗО-ВБ'!P67</f>
        <v>0</v>
      </c>
      <c r="R65" s="1">
        <f>'ЗО-ВБ'!Q67</f>
        <v>0</v>
      </c>
      <c r="S65" s="1">
        <f>'ЗО-ВБ'!R67</f>
        <v>0</v>
      </c>
      <c r="T65" s="1">
        <f>'ЗО-ВБ'!S67</f>
        <v>0</v>
      </c>
      <c r="U65" s="1">
        <f>'ЗО-ВБ'!T67</f>
        <v>0</v>
      </c>
      <c r="V65" s="1">
        <f>'ЗО-ВБ'!U67</f>
        <v>0</v>
      </c>
      <c r="W65" s="1">
        <f>'ЗО-ВБ'!V67</f>
        <v>0</v>
      </c>
    </row>
    <row r="66" spans="1:23" x14ac:dyDescent="0.25">
      <c r="A66" s="24" t="s">
        <v>249</v>
      </c>
      <c r="B66" s="1">
        <f>'ЗО-ВБ'!A68</f>
        <v>0</v>
      </c>
      <c r="C66" s="1">
        <f>'ЗО-ВБ'!B68</f>
        <v>0</v>
      </c>
      <c r="D66" s="1">
        <f>'ЗО-ВБ'!C68</f>
        <v>0</v>
      </c>
      <c r="E66" s="1">
        <f>'ЗО-ВБ'!D68</f>
        <v>0</v>
      </c>
      <c r="F66" s="1">
        <f>'ЗО-ВБ'!E68</f>
        <v>0</v>
      </c>
      <c r="G66" s="1">
        <f>'ЗО-ВБ'!F68</f>
        <v>0</v>
      </c>
      <c r="H66" s="1">
        <f>'ЗО-ВБ'!G68</f>
        <v>0</v>
      </c>
      <c r="I66" s="1">
        <f>'ЗО-ВБ'!H68</f>
        <v>0</v>
      </c>
      <c r="J66" s="1">
        <f>'ЗО-ВБ'!I68</f>
        <v>0</v>
      </c>
      <c r="K66" s="1">
        <f>'ЗО-ВБ'!J68</f>
        <v>0</v>
      </c>
      <c r="L66" s="1">
        <f>'ЗО-ВБ'!K68</f>
        <v>0</v>
      </c>
      <c r="M66" s="1">
        <f>'ЗО-ВБ'!L68</f>
        <v>0</v>
      </c>
      <c r="N66" s="1">
        <f>'ЗО-ВБ'!M68</f>
        <v>0</v>
      </c>
      <c r="O66" s="1">
        <f>'ЗО-ВБ'!N68</f>
        <v>0</v>
      </c>
      <c r="P66" s="1">
        <f>'ЗО-ВБ'!O68</f>
        <v>0</v>
      </c>
      <c r="Q66" s="1">
        <f>'ЗО-ВБ'!P68</f>
        <v>0</v>
      </c>
      <c r="R66" s="1">
        <f>'ЗО-ВБ'!Q68</f>
        <v>0</v>
      </c>
      <c r="S66" s="1">
        <f>'ЗО-ВБ'!R68</f>
        <v>0</v>
      </c>
      <c r="T66" s="1">
        <f>'ЗО-ВБ'!S68</f>
        <v>0</v>
      </c>
      <c r="U66" s="1">
        <f>'ЗО-ВБ'!T68</f>
        <v>0</v>
      </c>
      <c r="V66" s="1">
        <f>'ЗО-ВБ'!U68</f>
        <v>0</v>
      </c>
      <c r="W66" s="1">
        <f>'ЗО-ВБ'!V68</f>
        <v>0</v>
      </c>
    </row>
    <row r="67" spans="1:23" x14ac:dyDescent="0.25">
      <c r="A67" s="24" t="s">
        <v>249</v>
      </c>
      <c r="B67" s="1">
        <f>'ЗО-ВБ'!A69</f>
        <v>0</v>
      </c>
      <c r="C67" s="1">
        <f>'ЗО-ВБ'!B69</f>
        <v>0</v>
      </c>
      <c r="D67" s="1">
        <f>'ЗО-ВБ'!C69</f>
        <v>0</v>
      </c>
      <c r="E67" s="1">
        <f>'ЗО-ВБ'!D69</f>
        <v>0</v>
      </c>
      <c r="F67" s="1">
        <f>'ЗО-ВБ'!E69</f>
        <v>0</v>
      </c>
      <c r="G67" s="1">
        <f>'ЗО-ВБ'!F69</f>
        <v>0</v>
      </c>
      <c r="H67" s="1">
        <f>'ЗО-ВБ'!G69</f>
        <v>0</v>
      </c>
      <c r="I67" s="1">
        <f>'ЗО-ВБ'!H69</f>
        <v>0</v>
      </c>
      <c r="J67" s="1">
        <f>'ЗО-ВБ'!I69</f>
        <v>0</v>
      </c>
      <c r="K67" s="1">
        <f>'ЗО-ВБ'!J69</f>
        <v>0</v>
      </c>
      <c r="L67" s="1">
        <f>'ЗО-ВБ'!K69</f>
        <v>0</v>
      </c>
      <c r="M67" s="1">
        <f>'ЗО-ВБ'!L69</f>
        <v>0</v>
      </c>
      <c r="N67" s="1">
        <f>'ЗО-ВБ'!M69</f>
        <v>0</v>
      </c>
      <c r="O67" s="1">
        <f>'ЗО-ВБ'!N69</f>
        <v>0</v>
      </c>
      <c r="P67" s="1">
        <f>'ЗО-ВБ'!O69</f>
        <v>0</v>
      </c>
      <c r="Q67" s="1">
        <f>'ЗО-ВБ'!P69</f>
        <v>0</v>
      </c>
      <c r="R67" s="1">
        <f>'ЗО-ВБ'!Q69</f>
        <v>0</v>
      </c>
      <c r="S67" s="1">
        <f>'ЗО-ВБ'!R69</f>
        <v>0</v>
      </c>
      <c r="T67" s="1">
        <f>'ЗО-ВБ'!S69</f>
        <v>0</v>
      </c>
      <c r="U67" s="1">
        <f>'ЗО-ВБ'!T69</f>
        <v>0</v>
      </c>
      <c r="V67" s="1">
        <f>'ЗО-ВБ'!U69</f>
        <v>0</v>
      </c>
      <c r="W67" s="1">
        <f>'ЗО-ВБ'!V69</f>
        <v>0</v>
      </c>
    </row>
    <row r="68" spans="1:23" x14ac:dyDescent="0.25">
      <c r="A68" s="24" t="s">
        <v>249</v>
      </c>
      <c r="B68" s="1">
        <f>'ЗО-ВБ'!A70</f>
        <v>0</v>
      </c>
      <c r="C68" s="1">
        <f>'ЗО-ВБ'!B70</f>
        <v>0</v>
      </c>
      <c r="D68" s="1">
        <f>'ЗО-ВБ'!C70</f>
        <v>0</v>
      </c>
      <c r="E68" s="1">
        <f>'ЗО-ВБ'!D70</f>
        <v>0</v>
      </c>
      <c r="F68" s="1">
        <f>'ЗО-ВБ'!E70</f>
        <v>0</v>
      </c>
      <c r="G68" s="1">
        <f>'ЗО-ВБ'!F70</f>
        <v>0</v>
      </c>
      <c r="H68" s="1">
        <f>'ЗО-ВБ'!G70</f>
        <v>0</v>
      </c>
      <c r="I68" s="1">
        <f>'ЗО-ВБ'!H70</f>
        <v>0</v>
      </c>
      <c r="J68" s="1">
        <f>'ЗО-ВБ'!I70</f>
        <v>0</v>
      </c>
      <c r="K68" s="1">
        <f>'ЗО-ВБ'!J70</f>
        <v>0</v>
      </c>
      <c r="L68" s="1">
        <f>'ЗО-ВБ'!K70</f>
        <v>0</v>
      </c>
      <c r="M68" s="1">
        <f>'ЗО-ВБ'!L70</f>
        <v>0</v>
      </c>
      <c r="N68" s="1">
        <f>'ЗО-ВБ'!M70</f>
        <v>0</v>
      </c>
      <c r="O68" s="1">
        <f>'ЗО-ВБ'!N70</f>
        <v>0</v>
      </c>
      <c r="P68" s="1">
        <f>'ЗО-ВБ'!O70</f>
        <v>0</v>
      </c>
      <c r="Q68" s="1">
        <f>'ЗО-ВБ'!P70</f>
        <v>0</v>
      </c>
      <c r="R68" s="1">
        <f>'ЗО-ВБ'!Q70</f>
        <v>0</v>
      </c>
      <c r="S68" s="1">
        <f>'ЗО-ВБ'!R70</f>
        <v>0</v>
      </c>
      <c r="T68" s="1">
        <f>'ЗО-ВБ'!S70</f>
        <v>0</v>
      </c>
      <c r="U68" s="1">
        <f>'ЗО-ВБ'!T70</f>
        <v>0</v>
      </c>
      <c r="V68" s="1">
        <f>'ЗО-ВБ'!U70</f>
        <v>0</v>
      </c>
      <c r="W68" s="1">
        <f>'ЗО-ВБ'!V70</f>
        <v>0</v>
      </c>
    </row>
    <row r="69" spans="1:23" x14ac:dyDescent="0.25">
      <c r="A69" s="24" t="s">
        <v>249</v>
      </c>
      <c r="B69" s="1">
        <f>'ЗО-ВБ'!A71</f>
        <v>0</v>
      </c>
      <c r="C69" s="1">
        <f>'ЗО-ВБ'!B71</f>
        <v>0</v>
      </c>
      <c r="D69" s="1">
        <f>'ЗО-ВБ'!C71</f>
        <v>0</v>
      </c>
      <c r="E69" s="1">
        <f>'ЗО-ВБ'!D71</f>
        <v>0</v>
      </c>
      <c r="F69" s="1">
        <f>'ЗО-ВБ'!E71</f>
        <v>0</v>
      </c>
      <c r="G69" s="1">
        <f>'ЗО-ВБ'!F71</f>
        <v>0</v>
      </c>
      <c r="H69" s="1">
        <f>'ЗО-ВБ'!G71</f>
        <v>0</v>
      </c>
      <c r="I69" s="1">
        <f>'ЗО-ВБ'!H71</f>
        <v>0</v>
      </c>
      <c r="J69" s="1">
        <f>'ЗО-ВБ'!I71</f>
        <v>0</v>
      </c>
      <c r="K69" s="1">
        <f>'ЗО-ВБ'!J71</f>
        <v>0</v>
      </c>
      <c r="L69" s="1">
        <f>'ЗО-ВБ'!K71</f>
        <v>0</v>
      </c>
      <c r="M69" s="1">
        <f>'ЗО-ВБ'!L71</f>
        <v>0</v>
      </c>
      <c r="N69" s="1">
        <f>'ЗО-ВБ'!M71</f>
        <v>0</v>
      </c>
      <c r="O69" s="1">
        <f>'ЗО-ВБ'!N71</f>
        <v>0</v>
      </c>
      <c r="P69" s="1">
        <f>'ЗО-ВБ'!O71</f>
        <v>0</v>
      </c>
      <c r="Q69" s="1">
        <f>'ЗО-ВБ'!P71</f>
        <v>0</v>
      </c>
      <c r="R69" s="1">
        <f>'ЗО-ВБ'!Q71</f>
        <v>0</v>
      </c>
      <c r="S69" s="1">
        <f>'ЗО-ВБ'!R71</f>
        <v>0</v>
      </c>
      <c r="T69" s="1">
        <f>'ЗО-ВБ'!S71</f>
        <v>0</v>
      </c>
      <c r="U69" s="1">
        <f>'ЗО-ВБ'!T71</f>
        <v>0</v>
      </c>
      <c r="V69" s="1">
        <f>'ЗО-ВБ'!U71</f>
        <v>0</v>
      </c>
      <c r="W69" s="1">
        <f>'ЗО-ВБ'!V71</f>
        <v>0</v>
      </c>
    </row>
    <row r="70" spans="1:23" x14ac:dyDescent="0.25">
      <c r="A70" s="24" t="s">
        <v>249</v>
      </c>
      <c r="B70" s="1">
        <f>'ЗО-ВБ'!A72</f>
        <v>0</v>
      </c>
      <c r="C70" s="1">
        <f>'ЗО-ВБ'!B72</f>
        <v>0</v>
      </c>
      <c r="D70" s="1">
        <f>'ЗО-ВБ'!C72</f>
        <v>0</v>
      </c>
      <c r="E70" s="1">
        <f>'ЗО-ВБ'!D72</f>
        <v>0</v>
      </c>
      <c r="F70" s="1">
        <f>'ЗО-ВБ'!E72</f>
        <v>0</v>
      </c>
      <c r="G70" s="1">
        <f>'ЗО-ВБ'!F72</f>
        <v>0</v>
      </c>
      <c r="H70" s="1">
        <f>'ЗО-ВБ'!G72</f>
        <v>0</v>
      </c>
      <c r="I70" s="1">
        <f>'ЗО-ВБ'!H72</f>
        <v>0</v>
      </c>
      <c r="J70" s="1">
        <f>'ЗО-ВБ'!I72</f>
        <v>0</v>
      </c>
      <c r="K70" s="1">
        <f>'ЗО-ВБ'!J72</f>
        <v>0</v>
      </c>
      <c r="L70" s="1">
        <f>'ЗО-ВБ'!K72</f>
        <v>0</v>
      </c>
      <c r="M70" s="1">
        <f>'ЗО-ВБ'!L72</f>
        <v>0</v>
      </c>
      <c r="N70" s="1">
        <f>'ЗО-ВБ'!M72</f>
        <v>0</v>
      </c>
      <c r="O70" s="1">
        <f>'ЗО-ВБ'!N72</f>
        <v>0</v>
      </c>
      <c r="P70" s="1">
        <f>'ЗО-ВБ'!O72</f>
        <v>0</v>
      </c>
      <c r="Q70" s="1">
        <f>'ЗО-ВБ'!P72</f>
        <v>0</v>
      </c>
      <c r="R70" s="1">
        <f>'ЗО-ВБ'!Q72</f>
        <v>0</v>
      </c>
      <c r="S70" s="1">
        <f>'ЗО-ВБ'!R72</f>
        <v>0</v>
      </c>
      <c r="T70" s="1">
        <f>'ЗО-ВБ'!S72</f>
        <v>0</v>
      </c>
      <c r="U70" s="1">
        <f>'ЗО-ВБ'!T72</f>
        <v>0</v>
      </c>
      <c r="V70" s="1">
        <f>'ЗО-ВБ'!U72</f>
        <v>0</v>
      </c>
      <c r="W70" s="1">
        <f>'ЗО-ВБ'!V72</f>
        <v>0</v>
      </c>
    </row>
    <row r="71" spans="1:23" x14ac:dyDescent="0.25">
      <c r="A71" s="24" t="s">
        <v>249</v>
      </c>
      <c r="B71" s="1">
        <f>'ЗО-ВБ'!A73</f>
        <v>0</v>
      </c>
      <c r="C71" s="1">
        <f>'ЗО-ВБ'!B73</f>
        <v>0</v>
      </c>
      <c r="D71" s="1">
        <f>'ЗО-ВБ'!C73</f>
        <v>0</v>
      </c>
      <c r="E71" s="1">
        <f>'ЗО-ВБ'!D73</f>
        <v>0</v>
      </c>
      <c r="F71" s="1">
        <f>'ЗО-ВБ'!E73</f>
        <v>0</v>
      </c>
      <c r="G71" s="1">
        <f>'ЗО-ВБ'!F73</f>
        <v>0</v>
      </c>
      <c r="H71" s="1">
        <f>'ЗО-ВБ'!G73</f>
        <v>0</v>
      </c>
      <c r="I71" s="1">
        <f>'ЗО-ВБ'!H73</f>
        <v>0</v>
      </c>
      <c r="J71" s="1">
        <f>'ЗО-ВБ'!I73</f>
        <v>0</v>
      </c>
      <c r="K71" s="1">
        <f>'ЗО-ВБ'!J73</f>
        <v>0</v>
      </c>
      <c r="L71" s="1">
        <f>'ЗО-ВБ'!K73</f>
        <v>0</v>
      </c>
      <c r="M71" s="1">
        <f>'ЗО-ВБ'!L73</f>
        <v>0</v>
      </c>
      <c r="N71" s="1">
        <f>'ЗО-ВБ'!M73</f>
        <v>0</v>
      </c>
      <c r="O71" s="1">
        <f>'ЗО-ВБ'!N73</f>
        <v>0</v>
      </c>
      <c r="P71" s="1">
        <f>'ЗО-ВБ'!O73</f>
        <v>0</v>
      </c>
      <c r="Q71" s="1">
        <f>'ЗО-ВБ'!P73</f>
        <v>0</v>
      </c>
      <c r="R71" s="1">
        <f>'ЗО-ВБ'!Q73</f>
        <v>0</v>
      </c>
      <c r="S71" s="1">
        <f>'ЗО-ВБ'!R73</f>
        <v>0</v>
      </c>
      <c r="T71" s="1">
        <f>'ЗО-ВБ'!S73</f>
        <v>0</v>
      </c>
      <c r="U71" s="1">
        <f>'ЗО-ВБ'!T73</f>
        <v>0</v>
      </c>
      <c r="V71" s="1">
        <f>'ЗО-ВБ'!U73</f>
        <v>0</v>
      </c>
      <c r="W71" s="1">
        <f>'ЗО-ВБ'!V73</f>
        <v>0</v>
      </c>
    </row>
    <row r="72" spans="1:23" x14ac:dyDescent="0.25">
      <c r="A72" s="24" t="s">
        <v>249</v>
      </c>
      <c r="B72" s="1">
        <f>'ЗО-ВБ'!A74</f>
        <v>0</v>
      </c>
      <c r="C72" s="1">
        <f>'ЗО-ВБ'!B74</f>
        <v>0</v>
      </c>
      <c r="D72" s="1">
        <f>'ЗО-ВБ'!C74</f>
        <v>0</v>
      </c>
      <c r="E72" s="1">
        <f>'ЗО-ВБ'!D74</f>
        <v>0</v>
      </c>
      <c r="F72" s="1">
        <f>'ЗО-ВБ'!E74</f>
        <v>0</v>
      </c>
      <c r="G72" s="1">
        <f>'ЗО-ВБ'!F74</f>
        <v>0</v>
      </c>
      <c r="H72" s="1">
        <f>'ЗО-ВБ'!G74</f>
        <v>0</v>
      </c>
      <c r="I72" s="1">
        <f>'ЗО-ВБ'!H74</f>
        <v>0</v>
      </c>
      <c r="J72" s="1">
        <f>'ЗО-ВБ'!I74</f>
        <v>0</v>
      </c>
      <c r="K72" s="1">
        <f>'ЗО-ВБ'!J74</f>
        <v>0</v>
      </c>
      <c r="L72" s="1">
        <f>'ЗО-ВБ'!K74</f>
        <v>0</v>
      </c>
      <c r="M72" s="1">
        <f>'ЗО-ВБ'!L74</f>
        <v>0</v>
      </c>
      <c r="N72" s="1">
        <f>'ЗО-ВБ'!M74</f>
        <v>0</v>
      </c>
      <c r="O72" s="1">
        <f>'ЗО-ВБ'!N74</f>
        <v>0</v>
      </c>
      <c r="P72" s="1">
        <f>'ЗО-ВБ'!O74</f>
        <v>0</v>
      </c>
      <c r="Q72" s="1">
        <f>'ЗО-ВБ'!P74</f>
        <v>0</v>
      </c>
      <c r="R72" s="1">
        <f>'ЗО-ВБ'!Q74</f>
        <v>0</v>
      </c>
      <c r="S72" s="1">
        <f>'ЗО-ВБ'!R74</f>
        <v>0</v>
      </c>
      <c r="T72" s="1">
        <f>'ЗО-ВБ'!S74</f>
        <v>0</v>
      </c>
      <c r="U72" s="1">
        <f>'ЗО-ВБ'!T74</f>
        <v>0</v>
      </c>
      <c r="V72" s="1">
        <f>'ЗО-ВБ'!U74</f>
        <v>0</v>
      </c>
      <c r="W72" s="1">
        <f>'ЗО-ВБ'!V74</f>
        <v>0</v>
      </c>
    </row>
    <row r="73" spans="1:23" x14ac:dyDescent="0.25">
      <c r="A73" s="24" t="s">
        <v>249</v>
      </c>
      <c r="B73" s="1">
        <f>'ЗО-ВБ'!A75</f>
        <v>0</v>
      </c>
      <c r="C73" s="1">
        <f>'ЗО-ВБ'!B75</f>
        <v>0</v>
      </c>
      <c r="D73" s="1">
        <f>'ЗО-ВБ'!C75</f>
        <v>0</v>
      </c>
      <c r="E73" s="1">
        <f>'ЗО-ВБ'!D75</f>
        <v>0</v>
      </c>
      <c r="F73" s="1">
        <f>'ЗО-ВБ'!E75</f>
        <v>0</v>
      </c>
      <c r="G73" s="1">
        <f>'ЗО-ВБ'!F75</f>
        <v>0</v>
      </c>
      <c r="H73" s="1">
        <f>'ЗО-ВБ'!G75</f>
        <v>0</v>
      </c>
      <c r="I73" s="1">
        <f>'ЗО-ВБ'!H75</f>
        <v>0</v>
      </c>
      <c r="J73" s="1">
        <f>'ЗО-ВБ'!I75</f>
        <v>0</v>
      </c>
      <c r="K73" s="1">
        <f>'ЗО-ВБ'!J75</f>
        <v>0</v>
      </c>
      <c r="L73" s="1">
        <f>'ЗО-ВБ'!K75</f>
        <v>0</v>
      </c>
      <c r="M73" s="1">
        <f>'ЗО-ВБ'!L75</f>
        <v>0</v>
      </c>
      <c r="N73" s="1">
        <f>'ЗО-ВБ'!M75</f>
        <v>0</v>
      </c>
      <c r="O73" s="1">
        <f>'ЗО-ВБ'!N75</f>
        <v>0</v>
      </c>
      <c r="P73" s="1">
        <f>'ЗО-ВБ'!O75</f>
        <v>0</v>
      </c>
      <c r="Q73" s="1">
        <f>'ЗО-ВБ'!P75</f>
        <v>0</v>
      </c>
      <c r="R73" s="1">
        <f>'ЗО-ВБ'!Q75</f>
        <v>0</v>
      </c>
      <c r="S73" s="1">
        <f>'ЗО-ВБ'!R75</f>
        <v>0</v>
      </c>
      <c r="T73" s="1">
        <f>'ЗО-ВБ'!S75</f>
        <v>0</v>
      </c>
      <c r="U73" s="1">
        <f>'ЗО-ВБ'!T75</f>
        <v>0</v>
      </c>
      <c r="V73" s="1">
        <f>'ЗО-ВБ'!U75</f>
        <v>0</v>
      </c>
      <c r="W73" s="1">
        <f>'ЗО-ВБ'!V75</f>
        <v>0</v>
      </c>
    </row>
    <row r="74" spans="1:23" x14ac:dyDescent="0.25">
      <c r="A74" s="24" t="s">
        <v>249</v>
      </c>
      <c r="B74" s="1">
        <f>'ЗО-ВБ'!A76</f>
        <v>0</v>
      </c>
      <c r="C74" s="1">
        <f>'ЗО-ВБ'!B76</f>
        <v>0</v>
      </c>
      <c r="D74" s="1">
        <f>'ЗО-ВБ'!C76</f>
        <v>0</v>
      </c>
      <c r="E74" s="1">
        <f>'ЗО-ВБ'!D76</f>
        <v>0</v>
      </c>
      <c r="F74" s="1">
        <f>'ЗО-ВБ'!E76</f>
        <v>0</v>
      </c>
      <c r="G74" s="1">
        <f>'ЗО-ВБ'!F76</f>
        <v>0</v>
      </c>
      <c r="H74" s="1">
        <f>'ЗО-ВБ'!G76</f>
        <v>0</v>
      </c>
      <c r="I74" s="1">
        <f>'ЗО-ВБ'!H76</f>
        <v>0</v>
      </c>
      <c r="J74" s="1">
        <f>'ЗО-ВБ'!I76</f>
        <v>0</v>
      </c>
      <c r="K74" s="1">
        <f>'ЗО-ВБ'!J76</f>
        <v>0</v>
      </c>
      <c r="L74" s="1">
        <f>'ЗО-ВБ'!K76</f>
        <v>0</v>
      </c>
      <c r="M74" s="1">
        <f>'ЗО-ВБ'!L76</f>
        <v>0</v>
      </c>
      <c r="N74" s="1">
        <f>'ЗО-ВБ'!M76</f>
        <v>0</v>
      </c>
      <c r="O74" s="1">
        <f>'ЗО-ВБ'!N76</f>
        <v>0</v>
      </c>
      <c r="P74" s="1">
        <f>'ЗО-ВБ'!O76</f>
        <v>0</v>
      </c>
      <c r="Q74" s="1">
        <f>'ЗО-ВБ'!P76</f>
        <v>0</v>
      </c>
      <c r="R74" s="1">
        <f>'ЗО-ВБ'!Q76</f>
        <v>0</v>
      </c>
      <c r="S74" s="1">
        <f>'ЗО-ВБ'!R76</f>
        <v>0</v>
      </c>
      <c r="T74" s="1">
        <f>'ЗО-ВБ'!S76</f>
        <v>0</v>
      </c>
      <c r="U74" s="1">
        <f>'ЗО-ВБ'!T76</f>
        <v>0</v>
      </c>
      <c r="V74" s="1">
        <f>'ЗО-ВБ'!U76</f>
        <v>0</v>
      </c>
      <c r="W74" s="1">
        <f>'ЗО-ВБ'!V76</f>
        <v>0</v>
      </c>
    </row>
    <row r="75" spans="1:23" x14ac:dyDescent="0.25">
      <c r="A75" s="24" t="s">
        <v>249</v>
      </c>
      <c r="B75" s="1">
        <f>'ЗО-ВБ'!A77</f>
        <v>0</v>
      </c>
      <c r="C75" s="1">
        <f>'ЗО-ВБ'!B77</f>
        <v>0</v>
      </c>
      <c r="D75" s="1">
        <f>'ЗО-ВБ'!C77</f>
        <v>0</v>
      </c>
      <c r="E75" s="1">
        <f>'ЗО-ВБ'!D77</f>
        <v>0</v>
      </c>
      <c r="F75" s="1">
        <f>'ЗО-ВБ'!E77</f>
        <v>0</v>
      </c>
      <c r="G75" s="1">
        <f>'ЗО-ВБ'!F77</f>
        <v>0</v>
      </c>
      <c r="H75" s="1">
        <f>'ЗО-ВБ'!G77</f>
        <v>0</v>
      </c>
      <c r="I75" s="1">
        <f>'ЗО-ВБ'!H77</f>
        <v>0</v>
      </c>
      <c r="J75" s="1">
        <f>'ЗО-ВБ'!I77</f>
        <v>0</v>
      </c>
      <c r="K75" s="1">
        <f>'ЗО-ВБ'!J77</f>
        <v>0</v>
      </c>
      <c r="L75" s="1">
        <f>'ЗО-ВБ'!K77</f>
        <v>0</v>
      </c>
      <c r="M75" s="1">
        <f>'ЗО-ВБ'!L77</f>
        <v>0</v>
      </c>
      <c r="N75" s="1">
        <f>'ЗО-ВБ'!M77</f>
        <v>0</v>
      </c>
      <c r="O75" s="1">
        <f>'ЗО-ВБ'!N77</f>
        <v>0</v>
      </c>
      <c r="P75" s="1">
        <f>'ЗО-ВБ'!O77</f>
        <v>0</v>
      </c>
      <c r="Q75" s="1">
        <f>'ЗО-ВБ'!P77</f>
        <v>0</v>
      </c>
      <c r="R75" s="1">
        <f>'ЗО-ВБ'!Q77</f>
        <v>0</v>
      </c>
      <c r="S75" s="1">
        <f>'ЗО-ВБ'!R77</f>
        <v>0</v>
      </c>
      <c r="T75" s="1">
        <f>'ЗО-ВБ'!S77</f>
        <v>0</v>
      </c>
      <c r="U75" s="1">
        <f>'ЗО-ВБ'!T77</f>
        <v>0</v>
      </c>
      <c r="V75" s="1">
        <f>'ЗО-ВБ'!U77</f>
        <v>0</v>
      </c>
      <c r="W75" s="1">
        <f>'ЗО-ВБ'!V77</f>
        <v>0</v>
      </c>
    </row>
    <row r="76" spans="1:23" x14ac:dyDescent="0.25">
      <c r="A76" s="24" t="s">
        <v>249</v>
      </c>
      <c r="B76" s="1">
        <f>'ЗО-ВБ'!A78</f>
        <v>0</v>
      </c>
      <c r="C76" s="1">
        <f>'ЗО-ВБ'!B78</f>
        <v>0</v>
      </c>
      <c r="D76" s="1">
        <f>'ЗО-ВБ'!C78</f>
        <v>0</v>
      </c>
      <c r="E76" s="1">
        <f>'ЗО-ВБ'!D78</f>
        <v>0</v>
      </c>
      <c r="F76" s="1">
        <f>'ЗО-ВБ'!E78</f>
        <v>0</v>
      </c>
      <c r="G76" s="1">
        <f>'ЗО-ВБ'!F78</f>
        <v>0</v>
      </c>
      <c r="H76" s="1">
        <f>'ЗО-ВБ'!G78</f>
        <v>0</v>
      </c>
      <c r="I76" s="1">
        <f>'ЗО-ВБ'!H78</f>
        <v>0</v>
      </c>
      <c r="J76" s="1">
        <f>'ЗО-ВБ'!I78</f>
        <v>0</v>
      </c>
      <c r="K76" s="1">
        <f>'ЗО-ВБ'!J78</f>
        <v>0</v>
      </c>
      <c r="L76" s="1">
        <f>'ЗО-ВБ'!K78</f>
        <v>0</v>
      </c>
      <c r="M76" s="1">
        <f>'ЗО-ВБ'!L78</f>
        <v>0</v>
      </c>
      <c r="N76" s="1">
        <f>'ЗО-ВБ'!M78</f>
        <v>0</v>
      </c>
      <c r="O76" s="1">
        <f>'ЗО-ВБ'!N78</f>
        <v>0</v>
      </c>
      <c r="P76" s="1">
        <f>'ЗО-ВБ'!O78</f>
        <v>0</v>
      </c>
      <c r="Q76" s="1">
        <f>'ЗО-ВБ'!P78</f>
        <v>0</v>
      </c>
      <c r="R76" s="1">
        <f>'ЗО-ВБ'!Q78</f>
        <v>0</v>
      </c>
      <c r="S76" s="1">
        <f>'ЗО-ВБ'!R78</f>
        <v>0</v>
      </c>
      <c r="T76" s="1">
        <f>'ЗО-ВБ'!S78</f>
        <v>0</v>
      </c>
      <c r="U76" s="1">
        <f>'ЗО-ВБ'!T78</f>
        <v>0</v>
      </c>
      <c r="V76" s="1">
        <f>'ЗО-ВБ'!U78</f>
        <v>0</v>
      </c>
      <c r="W76" s="1">
        <f>'ЗО-ВБ'!V78</f>
        <v>0</v>
      </c>
    </row>
    <row r="77" spans="1:23" x14ac:dyDescent="0.25">
      <c r="A77" s="24" t="s">
        <v>249</v>
      </c>
      <c r="B77" s="1">
        <f>'ЗО-ВБ'!A79</f>
        <v>0</v>
      </c>
      <c r="C77" s="1">
        <f>'ЗО-ВБ'!B79</f>
        <v>0</v>
      </c>
      <c r="D77" s="1">
        <f>'ЗО-ВБ'!C79</f>
        <v>0</v>
      </c>
      <c r="E77" s="1">
        <f>'ЗО-ВБ'!D79</f>
        <v>0</v>
      </c>
      <c r="F77" s="1">
        <f>'ЗО-ВБ'!E79</f>
        <v>0</v>
      </c>
      <c r="G77" s="1">
        <f>'ЗО-ВБ'!F79</f>
        <v>0</v>
      </c>
      <c r="H77" s="1">
        <f>'ЗО-ВБ'!G79</f>
        <v>0</v>
      </c>
      <c r="I77" s="1">
        <f>'ЗО-ВБ'!H79</f>
        <v>0</v>
      </c>
      <c r="J77" s="1">
        <f>'ЗО-ВБ'!I79</f>
        <v>0</v>
      </c>
      <c r="K77" s="1">
        <f>'ЗО-ВБ'!J79</f>
        <v>0</v>
      </c>
      <c r="L77" s="1">
        <f>'ЗО-ВБ'!K79</f>
        <v>0</v>
      </c>
      <c r="M77" s="1">
        <f>'ЗО-ВБ'!L79</f>
        <v>0</v>
      </c>
      <c r="N77" s="1">
        <f>'ЗО-ВБ'!M79</f>
        <v>0</v>
      </c>
      <c r="O77" s="1">
        <f>'ЗО-ВБ'!N79</f>
        <v>0</v>
      </c>
      <c r="P77" s="1">
        <f>'ЗО-ВБ'!O79</f>
        <v>0</v>
      </c>
      <c r="Q77" s="1">
        <f>'ЗО-ВБ'!P79</f>
        <v>0</v>
      </c>
      <c r="R77" s="1">
        <f>'ЗО-ВБ'!Q79</f>
        <v>0</v>
      </c>
      <c r="S77" s="1">
        <f>'ЗО-ВБ'!R79</f>
        <v>0</v>
      </c>
      <c r="T77" s="1">
        <f>'ЗО-ВБ'!S79</f>
        <v>0</v>
      </c>
      <c r="U77" s="1">
        <f>'ЗО-ВБ'!T79</f>
        <v>0</v>
      </c>
      <c r="V77" s="1">
        <f>'ЗО-ВБ'!U79</f>
        <v>0</v>
      </c>
      <c r="W77" s="1">
        <f>'ЗО-ВБ'!V79</f>
        <v>0</v>
      </c>
    </row>
    <row r="78" spans="1:23" x14ac:dyDescent="0.25">
      <c r="A78" s="24" t="s">
        <v>249</v>
      </c>
      <c r="B78" s="1">
        <f>'ЗО-ВБ'!A80</f>
        <v>0</v>
      </c>
      <c r="C78" s="1">
        <f>'ЗО-ВБ'!B80</f>
        <v>0</v>
      </c>
      <c r="D78" s="1">
        <f>'ЗО-ВБ'!C80</f>
        <v>0</v>
      </c>
      <c r="E78" s="1">
        <f>'ЗО-ВБ'!D80</f>
        <v>0</v>
      </c>
      <c r="F78" s="1">
        <f>'ЗО-ВБ'!E80</f>
        <v>0</v>
      </c>
      <c r="G78" s="1">
        <f>'ЗО-ВБ'!F80</f>
        <v>0</v>
      </c>
      <c r="H78" s="1">
        <f>'ЗО-ВБ'!G80</f>
        <v>0</v>
      </c>
      <c r="I78" s="1">
        <f>'ЗО-ВБ'!H80</f>
        <v>0</v>
      </c>
      <c r="J78" s="1">
        <f>'ЗО-ВБ'!I80</f>
        <v>0</v>
      </c>
      <c r="K78" s="1">
        <f>'ЗО-ВБ'!J80</f>
        <v>0</v>
      </c>
      <c r="L78" s="1">
        <f>'ЗО-ВБ'!K80</f>
        <v>0</v>
      </c>
      <c r="M78" s="1">
        <f>'ЗО-ВБ'!L80</f>
        <v>0</v>
      </c>
      <c r="N78" s="1">
        <f>'ЗО-ВБ'!M80</f>
        <v>0</v>
      </c>
      <c r="O78" s="1">
        <f>'ЗО-ВБ'!N80</f>
        <v>0</v>
      </c>
      <c r="P78" s="1">
        <f>'ЗО-ВБ'!O80</f>
        <v>0</v>
      </c>
      <c r="Q78" s="1">
        <f>'ЗО-ВБ'!P80</f>
        <v>0</v>
      </c>
      <c r="R78" s="1">
        <f>'ЗО-ВБ'!Q80</f>
        <v>0</v>
      </c>
      <c r="S78" s="1">
        <f>'ЗО-ВБ'!R80</f>
        <v>0</v>
      </c>
      <c r="T78" s="1">
        <f>'ЗО-ВБ'!S80</f>
        <v>0</v>
      </c>
      <c r="U78" s="1">
        <f>'ЗО-ВБ'!T80</f>
        <v>0</v>
      </c>
      <c r="V78" s="1">
        <f>'ЗО-ВБ'!U80</f>
        <v>0</v>
      </c>
      <c r="W78" s="1">
        <f>'ЗО-ВБ'!V80</f>
        <v>0</v>
      </c>
    </row>
    <row r="79" spans="1:23" x14ac:dyDescent="0.25">
      <c r="A79" s="24" t="s">
        <v>249</v>
      </c>
      <c r="B79" s="1">
        <f>'ЗО-ВБ'!A81</f>
        <v>0</v>
      </c>
      <c r="C79" s="1">
        <f>'ЗО-ВБ'!B81</f>
        <v>0</v>
      </c>
      <c r="D79" s="1">
        <f>'ЗО-ВБ'!C81</f>
        <v>0</v>
      </c>
      <c r="E79" s="1">
        <f>'ЗО-ВБ'!D81</f>
        <v>0</v>
      </c>
      <c r="F79" s="1">
        <f>'ЗО-ВБ'!E81</f>
        <v>0</v>
      </c>
      <c r="G79" s="1">
        <f>'ЗО-ВБ'!F81</f>
        <v>0</v>
      </c>
      <c r="H79" s="1">
        <f>'ЗО-ВБ'!G81</f>
        <v>0</v>
      </c>
      <c r="I79" s="1">
        <f>'ЗО-ВБ'!H81</f>
        <v>0</v>
      </c>
      <c r="J79" s="1">
        <f>'ЗО-ВБ'!I81</f>
        <v>0</v>
      </c>
      <c r="K79" s="1">
        <f>'ЗО-ВБ'!J81</f>
        <v>0</v>
      </c>
      <c r="L79" s="1">
        <f>'ЗО-ВБ'!K81</f>
        <v>0</v>
      </c>
      <c r="M79" s="1">
        <f>'ЗО-ВБ'!L81</f>
        <v>0</v>
      </c>
      <c r="N79" s="1">
        <f>'ЗО-ВБ'!M81</f>
        <v>0</v>
      </c>
      <c r="O79" s="1">
        <f>'ЗО-ВБ'!N81</f>
        <v>0</v>
      </c>
      <c r="P79" s="1">
        <f>'ЗО-ВБ'!O81</f>
        <v>0</v>
      </c>
      <c r="Q79" s="1">
        <f>'ЗО-ВБ'!P81</f>
        <v>0</v>
      </c>
      <c r="R79" s="1">
        <f>'ЗО-ВБ'!Q81</f>
        <v>0</v>
      </c>
      <c r="S79" s="1">
        <f>'ЗО-ВБ'!R81</f>
        <v>0</v>
      </c>
      <c r="T79" s="1">
        <f>'ЗО-ВБ'!S81</f>
        <v>0</v>
      </c>
      <c r="U79" s="1">
        <f>'ЗО-ВБ'!T81</f>
        <v>0</v>
      </c>
      <c r="V79" s="1">
        <f>'ЗО-ВБ'!U81</f>
        <v>0</v>
      </c>
      <c r="W79" s="1">
        <f>'ЗО-ВБ'!V81</f>
        <v>0</v>
      </c>
    </row>
    <row r="80" spans="1:23" x14ac:dyDescent="0.25">
      <c r="A80" s="24" t="s">
        <v>249</v>
      </c>
      <c r="B80" s="1">
        <f>'ЗО-ВБ'!A82</f>
        <v>0</v>
      </c>
      <c r="C80" s="1">
        <f>'ЗО-ВБ'!B82</f>
        <v>0</v>
      </c>
      <c r="D80" s="1">
        <f>'ЗО-ВБ'!C82</f>
        <v>0</v>
      </c>
      <c r="E80" s="1">
        <f>'ЗО-ВБ'!D82</f>
        <v>0</v>
      </c>
      <c r="F80" s="1">
        <f>'ЗО-ВБ'!E82</f>
        <v>0</v>
      </c>
      <c r="G80" s="1">
        <f>'ЗО-ВБ'!F82</f>
        <v>0</v>
      </c>
      <c r="H80" s="1">
        <f>'ЗО-ВБ'!G82</f>
        <v>0</v>
      </c>
      <c r="I80" s="1">
        <f>'ЗО-ВБ'!H82</f>
        <v>0</v>
      </c>
      <c r="J80" s="1">
        <f>'ЗО-ВБ'!I82</f>
        <v>0</v>
      </c>
      <c r="K80" s="1">
        <f>'ЗО-ВБ'!J82</f>
        <v>0</v>
      </c>
      <c r="L80" s="1">
        <f>'ЗО-ВБ'!K82</f>
        <v>0</v>
      </c>
      <c r="M80" s="1">
        <f>'ЗО-ВБ'!L82</f>
        <v>0</v>
      </c>
      <c r="N80" s="1">
        <f>'ЗО-ВБ'!M82</f>
        <v>0</v>
      </c>
      <c r="O80" s="1">
        <f>'ЗО-ВБ'!N82</f>
        <v>0</v>
      </c>
      <c r="P80" s="1">
        <f>'ЗО-ВБ'!O82</f>
        <v>0</v>
      </c>
      <c r="Q80" s="1">
        <f>'ЗО-ВБ'!P82</f>
        <v>0</v>
      </c>
      <c r="R80" s="1">
        <f>'ЗО-ВБ'!Q82</f>
        <v>0</v>
      </c>
      <c r="S80" s="1">
        <f>'ЗО-ВБ'!R82</f>
        <v>0</v>
      </c>
      <c r="T80" s="1">
        <f>'ЗО-ВБ'!S82</f>
        <v>0</v>
      </c>
      <c r="U80" s="1">
        <f>'ЗО-ВБ'!T82</f>
        <v>0</v>
      </c>
      <c r="V80" s="1">
        <f>'ЗО-ВБ'!U82</f>
        <v>0</v>
      </c>
      <c r="W80" s="1">
        <f>'ЗО-ВБ'!V82</f>
        <v>0</v>
      </c>
    </row>
    <row r="81" spans="1:23" x14ac:dyDescent="0.25">
      <c r="A81" s="24" t="s">
        <v>249</v>
      </c>
      <c r="B81" s="1">
        <f>'ЗО-ВБ'!A83</f>
        <v>0</v>
      </c>
      <c r="C81" s="1">
        <f>'ЗО-ВБ'!B83</f>
        <v>0</v>
      </c>
      <c r="D81" s="1">
        <f>'ЗО-ВБ'!C83</f>
        <v>0</v>
      </c>
      <c r="E81" s="1">
        <f>'ЗО-ВБ'!D83</f>
        <v>0</v>
      </c>
      <c r="F81" s="1">
        <f>'ЗО-ВБ'!E83</f>
        <v>0</v>
      </c>
      <c r="G81" s="1">
        <f>'ЗО-ВБ'!F83</f>
        <v>0</v>
      </c>
      <c r="H81" s="1">
        <f>'ЗО-ВБ'!G83</f>
        <v>0</v>
      </c>
      <c r="I81" s="1">
        <f>'ЗО-ВБ'!H83</f>
        <v>0</v>
      </c>
      <c r="J81" s="1">
        <f>'ЗО-ВБ'!I83</f>
        <v>0</v>
      </c>
      <c r="K81" s="1">
        <f>'ЗО-ВБ'!J83</f>
        <v>0</v>
      </c>
      <c r="L81" s="1">
        <f>'ЗО-ВБ'!K83</f>
        <v>0</v>
      </c>
      <c r="M81" s="1">
        <f>'ЗО-ВБ'!L83</f>
        <v>0</v>
      </c>
      <c r="N81" s="1">
        <f>'ЗО-ВБ'!M83</f>
        <v>0</v>
      </c>
      <c r="O81" s="1">
        <f>'ЗО-ВБ'!N83</f>
        <v>0</v>
      </c>
      <c r="P81" s="1">
        <f>'ЗО-ВБ'!O83</f>
        <v>0</v>
      </c>
      <c r="Q81" s="1">
        <f>'ЗО-ВБ'!P83</f>
        <v>0</v>
      </c>
      <c r="R81" s="1">
        <f>'ЗО-ВБ'!Q83</f>
        <v>0</v>
      </c>
      <c r="S81" s="1">
        <f>'ЗО-ВБ'!R83</f>
        <v>0</v>
      </c>
      <c r="T81" s="1">
        <f>'ЗО-ВБ'!S83</f>
        <v>0</v>
      </c>
      <c r="U81" s="1">
        <f>'ЗО-ВБ'!T83</f>
        <v>0</v>
      </c>
      <c r="V81" s="1">
        <f>'ЗО-ВБ'!U83</f>
        <v>0</v>
      </c>
      <c r="W81" s="1">
        <f>'ЗО-ВБ'!V83</f>
        <v>0</v>
      </c>
    </row>
    <row r="82" spans="1:23" x14ac:dyDescent="0.25">
      <c r="A82" s="24" t="s">
        <v>249</v>
      </c>
      <c r="B82" s="1">
        <f>'ЗО-ВБ'!A84</f>
        <v>0</v>
      </c>
      <c r="C82" s="1">
        <f>'ЗО-ВБ'!B84</f>
        <v>0</v>
      </c>
      <c r="D82" s="1">
        <f>'ЗО-ВБ'!C84</f>
        <v>0</v>
      </c>
      <c r="E82" s="1">
        <f>'ЗО-ВБ'!D84</f>
        <v>0</v>
      </c>
      <c r="F82" s="1">
        <f>'ЗО-ВБ'!E84</f>
        <v>0</v>
      </c>
      <c r="G82" s="1">
        <f>'ЗО-ВБ'!F84</f>
        <v>0</v>
      </c>
      <c r="H82" s="1">
        <f>'ЗО-ВБ'!G84</f>
        <v>0</v>
      </c>
      <c r="I82" s="1">
        <f>'ЗО-ВБ'!H84</f>
        <v>0</v>
      </c>
      <c r="J82" s="1">
        <f>'ЗО-ВБ'!I84</f>
        <v>0</v>
      </c>
      <c r="K82" s="1">
        <f>'ЗО-ВБ'!J84</f>
        <v>0</v>
      </c>
      <c r="L82" s="1">
        <f>'ЗО-ВБ'!K84</f>
        <v>0</v>
      </c>
      <c r="M82" s="1">
        <f>'ЗО-ВБ'!L84</f>
        <v>0</v>
      </c>
      <c r="N82" s="1">
        <f>'ЗО-ВБ'!M84</f>
        <v>0</v>
      </c>
      <c r="O82" s="1">
        <f>'ЗО-ВБ'!N84</f>
        <v>0</v>
      </c>
      <c r="P82" s="1">
        <f>'ЗО-ВБ'!O84</f>
        <v>0</v>
      </c>
      <c r="Q82" s="1">
        <f>'ЗО-ВБ'!P84</f>
        <v>0</v>
      </c>
      <c r="R82" s="1">
        <f>'ЗО-ВБ'!Q84</f>
        <v>0</v>
      </c>
      <c r="S82" s="1">
        <f>'ЗО-ВБ'!R84</f>
        <v>0</v>
      </c>
      <c r="T82" s="1">
        <f>'ЗО-ВБ'!S84</f>
        <v>0</v>
      </c>
      <c r="U82" s="1">
        <f>'ЗО-ВБ'!T84</f>
        <v>0</v>
      </c>
      <c r="V82" s="1">
        <f>'ЗО-ВБ'!U84</f>
        <v>0</v>
      </c>
      <c r="W82" s="1">
        <f>'ЗО-ВБ'!V84</f>
        <v>0</v>
      </c>
    </row>
    <row r="83" spans="1:23" x14ac:dyDescent="0.25">
      <c r="A83" s="24" t="s">
        <v>249</v>
      </c>
      <c r="B83" s="1">
        <f>'ЗО-ВБ'!A85</f>
        <v>0</v>
      </c>
      <c r="C83" s="1">
        <f>'ЗО-ВБ'!B85</f>
        <v>0</v>
      </c>
      <c r="D83" s="1">
        <f>'ЗО-ВБ'!C85</f>
        <v>0</v>
      </c>
      <c r="E83" s="1">
        <f>'ЗО-ВБ'!D85</f>
        <v>0</v>
      </c>
      <c r="F83" s="1">
        <f>'ЗО-ВБ'!E85</f>
        <v>0</v>
      </c>
      <c r="G83" s="1">
        <f>'ЗО-ВБ'!F85</f>
        <v>0</v>
      </c>
      <c r="H83" s="1">
        <f>'ЗО-ВБ'!G85</f>
        <v>0</v>
      </c>
      <c r="I83" s="1">
        <f>'ЗО-ВБ'!H85</f>
        <v>0</v>
      </c>
      <c r="J83" s="1">
        <f>'ЗО-ВБ'!I85</f>
        <v>0</v>
      </c>
      <c r="K83" s="1">
        <f>'ЗО-ВБ'!J85</f>
        <v>0</v>
      </c>
      <c r="L83" s="1">
        <f>'ЗО-ВБ'!K85</f>
        <v>0</v>
      </c>
      <c r="M83" s="1">
        <f>'ЗО-ВБ'!L85</f>
        <v>0</v>
      </c>
      <c r="N83" s="1">
        <f>'ЗО-ВБ'!M85</f>
        <v>0</v>
      </c>
      <c r="O83" s="1">
        <f>'ЗО-ВБ'!N85</f>
        <v>0</v>
      </c>
      <c r="P83" s="1">
        <f>'ЗО-ВБ'!O85</f>
        <v>0</v>
      </c>
      <c r="Q83" s="1">
        <f>'ЗО-ВБ'!P85</f>
        <v>0</v>
      </c>
      <c r="R83" s="1">
        <f>'ЗО-ВБ'!Q85</f>
        <v>0</v>
      </c>
      <c r="S83" s="1">
        <f>'ЗО-ВБ'!R85</f>
        <v>0</v>
      </c>
      <c r="T83" s="1">
        <f>'ЗО-ВБ'!S85</f>
        <v>0</v>
      </c>
      <c r="U83" s="1">
        <f>'ЗО-ВБ'!T85</f>
        <v>0</v>
      </c>
      <c r="V83" s="1">
        <f>'ЗО-ВБ'!U85</f>
        <v>0</v>
      </c>
      <c r="W83" s="1">
        <f>'ЗО-ВБ'!V85</f>
        <v>0</v>
      </c>
    </row>
    <row r="84" spans="1:23" x14ac:dyDescent="0.25">
      <c r="A84" s="24" t="s">
        <v>249</v>
      </c>
      <c r="B84" s="1">
        <f>'ЗО-ВБ'!A86</f>
        <v>0</v>
      </c>
      <c r="C84" s="1">
        <f>'ЗО-ВБ'!B86</f>
        <v>0</v>
      </c>
      <c r="D84" s="1">
        <f>'ЗО-ВБ'!C86</f>
        <v>0</v>
      </c>
      <c r="E84" s="1">
        <f>'ЗО-ВБ'!D86</f>
        <v>0</v>
      </c>
      <c r="F84" s="1">
        <f>'ЗО-ВБ'!E86</f>
        <v>0</v>
      </c>
      <c r="G84" s="1">
        <f>'ЗО-ВБ'!F86</f>
        <v>0</v>
      </c>
      <c r="H84" s="1">
        <f>'ЗО-ВБ'!G86</f>
        <v>0</v>
      </c>
      <c r="I84" s="1">
        <f>'ЗО-ВБ'!H86</f>
        <v>0</v>
      </c>
      <c r="J84" s="1">
        <f>'ЗО-ВБ'!I86</f>
        <v>0</v>
      </c>
      <c r="K84" s="1">
        <f>'ЗО-ВБ'!J86</f>
        <v>0</v>
      </c>
      <c r="L84" s="1">
        <f>'ЗО-ВБ'!K86</f>
        <v>0</v>
      </c>
      <c r="M84" s="1">
        <f>'ЗО-ВБ'!L86</f>
        <v>0</v>
      </c>
      <c r="N84" s="1">
        <f>'ЗО-ВБ'!M86</f>
        <v>0</v>
      </c>
      <c r="O84" s="1">
        <f>'ЗО-ВБ'!N86</f>
        <v>0</v>
      </c>
      <c r="P84" s="1">
        <f>'ЗО-ВБ'!O86</f>
        <v>0</v>
      </c>
      <c r="Q84" s="1">
        <f>'ЗО-ВБ'!P86</f>
        <v>0</v>
      </c>
      <c r="R84" s="1">
        <f>'ЗО-ВБ'!Q86</f>
        <v>0</v>
      </c>
      <c r="S84" s="1">
        <f>'ЗО-ВБ'!R86</f>
        <v>0</v>
      </c>
      <c r="T84" s="1">
        <f>'ЗО-ВБ'!S86</f>
        <v>0</v>
      </c>
      <c r="U84" s="1">
        <f>'ЗО-ВБ'!T86</f>
        <v>0</v>
      </c>
      <c r="V84" s="1">
        <f>'ЗО-ВБ'!U86</f>
        <v>0</v>
      </c>
      <c r="W84" s="1">
        <f>'ЗО-ВБ'!V86</f>
        <v>0</v>
      </c>
    </row>
    <row r="85" spans="1:23" x14ac:dyDescent="0.25">
      <c r="A85" s="24" t="s">
        <v>249</v>
      </c>
      <c r="B85" s="1">
        <f>'ЗО-ВБ'!A87</f>
        <v>0</v>
      </c>
      <c r="C85" s="1">
        <f>'ЗО-ВБ'!B87</f>
        <v>0</v>
      </c>
      <c r="D85" s="1">
        <f>'ЗО-ВБ'!C87</f>
        <v>0</v>
      </c>
      <c r="E85" s="1">
        <f>'ЗО-ВБ'!D87</f>
        <v>0</v>
      </c>
      <c r="F85" s="1">
        <f>'ЗО-ВБ'!E87</f>
        <v>0</v>
      </c>
      <c r="G85" s="1">
        <f>'ЗО-ВБ'!F87</f>
        <v>0</v>
      </c>
      <c r="H85" s="1">
        <f>'ЗО-ВБ'!G87</f>
        <v>0</v>
      </c>
      <c r="I85" s="1">
        <f>'ЗО-ВБ'!H87</f>
        <v>0</v>
      </c>
      <c r="J85" s="1">
        <f>'ЗО-ВБ'!I87</f>
        <v>0</v>
      </c>
      <c r="K85" s="1">
        <f>'ЗО-ВБ'!J87</f>
        <v>0</v>
      </c>
      <c r="L85" s="1">
        <f>'ЗО-ВБ'!K87</f>
        <v>0</v>
      </c>
      <c r="M85" s="1">
        <f>'ЗО-ВБ'!L87</f>
        <v>0</v>
      </c>
      <c r="N85" s="1">
        <f>'ЗО-ВБ'!M87</f>
        <v>0</v>
      </c>
      <c r="O85" s="1">
        <f>'ЗО-ВБ'!N87</f>
        <v>0</v>
      </c>
      <c r="P85" s="1">
        <f>'ЗО-ВБ'!O87</f>
        <v>0</v>
      </c>
      <c r="Q85" s="1">
        <f>'ЗО-ВБ'!P87</f>
        <v>0</v>
      </c>
      <c r="R85" s="1">
        <f>'ЗО-ВБ'!Q87</f>
        <v>0</v>
      </c>
      <c r="S85" s="1">
        <f>'ЗО-ВБ'!R87</f>
        <v>0</v>
      </c>
      <c r="T85" s="1">
        <f>'ЗО-ВБ'!S87</f>
        <v>0</v>
      </c>
      <c r="U85" s="1">
        <f>'ЗО-ВБ'!T87</f>
        <v>0</v>
      </c>
      <c r="V85" s="1">
        <f>'ЗО-ВБ'!U87</f>
        <v>0</v>
      </c>
      <c r="W85" s="1">
        <f>'ЗО-ВБ'!V87</f>
        <v>0</v>
      </c>
    </row>
    <row r="86" spans="1:23" x14ac:dyDescent="0.25">
      <c r="A86" s="24" t="s">
        <v>249</v>
      </c>
      <c r="B86" s="1">
        <f>'ЗО-ВБ'!A88</f>
        <v>0</v>
      </c>
      <c r="C86" s="1">
        <f>'ЗО-ВБ'!B88</f>
        <v>0</v>
      </c>
      <c r="D86" s="1">
        <f>'ЗО-ВБ'!C88</f>
        <v>0</v>
      </c>
      <c r="E86" s="1">
        <f>'ЗО-ВБ'!D88</f>
        <v>0</v>
      </c>
      <c r="F86" s="1">
        <f>'ЗО-ВБ'!E88</f>
        <v>0</v>
      </c>
      <c r="G86" s="1">
        <f>'ЗО-ВБ'!F88</f>
        <v>0</v>
      </c>
      <c r="H86" s="1">
        <f>'ЗО-ВБ'!G88</f>
        <v>0</v>
      </c>
      <c r="I86" s="1">
        <f>'ЗО-ВБ'!H88</f>
        <v>0</v>
      </c>
      <c r="J86" s="1">
        <f>'ЗО-ВБ'!I88</f>
        <v>0</v>
      </c>
      <c r="K86" s="1">
        <f>'ЗО-ВБ'!J88</f>
        <v>0</v>
      </c>
      <c r="L86" s="1">
        <f>'ЗО-ВБ'!K88</f>
        <v>0</v>
      </c>
      <c r="M86" s="1">
        <f>'ЗО-ВБ'!L88</f>
        <v>0</v>
      </c>
      <c r="N86" s="1">
        <f>'ЗО-ВБ'!M88</f>
        <v>0</v>
      </c>
      <c r="O86" s="1">
        <f>'ЗО-ВБ'!N88</f>
        <v>0</v>
      </c>
      <c r="P86" s="1">
        <f>'ЗО-ВБ'!O88</f>
        <v>0</v>
      </c>
      <c r="Q86" s="1">
        <f>'ЗО-ВБ'!P88</f>
        <v>0</v>
      </c>
      <c r="R86" s="1">
        <f>'ЗО-ВБ'!Q88</f>
        <v>0</v>
      </c>
      <c r="S86" s="1">
        <f>'ЗО-ВБ'!R88</f>
        <v>0</v>
      </c>
      <c r="T86" s="1">
        <f>'ЗО-ВБ'!S88</f>
        <v>0</v>
      </c>
      <c r="U86" s="1">
        <f>'ЗО-ВБ'!T88</f>
        <v>0</v>
      </c>
      <c r="V86" s="1">
        <f>'ЗО-ВБ'!U88</f>
        <v>0</v>
      </c>
      <c r="W86" s="1">
        <f>'ЗО-ВБ'!V88</f>
        <v>0</v>
      </c>
    </row>
    <row r="87" spans="1:23" x14ac:dyDescent="0.25">
      <c r="A87" s="24" t="s">
        <v>249</v>
      </c>
      <c r="B87" s="1">
        <f>'ЗО-ВБ'!A89</f>
        <v>0</v>
      </c>
      <c r="C87" s="1">
        <f>'ЗО-ВБ'!B89</f>
        <v>0</v>
      </c>
      <c r="D87" s="1">
        <f>'ЗО-ВБ'!C89</f>
        <v>0</v>
      </c>
      <c r="E87" s="1">
        <f>'ЗО-ВБ'!D89</f>
        <v>0</v>
      </c>
      <c r="F87" s="1">
        <f>'ЗО-ВБ'!E89</f>
        <v>0</v>
      </c>
      <c r="G87" s="1">
        <f>'ЗО-ВБ'!F89</f>
        <v>0</v>
      </c>
      <c r="H87" s="1">
        <f>'ЗО-ВБ'!G89</f>
        <v>0</v>
      </c>
      <c r="I87" s="1">
        <f>'ЗО-ВБ'!H89</f>
        <v>0</v>
      </c>
      <c r="J87" s="1">
        <f>'ЗО-ВБ'!I89</f>
        <v>0</v>
      </c>
      <c r="K87" s="1">
        <f>'ЗО-ВБ'!J89</f>
        <v>0</v>
      </c>
      <c r="L87" s="1">
        <f>'ЗО-ВБ'!K89</f>
        <v>0</v>
      </c>
      <c r="M87" s="1">
        <f>'ЗО-ВБ'!L89</f>
        <v>0</v>
      </c>
      <c r="N87" s="1">
        <f>'ЗО-ВБ'!M89</f>
        <v>0</v>
      </c>
      <c r="O87" s="1">
        <f>'ЗО-ВБ'!N89</f>
        <v>0</v>
      </c>
      <c r="P87" s="1">
        <f>'ЗО-ВБ'!O89</f>
        <v>0</v>
      </c>
      <c r="Q87" s="1">
        <f>'ЗО-ВБ'!P89</f>
        <v>0</v>
      </c>
      <c r="R87" s="1">
        <f>'ЗО-ВБ'!Q89</f>
        <v>0</v>
      </c>
      <c r="S87" s="1">
        <f>'ЗО-ВБ'!R89</f>
        <v>0</v>
      </c>
      <c r="T87" s="1">
        <f>'ЗО-ВБ'!S89</f>
        <v>0</v>
      </c>
      <c r="U87" s="1">
        <f>'ЗО-ВБ'!T89</f>
        <v>0</v>
      </c>
      <c r="V87" s="1">
        <f>'ЗО-ВБ'!U89</f>
        <v>0</v>
      </c>
      <c r="W87" s="1">
        <f>'ЗО-ВБ'!V89</f>
        <v>0</v>
      </c>
    </row>
    <row r="88" spans="1:23" x14ac:dyDescent="0.25">
      <c r="A88" s="24" t="s">
        <v>249</v>
      </c>
      <c r="B88" s="1">
        <f>'ЗО-ВБ'!A90</f>
        <v>0</v>
      </c>
      <c r="C88" s="1">
        <f>'ЗО-ВБ'!B90</f>
        <v>0</v>
      </c>
      <c r="D88" s="1">
        <f>'ЗО-ВБ'!C90</f>
        <v>0</v>
      </c>
      <c r="E88" s="1">
        <f>'ЗО-ВБ'!D90</f>
        <v>0</v>
      </c>
      <c r="F88" s="1">
        <f>'ЗО-ВБ'!E90</f>
        <v>0</v>
      </c>
      <c r="G88" s="1">
        <f>'ЗО-ВБ'!F90</f>
        <v>0</v>
      </c>
      <c r="H88" s="1">
        <f>'ЗО-ВБ'!G90</f>
        <v>0</v>
      </c>
      <c r="I88" s="1">
        <f>'ЗО-ВБ'!H90</f>
        <v>0</v>
      </c>
      <c r="J88" s="1">
        <f>'ЗО-ВБ'!I90</f>
        <v>0</v>
      </c>
      <c r="K88" s="1">
        <f>'ЗО-ВБ'!J90</f>
        <v>0</v>
      </c>
      <c r="L88" s="1">
        <f>'ЗО-ВБ'!K90</f>
        <v>0</v>
      </c>
      <c r="M88" s="1">
        <f>'ЗО-ВБ'!L90</f>
        <v>0</v>
      </c>
      <c r="N88" s="1">
        <f>'ЗО-ВБ'!M90</f>
        <v>0</v>
      </c>
      <c r="O88" s="1">
        <f>'ЗО-ВБ'!N90</f>
        <v>0</v>
      </c>
      <c r="P88" s="1">
        <f>'ЗО-ВБ'!O90</f>
        <v>0</v>
      </c>
      <c r="Q88" s="1">
        <f>'ЗО-ВБ'!P90</f>
        <v>0</v>
      </c>
      <c r="R88" s="1">
        <f>'ЗО-ВБ'!Q90</f>
        <v>0</v>
      </c>
      <c r="S88" s="1">
        <f>'ЗО-ВБ'!R90</f>
        <v>0</v>
      </c>
      <c r="T88" s="1">
        <f>'ЗО-ВБ'!S90</f>
        <v>0</v>
      </c>
      <c r="U88" s="1">
        <f>'ЗО-ВБ'!T90</f>
        <v>0</v>
      </c>
      <c r="V88" s="1">
        <f>'ЗО-ВБ'!U90</f>
        <v>0</v>
      </c>
      <c r="W88" s="1">
        <f>'ЗО-ВБ'!V90</f>
        <v>0</v>
      </c>
    </row>
    <row r="89" spans="1:23" x14ac:dyDescent="0.25">
      <c r="A89" s="24" t="s">
        <v>249</v>
      </c>
      <c r="B89" s="1">
        <f>'ЗО-ВБ'!A91</f>
        <v>0</v>
      </c>
      <c r="C89" s="1">
        <f>'ЗО-ВБ'!B91</f>
        <v>0</v>
      </c>
      <c r="D89" s="1">
        <f>'ЗО-ВБ'!C91</f>
        <v>0</v>
      </c>
      <c r="E89" s="1">
        <f>'ЗО-ВБ'!D91</f>
        <v>0</v>
      </c>
      <c r="F89" s="1">
        <f>'ЗО-ВБ'!E91</f>
        <v>0</v>
      </c>
      <c r="G89" s="1">
        <f>'ЗО-ВБ'!F91</f>
        <v>0</v>
      </c>
      <c r="H89" s="1">
        <f>'ЗО-ВБ'!G91</f>
        <v>0</v>
      </c>
      <c r="I89" s="1">
        <f>'ЗО-ВБ'!H91</f>
        <v>0</v>
      </c>
      <c r="J89" s="1">
        <f>'ЗО-ВБ'!I91</f>
        <v>0</v>
      </c>
      <c r="K89" s="1">
        <f>'ЗО-ВБ'!J91</f>
        <v>0</v>
      </c>
      <c r="L89" s="1">
        <f>'ЗО-ВБ'!K91</f>
        <v>0</v>
      </c>
      <c r="M89" s="1">
        <f>'ЗО-ВБ'!L91</f>
        <v>0</v>
      </c>
      <c r="N89" s="1">
        <f>'ЗО-ВБ'!M91</f>
        <v>0</v>
      </c>
      <c r="O89" s="1">
        <f>'ЗО-ВБ'!N91</f>
        <v>0</v>
      </c>
      <c r="P89" s="1">
        <f>'ЗО-ВБ'!O91</f>
        <v>0</v>
      </c>
      <c r="Q89" s="1">
        <f>'ЗО-ВБ'!P91</f>
        <v>0</v>
      </c>
      <c r="R89" s="1">
        <f>'ЗО-ВБ'!Q91</f>
        <v>0</v>
      </c>
      <c r="S89" s="1">
        <f>'ЗО-ВБ'!R91</f>
        <v>0</v>
      </c>
      <c r="T89" s="1">
        <f>'ЗО-ВБ'!S91</f>
        <v>0</v>
      </c>
      <c r="U89" s="1">
        <f>'ЗО-ВБ'!T91</f>
        <v>0</v>
      </c>
      <c r="V89" s="1">
        <f>'ЗО-ВБ'!U91</f>
        <v>0</v>
      </c>
      <c r="W89" s="1">
        <f>'ЗО-ВБ'!V91</f>
        <v>0</v>
      </c>
    </row>
    <row r="90" spans="1:23" x14ac:dyDescent="0.25">
      <c r="A90" s="24" t="s">
        <v>249</v>
      </c>
      <c r="B90" s="1">
        <f>'ЗО-ВБ'!A92</f>
        <v>0</v>
      </c>
      <c r="C90" s="1">
        <f>'ЗО-ВБ'!B92</f>
        <v>0</v>
      </c>
      <c r="D90" s="1">
        <f>'ЗО-ВБ'!C92</f>
        <v>0</v>
      </c>
      <c r="E90" s="1">
        <f>'ЗО-ВБ'!D92</f>
        <v>0</v>
      </c>
      <c r="F90" s="1">
        <f>'ЗО-ВБ'!E92</f>
        <v>0</v>
      </c>
      <c r="G90" s="1">
        <f>'ЗО-ВБ'!F92</f>
        <v>0</v>
      </c>
      <c r="H90" s="1">
        <f>'ЗО-ВБ'!G92</f>
        <v>0</v>
      </c>
      <c r="I90" s="1">
        <f>'ЗО-ВБ'!H92</f>
        <v>0</v>
      </c>
      <c r="J90" s="1">
        <f>'ЗО-ВБ'!I92</f>
        <v>0</v>
      </c>
      <c r="K90" s="1">
        <f>'ЗО-ВБ'!J92</f>
        <v>0</v>
      </c>
      <c r="L90" s="1">
        <f>'ЗО-ВБ'!K92</f>
        <v>0</v>
      </c>
      <c r="M90" s="1">
        <f>'ЗО-ВБ'!L92</f>
        <v>0</v>
      </c>
      <c r="N90" s="1">
        <f>'ЗО-ВБ'!M92</f>
        <v>0</v>
      </c>
      <c r="O90" s="1">
        <f>'ЗО-ВБ'!N92</f>
        <v>0</v>
      </c>
      <c r="P90" s="1">
        <f>'ЗО-ВБ'!O92</f>
        <v>0</v>
      </c>
      <c r="Q90" s="1">
        <f>'ЗО-ВБ'!P92</f>
        <v>0</v>
      </c>
      <c r="R90" s="1">
        <f>'ЗО-ВБ'!Q92</f>
        <v>0</v>
      </c>
      <c r="S90" s="1">
        <f>'ЗО-ВБ'!R92</f>
        <v>0</v>
      </c>
      <c r="T90" s="1">
        <f>'ЗО-ВБ'!S92</f>
        <v>0</v>
      </c>
      <c r="U90" s="1">
        <f>'ЗО-ВБ'!T92</f>
        <v>0</v>
      </c>
      <c r="V90" s="1">
        <f>'ЗО-ВБ'!U92</f>
        <v>0</v>
      </c>
      <c r="W90" s="1">
        <f>'ЗО-ВБ'!V92</f>
        <v>0</v>
      </c>
    </row>
    <row r="91" spans="1:23" x14ac:dyDescent="0.25">
      <c r="A91" s="24" t="s">
        <v>249</v>
      </c>
      <c r="B91" s="1">
        <f>'ЗО-ВБ'!A93</f>
        <v>0</v>
      </c>
      <c r="C91" s="1">
        <f>'ЗО-ВБ'!B93</f>
        <v>0</v>
      </c>
      <c r="D91" s="1">
        <f>'ЗО-ВБ'!C93</f>
        <v>0</v>
      </c>
      <c r="E91" s="1">
        <f>'ЗО-ВБ'!D93</f>
        <v>0</v>
      </c>
      <c r="F91" s="1">
        <f>'ЗО-ВБ'!E93</f>
        <v>0</v>
      </c>
      <c r="G91" s="1">
        <f>'ЗО-ВБ'!F93</f>
        <v>0</v>
      </c>
      <c r="H91" s="1">
        <f>'ЗО-ВБ'!G93</f>
        <v>0</v>
      </c>
      <c r="I91" s="1">
        <f>'ЗО-ВБ'!H93</f>
        <v>0</v>
      </c>
      <c r="J91" s="1">
        <f>'ЗО-ВБ'!I93</f>
        <v>0</v>
      </c>
      <c r="K91" s="1">
        <f>'ЗО-ВБ'!J93</f>
        <v>0</v>
      </c>
      <c r="L91" s="1">
        <f>'ЗО-ВБ'!K93</f>
        <v>0</v>
      </c>
      <c r="M91" s="1">
        <f>'ЗО-ВБ'!L93</f>
        <v>0</v>
      </c>
      <c r="N91" s="1">
        <f>'ЗО-ВБ'!M93</f>
        <v>0</v>
      </c>
      <c r="O91" s="1">
        <f>'ЗО-ВБ'!N93</f>
        <v>0</v>
      </c>
      <c r="P91" s="1">
        <f>'ЗО-ВБ'!O93</f>
        <v>0</v>
      </c>
      <c r="Q91" s="1">
        <f>'ЗО-ВБ'!P93</f>
        <v>0</v>
      </c>
      <c r="R91" s="1">
        <f>'ЗО-ВБ'!Q93</f>
        <v>0</v>
      </c>
      <c r="S91" s="1">
        <f>'ЗО-ВБ'!R93</f>
        <v>0</v>
      </c>
      <c r="T91" s="1">
        <f>'ЗО-ВБ'!S93</f>
        <v>0</v>
      </c>
      <c r="U91" s="1">
        <f>'ЗО-ВБ'!T93</f>
        <v>0</v>
      </c>
      <c r="V91" s="1">
        <f>'ЗО-ВБ'!U93</f>
        <v>0</v>
      </c>
      <c r="W91" s="1">
        <f>'ЗО-ВБ'!V93</f>
        <v>0</v>
      </c>
    </row>
    <row r="92" spans="1:23" x14ac:dyDescent="0.25">
      <c r="A92" s="24" t="s">
        <v>249</v>
      </c>
      <c r="B92" s="1">
        <f>'ЗО-ВБ'!A94</f>
        <v>0</v>
      </c>
      <c r="C92" s="1">
        <f>'ЗО-ВБ'!B94</f>
        <v>0</v>
      </c>
      <c r="D92" s="1">
        <f>'ЗО-ВБ'!C94</f>
        <v>0</v>
      </c>
      <c r="E92" s="1">
        <f>'ЗО-ВБ'!D94</f>
        <v>0</v>
      </c>
      <c r="F92" s="1">
        <f>'ЗО-ВБ'!E94</f>
        <v>0</v>
      </c>
      <c r="G92" s="1">
        <f>'ЗО-ВБ'!F94</f>
        <v>0</v>
      </c>
      <c r="H92" s="1">
        <f>'ЗО-ВБ'!G94</f>
        <v>0</v>
      </c>
      <c r="I92" s="1">
        <f>'ЗО-ВБ'!H94</f>
        <v>0</v>
      </c>
      <c r="J92" s="1">
        <f>'ЗО-ВБ'!I94</f>
        <v>0</v>
      </c>
      <c r="K92" s="1">
        <f>'ЗО-ВБ'!J94</f>
        <v>0</v>
      </c>
      <c r="L92" s="1">
        <f>'ЗО-ВБ'!K94</f>
        <v>0</v>
      </c>
      <c r="M92" s="1">
        <f>'ЗО-ВБ'!L94</f>
        <v>0</v>
      </c>
      <c r="N92" s="1">
        <f>'ЗО-ВБ'!M94</f>
        <v>0</v>
      </c>
      <c r="O92" s="1">
        <f>'ЗО-ВБ'!N94</f>
        <v>0</v>
      </c>
      <c r="P92" s="1">
        <f>'ЗО-ВБ'!O94</f>
        <v>0</v>
      </c>
      <c r="Q92" s="1">
        <f>'ЗО-ВБ'!P94</f>
        <v>0</v>
      </c>
      <c r="R92" s="1">
        <f>'ЗО-ВБ'!Q94</f>
        <v>0</v>
      </c>
      <c r="S92" s="1">
        <f>'ЗО-ВБ'!R94</f>
        <v>0</v>
      </c>
      <c r="T92" s="1">
        <f>'ЗО-ВБ'!S94</f>
        <v>0</v>
      </c>
      <c r="U92" s="1">
        <f>'ЗО-ВБ'!T94</f>
        <v>0</v>
      </c>
      <c r="V92" s="1">
        <f>'ЗО-ВБ'!U94</f>
        <v>0</v>
      </c>
      <c r="W92" s="1">
        <f>'ЗО-ВБ'!V94</f>
        <v>0</v>
      </c>
    </row>
    <row r="93" spans="1:23" x14ac:dyDescent="0.25">
      <c r="A93" s="24" t="s">
        <v>249</v>
      </c>
      <c r="B93" s="1">
        <f>'ЗО-ВБ'!A95</f>
        <v>0</v>
      </c>
      <c r="C93" s="1">
        <f>'ЗО-ВБ'!B95</f>
        <v>0</v>
      </c>
      <c r="D93" s="1">
        <f>'ЗО-ВБ'!C95</f>
        <v>0</v>
      </c>
      <c r="E93" s="1">
        <f>'ЗО-ВБ'!D95</f>
        <v>0</v>
      </c>
      <c r="F93" s="1">
        <f>'ЗО-ВБ'!E95</f>
        <v>0</v>
      </c>
      <c r="G93" s="1">
        <f>'ЗО-ВБ'!F95</f>
        <v>0</v>
      </c>
      <c r="H93" s="1">
        <f>'ЗО-ВБ'!G95</f>
        <v>0</v>
      </c>
      <c r="I93" s="1">
        <f>'ЗО-ВБ'!H95</f>
        <v>0</v>
      </c>
      <c r="J93" s="1">
        <f>'ЗО-ВБ'!I95</f>
        <v>0</v>
      </c>
      <c r="K93" s="1">
        <f>'ЗО-ВБ'!J95</f>
        <v>0</v>
      </c>
      <c r="L93" s="1">
        <f>'ЗО-ВБ'!K95</f>
        <v>0</v>
      </c>
      <c r="M93" s="1">
        <f>'ЗО-ВБ'!L95</f>
        <v>0</v>
      </c>
      <c r="N93" s="1">
        <f>'ЗО-ВБ'!M95</f>
        <v>0</v>
      </c>
      <c r="O93" s="1">
        <f>'ЗО-ВБ'!N95</f>
        <v>0</v>
      </c>
      <c r="P93" s="1">
        <f>'ЗО-ВБ'!O95</f>
        <v>0</v>
      </c>
      <c r="Q93" s="1">
        <f>'ЗО-ВБ'!P95</f>
        <v>0</v>
      </c>
      <c r="R93" s="1">
        <f>'ЗО-ВБ'!Q95</f>
        <v>0</v>
      </c>
      <c r="S93" s="1">
        <f>'ЗО-ВБ'!R95</f>
        <v>0</v>
      </c>
      <c r="T93" s="1">
        <f>'ЗО-ВБ'!S95</f>
        <v>0</v>
      </c>
      <c r="U93" s="1">
        <f>'ЗО-ВБ'!T95</f>
        <v>0</v>
      </c>
      <c r="V93" s="1">
        <f>'ЗО-ВБ'!U95</f>
        <v>0</v>
      </c>
      <c r="W93" s="1">
        <f>'ЗО-ВБ'!V95</f>
        <v>0</v>
      </c>
    </row>
    <row r="94" spans="1:23" x14ac:dyDescent="0.25">
      <c r="A94" s="24" t="s">
        <v>249</v>
      </c>
      <c r="B94" s="1">
        <f>'ЗО-ВБ'!A96</f>
        <v>0</v>
      </c>
      <c r="C94" s="1">
        <f>'ЗО-ВБ'!B96</f>
        <v>0</v>
      </c>
      <c r="D94" s="1">
        <f>'ЗО-ВБ'!C96</f>
        <v>0</v>
      </c>
      <c r="E94" s="1">
        <f>'ЗО-ВБ'!D96</f>
        <v>0</v>
      </c>
      <c r="F94" s="1">
        <f>'ЗО-ВБ'!E96</f>
        <v>0</v>
      </c>
      <c r="G94" s="1">
        <f>'ЗО-ВБ'!F96</f>
        <v>0</v>
      </c>
      <c r="H94" s="1">
        <f>'ЗО-ВБ'!G96</f>
        <v>0</v>
      </c>
      <c r="I94" s="1">
        <f>'ЗО-ВБ'!H96</f>
        <v>0</v>
      </c>
      <c r="J94" s="1">
        <f>'ЗО-ВБ'!I96</f>
        <v>0</v>
      </c>
      <c r="K94" s="1">
        <f>'ЗО-ВБ'!J96</f>
        <v>0</v>
      </c>
      <c r="L94" s="1">
        <f>'ЗО-ВБ'!K96</f>
        <v>0</v>
      </c>
      <c r="M94" s="1">
        <f>'ЗО-ВБ'!L96</f>
        <v>0</v>
      </c>
      <c r="N94" s="1">
        <f>'ЗО-ВБ'!M96</f>
        <v>0</v>
      </c>
      <c r="O94" s="1">
        <f>'ЗО-ВБ'!N96</f>
        <v>0</v>
      </c>
      <c r="P94" s="1">
        <f>'ЗО-ВБ'!O96</f>
        <v>0</v>
      </c>
      <c r="Q94" s="1">
        <f>'ЗО-ВБ'!P96</f>
        <v>0</v>
      </c>
      <c r="R94" s="1">
        <f>'ЗО-ВБ'!Q96</f>
        <v>0</v>
      </c>
      <c r="S94" s="1">
        <f>'ЗО-ВБ'!R96</f>
        <v>0</v>
      </c>
      <c r="T94" s="1">
        <f>'ЗО-ВБ'!S96</f>
        <v>0</v>
      </c>
      <c r="U94" s="1">
        <f>'ЗО-ВБ'!T96</f>
        <v>0</v>
      </c>
      <c r="V94" s="1">
        <f>'ЗО-ВБ'!U96</f>
        <v>0</v>
      </c>
      <c r="W94" s="1">
        <f>'ЗО-ВБ'!V96</f>
        <v>0</v>
      </c>
    </row>
    <row r="95" spans="1:23" x14ac:dyDescent="0.25">
      <c r="A95" s="24" t="s">
        <v>249</v>
      </c>
      <c r="B95" s="1">
        <f>'ЗО-ВБ'!A97</f>
        <v>0</v>
      </c>
      <c r="C95" s="1">
        <f>'ЗО-ВБ'!B97</f>
        <v>0</v>
      </c>
      <c r="D95" s="1">
        <f>'ЗО-ВБ'!C97</f>
        <v>0</v>
      </c>
      <c r="E95" s="1">
        <f>'ЗО-ВБ'!D97</f>
        <v>0</v>
      </c>
      <c r="F95" s="1">
        <f>'ЗО-ВБ'!E97</f>
        <v>0</v>
      </c>
      <c r="G95" s="1">
        <f>'ЗО-ВБ'!F97</f>
        <v>0</v>
      </c>
      <c r="H95" s="1">
        <f>'ЗО-ВБ'!G97</f>
        <v>0</v>
      </c>
      <c r="I95" s="1">
        <f>'ЗО-ВБ'!H97</f>
        <v>0</v>
      </c>
      <c r="J95" s="1">
        <f>'ЗО-ВБ'!I97</f>
        <v>0</v>
      </c>
      <c r="K95" s="1">
        <f>'ЗО-ВБ'!J97</f>
        <v>0</v>
      </c>
      <c r="L95" s="1">
        <f>'ЗО-ВБ'!K97</f>
        <v>0</v>
      </c>
      <c r="M95" s="1">
        <f>'ЗО-ВБ'!L97</f>
        <v>0</v>
      </c>
      <c r="N95" s="1">
        <f>'ЗО-ВБ'!M97</f>
        <v>0</v>
      </c>
      <c r="O95" s="1">
        <f>'ЗО-ВБ'!N97</f>
        <v>0</v>
      </c>
      <c r="P95" s="1">
        <f>'ЗО-ВБ'!O97</f>
        <v>0</v>
      </c>
      <c r="Q95" s="1">
        <f>'ЗО-ВБ'!P97</f>
        <v>0</v>
      </c>
      <c r="R95" s="1">
        <f>'ЗО-ВБ'!Q97</f>
        <v>0</v>
      </c>
      <c r="S95" s="1">
        <f>'ЗО-ВБ'!R97</f>
        <v>0</v>
      </c>
      <c r="T95" s="1">
        <f>'ЗО-ВБ'!S97</f>
        <v>0</v>
      </c>
      <c r="U95" s="1">
        <f>'ЗО-ВБ'!T97</f>
        <v>0</v>
      </c>
      <c r="V95" s="1">
        <f>'ЗО-ВБ'!U97</f>
        <v>0</v>
      </c>
      <c r="W95" s="1">
        <f>'ЗО-ВБ'!V97</f>
        <v>0</v>
      </c>
    </row>
    <row r="96" spans="1:23" x14ac:dyDescent="0.25">
      <c r="A96" s="24" t="s">
        <v>249</v>
      </c>
      <c r="B96" s="1">
        <f>'ЗО-ВБ'!A98</f>
        <v>0</v>
      </c>
      <c r="C96" s="1">
        <f>'ЗО-ВБ'!B98</f>
        <v>0</v>
      </c>
      <c r="D96" s="1">
        <f>'ЗО-ВБ'!C98</f>
        <v>0</v>
      </c>
      <c r="E96" s="1">
        <f>'ЗО-ВБ'!D98</f>
        <v>0</v>
      </c>
      <c r="F96" s="1">
        <f>'ЗО-ВБ'!E98</f>
        <v>0</v>
      </c>
      <c r="G96" s="1">
        <f>'ЗО-ВБ'!F98</f>
        <v>0</v>
      </c>
      <c r="H96" s="1">
        <f>'ЗО-ВБ'!G98</f>
        <v>0</v>
      </c>
      <c r="I96" s="1">
        <f>'ЗО-ВБ'!H98</f>
        <v>0</v>
      </c>
      <c r="J96" s="1">
        <f>'ЗО-ВБ'!I98</f>
        <v>0</v>
      </c>
      <c r="K96" s="1">
        <f>'ЗО-ВБ'!J98</f>
        <v>0</v>
      </c>
      <c r="L96" s="1">
        <f>'ЗО-ВБ'!K98</f>
        <v>0</v>
      </c>
      <c r="M96" s="1">
        <f>'ЗО-ВБ'!L98</f>
        <v>0</v>
      </c>
      <c r="N96" s="1">
        <f>'ЗО-ВБ'!M98</f>
        <v>0</v>
      </c>
      <c r="O96" s="1">
        <f>'ЗО-ВБ'!N98</f>
        <v>0</v>
      </c>
      <c r="P96" s="1">
        <f>'ЗО-ВБ'!O98</f>
        <v>0</v>
      </c>
      <c r="Q96" s="1">
        <f>'ЗО-ВБ'!P98</f>
        <v>0</v>
      </c>
      <c r="R96" s="1">
        <f>'ЗО-ВБ'!Q98</f>
        <v>0</v>
      </c>
      <c r="S96" s="1">
        <f>'ЗО-ВБ'!R98</f>
        <v>0</v>
      </c>
      <c r="T96" s="1">
        <f>'ЗО-ВБ'!S98</f>
        <v>0</v>
      </c>
      <c r="U96" s="1">
        <f>'ЗО-ВБ'!T98</f>
        <v>0</v>
      </c>
      <c r="V96" s="1">
        <f>'ЗО-ВБ'!U98</f>
        <v>0</v>
      </c>
      <c r="W96" s="1">
        <f>'ЗО-ВБ'!V98</f>
        <v>0</v>
      </c>
    </row>
    <row r="97" spans="1:23" x14ac:dyDescent="0.25">
      <c r="A97" s="24" t="s">
        <v>249</v>
      </c>
      <c r="B97" s="1">
        <f>'ЗО-ВБ'!A99</f>
        <v>0</v>
      </c>
      <c r="C97" s="1">
        <f>'ЗО-ВБ'!B99</f>
        <v>0</v>
      </c>
      <c r="D97" s="1">
        <f>'ЗО-ВБ'!C99</f>
        <v>0</v>
      </c>
      <c r="E97" s="1">
        <f>'ЗО-ВБ'!D99</f>
        <v>0</v>
      </c>
      <c r="F97" s="1">
        <f>'ЗО-ВБ'!E99</f>
        <v>0</v>
      </c>
      <c r="G97" s="1">
        <f>'ЗО-ВБ'!F99</f>
        <v>0</v>
      </c>
      <c r="H97" s="1">
        <f>'ЗО-ВБ'!G99</f>
        <v>0</v>
      </c>
      <c r="I97" s="1">
        <f>'ЗО-ВБ'!H99</f>
        <v>0</v>
      </c>
      <c r="J97" s="1">
        <f>'ЗО-ВБ'!I99</f>
        <v>0</v>
      </c>
      <c r="K97" s="1">
        <f>'ЗО-ВБ'!J99</f>
        <v>0</v>
      </c>
      <c r="L97" s="1">
        <f>'ЗО-ВБ'!K99</f>
        <v>0</v>
      </c>
      <c r="M97" s="1">
        <f>'ЗО-ВБ'!L99</f>
        <v>0</v>
      </c>
      <c r="N97" s="1">
        <f>'ЗО-ВБ'!M99</f>
        <v>0</v>
      </c>
      <c r="O97" s="1">
        <f>'ЗО-ВБ'!N99</f>
        <v>0</v>
      </c>
      <c r="P97" s="1">
        <f>'ЗО-ВБ'!O99</f>
        <v>0</v>
      </c>
      <c r="Q97" s="1">
        <f>'ЗО-ВБ'!P99</f>
        <v>0</v>
      </c>
      <c r="R97" s="1">
        <f>'ЗО-ВБ'!Q99</f>
        <v>0</v>
      </c>
      <c r="S97" s="1">
        <f>'ЗО-ВБ'!R99</f>
        <v>0</v>
      </c>
      <c r="T97" s="1">
        <f>'ЗО-ВБ'!S99</f>
        <v>0</v>
      </c>
      <c r="U97" s="1">
        <f>'ЗО-ВБ'!T99</f>
        <v>0</v>
      </c>
      <c r="V97" s="1">
        <f>'ЗО-ВБ'!U99</f>
        <v>0</v>
      </c>
      <c r="W97" s="1">
        <f>'ЗО-ВБ'!V99</f>
        <v>0</v>
      </c>
    </row>
    <row r="98" spans="1:23" x14ac:dyDescent="0.25">
      <c r="A98" s="24" t="s">
        <v>249</v>
      </c>
      <c r="B98" s="1">
        <f>'ЗО-ВБ'!A100</f>
        <v>0</v>
      </c>
      <c r="C98" s="1">
        <f>'ЗО-ВБ'!B100</f>
        <v>0</v>
      </c>
      <c r="D98" s="1">
        <f>'ЗО-ВБ'!C100</f>
        <v>0</v>
      </c>
      <c r="E98" s="1">
        <f>'ЗО-ВБ'!D100</f>
        <v>0</v>
      </c>
      <c r="F98" s="1">
        <f>'ЗО-ВБ'!E100</f>
        <v>0</v>
      </c>
      <c r="G98" s="1">
        <f>'ЗО-ВБ'!F100</f>
        <v>0</v>
      </c>
      <c r="H98" s="1">
        <f>'ЗО-ВБ'!G100</f>
        <v>0</v>
      </c>
      <c r="I98" s="1">
        <f>'ЗО-ВБ'!H100</f>
        <v>0</v>
      </c>
      <c r="J98" s="1">
        <f>'ЗО-ВБ'!I100</f>
        <v>0</v>
      </c>
      <c r="K98" s="1">
        <f>'ЗО-ВБ'!J100</f>
        <v>0</v>
      </c>
      <c r="L98" s="1">
        <f>'ЗО-ВБ'!K100</f>
        <v>0</v>
      </c>
      <c r="M98" s="1">
        <f>'ЗО-ВБ'!L100</f>
        <v>0</v>
      </c>
      <c r="N98" s="1">
        <f>'ЗО-ВБ'!M100</f>
        <v>0</v>
      </c>
      <c r="O98" s="1">
        <f>'ЗО-ВБ'!N100</f>
        <v>0</v>
      </c>
      <c r="P98" s="1">
        <f>'ЗО-ВБ'!O100</f>
        <v>0</v>
      </c>
      <c r="Q98" s="1">
        <f>'ЗО-ВБ'!P100</f>
        <v>0</v>
      </c>
      <c r="R98" s="1">
        <f>'ЗО-ВБ'!Q100</f>
        <v>0</v>
      </c>
      <c r="S98" s="1">
        <f>'ЗО-ВБ'!R100</f>
        <v>0</v>
      </c>
      <c r="T98" s="1">
        <f>'ЗО-ВБ'!S100</f>
        <v>0</v>
      </c>
      <c r="U98" s="1">
        <f>'ЗО-ВБ'!T100</f>
        <v>0</v>
      </c>
      <c r="V98" s="1">
        <f>'ЗО-ВБ'!U100</f>
        <v>0</v>
      </c>
      <c r="W98" s="1">
        <f>'ЗО-ВБ'!V100</f>
        <v>0</v>
      </c>
    </row>
    <row r="99" spans="1:23" x14ac:dyDescent="0.25">
      <c r="A99" s="24" t="s">
        <v>249</v>
      </c>
      <c r="B99" s="1">
        <f>'ЗО-ВБ'!A101</f>
        <v>0</v>
      </c>
      <c r="C99" s="1">
        <f>'ЗО-ВБ'!B101</f>
        <v>0</v>
      </c>
      <c r="D99" s="1">
        <f>'ЗО-ВБ'!C101</f>
        <v>0</v>
      </c>
      <c r="E99" s="1">
        <f>'ЗО-ВБ'!D101</f>
        <v>0</v>
      </c>
      <c r="F99" s="1">
        <f>'ЗО-ВБ'!E101</f>
        <v>0</v>
      </c>
      <c r="G99" s="1">
        <f>'ЗО-ВБ'!F101</f>
        <v>0</v>
      </c>
      <c r="H99" s="1">
        <f>'ЗО-ВБ'!G101</f>
        <v>0</v>
      </c>
      <c r="I99" s="1">
        <f>'ЗО-ВБ'!H101</f>
        <v>0</v>
      </c>
      <c r="J99" s="1">
        <f>'ЗО-ВБ'!I101</f>
        <v>0</v>
      </c>
      <c r="K99" s="1">
        <f>'ЗО-ВБ'!J101</f>
        <v>0</v>
      </c>
      <c r="L99" s="1">
        <f>'ЗО-ВБ'!K101</f>
        <v>0</v>
      </c>
      <c r="M99" s="1">
        <f>'ЗО-ВБ'!L101</f>
        <v>0</v>
      </c>
      <c r="N99" s="1">
        <f>'ЗО-ВБ'!M101</f>
        <v>0</v>
      </c>
      <c r="O99" s="1">
        <f>'ЗО-ВБ'!N101</f>
        <v>0</v>
      </c>
      <c r="P99" s="1">
        <f>'ЗО-ВБ'!O101</f>
        <v>0</v>
      </c>
      <c r="Q99" s="1">
        <f>'ЗО-ВБ'!P101</f>
        <v>0</v>
      </c>
      <c r="R99" s="1">
        <f>'ЗО-ВБ'!Q101</f>
        <v>0</v>
      </c>
      <c r="S99" s="1">
        <f>'ЗО-ВБ'!R101</f>
        <v>0</v>
      </c>
      <c r="T99" s="1">
        <f>'ЗО-ВБ'!S101</f>
        <v>0</v>
      </c>
      <c r="U99" s="1">
        <f>'ЗО-ВБ'!T101</f>
        <v>0</v>
      </c>
      <c r="V99" s="1">
        <f>'ЗО-ВБ'!U101</f>
        <v>0</v>
      </c>
      <c r="W99" s="1">
        <f>'ЗО-ВБ'!V101</f>
        <v>0</v>
      </c>
    </row>
    <row r="100" spans="1:23" x14ac:dyDescent="0.25">
      <c r="A100" s="24" t="s">
        <v>249</v>
      </c>
      <c r="B100" s="1">
        <f>'ЗО-ВБ'!A102</f>
        <v>0</v>
      </c>
      <c r="C100" s="1">
        <f>'ЗО-ВБ'!B102</f>
        <v>0</v>
      </c>
      <c r="D100" s="1">
        <f>'ЗО-ВБ'!C102</f>
        <v>0</v>
      </c>
      <c r="E100" s="1">
        <f>'ЗО-ВБ'!D102</f>
        <v>0</v>
      </c>
      <c r="F100" s="1">
        <f>'ЗО-ВБ'!E102</f>
        <v>0</v>
      </c>
      <c r="G100" s="1">
        <f>'ЗО-ВБ'!F102</f>
        <v>0</v>
      </c>
      <c r="H100" s="1">
        <f>'ЗО-ВБ'!G102</f>
        <v>0</v>
      </c>
      <c r="I100" s="1">
        <f>'ЗО-ВБ'!H102</f>
        <v>0</v>
      </c>
      <c r="J100" s="1">
        <f>'ЗО-ВБ'!I102</f>
        <v>0</v>
      </c>
      <c r="K100" s="1">
        <f>'ЗО-ВБ'!J102</f>
        <v>0</v>
      </c>
      <c r="L100" s="1">
        <f>'ЗО-ВБ'!K102</f>
        <v>0</v>
      </c>
      <c r="M100" s="1">
        <f>'ЗО-ВБ'!L102</f>
        <v>0</v>
      </c>
      <c r="N100" s="1">
        <f>'ЗО-ВБ'!M102</f>
        <v>0</v>
      </c>
      <c r="O100" s="1">
        <f>'ЗО-ВБ'!N102</f>
        <v>0</v>
      </c>
      <c r="P100" s="1">
        <f>'ЗО-ВБ'!O102</f>
        <v>0</v>
      </c>
      <c r="Q100" s="1">
        <f>'ЗО-ВБ'!P102</f>
        <v>0</v>
      </c>
      <c r="R100" s="1">
        <f>'ЗО-ВБ'!Q102</f>
        <v>0</v>
      </c>
      <c r="S100" s="1">
        <f>'ЗО-ВБ'!R102</f>
        <v>0</v>
      </c>
      <c r="T100" s="1">
        <f>'ЗО-ВБ'!S102</f>
        <v>0</v>
      </c>
      <c r="U100" s="1">
        <f>'ЗО-ВБ'!T102</f>
        <v>0</v>
      </c>
      <c r="V100" s="1">
        <f>'ЗО-ВБ'!U102</f>
        <v>0</v>
      </c>
      <c r="W100" s="1">
        <f>'ЗО-ВБ'!V102</f>
        <v>0</v>
      </c>
    </row>
    <row r="101" spans="1:23" x14ac:dyDescent="0.25">
      <c r="A101" s="24" t="s">
        <v>249</v>
      </c>
      <c r="B101" s="1">
        <f>'ЗО-ВБ'!A103</f>
        <v>0</v>
      </c>
      <c r="C101" s="1">
        <f>'ЗО-ВБ'!B103</f>
        <v>0</v>
      </c>
      <c r="D101" s="1">
        <f>'ЗО-ВБ'!C103</f>
        <v>0</v>
      </c>
      <c r="E101" s="1">
        <f>'ЗО-ВБ'!D103</f>
        <v>0</v>
      </c>
      <c r="F101" s="1">
        <f>'ЗО-ВБ'!E103</f>
        <v>0</v>
      </c>
      <c r="G101" s="1">
        <f>'ЗО-ВБ'!F103</f>
        <v>0</v>
      </c>
      <c r="H101" s="1">
        <f>'ЗО-ВБ'!G103</f>
        <v>0</v>
      </c>
      <c r="I101" s="1">
        <f>'ЗО-ВБ'!H103</f>
        <v>0</v>
      </c>
      <c r="J101" s="1">
        <f>'ЗО-ВБ'!I103</f>
        <v>0</v>
      </c>
      <c r="K101" s="1">
        <f>'ЗО-ВБ'!J103</f>
        <v>0</v>
      </c>
      <c r="L101" s="1">
        <f>'ЗО-ВБ'!K103</f>
        <v>0</v>
      </c>
      <c r="M101" s="1">
        <f>'ЗО-ВБ'!L103</f>
        <v>0</v>
      </c>
      <c r="N101" s="1">
        <f>'ЗО-ВБ'!M103</f>
        <v>0</v>
      </c>
      <c r="O101" s="1">
        <f>'ЗО-ВБ'!N103</f>
        <v>0</v>
      </c>
      <c r="P101" s="1">
        <f>'ЗО-ВБ'!O103</f>
        <v>0</v>
      </c>
      <c r="Q101" s="1">
        <f>'ЗО-ВБ'!P103</f>
        <v>0</v>
      </c>
      <c r="R101" s="1">
        <f>'ЗО-ВБ'!Q103</f>
        <v>0</v>
      </c>
      <c r="S101" s="1">
        <f>'ЗО-ВБ'!R103</f>
        <v>0</v>
      </c>
      <c r="T101" s="1">
        <f>'ЗО-ВБ'!S103</f>
        <v>0</v>
      </c>
      <c r="U101" s="1">
        <f>'ЗО-ВБ'!T103</f>
        <v>0</v>
      </c>
      <c r="V101" s="1">
        <f>'ЗО-ВБ'!U103</f>
        <v>0</v>
      </c>
      <c r="W101" s="1">
        <f>'ЗО-ВБ'!V103</f>
        <v>0</v>
      </c>
    </row>
    <row r="102" spans="1:23" x14ac:dyDescent="0.25">
      <c r="A102" s="24" t="s">
        <v>249</v>
      </c>
      <c r="B102" s="1">
        <f>'ЗО-ВБ'!A104</f>
        <v>0</v>
      </c>
      <c r="C102" s="1">
        <f>'ЗО-ВБ'!B104</f>
        <v>0</v>
      </c>
      <c r="D102" s="1">
        <f>'ЗО-ВБ'!C104</f>
        <v>0</v>
      </c>
      <c r="E102" s="1">
        <f>'ЗО-ВБ'!D104</f>
        <v>0</v>
      </c>
      <c r="F102" s="1">
        <f>'ЗО-ВБ'!E104</f>
        <v>0</v>
      </c>
      <c r="G102" s="1">
        <f>'ЗО-ВБ'!F104</f>
        <v>0</v>
      </c>
      <c r="H102" s="1">
        <f>'ЗО-ВБ'!G104</f>
        <v>0</v>
      </c>
      <c r="I102" s="1">
        <f>'ЗО-ВБ'!H104</f>
        <v>0</v>
      </c>
      <c r="J102" s="1">
        <f>'ЗО-ВБ'!I104</f>
        <v>0</v>
      </c>
      <c r="K102" s="1">
        <f>'ЗО-ВБ'!J104</f>
        <v>0</v>
      </c>
      <c r="L102" s="1">
        <f>'ЗО-ВБ'!K104</f>
        <v>0</v>
      </c>
      <c r="M102" s="1">
        <f>'ЗО-ВБ'!L104</f>
        <v>0</v>
      </c>
      <c r="N102" s="1">
        <f>'ЗО-ВБ'!M104</f>
        <v>0</v>
      </c>
      <c r="O102" s="1">
        <f>'ЗО-ВБ'!N104</f>
        <v>0</v>
      </c>
      <c r="P102" s="1">
        <f>'ЗО-ВБ'!O104</f>
        <v>0</v>
      </c>
      <c r="Q102" s="1">
        <f>'ЗО-ВБ'!P104</f>
        <v>0</v>
      </c>
      <c r="R102" s="1">
        <f>'ЗО-ВБ'!Q104</f>
        <v>0</v>
      </c>
      <c r="S102" s="1">
        <f>'ЗО-ВБ'!R104</f>
        <v>0</v>
      </c>
      <c r="T102" s="1">
        <f>'ЗО-ВБ'!S104</f>
        <v>0</v>
      </c>
      <c r="U102" s="1">
        <f>'ЗО-ВБ'!T104</f>
        <v>0</v>
      </c>
      <c r="V102" s="1">
        <f>'ЗО-ВБ'!U104</f>
        <v>0</v>
      </c>
      <c r="W102" s="1">
        <f>'ЗО-ВБ'!V104</f>
        <v>0</v>
      </c>
    </row>
    <row r="103" spans="1:23" x14ac:dyDescent="0.25">
      <c r="A103" s="24" t="s">
        <v>249</v>
      </c>
      <c r="B103" s="1">
        <f>'ЗО-ВБ'!A105</f>
        <v>0</v>
      </c>
      <c r="C103" s="1">
        <f>'ЗО-ВБ'!B105</f>
        <v>0</v>
      </c>
      <c r="D103" s="1">
        <f>'ЗО-ВБ'!C105</f>
        <v>0</v>
      </c>
      <c r="E103" s="1">
        <f>'ЗО-ВБ'!D105</f>
        <v>0</v>
      </c>
      <c r="F103" s="1">
        <f>'ЗО-ВБ'!E105</f>
        <v>0</v>
      </c>
      <c r="G103" s="1">
        <f>'ЗО-ВБ'!F105</f>
        <v>0</v>
      </c>
      <c r="H103" s="1">
        <f>'ЗО-ВБ'!G105</f>
        <v>0</v>
      </c>
      <c r="I103" s="1">
        <f>'ЗО-ВБ'!H105</f>
        <v>0</v>
      </c>
      <c r="J103" s="1">
        <f>'ЗО-ВБ'!I105</f>
        <v>0</v>
      </c>
      <c r="K103" s="1">
        <f>'ЗО-ВБ'!J105</f>
        <v>0</v>
      </c>
      <c r="L103" s="1">
        <f>'ЗО-ВБ'!K105</f>
        <v>0</v>
      </c>
      <c r="M103" s="1">
        <f>'ЗО-ВБ'!L105</f>
        <v>0</v>
      </c>
      <c r="N103" s="1">
        <f>'ЗО-ВБ'!M105</f>
        <v>0</v>
      </c>
      <c r="O103" s="1">
        <f>'ЗО-ВБ'!N105</f>
        <v>0</v>
      </c>
      <c r="P103" s="1">
        <f>'ЗО-ВБ'!O105</f>
        <v>0</v>
      </c>
      <c r="Q103" s="1">
        <f>'ЗО-ВБ'!P105</f>
        <v>0</v>
      </c>
      <c r="R103" s="1">
        <f>'ЗО-ВБ'!Q105</f>
        <v>0</v>
      </c>
      <c r="S103" s="1">
        <f>'ЗО-ВБ'!R105</f>
        <v>0</v>
      </c>
      <c r="T103" s="1">
        <f>'ЗО-ВБ'!S105</f>
        <v>0</v>
      </c>
      <c r="U103" s="1">
        <f>'ЗО-ВБ'!T105</f>
        <v>0</v>
      </c>
      <c r="V103" s="1">
        <f>'ЗО-ВБ'!U105</f>
        <v>0</v>
      </c>
      <c r="W103" s="1">
        <f>'ЗО-ВБ'!V105</f>
        <v>0</v>
      </c>
    </row>
    <row r="104" spans="1:23" x14ac:dyDescent="0.25">
      <c r="A104" s="24" t="s">
        <v>249</v>
      </c>
      <c r="B104" s="1">
        <f>'ЗО-ВБ'!A106</f>
        <v>0</v>
      </c>
      <c r="C104" s="1">
        <f>'ЗО-ВБ'!B106</f>
        <v>0</v>
      </c>
      <c r="D104" s="1">
        <f>'ЗО-ВБ'!C106</f>
        <v>0</v>
      </c>
      <c r="E104" s="1">
        <f>'ЗО-ВБ'!D106</f>
        <v>0</v>
      </c>
      <c r="F104" s="1">
        <f>'ЗО-ВБ'!E106</f>
        <v>0</v>
      </c>
      <c r="G104" s="1">
        <f>'ЗО-ВБ'!F106</f>
        <v>0</v>
      </c>
      <c r="H104" s="1">
        <f>'ЗО-ВБ'!G106</f>
        <v>0</v>
      </c>
      <c r="I104" s="1">
        <f>'ЗО-ВБ'!H106</f>
        <v>0</v>
      </c>
      <c r="J104" s="1">
        <f>'ЗО-ВБ'!I106</f>
        <v>0</v>
      </c>
      <c r="K104" s="1">
        <f>'ЗО-ВБ'!J106</f>
        <v>0</v>
      </c>
      <c r="L104" s="1">
        <f>'ЗО-ВБ'!K106</f>
        <v>0</v>
      </c>
      <c r="M104" s="1">
        <f>'ЗО-ВБ'!L106</f>
        <v>0</v>
      </c>
      <c r="N104" s="1">
        <f>'ЗО-ВБ'!M106</f>
        <v>0</v>
      </c>
      <c r="O104" s="1">
        <f>'ЗО-ВБ'!N106</f>
        <v>0</v>
      </c>
      <c r="P104" s="1">
        <f>'ЗО-ВБ'!O106</f>
        <v>0</v>
      </c>
      <c r="Q104" s="1">
        <f>'ЗО-ВБ'!P106</f>
        <v>0</v>
      </c>
      <c r="R104" s="1">
        <f>'ЗО-ВБ'!Q106</f>
        <v>0</v>
      </c>
      <c r="S104" s="1">
        <f>'ЗО-ВБ'!R106</f>
        <v>0</v>
      </c>
      <c r="T104" s="1">
        <f>'ЗО-ВБ'!S106</f>
        <v>0</v>
      </c>
      <c r="U104" s="1">
        <f>'ЗО-ВБ'!T106</f>
        <v>0</v>
      </c>
      <c r="V104" s="1">
        <f>'ЗО-ВБ'!U106</f>
        <v>0</v>
      </c>
      <c r="W104" s="1">
        <f>'ЗО-ВБ'!V106</f>
        <v>0</v>
      </c>
    </row>
    <row r="105" spans="1:23" x14ac:dyDescent="0.25">
      <c r="A105" s="24" t="s">
        <v>249</v>
      </c>
      <c r="B105" s="1">
        <f>'ЗО-ВБ'!A107</f>
        <v>0</v>
      </c>
      <c r="C105" s="1">
        <f>'ЗО-ВБ'!B107</f>
        <v>0</v>
      </c>
      <c r="D105" s="1">
        <f>'ЗО-ВБ'!C107</f>
        <v>0</v>
      </c>
      <c r="E105" s="1">
        <f>'ЗО-ВБ'!D107</f>
        <v>0</v>
      </c>
      <c r="F105" s="1">
        <f>'ЗО-ВБ'!E107</f>
        <v>0</v>
      </c>
      <c r="G105" s="1">
        <f>'ЗО-ВБ'!F107</f>
        <v>0</v>
      </c>
      <c r="H105" s="1">
        <f>'ЗО-ВБ'!G107</f>
        <v>0</v>
      </c>
      <c r="I105" s="1">
        <f>'ЗО-ВБ'!H107</f>
        <v>0</v>
      </c>
      <c r="J105" s="1">
        <f>'ЗО-ВБ'!I107</f>
        <v>0</v>
      </c>
      <c r="K105" s="1">
        <f>'ЗО-ВБ'!J107</f>
        <v>0</v>
      </c>
      <c r="L105" s="1">
        <f>'ЗО-ВБ'!K107</f>
        <v>0</v>
      </c>
      <c r="M105" s="1">
        <f>'ЗО-ВБ'!L107</f>
        <v>0</v>
      </c>
      <c r="N105" s="1">
        <f>'ЗО-ВБ'!M107</f>
        <v>0</v>
      </c>
      <c r="O105" s="1">
        <f>'ЗО-ВБ'!N107</f>
        <v>0</v>
      </c>
      <c r="P105" s="1">
        <f>'ЗО-ВБ'!O107</f>
        <v>0</v>
      </c>
      <c r="Q105" s="1">
        <f>'ЗО-ВБ'!P107</f>
        <v>0</v>
      </c>
      <c r="R105" s="1">
        <f>'ЗО-ВБ'!Q107</f>
        <v>0</v>
      </c>
      <c r="S105" s="1">
        <f>'ЗО-ВБ'!R107</f>
        <v>0</v>
      </c>
      <c r="T105" s="1">
        <f>'ЗО-ВБ'!S107</f>
        <v>0</v>
      </c>
      <c r="U105" s="1">
        <f>'ЗО-ВБ'!T107</f>
        <v>0</v>
      </c>
      <c r="V105" s="1">
        <f>'ЗО-ВБ'!U107</f>
        <v>0</v>
      </c>
      <c r="W105" s="1">
        <f>'ЗО-ВБ'!V107</f>
        <v>0</v>
      </c>
    </row>
    <row r="106" spans="1:23" x14ac:dyDescent="0.25">
      <c r="A106" s="24" t="s">
        <v>249</v>
      </c>
      <c r="B106" s="1">
        <f>'ЗО-ВБ'!A108</f>
        <v>0</v>
      </c>
      <c r="C106" s="1">
        <f>'ЗО-ВБ'!B108</f>
        <v>0</v>
      </c>
      <c r="D106" s="1">
        <f>'ЗО-ВБ'!C108</f>
        <v>0</v>
      </c>
      <c r="E106" s="1">
        <f>'ЗО-ВБ'!D108</f>
        <v>0</v>
      </c>
      <c r="F106" s="1">
        <f>'ЗО-ВБ'!E108</f>
        <v>0</v>
      </c>
      <c r="G106" s="1">
        <f>'ЗО-ВБ'!F108</f>
        <v>0</v>
      </c>
      <c r="H106" s="1">
        <f>'ЗО-ВБ'!G108</f>
        <v>0</v>
      </c>
      <c r="I106" s="1">
        <f>'ЗО-ВБ'!H108</f>
        <v>0</v>
      </c>
      <c r="J106" s="1">
        <f>'ЗО-ВБ'!I108</f>
        <v>0</v>
      </c>
      <c r="K106" s="1">
        <f>'ЗО-ВБ'!J108</f>
        <v>0</v>
      </c>
      <c r="L106" s="1">
        <f>'ЗО-ВБ'!K108</f>
        <v>0</v>
      </c>
      <c r="M106" s="1">
        <f>'ЗО-ВБ'!L108</f>
        <v>0</v>
      </c>
      <c r="N106" s="1">
        <f>'ЗО-ВБ'!M108</f>
        <v>0</v>
      </c>
      <c r="O106" s="1">
        <f>'ЗО-ВБ'!N108</f>
        <v>0</v>
      </c>
      <c r="P106" s="1">
        <f>'ЗО-ВБ'!O108</f>
        <v>0</v>
      </c>
      <c r="Q106" s="1">
        <f>'ЗО-ВБ'!P108</f>
        <v>0</v>
      </c>
      <c r="R106" s="1">
        <f>'ЗО-ВБ'!Q108</f>
        <v>0</v>
      </c>
      <c r="S106" s="1">
        <f>'ЗО-ВБ'!R108</f>
        <v>0</v>
      </c>
      <c r="T106" s="1">
        <f>'ЗО-ВБ'!S108</f>
        <v>0</v>
      </c>
      <c r="U106" s="1">
        <f>'ЗО-ВБ'!T108</f>
        <v>0</v>
      </c>
      <c r="V106" s="1">
        <f>'ЗО-ВБ'!U108</f>
        <v>0</v>
      </c>
      <c r="W106" s="1">
        <f>'ЗО-ВБ'!V108</f>
        <v>0</v>
      </c>
    </row>
    <row r="107" spans="1:23" x14ac:dyDescent="0.25">
      <c r="A107" s="24" t="s">
        <v>249</v>
      </c>
      <c r="B107" s="1">
        <f>'ЗО-ВБ'!A109</f>
        <v>0</v>
      </c>
      <c r="C107" s="1">
        <f>'ЗО-ВБ'!B109</f>
        <v>0</v>
      </c>
      <c r="D107" s="1">
        <f>'ЗО-ВБ'!C109</f>
        <v>0</v>
      </c>
      <c r="E107" s="1">
        <f>'ЗО-ВБ'!D109</f>
        <v>0</v>
      </c>
      <c r="F107" s="1">
        <f>'ЗО-ВБ'!E109</f>
        <v>0</v>
      </c>
      <c r="G107" s="1">
        <f>'ЗО-ВБ'!F109</f>
        <v>0</v>
      </c>
      <c r="H107" s="1">
        <f>'ЗО-ВБ'!G109</f>
        <v>0</v>
      </c>
      <c r="I107" s="1">
        <f>'ЗО-ВБ'!H109</f>
        <v>0</v>
      </c>
      <c r="J107" s="1">
        <f>'ЗО-ВБ'!I109</f>
        <v>0</v>
      </c>
      <c r="K107" s="1">
        <f>'ЗО-ВБ'!J109</f>
        <v>0</v>
      </c>
      <c r="L107" s="1">
        <f>'ЗО-ВБ'!K109</f>
        <v>0</v>
      </c>
      <c r="M107" s="1">
        <f>'ЗО-ВБ'!L109</f>
        <v>0</v>
      </c>
      <c r="N107" s="1">
        <f>'ЗО-ВБ'!M109</f>
        <v>0</v>
      </c>
      <c r="O107" s="1">
        <f>'ЗО-ВБ'!N109</f>
        <v>0</v>
      </c>
      <c r="P107" s="1">
        <f>'ЗО-ВБ'!O109</f>
        <v>0</v>
      </c>
      <c r="Q107" s="1">
        <f>'ЗО-ВБ'!P109</f>
        <v>0</v>
      </c>
      <c r="R107" s="1">
        <f>'ЗО-ВБ'!Q109</f>
        <v>0</v>
      </c>
      <c r="S107" s="1">
        <f>'ЗО-ВБ'!R109</f>
        <v>0</v>
      </c>
      <c r="T107" s="1">
        <f>'ЗО-ВБ'!S109</f>
        <v>0</v>
      </c>
      <c r="U107" s="1">
        <f>'ЗО-ВБ'!T109</f>
        <v>0</v>
      </c>
      <c r="V107" s="1">
        <f>'ЗО-ВБ'!U109</f>
        <v>0</v>
      </c>
      <c r="W107" s="1">
        <f>'ЗО-ВБ'!V109</f>
        <v>0</v>
      </c>
    </row>
    <row r="108" spans="1:23" x14ac:dyDescent="0.25">
      <c r="A108" s="24" t="s">
        <v>249</v>
      </c>
      <c r="B108" s="1">
        <f>'ЗО-ВБ'!A110</f>
        <v>0</v>
      </c>
      <c r="C108" s="1">
        <f>'ЗО-ВБ'!B110</f>
        <v>0</v>
      </c>
      <c r="D108" s="1">
        <f>'ЗО-ВБ'!C110</f>
        <v>0</v>
      </c>
      <c r="E108" s="1">
        <f>'ЗО-ВБ'!D110</f>
        <v>0</v>
      </c>
      <c r="F108" s="1">
        <f>'ЗО-ВБ'!E110</f>
        <v>0</v>
      </c>
      <c r="G108" s="1">
        <f>'ЗО-ВБ'!F110</f>
        <v>0</v>
      </c>
      <c r="H108" s="1">
        <f>'ЗО-ВБ'!G110</f>
        <v>0</v>
      </c>
      <c r="I108" s="1">
        <f>'ЗО-ВБ'!H110</f>
        <v>0</v>
      </c>
      <c r="J108" s="1">
        <f>'ЗО-ВБ'!I110</f>
        <v>0</v>
      </c>
      <c r="K108" s="1">
        <f>'ЗО-ВБ'!J110</f>
        <v>0</v>
      </c>
      <c r="L108" s="1">
        <f>'ЗО-ВБ'!K110</f>
        <v>0</v>
      </c>
      <c r="M108" s="1">
        <f>'ЗО-ВБ'!L110</f>
        <v>0</v>
      </c>
      <c r="N108" s="1">
        <f>'ЗО-ВБ'!M110</f>
        <v>0</v>
      </c>
      <c r="O108" s="1">
        <f>'ЗО-ВБ'!N110</f>
        <v>0</v>
      </c>
      <c r="P108" s="1">
        <f>'ЗО-ВБ'!O110</f>
        <v>0</v>
      </c>
      <c r="Q108" s="1">
        <f>'ЗО-ВБ'!P110</f>
        <v>0</v>
      </c>
      <c r="R108" s="1">
        <f>'ЗО-ВБ'!Q110</f>
        <v>0</v>
      </c>
      <c r="S108" s="1">
        <f>'ЗО-ВБ'!R110</f>
        <v>0</v>
      </c>
      <c r="T108" s="1">
        <f>'ЗО-ВБ'!S110</f>
        <v>0</v>
      </c>
      <c r="U108" s="1">
        <f>'ЗО-ВБ'!T110</f>
        <v>0</v>
      </c>
      <c r="V108" s="1">
        <f>'ЗО-ВБ'!U110</f>
        <v>0</v>
      </c>
      <c r="W108" s="1">
        <f>'ЗО-ВБ'!V110</f>
        <v>0</v>
      </c>
    </row>
    <row r="109" spans="1:23" x14ac:dyDescent="0.25">
      <c r="A109" s="24" t="s">
        <v>249</v>
      </c>
      <c r="B109" s="1">
        <f>'ЗО-ВБ'!A111</f>
        <v>0</v>
      </c>
      <c r="C109" s="1">
        <f>'ЗО-ВБ'!B111</f>
        <v>0</v>
      </c>
      <c r="D109" s="1">
        <f>'ЗО-ВБ'!C111</f>
        <v>0</v>
      </c>
      <c r="E109" s="1">
        <f>'ЗО-ВБ'!D111</f>
        <v>0</v>
      </c>
      <c r="F109" s="1">
        <f>'ЗО-ВБ'!E111</f>
        <v>0</v>
      </c>
      <c r="G109" s="1">
        <f>'ЗО-ВБ'!F111</f>
        <v>0</v>
      </c>
      <c r="H109" s="1">
        <f>'ЗО-ВБ'!G111</f>
        <v>0</v>
      </c>
      <c r="I109" s="1">
        <f>'ЗО-ВБ'!H111</f>
        <v>0</v>
      </c>
      <c r="J109" s="1">
        <f>'ЗО-ВБ'!I111</f>
        <v>0</v>
      </c>
      <c r="K109" s="1">
        <f>'ЗО-ВБ'!J111</f>
        <v>0</v>
      </c>
      <c r="L109" s="1">
        <f>'ЗО-ВБ'!K111</f>
        <v>0</v>
      </c>
      <c r="M109" s="1">
        <f>'ЗО-ВБ'!L111</f>
        <v>0</v>
      </c>
      <c r="N109" s="1">
        <f>'ЗО-ВБ'!M111</f>
        <v>0</v>
      </c>
      <c r="O109" s="1">
        <f>'ЗО-ВБ'!N111</f>
        <v>0</v>
      </c>
      <c r="P109" s="1">
        <f>'ЗО-ВБ'!O111</f>
        <v>0</v>
      </c>
      <c r="Q109" s="1">
        <f>'ЗО-ВБ'!P111</f>
        <v>0</v>
      </c>
      <c r="R109" s="1">
        <f>'ЗО-ВБ'!Q111</f>
        <v>0</v>
      </c>
      <c r="S109" s="1">
        <f>'ЗО-ВБ'!R111</f>
        <v>0</v>
      </c>
      <c r="T109" s="1">
        <f>'ЗО-ВБ'!S111</f>
        <v>0</v>
      </c>
      <c r="U109" s="1">
        <f>'ЗО-ВБ'!T111</f>
        <v>0</v>
      </c>
      <c r="V109" s="1">
        <f>'ЗО-ВБ'!U111</f>
        <v>0</v>
      </c>
      <c r="W109" s="1">
        <f>'ЗО-ВБ'!V111</f>
        <v>0</v>
      </c>
    </row>
    <row r="110" spans="1:23" x14ac:dyDescent="0.25">
      <c r="A110" s="24" t="s">
        <v>249</v>
      </c>
      <c r="B110" s="1">
        <f>'ЗО-ВБ'!A112</f>
        <v>0</v>
      </c>
      <c r="C110" s="1">
        <f>'ЗО-ВБ'!B112</f>
        <v>0</v>
      </c>
      <c r="D110" s="1">
        <f>'ЗО-ВБ'!C112</f>
        <v>0</v>
      </c>
      <c r="E110" s="1">
        <f>'ЗО-ВБ'!D112</f>
        <v>0</v>
      </c>
      <c r="F110" s="1">
        <f>'ЗО-ВБ'!E112</f>
        <v>0</v>
      </c>
      <c r="G110" s="1">
        <f>'ЗО-ВБ'!F112</f>
        <v>0</v>
      </c>
      <c r="H110" s="1">
        <f>'ЗО-ВБ'!G112</f>
        <v>0</v>
      </c>
      <c r="I110" s="1">
        <f>'ЗО-ВБ'!H112</f>
        <v>0</v>
      </c>
      <c r="J110" s="1">
        <f>'ЗО-ВБ'!I112</f>
        <v>0</v>
      </c>
      <c r="K110" s="1">
        <f>'ЗО-ВБ'!J112</f>
        <v>0</v>
      </c>
      <c r="L110" s="1">
        <f>'ЗО-ВБ'!K112</f>
        <v>0</v>
      </c>
      <c r="M110" s="1">
        <f>'ЗО-ВБ'!L112</f>
        <v>0</v>
      </c>
      <c r="N110" s="1">
        <f>'ЗО-ВБ'!M112</f>
        <v>0</v>
      </c>
      <c r="O110" s="1">
        <f>'ЗО-ВБ'!N112</f>
        <v>0</v>
      </c>
      <c r="P110" s="1">
        <f>'ЗО-ВБ'!O112</f>
        <v>0</v>
      </c>
      <c r="Q110" s="1">
        <f>'ЗО-ВБ'!P112</f>
        <v>0</v>
      </c>
      <c r="R110" s="1">
        <f>'ЗО-ВБ'!Q112</f>
        <v>0</v>
      </c>
      <c r="S110" s="1">
        <f>'ЗО-ВБ'!R112</f>
        <v>0</v>
      </c>
      <c r="T110" s="1">
        <f>'ЗО-ВБ'!S112</f>
        <v>0</v>
      </c>
      <c r="U110" s="1">
        <f>'ЗО-ВБ'!T112</f>
        <v>0</v>
      </c>
      <c r="V110" s="1">
        <f>'ЗО-ВБ'!U112</f>
        <v>0</v>
      </c>
      <c r="W110" s="1">
        <f>'ЗО-ВБ'!V112</f>
        <v>0</v>
      </c>
    </row>
    <row r="111" spans="1:23" x14ac:dyDescent="0.25">
      <c r="A111" s="24" t="s">
        <v>249</v>
      </c>
      <c r="B111" s="1">
        <f>'ЗО-ВБ'!A113</f>
        <v>0</v>
      </c>
      <c r="C111" s="1">
        <f>'ЗО-ВБ'!B113</f>
        <v>0</v>
      </c>
      <c r="D111" s="1">
        <f>'ЗО-ВБ'!C113</f>
        <v>0</v>
      </c>
      <c r="E111" s="1">
        <f>'ЗО-ВБ'!D113</f>
        <v>0</v>
      </c>
      <c r="F111" s="1">
        <f>'ЗО-ВБ'!E113</f>
        <v>0</v>
      </c>
      <c r="G111" s="1">
        <f>'ЗО-ВБ'!F113</f>
        <v>0</v>
      </c>
      <c r="H111" s="1">
        <f>'ЗО-ВБ'!G113</f>
        <v>0</v>
      </c>
      <c r="I111" s="1">
        <f>'ЗО-ВБ'!H113</f>
        <v>0</v>
      </c>
      <c r="J111" s="1">
        <f>'ЗО-ВБ'!I113</f>
        <v>0</v>
      </c>
      <c r="K111" s="1">
        <f>'ЗО-ВБ'!J113</f>
        <v>0</v>
      </c>
      <c r="L111" s="1">
        <f>'ЗО-ВБ'!K113</f>
        <v>0</v>
      </c>
      <c r="M111" s="1">
        <f>'ЗО-ВБ'!L113</f>
        <v>0</v>
      </c>
      <c r="N111" s="1">
        <f>'ЗО-ВБ'!M113</f>
        <v>0</v>
      </c>
      <c r="O111" s="1">
        <f>'ЗО-ВБ'!N113</f>
        <v>0</v>
      </c>
      <c r="P111" s="1">
        <f>'ЗО-ВБ'!O113</f>
        <v>0</v>
      </c>
      <c r="Q111" s="1">
        <f>'ЗО-ВБ'!P113</f>
        <v>0</v>
      </c>
      <c r="R111" s="1">
        <f>'ЗО-ВБ'!Q113</f>
        <v>0</v>
      </c>
      <c r="S111" s="1">
        <f>'ЗО-ВБ'!R113</f>
        <v>0</v>
      </c>
      <c r="T111" s="1">
        <f>'ЗО-ВБ'!S113</f>
        <v>0</v>
      </c>
      <c r="U111" s="1">
        <f>'ЗО-ВБ'!T113</f>
        <v>0</v>
      </c>
      <c r="V111" s="1">
        <f>'ЗО-ВБ'!U113</f>
        <v>0</v>
      </c>
      <c r="W111" s="1">
        <f>'ЗО-ВБ'!V113</f>
        <v>0</v>
      </c>
    </row>
    <row r="112" spans="1:23" x14ac:dyDescent="0.25">
      <c r="A112" s="24" t="s">
        <v>249</v>
      </c>
      <c r="B112" s="1">
        <f>'ЗО-ВБ'!A114</f>
        <v>0</v>
      </c>
      <c r="C112" s="1">
        <f>'ЗО-ВБ'!B114</f>
        <v>0</v>
      </c>
      <c r="D112" s="1">
        <f>'ЗО-ВБ'!C114</f>
        <v>0</v>
      </c>
      <c r="E112" s="1">
        <f>'ЗО-ВБ'!D114</f>
        <v>0</v>
      </c>
      <c r="F112" s="1">
        <f>'ЗО-ВБ'!E114</f>
        <v>0</v>
      </c>
      <c r="G112" s="1">
        <f>'ЗО-ВБ'!F114</f>
        <v>0</v>
      </c>
      <c r="H112" s="1">
        <f>'ЗО-ВБ'!G114</f>
        <v>0</v>
      </c>
      <c r="I112" s="1">
        <f>'ЗО-ВБ'!H114</f>
        <v>0</v>
      </c>
      <c r="J112" s="1">
        <f>'ЗО-ВБ'!I114</f>
        <v>0</v>
      </c>
      <c r="K112" s="1">
        <f>'ЗО-ВБ'!J114</f>
        <v>0</v>
      </c>
      <c r="L112" s="1">
        <f>'ЗО-ВБ'!K114</f>
        <v>0</v>
      </c>
      <c r="M112" s="1">
        <f>'ЗО-ВБ'!L114</f>
        <v>0</v>
      </c>
      <c r="N112" s="1">
        <f>'ЗО-ВБ'!M114</f>
        <v>0</v>
      </c>
      <c r="O112" s="1">
        <f>'ЗО-ВБ'!N114</f>
        <v>0</v>
      </c>
      <c r="P112" s="1">
        <f>'ЗО-ВБ'!O114</f>
        <v>0</v>
      </c>
      <c r="Q112" s="1">
        <f>'ЗО-ВБ'!P114</f>
        <v>0</v>
      </c>
      <c r="R112" s="1">
        <f>'ЗО-ВБ'!Q114</f>
        <v>0</v>
      </c>
      <c r="S112" s="1">
        <f>'ЗО-ВБ'!R114</f>
        <v>0</v>
      </c>
      <c r="T112" s="1">
        <f>'ЗО-ВБ'!S114</f>
        <v>0</v>
      </c>
      <c r="U112" s="1">
        <f>'ЗО-ВБ'!T114</f>
        <v>0</v>
      </c>
      <c r="V112" s="1">
        <f>'ЗО-ВБ'!U114</f>
        <v>0</v>
      </c>
      <c r="W112" s="1">
        <f>'ЗО-ВБ'!V114</f>
        <v>0</v>
      </c>
    </row>
    <row r="113" spans="1:23" x14ac:dyDescent="0.25">
      <c r="A113" s="24" t="s">
        <v>249</v>
      </c>
      <c r="B113" s="1">
        <f>'ЗО-ВБ'!A115</f>
        <v>0</v>
      </c>
      <c r="C113" s="1">
        <f>'ЗО-ВБ'!B115</f>
        <v>0</v>
      </c>
      <c r="D113" s="1">
        <f>'ЗО-ВБ'!C115</f>
        <v>0</v>
      </c>
      <c r="E113" s="1">
        <f>'ЗО-ВБ'!D115</f>
        <v>0</v>
      </c>
      <c r="F113" s="1">
        <f>'ЗО-ВБ'!E115</f>
        <v>0</v>
      </c>
      <c r="G113" s="1">
        <f>'ЗО-ВБ'!F115</f>
        <v>0</v>
      </c>
      <c r="H113" s="1">
        <f>'ЗО-ВБ'!G115</f>
        <v>0</v>
      </c>
      <c r="I113" s="1">
        <f>'ЗО-ВБ'!H115</f>
        <v>0</v>
      </c>
      <c r="J113" s="1">
        <f>'ЗО-ВБ'!I115</f>
        <v>0</v>
      </c>
      <c r="K113" s="1">
        <f>'ЗО-ВБ'!J115</f>
        <v>0</v>
      </c>
      <c r="L113" s="1">
        <f>'ЗО-ВБ'!K115</f>
        <v>0</v>
      </c>
      <c r="M113" s="1">
        <f>'ЗО-ВБ'!L115</f>
        <v>0</v>
      </c>
      <c r="N113" s="1">
        <f>'ЗО-ВБ'!M115</f>
        <v>0</v>
      </c>
      <c r="O113" s="1">
        <f>'ЗО-ВБ'!N115</f>
        <v>0</v>
      </c>
      <c r="P113" s="1">
        <f>'ЗО-ВБ'!O115</f>
        <v>0</v>
      </c>
      <c r="Q113" s="1">
        <f>'ЗО-ВБ'!P115</f>
        <v>0</v>
      </c>
      <c r="R113" s="1">
        <f>'ЗО-ВБ'!Q115</f>
        <v>0</v>
      </c>
      <c r="S113" s="1">
        <f>'ЗО-ВБ'!R115</f>
        <v>0</v>
      </c>
      <c r="T113" s="1">
        <f>'ЗО-ВБ'!S115</f>
        <v>0</v>
      </c>
      <c r="U113" s="1">
        <f>'ЗО-ВБ'!T115</f>
        <v>0</v>
      </c>
      <c r="V113" s="1">
        <f>'ЗО-ВБ'!U115</f>
        <v>0</v>
      </c>
      <c r="W113" s="1">
        <f>'ЗО-ВБ'!V115</f>
        <v>0</v>
      </c>
    </row>
    <row r="114" spans="1:23" x14ac:dyDescent="0.25">
      <c r="A114" s="24" t="s">
        <v>249</v>
      </c>
      <c r="B114" s="1">
        <f>'ЗО-ВБ'!A116</f>
        <v>0</v>
      </c>
      <c r="C114" s="1">
        <f>'ЗО-ВБ'!B116</f>
        <v>0</v>
      </c>
      <c r="D114" s="1">
        <f>'ЗО-ВБ'!C116</f>
        <v>0</v>
      </c>
      <c r="E114" s="1">
        <f>'ЗО-ВБ'!D116</f>
        <v>0</v>
      </c>
      <c r="F114" s="1">
        <f>'ЗО-ВБ'!E116</f>
        <v>0</v>
      </c>
      <c r="G114" s="1">
        <f>'ЗО-ВБ'!F116</f>
        <v>0</v>
      </c>
      <c r="H114" s="1">
        <f>'ЗО-ВБ'!G116</f>
        <v>0</v>
      </c>
      <c r="I114" s="1">
        <f>'ЗО-ВБ'!H116</f>
        <v>0</v>
      </c>
      <c r="J114" s="1">
        <f>'ЗО-ВБ'!I116</f>
        <v>0</v>
      </c>
      <c r="K114" s="1">
        <f>'ЗО-ВБ'!J116</f>
        <v>0</v>
      </c>
      <c r="L114" s="1">
        <f>'ЗО-ВБ'!K116</f>
        <v>0</v>
      </c>
      <c r="M114" s="1">
        <f>'ЗО-ВБ'!L116</f>
        <v>0</v>
      </c>
      <c r="N114" s="1">
        <f>'ЗО-ВБ'!M116</f>
        <v>0</v>
      </c>
      <c r="O114" s="1">
        <f>'ЗО-ВБ'!N116</f>
        <v>0</v>
      </c>
      <c r="P114" s="1">
        <f>'ЗО-ВБ'!O116</f>
        <v>0</v>
      </c>
      <c r="Q114" s="1">
        <f>'ЗО-ВБ'!P116</f>
        <v>0</v>
      </c>
      <c r="R114" s="1">
        <f>'ЗО-ВБ'!Q116</f>
        <v>0</v>
      </c>
      <c r="S114" s="1">
        <f>'ЗО-ВБ'!R116</f>
        <v>0</v>
      </c>
      <c r="T114" s="1">
        <f>'ЗО-ВБ'!S116</f>
        <v>0</v>
      </c>
      <c r="U114" s="1">
        <f>'ЗО-ВБ'!T116</f>
        <v>0</v>
      </c>
      <c r="V114" s="1">
        <f>'ЗО-ВБ'!U116</f>
        <v>0</v>
      </c>
      <c r="W114" s="1">
        <f>'ЗО-ВБ'!V116</f>
        <v>0</v>
      </c>
    </row>
    <row r="115" spans="1:23" x14ac:dyDescent="0.25">
      <c r="A115" s="24" t="s">
        <v>249</v>
      </c>
      <c r="B115" s="1">
        <f>'ЗО-ВБ'!A117</f>
        <v>0</v>
      </c>
      <c r="C115" s="1">
        <f>'ЗО-ВБ'!B117</f>
        <v>0</v>
      </c>
      <c r="D115" s="1">
        <f>'ЗО-ВБ'!C117</f>
        <v>0</v>
      </c>
      <c r="E115" s="1">
        <f>'ЗО-ВБ'!D117</f>
        <v>0</v>
      </c>
      <c r="F115" s="1">
        <f>'ЗО-ВБ'!E117</f>
        <v>0</v>
      </c>
      <c r="G115" s="1">
        <f>'ЗО-ВБ'!F117</f>
        <v>0</v>
      </c>
      <c r="H115" s="1">
        <f>'ЗО-ВБ'!G117</f>
        <v>0</v>
      </c>
      <c r="I115" s="1">
        <f>'ЗО-ВБ'!H117</f>
        <v>0</v>
      </c>
      <c r="J115" s="1">
        <f>'ЗО-ВБ'!I117</f>
        <v>0</v>
      </c>
      <c r="K115" s="1">
        <f>'ЗО-ВБ'!J117</f>
        <v>0</v>
      </c>
      <c r="L115" s="1">
        <f>'ЗО-ВБ'!K117</f>
        <v>0</v>
      </c>
      <c r="M115" s="1">
        <f>'ЗО-ВБ'!L117</f>
        <v>0</v>
      </c>
      <c r="N115" s="1">
        <f>'ЗО-ВБ'!M117</f>
        <v>0</v>
      </c>
      <c r="O115" s="1">
        <f>'ЗО-ВБ'!N117</f>
        <v>0</v>
      </c>
      <c r="P115" s="1">
        <f>'ЗО-ВБ'!O117</f>
        <v>0</v>
      </c>
      <c r="Q115" s="1">
        <f>'ЗО-ВБ'!P117</f>
        <v>0</v>
      </c>
      <c r="R115" s="1">
        <f>'ЗО-ВБ'!Q117</f>
        <v>0</v>
      </c>
      <c r="S115" s="1">
        <f>'ЗО-ВБ'!R117</f>
        <v>0</v>
      </c>
      <c r="T115" s="1">
        <f>'ЗО-ВБ'!S117</f>
        <v>0</v>
      </c>
      <c r="U115" s="1">
        <f>'ЗО-ВБ'!T117</f>
        <v>0</v>
      </c>
      <c r="V115" s="1">
        <f>'ЗО-ВБ'!U117</f>
        <v>0</v>
      </c>
      <c r="W115" s="1">
        <f>'ЗО-ВБ'!V117</f>
        <v>0</v>
      </c>
    </row>
    <row r="116" spans="1:23" x14ac:dyDescent="0.25">
      <c r="A116" s="24" t="s">
        <v>249</v>
      </c>
      <c r="B116" s="1">
        <f>'ЗО-ВБ'!A118</f>
        <v>0</v>
      </c>
      <c r="C116" s="1">
        <f>'ЗО-ВБ'!B118</f>
        <v>0</v>
      </c>
      <c r="D116" s="1">
        <f>'ЗО-ВБ'!C118</f>
        <v>0</v>
      </c>
      <c r="E116" s="1">
        <f>'ЗО-ВБ'!D118</f>
        <v>0</v>
      </c>
      <c r="F116" s="1">
        <f>'ЗО-ВБ'!E118</f>
        <v>0</v>
      </c>
      <c r="G116" s="1">
        <f>'ЗО-ВБ'!F118</f>
        <v>0</v>
      </c>
      <c r="H116" s="1">
        <f>'ЗО-ВБ'!G118</f>
        <v>0</v>
      </c>
      <c r="I116" s="1">
        <f>'ЗО-ВБ'!H118</f>
        <v>0</v>
      </c>
      <c r="J116" s="1">
        <f>'ЗО-ВБ'!I118</f>
        <v>0</v>
      </c>
      <c r="K116" s="1">
        <f>'ЗО-ВБ'!J118</f>
        <v>0</v>
      </c>
      <c r="L116" s="1">
        <f>'ЗО-ВБ'!K118</f>
        <v>0</v>
      </c>
      <c r="M116" s="1">
        <f>'ЗО-ВБ'!L118</f>
        <v>0</v>
      </c>
      <c r="N116" s="1">
        <f>'ЗО-ВБ'!M118</f>
        <v>0</v>
      </c>
      <c r="O116" s="1">
        <f>'ЗО-ВБ'!N118</f>
        <v>0</v>
      </c>
      <c r="P116" s="1">
        <f>'ЗО-ВБ'!O118</f>
        <v>0</v>
      </c>
      <c r="Q116" s="1">
        <f>'ЗО-ВБ'!P118</f>
        <v>0</v>
      </c>
      <c r="R116" s="1">
        <f>'ЗО-ВБ'!Q118</f>
        <v>0</v>
      </c>
      <c r="S116" s="1">
        <f>'ЗО-ВБ'!R118</f>
        <v>0</v>
      </c>
      <c r="T116" s="1">
        <f>'ЗО-ВБ'!S118</f>
        <v>0</v>
      </c>
      <c r="U116" s="1">
        <f>'ЗО-ВБ'!T118</f>
        <v>0</v>
      </c>
      <c r="V116" s="1">
        <f>'ЗО-ВБ'!U118</f>
        <v>0</v>
      </c>
      <c r="W116" s="1">
        <f>'ЗО-ВБ'!V118</f>
        <v>0</v>
      </c>
    </row>
    <row r="117" spans="1:23" x14ac:dyDescent="0.25">
      <c r="A117" s="24" t="s">
        <v>249</v>
      </c>
      <c r="B117" s="1">
        <f>'ЗО-ВБ'!A119</f>
        <v>0</v>
      </c>
      <c r="C117" s="1">
        <f>'ЗО-ВБ'!B119</f>
        <v>0</v>
      </c>
      <c r="D117" s="1">
        <f>'ЗО-ВБ'!C119</f>
        <v>0</v>
      </c>
      <c r="E117" s="1">
        <f>'ЗО-ВБ'!D119</f>
        <v>0</v>
      </c>
      <c r="F117" s="1">
        <f>'ЗО-ВБ'!E119</f>
        <v>0</v>
      </c>
      <c r="G117" s="1">
        <f>'ЗО-ВБ'!F119</f>
        <v>0</v>
      </c>
      <c r="H117" s="1">
        <f>'ЗО-ВБ'!G119</f>
        <v>0</v>
      </c>
      <c r="I117" s="1">
        <f>'ЗО-ВБ'!H119</f>
        <v>0</v>
      </c>
      <c r="J117" s="1">
        <f>'ЗО-ВБ'!I119</f>
        <v>0</v>
      </c>
      <c r="K117" s="1">
        <f>'ЗО-ВБ'!J119</f>
        <v>0</v>
      </c>
      <c r="L117" s="1">
        <f>'ЗО-ВБ'!K119</f>
        <v>0</v>
      </c>
      <c r="M117" s="1">
        <f>'ЗО-ВБ'!L119</f>
        <v>0</v>
      </c>
      <c r="N117" s="1">
        <f>'ЗО-ВБ'!M119</f>
        <v>0</v>
      </c>
      <c r="O117" s="1">
        <f>'ЗО-ВБ'!N119</f>
        <v>0</v>
      </c>
      <c r="P117" s="1">
        <f>'ЗО-ВБ'!O119</f>
        <v>0</v>
      </c>
      <c r="Q117" s="1">
        <f>'ЗО-ВБ'!P119</f>
        <v>0</v>
      </c>
      <c r="R117" s="1">
        <f>'ЗО-ВБ'!Q119</f>
        <v>0</v>
      </c>
      <c r="S117" s="1">
        <f>'ЗО-ВБ'!R119</f>
        <v>0</v>
      </c>
      <c r="T117" s="1">
        <f>'ЗО-ВБ'!S119</f>
        <v>0</v>
      </c>
      <c r="U117" s="1">
        <f>'ЗО-ВБ'!T119</f>
        <v>0</v>
      </c>
      <c r="V117" s="1">
        <f>'ЗО-ВБ'!U119</f>
        <v>0</v>
      </c>
      <c r="W117" s="1">
        <f>'ЗО-ВБ'!V119</f>
        <v>0</v>
      </c>
    </row>
    <row r="118" spans="1:23" x14ac:dyDescent="0.25">
      <c r="A118" s="24" t="s">
        <v>249</v>
      </c>
      <c r="B118" s="1">
        <f>'ЗО-ВБ'!A120</f>
        <v>0</v>
      </c>
      <c r="C118" s="1">
        <f>'ЗО-ВБ'!B120</f>
        <v>0</v>
      </c>
      <c r="D118" s="1">
        <f>'ЗО-ВБ'!C120</f>
        <v>0</v>
      </c>
      <c r="E118" s="1">
        <f>'ЗО-ВБ'!D120</f>
        <v>0</v>
      </c>
      <c r="F118" s="1">
        <f>'ЗО-ВБ'!E120</f>
        <v>0</v>
      </c>
      <c r="G118" s="1">
        <f>'ЗО-ВБ'!F120</f>
        <v>0</v>
      </c>
      <c r="H118" s="1">
        <f>'ЗО-ВБ'!G120</f>
        <v>0</v>
      </c>
      <c r="I118" s="1">
        <f>'ЗО-ВБ'!H120</f>
        <v>0</v>
      </c>
      <c r="J118" s="1">
        <f>'ЗО-ВБ'!I120</f>
        <v>0</v>
      </c>
      <c r="K118" s="1">
        <f>'ЗО-ВБ'!J120</f>
        <v>0</v>
      </c>
      <c r="L118" s="1">
        <f>'ЗО-ВБ'!K120</f>
        <v>0</v>
      </c>
      <c r="M118" s="1">
        <f>'ЗО-ВБ'!L120</f>
        <v>0</v>
      </c>
      <c r="N118" s="1">
        <f>'ЗО-ВБ'!M120</f>
        <v>0</v>
      </c>
      <c r="O118" s="1">
        <f>'ЗО-ВБ'!N120</f>
        <v>0</v>
      </c>
      <c r="P118" s="1">
        <f>'ЗО-ВБ'!O120</f>
        <v>0</v>
      </c>
      <c r="Q118" s="1">
        <f>'ЗО-ВБ'!P120</f>
        <v>0</v>
      </c>
      <c r="R118" s="1">
        <f>'ЗО-ВБ'!Q120</f>
        <v>0</v>
      </c>
      <c r="S118" s="1">
        <f>'ЗО-ВБ'!R120</f>
        <v>0</v>
      </c>
      <c r="T118" s="1">
        <f>'ЗО-ВБ'!S120</f>
        <v>0</v>
      </c>
      <c r="U118" s="1">
        <f>'ЗО-ВБ'!T120</f>
        <v>0</v>
      </c>
      <c r="V118" s="1">
        <f>'ЗО-ВБ'!U120</f>
        <v>0</v>
      </c>
      <c r="W118" s="1">
        <f>'ЗО-ВБ'!V120</f>
        <v>0</v>
      </c>
    </row>
    <row r="119" spans="1:23" x14ac:dyDescent="0.25">
      <c r="A119" s="24" t="s">
        <v>249</v>
      </c>
      <c r="B119" s="1">
        <f>'ЗО-ВБ'!A121</f>
        <v>0</v>
      </c>
      <c r="C119" s="1">
        <f>'ЗО-ВБ'!B121</f>
        <v>0</v>
      </c>
      <c r="D119" s="1">
        <f>'ЗО-ВБ'!C121</f>
        <v>0</v>
      </c>
      <c r="E119" s="1">
        <f>'ЗО-ВБ'!D121</f>
        <v>0</v>
      </c>
      <c r="F119" s="1">
        <f>'ЗО-ВБ'!E121</f>
        <v>0</v>
      </c>
      <c r="G119" s="1">
        <f>'ЗО-ВБ'!F121</f>
        <v>0</v>
      </c>
      <c r="H119" s="1">
        <f>'ЗО-ВБ'!G121</f>
        <v>0</v>
      </c>
      <c r="I119" s="1">
        <f>'ЗО-ВБ'!H121</f>
        <v>0</v>
      </c>
      <c r="J119" s="1">
        <f>'ЗО-ВБ'!I121</f>
        <v>0</v>
      </c>
      <c r="K119" s="1">
        <f>'ЗО-ВБ'!J121</f>
        <v>0</v>
      </c>
      <c r="L119" s="1">
        <f>'ЗО-ВБ'!K121</f>
        <v>0</v>
      </c>
      <c r="M119" s="1">
        <f>'ЗО-ВБ'!L121</f>
        <v>0</v>
      </c>
      <c r="N119" s="1">
        <f>'ЗО-ВБ'!M121</f>
        <v>0</v>
      </c>
      <c r="O119" s="1">
        <f>'ЗО-ВБ'!N121</f>
        <v>0</v>
      </c>
      <c r="P119" s="1">
        <f>'ЗО-ВБ'!O121</f>
        <v>0</v>
      </c>
      <c r="Q119" s="1">
        <f>'ЗО-ВБ'!P121</f>
        <v>0</v>
      </c>
      <c r="R119" s="1">
        <f>'ЗО-ВБ'!Q121</f>
        <v>0</v>
      </c>
      <c r="S119" s="1">
        <f>'ЗО-ВБ'!R121</f>
        <v>0</v>
      </c>
      <c r="T119" s="1">
        <f>'ЗО-ВБ'!S121</f>
        <v>0</v>
      </c>
      <c r="U119" s="1">
        <f>'ЗО-ВБ'!T121</f>
        <v>0</v>
      </c>
      <c r="V119" s="1">
        <f>'ЗО-ВБ'!U121</f>
        <v>0</v>
      </c>
      <c r="W119" s="1">
        <f>'ЗО-ВБ'!V121</f>
        <v>0</v>
      </c>
    </row>
    <row r="120" spans="1:23" x14ac:dyDescent="0.25">
      <c r="A120" s="24" t="s">
        <v>249</v>
      </c>
      <c r="B120" s="1">
        <f>'ЗО-ВБ'!A122</f>
        <v>0</v>
      </c>
      <c r="C120" s="1">
        <f>'ЗО-ВБ'!B122</f>
        <v>0</v>
      </c>
      <c r="D120" s="1">
        <f>'ЗО-ВБ'!C122</f>
        <v>0</v>
      </c>
      <c r="E120" s="1">
        <f>'ЗО-ВБ'!D122</f>
        <v>0</v>
      </c>
      <c r="F120" s="1">
        <f>'ЗО-ВБ'!E122</f>
        <v>0</v>
      </c>
      <c r="G120" s="1">
        <f>'ЗО-ВБ'!F122</f>
        <v>0</v>
      </c>
      <c r="H120" s="1">
        <f>'ЗО-ВБ'!G122</f>
        <v>0</v>
      </c>
      <c r="I120" s="1">
        <f>'ЗО-ВБ'!H122</f>
        <v>0</v>
      </c>
      <c r="J120" s="1">
        <f>'ЗО-ВБ'!I122</f>
        <v>0</v>
      </c>
      <c r="K120" s="1">
        <f>'ЗО-ВБ'!J122</f>
        <v>0</v>
      </c>
      <c r="L120" s="1">
        <f>'ЗО-ВБ'!K122</f>
        <v>0</v>
      </c>
      <c r="M120" s="1">
        <f>'ЗО-ВБ'!L122</f>
        <v>0</v>
      </c>
      <c r="N120" s="1">
        <f>'ЗО-ВБ'!M122</f>
        <v>0</v>
      </c>
      <c r="O120" s="1">
        <f>'ЗО-ВБ'!N122</f>
        <v>0</v>
      </c>
      <c r="P120" s="1">
        <f>'ЗО-ВБ'!O122</f>
        <v>0</v>
      </c>
      <c r="Q120" s="1">
        <f>'ЗО-ВБ'!P122</f>
        <v>0</v>
      </c>
      <c r="R120" s="1">
        <f>'ЗО-ВБ'!Q122</f>
        <v>0</v>
      </c>
      <c r="S120" s="1">
        <f>'ЗО-ВБ'!R122</f>
        <v>0</v>
      </c>
      <c r="T120" s="1">
        <f>'ЗО-ВБ'!S122</f>
        <v>0</v>
      </c>
      <c r="U120" s="1">
        <f>'ЗО-ВБ'!T122</f>
        <v>0</v>
      </c>
      <c r="V120" s="1">
        <f>'ЗО-ВБ'!U122</f>
        <v>0</v>
      </c>
      <c r="W120" s="1">
        <f>'ЗО-ВБ'!V122</f>
        <v>0</v>
      </c>
    </row>
    <row r="121" spans="1:23" x14ac:dyDescent="0.25">
      <c r="A121" s="24" t="s">
        <v>249</v>
      </c>
      <c r="B121" s="1">
        <f>'ЗО-ВБ'!A123</f>
        <v>0</v>
      </c>
      <c r="C121" s="1">
        <f>'ЗО-ВБ'!B123</f>
        <v>0</v>
      </c>
      <c r="D121" s="1">
        <f>'ЗО-ВБ'!C123</f>
        <v>0</v>
      </c>
      <c r="E121" s="1">
        <f>'ЗО-ВБ'!D123</f>
        <v>0</v>
      </c>
      <c r="F121" s="1">
        <f>'ЗО-ВБ'!E123</f>
        <v>0</v>
      </c>
      <c r="G121" s="1">
        <f>'ЗО-ВБ'!F123</f>
        <v>0</v>
      </c>
      <c r="H121" s="1">
        <f>'ЗО-ВБ'!G123</f>
        <v>0</v>
      </c>
      <c r="I121" s="1">
        <f>'ЗО-ВБ'!H123</f>
        <v>0</v>
      </c>
      <c r="J121" s="1">
        <f>'ЗО-ВБ'!I123</f>
        <v>0</v>
      </c>
      <c r="K121" s="1">
        <f>'ЗО-ВБ'!J123</f>
        <v>0</v>
      </c>
      <c r="L121" s="1">
        <f>'ЗО-ВБ'!K123</f>
        <v>0</v>
      </c>
      <c r="M121" s="1">
        <f>'ЗО-ВБ'!L123</f>
        <v>0</v>
      </c>
      <c r="N121" s="1">
        <f>'ЗО-ВБ'!M123</f>
        <v>0</v>
      </c>
      <c r="O121" s="1">
        <f>'ЗО-ВБ'!N123</f>
        <v>0</v>
      </c>
      <c r="P121" s="1">
        <f>'ЗО-ВБ'!O123</f>
        <v>0</v>
      </c>
      <c r="Q121" s="1">
        <f>'ЗО-ВБ'!P123</f>
        <v>0</v>
      </c>
      <c r="R121" s="1">
        <f>'ЗО-ВБ'!Q123</f>
        <v>0</v>
      </c>
      <c r="S121" s="1">
        <f>'ЗО-ВБ'!R123</f>
        <v>0</v>
      </c>
      <c r="T121" s="1">
        <f>'ЗО-ВБ'!S123</f>
        <v>0</v>
      </c>
      <c r="U121" s="1">
        <f>'ЗО-ВБ'!T123</f>
        <v>0</v>
      </c>
      <c r="V121" s="1">
        <f>'ЗО-ВБ'!U123</f>
        <v>0</v>
      </c>
      <c r="W121" s="1">
        <f>'ЗО-ВБ'!V123</f>
        <v>0</v>
      </c>
    </row>
    <row r="122" spans="1:23" x14ac:dyDescent="0.25">
      <c r="A122" s="24" t="s">
        <v>249</v>
      </c>
      <c r="B122" s="1">
        <f>'ЗО-ВБ'!A124</f>
        <v>0</v>
      </c>
      <c r="C122" s="1">
        <f>'ЗО-ВБ'!B124</f>
        <v>0</v>
      </c>
      <c r="D122" s="1">
        <f>'ЗО-ВБ'!C124</f>
        <v>0</v>
      </c>
      <c r="E122" s="1">
        <f>'ЗО-ВБ'!D124</f>
        <v>0</v>
      </c>
      <c r="F122" s="1">
        <f>'ЗО-ВБ'!E124</f>
        <v>0</v>
      </c>
      <c r="G122" s="1">
        <f>'ЗО-ВБ'!F124</f>
        <v>0</v>
      </c>
      <c r="H122" s="1">
        <f>'ЗО-ВБ'!G124</f>
        <v>0</v>
      </c>
      <c r="I122" s="1">
        <f>'ЗО-ВБ'!H124</f>
        <v>0</v>
      </c>
      <c r="J122" s="1">
        <f>'ЗО-ВБ'!I124</f>
        <v>0</v>
      </c>
      <c r="K122" s="1">
        <f>'ЗО-ВБ'!J124</f>
        <v>0</v>
      </c>
      <c r="L122" s="1">
        <f>'ЗО-ВБ'!K124</f>
        <v>0</v>
      </c>
      <c r="M122" s="1">
        <f>'ЗО-ВБ'!L124</f>
        <v>0</v>
      </c>
      <c r="N122" s="1">
        <f>'ЗО-ВБ'!M124</f>
        <v>0</v>
      </c>
      <c r="O122" s="1">
        <f>'ЗО-ВБ'!N124</f>
        <v>0</v>
      </c>
      <c r="P122" s="1">
        <f>'ЗО-ВБ'!O124</f>
        <v>0</v>
      </c>
      <c r="Q122" s="1">
        <f>'ЗО-ВБ'!P124</f>
        <v>0</v>
      </c>
      <c r="R122" s="1">
        <f>'ЗО-ВБ'!Q124</f>
        <v>0</v>
      </c>
      <c r="S122" s="1">
        <f>'ЗО-ВБ'!R124</f>
        <v>0</v>
      </c>
      <c r="T122" s="1">
        <f>'ЗО-ВБ'!S124</f>
        <v>0</v>
      </c>
      <c r="U122" s="1">
        <f>'ЗО-ВБ'!T124</f>
        <v>0</v>
      </c>
      <c r="V122" s="1">
        <f>'ЗО-ВБ'!U124</f>
        <v>0</v>
      </c>
      <c r="W122" s="1">
        <f>'ЗО-ВБ'!V124</f>
        <v>0</v>
      </c>
    </row>
    <row r="123" spans="1:23" x14ac:dyDescent="0.25">
      <c r="A123" s="24" t="s">
        <v>249</v>
      </c>
      <c r="B123" s="1">
        <f>'ЗО-ВБ'!A125</f>
        <v>0</v>
      </c>
      <c r="C123" s="1">
        <f>'ЗО-ВБ'!B125</f>
        <v>0</v>
      </c>
      <c r="D123" s="1">
        <f>'ЗО-ВБ'!C125</f>
        <v>0</v>
      </c>
      <c r="E123" s="1">
        <f>'ЗО-ВБ'!D125</f>
        <v>0</v>
      </c>
      <c r="F123" s="1">
        <f>'ЗО-ВБ'!E125</f>
        <v>0</v>
      </c>
      <c r="G123" s="1">
        <f>'ЗО-ВБ'!F125</f>
        <v>0</v>
      </c>
      <c r="H123" s="1">
        <f>'ЗО-ВБ'!G125</f>
        <v>0</v>
      </c>
      <c r="I123" s="1">
        <f>'ЗО-ВБ'!H125</f>
        <v>0</v>
      </c>
      <c r="J123" s="1">
        <f>'ЗО-ВБ'!I125</f>
        <v>0</v>
      </c>
      <c r="K123" s="1">
        <f>'ЗО-ВБ'!J125</f>
        <v>0</v>
      </c>
      <c r="L123" s="1">
        <f>'ЗО-ВБ'!K125</f>
        <v>0</v>
      </c>
      <c r="M123" s="1">
        <f>'ЗО-ВБ'!L125</f>
        <v>0</v>
      </c>
      <c r="N123" s="1">
        <f>'ЗО-ВБ'!M125</f>
        <v>0</v>
      </c>
      <c r="O123" s="1">
        <f>'ЗО-ВБ'!N125</f>
        <v>0</v>
      </c>
      <c r="P123" s="1">
        <f>'ЗО-ВБ'!O125</f>
        <v>0</v>
      </c>
      <c r="Q123" s="1">
        <f>'ЗО-ВБ'!P125</f>
        <v>0</v>
      </c>
      <c r="R123" s="1">
        <f>'ЗО-ВБ'!Q125</f>
        <v>0</v>
      </c>
      <c r="S123" s="1">
        <f>'ЗО-ВБ'!R125</f>
        <v>0</v>
      </c>
      <c r="T123" s="1">
        <f>'ЗО-ВБ'!S125</f>
        <v>0</v>
      </c>
      <c r="U123" s="1">
        <f>'ЗО-ВБ'!T125</f>
        <v>0</v>
      </c>
      <c r="V123" s="1">
        <f>'ЗО-ВБ'!U125</f>
        <v>0</v>
      </c>
      <c r="W123" s="1">
        <f>'ЗО-ВБ'!V125</f>
        <v>0</v>
      </c>
    </row>
    <row r="124" spans="1:23" x14ac:dyDescent="0.25">
      <c r="A124" s="24" t="s">
        <v>249</v>
      </c>
      <c r="B124" s="1">
        <f>'ЗО-ВБ'!A126</f>
        <v>0</v>
      </c>
      <c r="C124" s="1">
        <f>'ЗО-ВБ'!B126</f>
        <v>0</v>
      </c>
      <c r="D124" s="1">
        <f>'ЗО-ВБ'!C126</f>
        <v>0</v>
      </c>
      <c r="E124" s="1">
        <f>'ЗО-ВБ'!D126</f>
        <v>0</v>
      </c>
      <c r="F124" s="1">
        <f>'ЗО-ВБ'!E126</f>
        <v>0</v>
      </c>
      <c r="G124" s="1">
        <f>'ЗО-ВБ'!F126</f>
        <v>0</v>
      </c>
      <c r="H124" s="1">
        <f>'ЗО-ВБ'!G126</f>
        <v>0</v>
      </c>
      <c r="I124" s="1">
        <f>'ЗО-ВБ'!H126</f>
        <v>0</v>
      </c>
      <c r="J124" s="1">
        <f>'ЗО-ВБ'!I126</f>
        <v>0</v>
      </c>
      <c r="K124" s="1">
        <f>'ЗО-ВБ'!J126</f>
        <v>0</v>
      </c>
      <c r="L124" s="1">
        <f>'ЗО-ВБ'!K126</f>
        <v>0</v>
      </c>
      <c r="M124" s="1">
        <f>'ЗО-ВБ'!L126</f>
        <v>0</v>
      </c>
      <c r="N124" s="1">
        <f>'ЗО-ВБ'!M126</f>
        <v>0</v>
      </c>
      <c r="O124" s="1">
        <f>'ЗО-ВБ'!N126</f>
        <v>0</v>
      </c>
      <c r="P124" s="1">
        <f>'ЗО-ВБ'!O126</f>
        <v>0</v>
      </c>
      <c r="Q124" s="1">
        <f>'ЗО-ВБ'!P126</f>
        <v>0</v>
      </c>
      <c r="R124" s="1">
        <f>'ЗО-ВБ'!Q126</f>
        <v>0</v>
      </c>
      <c r="S124" s="1">
        <f>'ЗО-ВБ'!R126</f>
        <v>0</v>
      </c>
      <c r="T124" s="1">
        <f>'ЗО-ВБ'!S126</f>
        <v>0</v>
      </c>
      <c r="U124" s="1">
        <f>'ЗО-ВБ'!T126</f>
        <v>0</v>
      </c>
      <c r="V124" s="1">
        <f>'ЗО-ВБ'!U126</f>
        <v>0</v>
      </c>
      <c r="W124" s="1">
        <f>'ЗО-ВБ'!V126</f>
        <v>0</v>
      </c>
    </row>
    <row r="125" spans="1:23" x14ac:dyDescent="0.25">
      <c r="A125" s="24" t="s">
        <v>249</v>
      </c>
      <c r="B125" s="1">
        <f>'ЗО-ВБ'!A127</f>
        <v>0</v>
      </c>
      <c r="C125" s="1">
        <f>'ЗО-ВБ'!B127</f>
        <v>0</v>
      </c>
      <c r="D125" s="1">
        <f>'ЗО-ВБ'!C127</f>
        <v>0</v>
      </c>
      <c r="E125" s="1">
        <f>'ЗО-ВБ'!D127</f>
        <v>0</v>
      </c>
      <c r="F125" s="1">
        <f>'ЗО-ВБ'!E127</f>
        <v>0</v>
      </c>
      <c r="G125" s="1">
        <f>'ЗО-ВБ'!F127</f>
        <v>0</v>
      </c>
      <c r="H125" s="1">
        <f>'ЗО-ВБ'!G127</f>
        <v>0</v>
      </c>
      <c r="I125" s="1">
        <f>'ЗО-ВБ'!H127</f>
        <v>0</v>
      </c>
      <c r="J125" s="1">
        <f>'ЗО-ВБ'!I127</f>
        <v>0</v>
      </c>
      <c r="K125" s="1">
        <f>'ЗО-ВБ'!J127</f>
        <v>0</v>
      </c>
      <c r="L125" s="1">
        <f>'ЗО-ВБ'!K127</f>
        <v>0</v>
      </c>
      <c r="M125" s="1">
        <f>'ЗО-ВБ'!L127</f>
        <v>0</v>
      </c>
      <c r="N125" s="1">
        <f>'ЗО-ВБ'!M127</f>
        <v>0</v>
      </c>
      <c r="O125" s="1">
        <f>'ЗО-ВБ'!N127</f>
        <v>0</v>
      </c>
      <c r="P125" s="1">
        <f>'ЗО-ВБ'!O127</f>
        <v>0</v>
      </c>
      <c r="Q125" s="1">
        <f>'ЗО-ВБ'!P127</f>
        <v>0</v>
      </c>
      <c r="R125" s="1">
        <f>'ЗО-ВБ'!Q127</f>
        <v>0</v>
      </c>
      <c r="S125" s="1">
        <f>'ЗО-ВБ'!R127</f>
        <v>0</v>
      </c>
      <c r="T125" s="1">
        <f>'ЗО-ВБ'!S127</f>
        <v>0</v>
      </c>
      <c r="U125" s="1">
        <f>'ЗО-ВБ'!T127</f>
        <v>0</v>
      </c>
      <c r="V125" s="1">
        <f>'ЗО-ВБ'!U127</f>
        <v>0</v>
      </c>
      <c r="W125" s="1">
        <f>'ЗО-ВБ'!V127</f>
        <v>0</v>
      </c>
    </row>
    <row r="126" spans="1:23" x14ac:dyDescent="0.25">
      <c r="A126" s="24" t="s">
        <v>249</v>
      </c>
      <c r="B126" s="1">
        <f>'ЗО-ВБ'!A128</f>
        <v>0</v>
      </c>
      <c r="C126" s="1">
        <f>'ЗО-ВБ'!B128</f>
        <v>0</v>
      </c>
      <c r="D126" s="1">
        <f>'ЗО-ВБ'!C128</f>
        <v>0</v>
      </c>
      <c r="E126" s="1">
        <f>'ЗО-ВБ'!D128</f>
        <v>0</v>
      </c>
      <c r="F126" s="1">
        <f>'ЗО-ВБ'!E128</f>
        <v>0</v>
      </c>
      <c r="G126" s="1">
        <f>'ЗО-ВБ'!F128</f>
        <v>0</v>
      </c>
      <c r="H126" s="1">
        <f>'ЗО-ВБ'!G128</f>
        <v>0</v>
      </c>
      <c r="I126" s="1">
        <f>'ЗО-ВБ'!H128</f>
        <v>0</v>
      </c>
      <c r="J126" s="1">
        <f>'ЗО-ВБ'!I128</f>
        <v>0</v>
      </c>
      <c r="K126" s="1">
        <f>'ЗО-ВБ'!J128</f>
        <v>0</v>
      </c>
      <c r="L126" s="1">
        <f>'ЗО-ВБ'!K128</f>
        <v>0</v>
      </c>
      <c r="M126" s="1">
        <f>'ЗО-ВБ'!L128</f>
        <v>0</v>
      </c>
      <c r="N126" s="1">
        <f>'ЗО-ВБ'!M128</f>
        <v>0</v>
      </c>
      <c r="O126" s="1">
        <f>'ЗО-ВБ'!N128</f>
        <v>0</v>
      </c>
      <c r="P126" s="1">
        <f>'ЗО-ВБ'!O128</f>
        <v>0</v>
      </c>
      <c r="Q126" s="1">
        <f>'ЗО-ВБ'!P128</f>
        <v>0</v>
      </c>
      <c r="R126" s="1">
        <f>'ЗО-ВБ'!Q128</f>
        <v>0</v>
      </c>
      <c r="S126" s="1">
        <f>'ЗО-ВБ'!R128</f>
        <v>0</v>
      </c>
      <c r="T126" s="1">
        <f>'ЗО-ВБ'!S128</f>
        <v>0</v>
      </c>
      <c r="U126" s="1">
        <f>'ЗО-ВБ'!T128</f>
        <v>0</v>
      </c>
      <c r="V126" s="1">
        <f>'ЗО-ВБ'!U128</f>
        <v>0</v>
      </c>
      <c r="W126" s="1">
        <f>'ЗО-ВБ'!V128</f>
        <v>0</v>
      </c>
    </row>
    <row r="127" spans="1:23" x14ac:dyDescent="0.25">
      <c r="A127" s="24" t="s">
        <v>249</v>
      </c>
      <c r="B127" s="1">
        <f>'ЗО-ВБ'!A129</f>
        <v>0</v>
      </c>
      <c r="C127" s="1">
        <f>'ЗО-ВБ'!B129</f>
        <v>0</v>
      </c>
      <c r="D127" s="1">
        <f>'ЗО-ВБ'!C129</f>
        <v>0</v>
      </c>
      <c r="E127" s="1">
        <f>'ЗО-ВБ'!D129</f>
        <v>0</v>
      </c>
      <c r="F127" s="1">
        <f>'ЗО-ВБ'!E129</f>
        <v>0</v>
      </c>
      <c r="G127" s="1">
        <f>'ЗО-ВБ'!F129</f>
        <v>0</v>
      </c>
      <c r="H127" s="1">
        <f>'ЗО-ВБ'!G129</f>
        <v>0</v>
      </c>
      <c r="I127" s="1">
        <f>'ЗО-ВБ'!H129</f>
        <v>0</v>
      </c>
      <c r="J127" s="1">
        <f>'ЗО-ВБ'!I129</f>
        <v>0</v>
      </c>
      <c r="K127" s="1">
        <f>'ЗО-ВБ'!J129</f>
        <v>0</v>
      </c>
      <c r="L127" s="1">
        <f>'ЗО-ВБ'!K129</f>
        <v>0</v>
      </c>
      <c r="M127" s="1">
        <f>'ЗО-ВБ'!L129</f>
        <v>0</v>
      </c>
      <c r="N127" s="1">
        <f>'ЗО-ВБ'!M129</f>
        <v>0</v>
      </c>
      <c r="O127" s="1">
        <f>'ЗО-ВБ'!N129</f>
        <v>0</v>
      </c>
      <c r="P127" s="1">
        <f>'ЗО-ВБ'!O129</f>
        <v>0</v>
      </c>
      <c r="Q127" s="1">
        <f>'ЗО-ВБ'!P129</f>
        <v>0</v>
      </c>
      <c r="R127" s="1">
        <f>'ЗО-ВБ'!Q129</f>
        <v>0</v>
      </c>
      <c r="S127" s="1">
        <f>'ЗО-ВБ'!R129</f>
        <v>0</v>
      </c>
      <c r="T127" s="1">
        <f>'ЗО-ВБ'!S129</f>
        <v>0</v>
      </c>
      <c r="U127" s="1">
        <f>'ЗО-ВБ'!T129</f>
        <v>0</v>
      </c>
      <c r="V127" s="1">
        <f>'ЗО-ВБ'!U129</f>
        <v>0</v>
      </c>
      <c r="W127" s="1">
        <f>'ЗО-ВБ'!V129</f>
        <v>0</v>
      </c>
    </row>
    <row r="128" spans="1:23" x14ac:dyDescent="0.25">
      <c r="A128" s="24" t="s">
        <v>249</v>
      </c>
      <c r="B128" s="1">
        <f>'ЗО-ВБ'!A130</f>
        <v>0</v>
      </c>
      <c r="C128" s="1">
        <f>'ЗО-ВБ'!B130</f>
        <v>0</v>
      </c>
      <c r="D128" s="1">
        <f>'ЗО-ВБ'!C130</f>
        <v>0</v>
      </c>
      <c r="E128" s="1">
        <f>'ЗО-ВБ'!D130</f>
        <v>0</v>
      </c>
      <c r="F128" s="1">
        <f>'ЗО-ВБ'!E130</f>
        <v>0</v>
      </c>
      <c r="G128" s="1">
        <f>'ЗО-ВБ'!F130</f>
        <v>0</v>
      </c>
      <c r="H128" s="1">
        <f>'ЗО-ВБ'!G130</f>
        <v>0</v>
      </c>
      <c r="I128" s="1">
        <f>'ЗО-ВБ'!H130</f>
        <v>0</v>
      </c>
      <c r="J128" s="1">
        <f>'ЗО-ВБ'!I130</f>
        <v>0</v>
      </c>
      <c r="K128" s="1">
        <f>'ЗО-ВБ'!J130</f>
        <v>0</v>
      </c>
      <c r="L128" s="1">
        <f>'ЗО-ВБ'!K130</f>
        <v>0</v>
      </c>
      <c r="M128" s="1">
        <f>'ЗО-ВБ'!L130</f>
        <v>0</v>
      </c>
      <c r="N128" s="1">
        <f>'ЗО-ВБ'!M130</f>
        <v>0</v>
      </c>
      <c r="O128" s="1">
        <f>'ЗО-ВБ'!N130</f>
        <v>0</v>
      </c>
      <c r="P128" s="1">
        <f>'ЗО-ВБ'!O130</f>
        <v>0</v>
      </c>
      <c r="Q128" s="1">
        <f>'ЗО-ВБ'!P130</f>
        <v>0</v>
      </c>
      <c r="R128" s="1">
        <f>'ЗО-ВБ'!Q130</f>
        <v>0</v>
      </c>
      <c r="S128" s="1">
        <f>'ЗО-ВБ'!R130</f>
        <v>0</v>
      </c>
      <c r="T128" s="1">
        <f>'ЗО-ВБ'!S130</f>
        <v>0</v>
      </c>
      <c r="U128" s="1">
        <f>'ЗО-ВБ'!T130</f>
        <v>0</v>
      </c>
      <c r="V128" s="1">
        <f>'ЗО-ВБ'!U130</f>
        <v>0</v>
      </c>
      <c r="W128" s="1">
        <f>'ЗО-ВБ'!V130</f>
        <v>0</v>
      </c>
    </row>
    <row r="129" spans="1:23" x14ac:dyDescent="0.25">
      <c r="A129" s="24" t="s">
        <v>249</v>
      </c>
      <c r="B129" s="1">
        <f>'ЗО-ВБ'!A131</f>
        <v>0</v>
      </c>
      <c r="C129" s="1">
        <f>'ЗО-ВБ'!B131</f>
        <v>0</v>
      </c>
      <c r="D129" s="1">
        <f>'ЗО-ВБ'!C131</f>
        <v>0</v>
      </c>
      <c r="E129" s="1">
        <f>'ЗО-ВБ'!D131</f>
        <v>0</v>
      </c>
      <c r="F129" s="1">
        <f>'ЗО-ВБ'!E131</f>
        <v>0</v>
      </c>
      <c r="G129" s="1">
        <f>'ЗО-ВБ'!F131</f>
        <v>0</v>
      </c>
      <c r="H129" s="1">
        <f>'ЗО-ВБ'!G131</f>
        <v>0</v>
      </c>
      <c r="I129" s="1">
        <f>'ЗО-ВБ'!H131</f>
        <v>0</v>
      </c>
      <c r="J129" s="1">
        <f>'ЗО-ВБ'!I131</f>
        <v>0</v>
      </c>
      <c r="K129" s="1">
        <f>'ЗО-ВБ'!J131</f>
        <v>0</v>
      </c>
      <c r="L129" s="1">
        <f>'ЗО-ВБ'!K131</f>
        <v>0</v>
      </c>
      <c r="M129" s="1">
        <f>'ЗО-ВБ'!L131</f>
        <v>0</v>
      </c>
      <c r="N129" s="1">
        <f>'ЗО-ВБ'!M131</f>
        <v>0</v>
      </c>
      <c r="O129" s="1">
        <f>'ЗО-ВБ'!N131</f>
        <v>0</v>
      </c>
      <c r="P129" s="1">
        <f>'ЗО-ВБ'!O131</f>
        <v>0</v>
      </c>
      <c r="Q129" s="1">
        <f>'ЗО-ВБ'!P131</f>
        <v>0</v>
      </c>
      <c r="R129" s="1">
        <f>'ЗО-ВБ'!Q131</f>
        <v>0</v>
      </c>
      <c r="S129" s="1">
        <f>'ЗО-ВБ'!R131</f>
        <v>0</v>
      </c>
      <c r="T129" s="1">
        <f>'ЗО-ВБ'!S131</f>
        <v>0</v>
      </c>
      <c r="U129" s="1">
        <f>'ЗО-ВБ'!T131</f>
        <v>0</v>
      </c>
      <c r="V129" s="1">
        <f>'ЗО-ВБ'!U131</f>
        <v>0</v>
      </c>
      <c r="W129" s="1">
        <f>'ЗО-ВБ'!V131</f>
        <v>0</v>
      </c>
    </row>
    <row r="130" spans="1:23" x14ac:dyDescent="0.25">
      <c r="A130" s="24" t="s">
        <v>249</v>
      </c>
      <c r="B130" s="1">
        <f>'ЗО-ВБ'!A132</f>
        <v>0</v>
      </c>
      <c r="C130" s="1">
        <f>'ЗО-ВБ'!B132</f>
        <v>0</v>
      </c>
      <c r="D130" s="1">
        <f>'ЗО-ВБ'!C132</f>
        <v>0</v>
      </c>
      <c r="E130" s="1">
        <f>'ЗО-ВБ'!D132</f>
        <v>0</v>
      </c>
      <c r="F130" s="1">
        <f>'ЗО-ВБ'!E132</f>
        <v>0</v>
      </c>
      <c r="G130" s="1">
        <f>'ЗО-ВБ'!F132</f>
        <v>0</v>
      </c>
      <c r="H130" s="1">
        <f>'ЗО-ВБ'!G132</f>
        <v>0</v>
      </c>
      <c r="I130" s="1">
        <f>'ЗО-ВБ'!H132</f>
        <v>0</v>
      </c>
      <c r="J130" s="1">
        <f>'ЗО-ВБ'!I132</f>
        <v>0</v>
      </c>
      <c r="K130" s="1">
        <f>'ЗО-ВБ'!J132</f>
        <v>0</v>
      </c>
      <c r="L130" s="1">
        <f>'ЗО-ВБ'!K132</f>
        <v>0</v>
      </c>
      <c r="M130" s="1">
        <f>'ЗО-ВБ'!L132</f>
        <v>0</v>
      </c>
      <c r="N130" s="1">
        <f>'ЗО-ВБ'!M132</f>
        <v>0</v>
      </c>
      <c r="O130" s="1">
        <f>'ЗО-ВБ'!N132</f>
        <v>0</v>
      </c>
      <c r="P130" s="1">
        <f>'ЗО-ВБ'!O132</f>
        <v>0</v>
      </c>
      <c r="Q130" s="1">
        <f>'ЗО-ВБ'!P132</f>
        <v>0</v>
      </c>
      <c r="R130" s="1">
        <f>'ЗО-ВБ'!Q132</f>
        <v>0</v>
      </c>
      <c r="S130" s="1">
        <f>'ЗО-ВБ'!R132</f>
        <v>0</v>
      </c>
      <c r="T130" s="1">
        <f>'ЗО-ВБ'!S132</f>
        <v>0</v>
      </c>
      <c r="U130" s="1">
        <f>'ЗО-ВБ'!T132</f>
        <v>0</v>
      </c>
      <c r="V130" s="1">
        <f>'ЗО-ВБ'!U132</f>
        <v>0</v>
      </c>
      <c r="W130" s="1">
        <f>'ЗО-ВБ'!V132</f>
        <v>0</v>
      </c>
    </row>
    <row r="131" spans="1:23" x14ac:dyDescent="0.25">
      <c r="A131" s="24" t="s">
        <v>249</v>
      </c>
      <c r="B131" s="1">
        <f>'ЗО-ВБ'!A133</f>
        <v>0</v>
      </c>
      <c r="C131" s="1">
        <f>'ЗО-ВБ'!B133</f>
        <v>0</v>
      </c>
      <c r="D131" s="1">
        <f>'ЗО-ВБ'!C133</f>
        <v>0</v>
      </c>
      <c r="E131" s="1">
        <f>'ЗО-ВБ'!D133</f>
        <v>0</v>
      </c>
      <c r="F131" s="1">
        <f>'ЗО-ВБ'!E133</f>
        <v>0</v>
      </c>
      <c r="G131" s="1">
        <f>'ЗО-ВБ'!F133</f>
        <v>0</v>
      </c>
      <c r="H131" s="1">
        <f>'ЗО-ВБ'!G133</f>
        <v>0</v>
      </c>
      <c r="I131" s="1">
        <f>'ЗО-ВБ'!H133</f>
        <v>0</v>
      </c>
      <c r="J131" s="1">
        <f>'ЗО-ВБ'!I133</f>
        <v>0</v>
      </c>
      <c r="K131" s="1">
        <f>'ЗО-ВБ'!J133</f>
        <v>0</v>
      </c>
      <c r="L131" s="1">
        <f>'ЗО-ВБ'!K133</f>
        <v>0</v>
      </c>
      <c r="M131" s="1">
        <f>'ЗО-ВБ'!L133</f>
        <v>0</v>
      </c>
      <c r="N131" s="1">
        <f>'ЗО-ВБ'!M133</f>
        <v>0</v>
      </c>
      <c r="O131" s="1">
        <f>'ЗО-ВБ'!N133</f>
        <v>0</v>
      </c>
      <c r="P131" s="1">
        <f>'ЗО-ВБ'!O133</f>
        <v>0</v>
      </c>
      <c r="Q131" s="1">
        <f>'ЗО-ВБ'!P133</f>
        <v>0</v>
      </c>
      <c r="R131" s="1">
        <f>'ЗО-ВБ'!Q133</f>
        <v>0</v>
      </c>
      <c r="S131" s="1">
        <f>'ЗО-ВБ'!R133</f>
        <v>0</v>
      </c>
      <c r="T131" s="1">
        <f>'ЗО-ВБ'!S133</f>
        <v>0</v>
      </c>
      <c r="U131" s="1">
        <f>'ЗО-ВБ'!T133</f>
        <v>0</v>
      </c>
      <c r="V131" s="1">
        <f>'ЗО-ВБ'!U133</f>
        <v>0</v>
      </c>
      <c r="W131" s="1">
        <f>'ЗО-ВБ'!V133</f>
        <v>0</v>
      </c>
    </row>
    <row r="132" spans="1:23" x14ac:dyDescent="0.25">
      <c r="A132" s="24" t="s">
        <v>249</v>
      </c>
      <c r="B132" s="1">
        <f>'ЗО-ВБ'!A134</f>
        <v>0</v>
      </c>
      <c r="C132" s="1">
        <f>'ЗО-ВБ'!B134</f>
        <v>0</v>
      </c>
      <c r="D132" s="1">
        <f>'ЗО-ВБ'!C134</f>
        <v>0</v>
      </c>
      <c r="E132" s="1">
        <f>'ЗО-ВБ'!D134</f>
        <v>0</v>
      </c>
      <c r="F132" s="1">
        <f>'ЗО-ВБ'!E134</f>
        <v>0</v>
      </c>
      <c r="G132" s="1">
        <f>'ЗО-ВБ'!F134</f>
        <v>0</v>
      </c>
      <c r="H132" s="1">
        <f>'ЗО-ВБ'!G134</f>
        <v>0</v>
      </c>
      <c r="I132" s="1">
        <f>'ЗО-ВБ'!H134</f>
        <v>0</v>
      </c>
      <c r="J132" s="1">
        <f>'ЗО-ВБ'!I134</f>
        <v>0</v>
      </c>
      <c r="K132" s="1">
        <f>'ЗО-ВБ'!J134</f>
        <v>0</v>
      </c>
      <c r="L132" s="1">
        <f>'ЗО-ВБ'!K134</f>
        <v>0</v>
      </c>
      <c r="M132" s="1">
        <f>'ЗО-ВБ'!L134</f>
        <v>0</v>
      </c>
      <c r="N132" s="1">
        <f>'ЗО-ВБ'!M134</f>
        <v>0</v>
      </c>
      <c r="O132" s="1">
        <f>'ЗО-ВБ'!N134</f>
        <v>0</v>
      </c>
      <c r="P132" s="1">
        <f>'ЗО-ВБ'!O134</f>
        <v>0</v>
      </c>
      <c r="Q132" s="1">
        <f>'ЗО-ВБ'!P134</f>
        <v>0</v>
      </c>
      <c r="R132" s="1">
        <f>'ЗО-ВБ'!Q134</f>
        <v>0</v>
      </c>
      <c r="S132" s="1">
        <f>'ЗО-ВБ'!R134</f>
        <v>0</v>
      </c>
      <c r="T132" s="1">
        <f>'ЗО-ВБ'!S134</f>
        <v>0</v>
      </c>
      <c r="U132" s="1">
        <f>'ЗО-ВБ'!T134</f>
        <v>0</v>
      </c>
      <c r="V132" s="1">
        <f>'ЗО-ВБ'!U134</f>
        <v>0</v>
      </c>
      <c r="W132" s="1">
        <f>'ЗО-ВБ'!V134</f>
        <v>0</v>
      </c>
    </row>
    <row r="133" spans="1:23" x14ac:dyDescent="0.25">
      <c r="A133" s="24" t="s">
        <v>249</v>
      </c>
      <c r="B133" s="1">
        <f>'ЗО-ВБ'!A135</f>
        <v>0</v>
      </c>
      <c r="C133" s="1">
        <f>'ЗО-ВБ'!B135</f>
        <v>0</v>
      </c>
      <c r="D133" s="1">
        <f>'ЗО-ВБ'!C135</f>
        <v>0</v>
      </c>
      <c r="E133" s="1">
        <f>'ЗО-ВБ'!D135</f>
        <v>0</v>
      </c>
      <c r="F133" s="1">
        <f>'ЗО-ВБ'!E135</f>
        <v>0</v>
      </c>
      <c r="G133" s="1">
        <f>'ЗО-ВБ'!F135</f>
        <v>0</v>
      </c>
      <c r="H133" s="1">
        <f>'ЗО-ВБ'!G135</f>
        <v>0</v>
      </c>
      <c r="I133" s="1">
        <f>'ЗО-ВБ'!H135</f>
        <v>0</v>
      </c>
      <c r="J133" s="1">
        <f>'ЗО-ВБ'!I135</f>
        <v>0</v>
      </c>
      <c r="K133" s="1">
        <f>'ЗО-ВБ'!J135</f>
        <v>0</v>
      </c>
      <c r="L133" s="1">
        <f>'ЗО-ВБ'!K135</f>
        <v>0</v>
      </c>
      <c r="M133" s="1">
        <f>'ЗО-ВБ'!L135</f>
        <v>0</v>
      </c>
      <c r="N133" s="1">
        <f>'ЗО-ВБ'!M135</f>
        <v>0</v>
      </c>
      <c r="O133" s="1">
        <f>'ЗО-ВБ'!N135</f>
        <v>0</v>
      </c>
      <c r="P133" s="1">
        <f>'ЗО-ВБ'!O135</f>
        <v>0</v>
      </c>
      <c r="Q133" s="1">
        <f>'ЗО-ВБ'!P135</f>
        <v>0</v>
      </c>
      <c r="R133" s="1">
        <f>'ЗО-ВБ'!Q135</f>
        <v>0</v>
      </c>
      <c r="S133" s="1">
        <f>'ЗО-ВБ'!R135</f>
        <v>0</v>
      </c>
      <c r="T133" s="1">
        <f>'ЗО-ВБ'!S135</f>
        <v>0</v>
      </c>
      <c r="U133" s="1">
        <f>'ЗО-ВБ'!T135</f>
        <v>0</v>
      </c>
      <c r="V133" s="1">
        <f>'ЗО-ВБ'!U135</f>
        <v>0</v>
      </c>
      <c r="W133" s="1">
        <f>'ЗО-ВБ'!V135</f>
        <v>0</v>
      </c>
    </row>
    <row r="134" spans="1:23" x14ac:dyDescent="0.25">
      <c r="A134" s="24" t="s">
        <v>249</v>
      </c>
      <c r="B134" s="1">
        <f>'ЗО-ВБ'!A136</f>
        <v>0</v>
      </c>
      <c r="C134" s="1">
        <f>'ЗО-ВБ'!B136</f>
        <v>0</v>
      </c>
      <c r="D134" s="1">
        <f>'ЗО-ВБ'!C136</f>
        <v>0</v>
      </c>
      <c r="E134" s="1">
        <f>'ЗО-ВБ'!D136</f>
        <v>0</v>
      </c>
      <c r="F134" s="1">
        <f>'ЗО-ВБ'!E136</f>
        <v>0</v>
      </c>
      <c r="G134" s="1">
        <f>'ЗО-ВБ'!F136</f>
        <v>0</v>
      </c>
      <c r="H134" s="1">
        <f>'ЗО-ВБ'!G136</f>
        <v>0</v>
      </c>
      <c r="I134" s="1">
        <f>'ЗО-ВБ'!H136</f>
        <v>0</v>
      </c>
      <c r="J134" s="1">
        <f>'ЗО-ВБ'!I136</f>
        <v>0</v>
      </c>
      <c r="K134" s="1">
        <f>'ЗО-ВБ'!J136</f>
        <v>0</v>
      </c>
      <c r="L134" s="1">
        <f>'ЗО-ВБ'!K136</f>
        <v>0</v>
      </c>
      <c r="M134" s="1">
        <f>'ЗО-ВБ'!L136</f>
        <v>0</v>
      </c>
      <c r="N134" s="1">
        <f>'ЗО-ВБ'!M136</f>
        <v>0</v>
      </c>
      <c r="O134" s="1">
        <f>'ЗО-ВБ'!N136</f>
        <v>0</v>
      </c>
      <c r="P134" s="1">
        <f>'ЗО-ВБ'!O136</f>
        <v>0</v>
      </c>
      <c r="Q134" s="1">
        <f>'ЗО-ВБ'!P136</f>
        <v>0</v>
      </c>
      <c r="R134" s="1">
        <f>'ЗО-ВБ'!Q136</f>
        <v>0</v>
      </c>
      <c r="S134" s="1">
        <f>'ЗО-ВБ'!R136</f>
        <v>0</v>
      </c>
      <c r="T134" s="1">
        <f>'ЗО-ВБ'!S136</f>
        <v>0</v>
      </c>
      <c r="U134" s="1">
        <f>'ЗО-ВБ'!T136</f>
        <v>0</v>
      </c>
      <c r="V134" s="1">
        <f>'ЗО-ВБ'!U136</f>
        <v>0</v>
      </c>
      <c r="W134" s="1">
        <f>'ЗО-ВБ'!V136</f>
        <v>0</v>
      </c>
    </row>
    <row r="135" spans="1:23" x14ac:dyDescent="0.25">
      <c r="A135" s="24" t="s">
        <v>249</v>
      </c>
      <c r="B135" s="1">
        <f>'ЗО-ВБ'!A137</f>
        <v>0</v>
      </c>
      <c r="C135" s="1">
        <f>'ЗО-ВБ'!B137</f>
        <v>0</v>
      </c>
      <c r="D135" s="1">
        <f>'ЗО-ВБ'!C137</f>
        <v>0</v>
      </c>
      <c r="E135" s="1">
        <f>'ЗО-ВБ'!D137</f>
        <v>0</v>
      </c>
      <c r="F135" s="1">
        <f>'ЗО-ВБ'!E137</f>
        <v>0</v>
      </c>
      <c r="G135" s="1">
        <f>'ЗО-ВБ'!F137</f>
        <v>0</v>
      </c>
      <c r="H135" s="1">
        <f>'ЗО-ВБ'!G137</f>
        <v>0</v>
      </c>
      <c r="I135" s="1">
        <f>'ЗО-ВБ'!H137</f>
        <v>0</v>
      </c>
      <c r="J135" s="1">
        <f>'ЗО-ВБ'!I137</f>
        <v>0</v>
      </c>
      <c r="K135" s="1">
        <f>'ЗО-ВБ'!J137</f>
        <v>0</v>
      </c>
      <c r="L135" s="1">
        <f>'ЗО-ВБ'!K137</f>
        <v>0</v>
      </c>
      <c r="M135" s="1">
        <f>'ЗО-ВБ'!L137</f>
        <v>0</v>
      </c>
      <c r="N135" s="1">
        <f>'ЗО-ВБ'!M137</f>
        <v>0</v>
      </c>
      <c r="O135" s="1">
        <f>'ЗО-ВБ'!N137</f>
        <v>0</v>
      </c>
      <c r="P135" s="1">
        <f>'ЗО-ВБ'!O137</f>
        <v>0</v>
      </c>
      <c r="Q135" s="1">
        <f>'ЗО-ВБ'!P137</f>
        <v>0</v>
      </c>
      <c r="R135" s="1">
        <f>'ЗО-ВБ'!Q137</f>
        <v>0</v>
      </c>
      <c r="S135" s="1">
        <f>'ЗО-ВБ'!R137</f>
        <v>0</v>
      </c>
      <c r="T135" s="1">
        <f>'ЗО-ВБ'!S137</f>
        <v>0</v>
      </c>
      <c r="U135" s="1">
        <f>'ЗО-ВБ'!T137</f>
        <v>0</v>
      </c>
      <c r="V135" s="1">
        <f>'ЗО-ВБ'!U137</f>
        <v>0</v>
      </c>
      <c r="W135" s="1">
        <f>'ЗО-ВБ'!V137</f>
        <v>0</v>
      </c>
    </row>
    <row r="136" spans="1:23" x14ac:dyDescent="0.25">
      <c r="A136" s="24" t="s">
        <v>249</v>
      </c>
      <c r="B136" s="1">
        <f>'ЗО-ВБ'!A138</f>
        <v>0</v>
      </c>
      <c r="C136" s="1">
        <f>'ЗО-ВБ'!B138</f>
        <v>0</v>
      </c>
      <c r="D136" s="1">
        <f>'ЗО-ВБ'!C138</f>
        <v>0</v>
      </c>
      <c r="E136" s="1">
        <f>'ЗО-ВБ'!D138</f>
        <v>0</v>
      </c>
      <c r="F136" s="1">
        <f>'ЗО-ВБ'!E138</f>
        <v>0</v>
      </c>
      <c r="G136" s="1">
        <f>'ЗО-ВБ'!F138</f>
        <v>0</v>
      </c>
      <c r="H136" s="1">
        <f>'ЗО-ВБ'!G138</f>
        <v>0</v>
      </c>
      <c r="I136" s="1">
        <f>'ЗО-ВБ'!H138</f>
        <v>0</v>
      </c>
      <c r="J136" s="1">
        <f>'ЗО-ВБ'!I138</f>
        <v>0</v>
      </c>
      <c r="K136" s="1">
        <f>'ЗО-ВБ'!J138</f>
        <v>0</v>
      </c>
      <c r="L136" s="1">
        <f>'ЗО-ВБ'!K138</f>
        <v>0</v>
      </c>
      <c r="M136" s="1">
        <f>'ЗО-ВБ'!L138</f>
        <v>0</v>
      </c>
      <c r="N136" s="1">
        <f>'ЗО-ВБ'!M138</f>
        <v>0</v>
      </c>
      <c r="O136" s="1">
        <f>'ЗО-ВБ'!N138</f>
        <v>0</v>
      </c>
      <c r="P136" s="1">
        <f>'ЗО-ВБ'!O138</f>
        <v>0</v>
      </c>
      <c r="Q136" s="1">
        <f>'ЗО-ВБ'!P138</f>
        <v>0</v>
      </c>
      <c r="R136" s="1">
        <f>'ЗО-ВБ'!Q138</f>
        <v>0</v>
      </c>
      <c r="S136" s="1">
        <f>'ЗО-ВБ'!R138</f>
        <v>0</v>
      </c>
      <c r="T136" s="1">
        <f>'ЗО-ВБ'!S138</f>
        <v>0</v>
      </c>
      <c r="U136" s="1">
        <f>'ЗО-ВБ'!T138</f>
        <v>0</v>
      </c>
      <c r="V136" s="1">
        <f>'ЗО-ВБ'!U138</f>
        <v>0</v>
      </c>
      <c r="W136" s="1">
        <f>'ЗО-ВБ'!V138</f>
        <v>0</v>
      </c>
    </row>
    <row r="137" spans="1:23" x14ac:dyDescent="0.25">
      <c r="A137" s="24" t="s">
        <v>249</v>
      </c>
      <c r="B137" s="1">
        <f>'ЗО-ВБ'!A139</f>
        <v>0</v>
      </c>
      <c r="C137" s="1">
        <f>'ЗО-ВБ'!B139</f>
        <v>0</v>
      </c>
      <c r="D137" s="1">
        <f>'ЗО-ВБ'!C139</f>
        <v>0</v>
      </c>
      <c r="E137" s="1">
        <f>'ЗО-ВБ'!D139</f>
        <v>0</v>
      </c>
      <c r="F137" s="1">
        <f>'ЗО-ВБ'!E139</f>
        <v>0</v>
      </c>
      <c r="G137" s="1">
        <f>'ЗО-ВБ'!F139</f>
        <v>0</v>
      </c>
      <c r="H137" s="1">
        <f>'ЗО-ВБ'!G139</f>
        <v>0</v>
      </c>
      <c r="I137" s="1">
        <f>'ЗО-ВБ'!H139</f>
        <v>0</v>
      </c>
      <c r="J137" s="1">
        <f>'ЗО-ВБ'!I139</f>
        <v>0</v>
      </c>
      <c r="K137" s="1">
        <f>'ЗО-ВБ'!J139</f>
        <v>0</v>
      </c>
      <c r="L137" s="1">
        <f>'ЗО-ВБ'!K139</f>
        <v>0</v>
      </c>
      <c r="M137" s="1">
        <f>'ЗО-ВБ'!L139</f>
        <v>0</v>
      </c>
      <c r="N137" s="1">
        <f>'ЗО-ВБ'!M139</f>
        <v>0</v>
      </c>
      <c r="O137" s="1">
        <f>'ЗО-ВБ'!N139</f>
        <v>0</v>
      </c>
      <c r="P137" s="1">
        <f>'ЗО-ВБ'!O139</f>
        <v>0</v>
      </c>
      <c r="Q137" s="1">
        <f>'ЗО-ВБ'!P139</f>
        <v>0</v>
      </c>
      <c r="R137" s="1">
        <f>'ЗО-ВБ'!Q139</f>
        <v>0</v>
      </c>
      <c r="S137" s="1">
        <f>'ЗО-ВБ'!R139</f>
        <v>0</v>
      </c>
      <c r="T137" s="1">
        <f>'ЗО-ВБ'!S139</f>
        <v>0</v>
      </c>
      <c r="U137" s="1">
        <f>'ЗО-ВБ'!T139</f>
        <v>0</v>
      </c>
      <c r="V137" s="1">
        <f>'ЗО-ВБ'!U139</f>
        <v>0</v>
      </c>
      <c r="W137" s="1">
        <f>'ЗО-ВБ'!V139</f>
        <v>0</v>
      </c>
    </row>
    <row r="138" spans="1:23" x14ac:dyDescent="0.25">
      <c r="A138" s="24" t="s">
        <v>249</v>
      </c>
      <c r="B138" s="1">
        <f>'ЗО-ВБ'!A140</f>
        <v>0</v>
      </c>
      <c r="C138" s="1">
        <f>'ЗО-ВБ'!B140</f>
        <v>0</v>
      </c>
      <c r="D138" s="1">
        <f>'ЗО-ВБ'!C140</f>
        <v>0</v>
      </c>
      <c r="E138" s="1">
        <f>'ЗО-ВБ'!D140</f>
        <v>0</v>
      </c>
      <c r="F138" s="1">
        <f>'ЗО-ВБ'!E140</f>
        <v>0</v>
      </c>
      <c r="G138" s="1">
        <f>'ЗО-ВБ'!F140</f>
        <v>0</v>
      </c>
      <c r="H138" s="1">
        <f>'ЗО-ВБ'!G140</f>
        <v>0</v>
      </c>
      <c r="I138" s="1">
        <f>'ЗО-ВБ'!H140</f>
        <v>0</v>
      </c>
      <c r="J138" s="1">
        <f>'ЗО-ВБ'!I140</f>
        <v>0</v>
      </c>
      <c r="K138" s="1">
        <f>'ЗО-ВБ'!J140</f>
        <v>0</v>
      </c>
      <c r="L138" s="1">
        <f>'ЗО-ВБ'!K140</f>
        <v>0</v>
      </c>
      <c r="M138" s="1">
        <f>'ЗО-ВБ'!L140</f>
        <v>0</v>
      </c>
      <c r="N138" s="1">
        <f>'ЗО-ВБ'!M140</f>
        <v>0</v>
      </c>
      <c r="O138" s="1">
        <f>'ЗО-ВБ'!N140</f>
        <v>0</v>
      </c>
      <c r="P138" s="1">
        <f>'ЗО-ВБ'!O140</f>
        <v>0</v>
      </c>
      <c r="Q138" s="1">
        <f>'ЗО-ВБ'!P140</f>
        <v>0</v>
      </c>
      <c r="R138" s="1">
        <f>'ЗО-ВБ'!Q140</f>
        <v>0</v>
      </c>
      <c r="S138" s="1">
        <f>'ЗО-ВБ'!R140</f>
        <v>0</v>
      </c>
      <c r="T138" s="1">
        <f>'ЗО-ВБ'!S140</f>
        <v>0</v>
      </c>
      <c r="U138" s="1">
        <f>'ЗО-ВБ'!T140</f>
        <v>0</v>
      </c>
      <c r="V138" s="1">
        <f>'ЗО-ВБ'!U140</f>
        <v>0</v>
      </c>
      <c r="W138" s="1">
        <f>'ЗО-ВБ'!V140</f>
        <v>0</v>
      </c>
    </row>
    <row r="139" spans="1:23" x14ac:dyDescent="0.25">
      <c r="A139" s="24" t="s">
        <v>249</v>
      </c>
      <c r="B139" s="1">
        <f>'ЗО-ВБ'!A141</f>
        <v>0</v>
      </c>
      <c r="C139" s="1">
        <f>'ЗО-ВБ'!B141</f>
        <v>0</v>
      </c>
      <c r="D139" s="1">
        <f>'ЗО-ВБ'!C141</f>
        <v>0</v>
      </c>
      <c r="E139" s="1">
        <f>'ЗО-ВБ'!D141</f>
        <v>0</v>
      </c>
      <c r="F139" s="1">
        <f>'ЗО-ВБ'!E141</f>
        <v>0</v>
      </c>
      <c r="G139" s="1">
        <f>'ЗО-ВБ'!F141</f>
        <v>0</v>
      </c>
      <c r="H139" s="1">
        <f>'ЗО-ВБ'!G141</f>
        <v>0</v>
      </c>
      <c r="I139" s="1">
        <f>'ЗО-ВБ'!H141</f>
        <v>0</v>
      </c>
      <c r="J139" s="1">
        <f>'ЗО-ВБ'!I141</f>
        <v>0</v>
      </c>
      <c r="K139" s="1">
        <f>'ЗО-ВБ'!J141</f>
        <v>0</v>
      </c>
      <c r="L139" s="1">
        <f>'ЗО-ВБ'!K141</f>
        <v>0</v>
      </c>
      <c r="M139" s="1">
        <f>'ЗО-ВБ'!L141</f>
        <v>0</v>
      </c>
      <c r="N139" s="1">
        <f>'ЗО-ВБ'!M141</f>
        <v>0</v>
      </c>
      <c r="O139" s="1">
        <f>'ЗО-ВБ'!N141</f>
        <v>0</v>
      </c>
      <c r="P139" s="1">
        <f>'ЗО-ВБ'!O141</f>
        <v>0</v>
      </c>
      <c r="Q139" s="1">
        <f>'ЗО-ВБ'!P141</f>
        <v>0</v>
      </c>
      <c r="R139" s="1">
        <f>'ЗО-ВБ'!Q141</f>
        <v>0</v>
      </c>
      <c r="S139" s="1">
        <f>'ЗО-ВБ'!R141</f>
        <v>0</v>
      </c>
      <c r="T139" s="1">
        <f>'ЗО-ВБ'!S141</f>
        <v>0</v>
      </c>
      <c r="U139" s="1">
        <f>'ЗО-ВБ'!T141</f>
        <v>0</v>
      </c>
      <c r="V139" s="1">
        <f>'ЗО-ВБ'!U141</f>
        <v>0</v>
      </c>
      <c r="W139" s="1">
        <f>'ЗО-ВБ'!V141</f>
        <v>0</v>
      </c>
    </row>
    <row r="140" spans="1:23" x14ac:dyDescent="0.25">
      <c r="A140" s="24" t="s">
        <v>249</v>
      </c>
      <c r="B140" s="1">
        <f>'ЗО-ВБ'!A142</f>
        <v>0</v>
      </c>
      <c r="C140" s="1">
        <f>'ЗО-ВБ'!B142</f>
        <v>0</v>
      </c>
      <c r="D140" s="1">
        <f>'ЗО-ВБ'!C142</f>
        <v>0</v>
      </c>
      <c r="E140" s="1">
        <f>'ЗО-ВБ'!D142</f>
        <v>0</v>
      </c>
      <c r="F140" s="1">
        <f>'ЗО-ВБ'!E142</f>
        <v>0</v>
      </c>
      <c r="G140" s="1">
        <f>'ЗО-ВБ'!F142</f>
        <v>0</v>
      </c>
      <c r="H140" s="1">
        <f>'ЗО-ВБ'!G142</f>
        <v>0</v>
      </c>
      <c r="I140" s="1">
        <f>'ЗО-ВБ'!H142</f>
        <v>0</v>
      </c>
      <c r="J140" s="1">
        <f>'ЗО-ВБ'!I142</f>
        <v>0</v>
      </c>
      <c r="K140" s="1">
        <f>'ЗО-ВБ'!J142</f>
        <v>0</v>
      </c>
      <c r="L140" s="1">
        <f>'ЗО-ВБ'!K142</f>
        <v>0</v>
      </c>
      <c r="M140" s="1">
        <f>'ЗО-ВБ'!L142</f>
        <v>0</v>
      </c>
      <c r="N140" s="1">
        <f>'ЗО-ВБ'!M142</f>
        <v>0</v>
      </c>
      <c r="O140" s="1">
        <f>'ЗО-ВБ'!N142</f>
        <v>0</v>
      </c>
      <c r="P140" s="1">
        <f>'ЗО-ВБ'!O142</f>
        <v>0</v>
      </c>
      <c r="Q140" s="1">
        <f>'ЗО-ВБ'!P142</f>
        <v>0</v>
      </c>
      <c r="R140" s="1">
        <f>'ЗО-ВБ'!Q142</f>
        <v>0</v>
      </c>
      <c r="S140" s="1">
        <f>'ЗО-ВБ'!R142</f>
        <v>0</v>
      </c>
      <c r="T140" s="1">
        <f>'ЗО-ВБ'!S142</f>
        <v>0</v>
      </c>
      <c r="U140" s="1">
        <f>'ЗО-ВБ'!T142</f>
        <v>0</v>
      </c>
      <c r="V140" s="1">
        <f>'ЗО-ВБ'!U142</f>
        <v>0</v>
      </c>
      <c r="W140" s="1">
        <f>'ЗО-ВБ'!V142</f>
        <v>0</v>
      </c>
    </row>
    <row r="141" spans="1:23" x14ac:dyDescent="0.25">
      <c r="A141" s="24" t="s">
        <v>249</v>
      </c>
      <c r="B141" s="1">
        <f>'ЗО-ВБ'!A143</f>
        <v>0</v>
      </c>
      <c r="C141" s="1">
        <f>'ЗО-ВБ'!B143</f>
        <v>0</v>
      </c>
      <c r="D141" s="1">
        <f>'ЗО-ВБ'!C143</f>
        <v>0</v>
      </c>
      <c r="E141" s="1">
        <f>'ЗО-ВБ'!D143</f>
        <v>0</v>
      </c>
      <c r="F141" s="1">
        <f>'ЗО-ВБ'!E143</f>
        <v>0</v>
      </c>
      <c r="G141" s="1">
        <f>'ЗО-ВБ'!F143</f>
        <v>0</v>
      </c>
      <c r="H141" s="1">
        <f>'ЗО-ВБ'!G143</f>
        <v>0</v>
      </c>
      <c r="I141" s="1">
        <f>'ЗО-ВБ'!H143</f>
        <v>0</v>
      </c>
      <c r="J141" s="1">
        <f>'ЗО-ВБ'!I143</f>
        <v>0</v>
      </c>
      <c r="K141" s="1">
        <f>'ЗО-ВБ'!J143</f>
        <v>0</v>
      </c>
      <c r="L141" s="1">
        <f>'ЗО-ВБ'!K143</f>
        <v>0</v>
      </c>
      <c r="M141" s="1">
        <f>'ЗО-ВБ'!L143</f>
        <v>0</v>
      </c>
      <c r="N141" s="1">
        <f>'ЗО-ВБ'!M143</f>
        <v>0</v>
      </c>
      <c r="O141" s="1">
        <f>'ЗО-ВБ'!N143</f>
        <v>0</v>
      </c>
      <c r="P141" s="1">
        <f>'ЗО-ВБ'!O143</f>
        <v>0</v>
      </c>
      <c r="Q141" s="1">
        <f>'ЗО-ВБ'!P143</f>
        <v>0</v>
      </c>
      <c r="R141" s="1">
        <f>'ЗО-ВБ'!Q143</f>
        <v>0</v>
      </c>
      <c r="S141" s="1">
        <f>'ЗО-ВБ'!R143</f>
        <v>0</v>
      </c>
      <c r="T141" s="1">
        <f>'ЗО-ВБ'!S143</f>
        <v>0</v>
      </c>
      <c r="U141" s="1">
        <f>'ЗО-ВБ'!T143</f>
        <v>0</v>
      </c>
      <c r="V141" s="1">
        <f>'ЗО-ВБ'!U143</f>
        <v>0</v>
      </c>
      <c r="W141" s="1">
        <f>'ЗО-ВБ'!V143</f>
        <v>0</v>
      </c>
    </row>
    <row r="142" spans="1:23" x14ac:dyDescent="0.25">
      <c r="A142" s="24" t="s">
        <v>249</v>
      </c>
      <c r="B142" s="1">
        <f>'ЗО-ВБ'!A144</f>
        <v>0</v>
      </c>
      <c r="C142" s="1">
        <f>'ЗО-ВБ'!B144</f>
        <v>0</v>
      </c>
      <c r="D142" s="1">
        <f>'ЗО-ВБ'!C144</f>
        <v>0</v>
      </c>
      <c r="E142" s="1">
        <f>'ЗО-ВБ'!D144</f>
        <v>0</v>
      </c>
      <c r="F142" s="1">
        <f>'ЗО-ВБ'!E144</f>
        <v>0</v>
      </c>
      <c r="G142" s="1">
        <f>'ЗО-ВБ'!F144</f>
        <v>0</v>
      </c>
      <c r="H142" s="1">
        <f>'ЗО-ВБ'!G144</f>
        <v>0</v>
      </c>
      <c r="I142" s="1">
        <f>'ЗО-ВБ'!H144</f>
        <v>0</v>
      </c>
      <c r="J142" s="1">
        <f>'ЗО-ВБ'!I144</f>
        <v>0</v>
      </c>
      <c r="K142" s="1">
        <f>'ЗО-ВБ'!J144</f>
        <v>0</v>
      </c>
      <c r="L142" s="1">
        <f>'ЗО-ВБ'!K144</f>
        <v>0</v>
      </c>
      <c r="M142" s="1">
        <f>'ЗО-ВБ'!L144</f>
        <v>0</v>
      </c>
      <c r="N142" s="1">
        <f>'ЗО-ВБ'!M144</f>
        <v>0</v>
      </c>
      <c r="O142" s="1">
        <f>'ЗО-ВБ'!N144</f>
        <v>0</v>
      </c>
      <c r="P142" s="1">
        <f>'ЗО-ВБ'!O144</f>
        <v>0</v>
      </c>
      <c r="Q142" s="1">
        <f>'ЗО-ВБ'!P144</f>
        <v>0</v>
      </c>
      <c r="R142" s="1">
        <f>'ЗО-ВБ'!Q144</f>
        <v>0</v>
      </c>
      <c r="S142" s="1">
        <f>'ЗО-ВБ'!R144</f>
        <v>0</v>
      </c>
      <c r="T142" s="1">
        <f>'ЗО-ВБ'!S144</f>
        <v>0</v>
      </c>
      <c r="U142" s="1">
        <f>'ЗО-ВБ'!T144</f>
        <v>0</v>
      </c>
      <c r="V142" s="1">
        <f>'ЗО-ВБ'!U144</f>
        <v>0</v>
      </c>
      <c r="W142" s="1">
        <f>'ЗО-ВБ'!V144</f>
        <v>0</v>
      </c>
    </row>
  </sheetData>
  <autoFilter ref="B2:Q142" xr:uid="{87AF85C3-BA95-4D62-936F-F244DC204927}"/>
  <mergeCells count="1">
    <mergeCell ref="C1:L1"/>
  </mergeCells>
  <conditionalFormatting sqref="C1 B2:G2 B143:G1048576 B3:W142">
    <cfRule type="cellIs" dxfId="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&amp;CКафедра КИТС&amp;RВнебюджет</oddHeader>
    <oddFooter>&amp;RЦымбалюк Л.Н.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Drop Down 1">
              <controlPr defaultSize="0" autoLine="0" autoPict="0" macro="[0]!Макрос2">
                <anchor moveWithCells="1">
                  <from>
                    <xdr:col>12</xdr:col>
                    <xdr:colOff>104775</xdr:colOff>
                    <xdr:row>0</xdr:row>
                    <xdr:rowOff>66675</xdr:rowOff>
                  </from>
                  <to>
                    <xdr:col>13</xdr:col>
                    <xdr:colOff>28575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Макрос8">
                <anchor moveWithCells="1" sizeWithCells="1">
                  <from>
                    <xdr:col>14</xdr:col>
                    <xdr:colOff>47625</xdr:colOff>
                    <xdr:row>0</xdr:row>
                    <xdr:rowOff>47625</xdr:rowOff>
                  </from>
                  <to>
                    <xdr:col>14</xdr:col>
                    <xdr:colOff>904875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B61CE-6C1E-47F3-9B17-9B644CD11641}">
  <sheetPr codeName="Лист6">
    <pageSetUpPr fitToPage="1"/>
  </sheetPr>
  <dimension ref="A1:T9"/>
  <sheetViews>
    <sheetView view="pageBreakPreview" zoomScale="160" zoomScaleNormal="130" zoomScaleSheetLayoutView="160" workbookViewId="0">
      <pane xSplit="1" ySplit="1" topLeftCell="B2" activePane="bottomRight" state="frozenSplit"/>
      <selection activeCell="P2" sqref="P2"/>
      <selection pane="topRight" activeCell="P2" sqref="P2"/>
      <selection pane="bottomLeft" activeCell="P2" sqref="P2"/>
      <selection pane="bottomRight" activeCell="L8" sqref="L8"/>
    </sheetView>
  </sheetViews>
  <sheetFormatPr defaultColWidth="8.85546875" defaultRowHeight="15" x14ac:dyDescent="0.25"/>
  <cols>
    <col min="1" max="1" width="18.85546875" style="3" customWidth="1"/>
    <col min="2" max="2" width="11.42578125" style="3" customWidth="1"/>
    <col min="3" max="3" width="7.5703125" style="3" bestFit="1" customWidth="1"/>
    <col min="4" max="4" width="3.5703125" style="3" bestFit="1" customWidth="1"/>
    <col min="5" max="5" width="7.42578125" style="3" bestFit="1" customWidth="1"/>
    <col min="6" max="6" width="6.5703125" style="3" bestFit="1" customWidth="1"/>
    <col min="7" max="7" width="3.42578125" style="3" bestFit="1" customWidth="1"/>
    <col min="8" max="8" width="4" style="3" bestFit="1" customWidth="1"/>
    <col min="9" max="9" width="3.42578125" style="3" bestFit="1" customWidth="1"/>
    <col min="10" max="10" width="2.5703125" style="3" bestFit="1" customWidth="1"/>
    <col min="11" max="11" width="8" style="3" bestFit="1" customWidth="1"/>
    <col min="12" max="12" width="17.42578125" style="3" customWidth="1"/>
    <col min="13" max="13" width="19.42578125" style="3" customWidth="1"/>
    <col min="14" max="14" width="6" style="30" customWidth="1"/>
    <col min="15" max="15" width="4.5703125" style="3" customWidth="1"/>
    <col min="16" max="16" width="5.85546875" style="3" customWidth="1"/>
    <col min="17" max="17" width="6.140625" style="3" customWidth="1"/>
    <col min="18" max="18" width="5.5703125" style="3" customWidth="1"/>
    <col min="19" max="20" width="6.140625" style="3" customWidth="1"/>
    <col min="21" max="16384" width="8.85546875" style="3"/>
  </cols>
  <sheetData>
    <row r="1" spans="1:20" s="7" customFormat="1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O1" s="1" t="s">
        <v>210</v>
      </c>
      <c r="P1" s="1" t="s">
        <v>209</v>
      </c>
      <c r="Q1" s="1" t="s">
        <v>177</v>
      </c>
      <c r="R1" s="1" t="s">
        <v>178</v>
      </c>
      <c r="S1" s="1" t="s">
        <v>177</v>
      </c>
      <c r="T1" s="1" t="s">
        <v>178</v>
      </c>
    </row>
    <row r="2" spans="1:20" ht="23.25" x14ac:dyDescent="0.25">
      <c r="A2" s="1" t="s">
        <v>140</v>
      </c>
      <c r="B2" s="1" t="s">
        <v>141</v>
      </c>
      <c r="C2" s="1" t="s">
        <v>167</v>
      </c>
      <c r="D2" s="1">
        <v>5</v>
      </c>
      <c r="E2" s="1">
        <v>1</v>
      </c>
      <c r="F2" s="1">
        <v>5</v>
      </c>
      <c r="G2" s="1" t="s">
        <v>142</v>
      </c>
      <c r="H2" s="1">
        <v>4</v>
      </c>
      <c r="I2" s="1">
        <v>0</v>
      </c>
      <c r="J2" s="1">
        <v>0</v>
      </c>
      <c r="K2" s="1">
        <v>30</v>
      </c>
      <c r="L2" s="1" t="s">
        <v>54</v>
      </c>
      <c r="M2" s="22" t="s">
        <v>241</v>
      </c>
      <c r="N2" s="19">
        <v>1</v>
      </c>
      <c r="O2" s="19">
        <v>3.6</v>
      </c>
      <c r="P2" s="19">
        <v>2.4</v>
      </c>
      <c r="Q2" s="17" t="str">
        <f>L2</f>
        <v>Макевич П.В.</v>
      </c>
      <c r="R2" s="19">
        <f>I2/2+J2/2+K2/2+O2+P2</f>
        <v>21</v>
      </c>
      <c r="S2" s="18"/>
      <c r="T2" s="18"/>
    </row>
    <row r="3" spans="1:20" ht="34.5" x14ac:dyDescent="0.25">
      <c r="A3" s="1" t="s">
        <v>86</v>
      </c>
      <c r="B3" s="1" t="s">
        <v>141</v>
      </c>
      <c r="C3" s="1" t="s">
        <v>167</v>
      </c>
      <c r="D3" s="1">
        <v>5</v>
      </c>
      <c r="E3" s="1">
        <v>1</v>
      </c>
      <c r="F3" s="1">
        <v>5</v>
      </c>
      <c r="G3" s="1" t="s">
        <v>19</v>
      </c>
      <c r="H3" s="1">
        <v>2</v>
      </c>
      <c r="I3" s="1">
        <v>10</v>
      </c>
      <c r="J3" s="1">
        <v>10</v>
      </c>
      <c r="K3" s="1">
        <v>0</v>
      </c>
      <c r="L3" s="1" t="s">
        <v>72</v>
      </c>
      <c r="M3" s="22" t="s">
        <v>242</v>
      </c>
      <c r="N3" s="19">
        <v>1</v>
      </c>
      <c r="O3" s="19">
        <v>1.8</v>
      </c>
      <c r="P3" s="19">
        <v>0</v>
      </c>
      <c r="Q3" s="17" t="str">
        <f t="shared" ref="Q3:Q9" si="0">L3</f>
        <v>Журавлева М.П.</v>
      </c>
      <c r="R3" s="19">
        <f>I3/2+J3/2+K3/2+O3+P3</f>
        <v>11.8</v>
      </c>
      <c r="S3" s="18"/>
      <c r="T3" s="18"/>
    </row>
    <row r="4" spans="1:20" ht="34.5" x14ac:dyDescent="0.25">
      <c r="A4" s="1" t="s">
        <v>63</v>
      </c>
      <c r="B4" s="1" t="s">
        <v>141</v>
      </c>
      <c r="C4" s="1" t="s">
        <v>167</v>
      </c>
      <c r="D4" s="1">
        <v>5</v>
      </c>
      <c r="E4" s="1">
        <v>1</v>
      </c>
      <c r="F4" s="1">
        <v>6</v>
      </c>
      <c r="G4" s="1" t="s">
        <v>142</v>
      </c>
      <c r="H4" s="1">
        <v>6</v>
      </c>
      <c r="I4" s="1">
        <v>20</v>
      </c>
      <c r="J4" s="1">
        <v>30</v>
      </c>
      <c r="K4" s="1">
        <v>0</v>
      </c>
      <c r="L4" s="1" t="s">
        <v>78</v>
      </c>
      <c r="M4" s="22" t="s">
        <v>240</v>
      </c>
      <c r="N4" s="19">
        <v>1</v>
      </c>
      <c r="O4" s="19">
        <v>5.4</v>
      </c>
      <c r="P4" s="19">
        <v>3.6</v>
      </c>
      <c r="Q4" s="17" t="str">
        <f t="shared" si="0"/>
        <v>Цымбалюк Л.Н.</v>
      </c>
      <c r="R4" s="19">
        <f>I4/2+J4/2+K4/2+O4+P4</f>
        <v>34</v>
      </c>
      <c r="S4" s="18"/>
      <c r="T4" s="18"/>
    </row>
    <row r="5" spans="1:20" ht="34.5" x14ac:dyDescent="0.25">
      <c r="A5" s="1" t="s">
        <v>63</v>
      </c>
      <c r="B5" s="1" t="s">
        <v>141</v>
      </c>
      <c r="C5" s="1" t="s">
        <v>167</v>
      </c>
      <c r="D5" s="1">
        <v>5</v>
      </c>
      <c r="E5" s="1">
        <v>1</v>
      </c>
      <c r="F5" s="1">
        <v>6</v>
      </c>
      <c r="G5" s="1" t="s">
        <v>123</v>
      </c>
      <c r="H5" s="1">
        <v>1</v>
      </c>
      <c r="I5" s="1">
        <v>0</v>
      </c>
      <c r="J5" s="1">
        <v>0</v>
      </c>
      <c r="K5" s="1">
        <v>0</v>
      </c>
      <c r="L5" s="1" t="s">
        <v>78</v>
      </c>
      <c r="M5" s="22">
        <v>124</v>
      </c>
      <c r="N5" s="19">
        <v>1</v>
      </c>
      <c r="O5" s="19">
        <v>9</v>
      </c>
      <c r="P5" s="19">
        <v>0</v>
      </c>
      <c r="Q5" s="17" t="str">
        <f t="shared" si="0"/>
        <v>Цымбалюк Л.Н.</v>
      </c>
      <c r="R5" s="19">
        <f>I5+J5+K5+O5+P5</f>
        <v>9</v>
      </c>
      <c r="S5" s="18"/>
      <c r="T5" s="18"/>
    </row>
    <row r="6" spans="1:20" ht="23.25" x14ac:dyDescent="0.25">
      <c r="A6" s="1" t="s">
        <v>157</v>
      </c>
      <c r="B6" s="1" t="s">
        <v>141</v>
      </c>
      <c r="C6" s="1" t="s">
        <v>167</v>
      </c>
      <c r="D6" s="1">
        <v>7</v>
      </c>
      <c r="E6" s="1">
        <v>1</v>
      </c>
      <c r="F6" s="1">
        <v>5</v>
      </c>
      <c r="G6" s="1" t="s">
        <v>142</v>
      </c>
      <c r="H6" s="1">
        <v>6</v>
      </c>
      <c r="I6" s="1">
        <v>8</v>
      </c>
      <c r="J6" s="1">
        <v>12</v>
      </c>
      <c r="K6" s="1">
        <v>0</v>
      </c>
      <c r="L6" s="1" t="s">
        <v>68</v>
      </c>
      <c r="M6" s="31" t="s">
        <v>239</v>
      </c>
      <c r="N6" s="19">
        <v>1</v>
      </c>
      <c r="O6" s="19">
        <v>4.5</v>
      </c>
      <c r="P6" s="19">
        <v>3</v>
      </c>
      <c r="Q6" s="17" t="str">
        <f t="shared" si="0"/>
        <v>Эминов С.И.</v>
      </c>
      <c r="R6" s="19">
        <f>I6/2+J6/2+K6/2+O6+P6</f>
        <v>17.5</v>
      </c>
      <c r="S6" s="18"/>
      <c r="T6" s="18"/>
    </row>
    <row r="7" spans="1:20" ht="34.5" x14ac:dyDescent="0.25">
      <c r="A7" s="1" t="s">
        <v>158</v>
      </c>
      <c r="B7" s="1" t="s">
        <v>141</v>
      </c>
      <c r="C7" s="1" t="s">
        <v>167</v>
      </c>
      <c r="D7" s="1">
        <v>7</v>
      </c>
      <c r="E7" s="1">
        <v>1</v>
      </c>
      <c r="F7" s="1">
        <v>5</v>
      </c>
      <c r="G7" s="1" t="s">
        <v>25</v>
      </c>
      <c r="H7" s="1">
        <v>4</v>
      </c>
      <c r="I7" s="1">
        <v>4</v>
      </c>
      <c r="J7" s="1">
        <v>4</v>
      </c>
      <c r="K7" s="1">
        <v>8</v>
      </c>
      <c r="L7" s="1" t="s">
        <v>78</v>
      </c>
      <c r="M7" s="22" t="s">
        <v>251</v>
      </c>
      <c r="N7" s="19">
        <v>1</v>
      </c>
      <c r="O7" s="19">
        <v>3</v>
      </c>
      <c r="P7" s="19">
        <v>0</v>
      </c>
      <c r="Q7" s="17" t="str">
        <f t="shared" si="0"/>
        <v>Цымбалюк Л.Н.</v>
      </c>
      <c r="R7" s="19">
        <f>I7/2+J7/2+K7/2+O7+P7</f>
        <v>11</v>
      </c>
      <c r="S7" s="18"/>
      <c r="T7" s="18"/>
    </row>
    <row r="8" spans="1:20" ht="33.75" x14ac:dyDescent="0.25">
      <c r="A8" s="1" t="s">
        <v>159</v>
      </c>
      <c r="B8" s="1" t="s">
        <v>141</v>
      </c>
      <c r="C8" s="1" t="s">
        <v>167</v>
      </c>
      <c r="D8" s="1">
        <v>7</v>
      </c>
      <c r="E8" s="1">
        <v>1</v>
      </c>
      <c r="F8" s="1">
        <v>5</v>
      </c>
      <c r="G8" s="1" t="s">
        <v>25</v>
      </c>
      <c r="H8" s="1">
        <v>6</v>
      </c>
      <c r="I8" s="1">
        <v>20</v>
      </c>
      <c r="J8" s="1">
        <v>30</v>
      </c>
      <c r="K8" s="1">
        <v>0</v>
      </c>
      <c r="L8" s="1" t="s">
        <v>68</v>
      </c>
      <c r="M8" s="22" t="s">
        <v>250</v>
      </c>
      <c r="N8" s="19">
        <v>1</v>
      </c>
      <c r="O8" s="19">
        <v>5.4</v>
      </c>
      <c r="P8" s="19">
        <v>3.6</v>
      </c>
      <c r="Q8" s="17" t="str">
        <f t="shared" si="0"/>
        <v>Эминов С.И.</v>
      </c>
      <c r="R8" s="19">
        <f>I8+J8+K8+O8+P8</f>
        <v>59</v>
      </c>
      <c r="S8" s="18"/>
      <c r="T8" s="18"/>
    </row>
    <row r="9" spans="1:20" ht="33.75" x14ac:dyDescent="0.25">
      <c r="A9" s="1" t="s">
        <v>185</v>
      </c>
      <c r="B9" s="1" t="s">
        <v>141</v>
      </c>
      <c r="C9" s="1" t="s">
        <v>167</v>
      </c>
      <c r="D9" s="1">
        <v>8</v>
      </c>
      <c r="E9" s="1">
        <v>1</v>
      </c>
      <c r="F9" s="1">
        <v>5</v>
      </c>
      <c r="G9" s="1"/>
      <c r="H9" s="1"/>
      <c r="I9" s="1">
        <v>2</v>
      </c>
      <c r="J9" s="1">
        <v>0</v>
      </c>
      <c r="K9" s="1">
        <v>0</v>
      </c>
      <c r="L9" s="1" t="s">
        <v>81</v>
      </c>
      <c r="M9" s="22">
        <v>3315</v>
      </c>
      <c r="N9" s="12" t="s">
        <v>223</v>
      </c>
      <c r="O9" s="12">
        <v>0</v>
      </c>
      <c r="P9" s="1">
        <v>0</v>
      </c>
      <c r="Q9" s="17" t="str">
        <f t="shared" si="0"/>
        <v>Кулаков И.Ю.</v>
      </c>
      <c r="R9" s="19">
        <f>I9+J9+K9+O9+P9</f>
        <v>2</v>
      </c>
      <c r="S9" s="18"/>
      <c r="T9" s="18"/>
    </row>
  </sheetData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2F8B-0B37-4D8B-A587-EC23DEAC3E31}">
  <sheetPr codeName="Лист7">
    <pageSetUpPr fitToPage="1"/>
  </sheetPr>
  <dimension ref="A1:U48"/>
  <sheetViews>
    <sheetView view="pageBreakPreview" zoomScale="145" zoomScaleNormal="130" zoomScaleSheetLayoutView="145" workbookViewId="0">
      <pane xSplit="1" ySplit="1" topLeftCell="B2" activePane="bottomRight" state="frozenSplit"/>
      <selection activeCell="K119" sqref="K119"/>
      <selection pane="topRight" activeCell="K119" sqref="K119"/>
      <selection pane="bottomLeft" activeCell="K119" sqref="K119"/>
      <selection pane="bottomRight" activeCell="H6" sqref="H6"/>
    </sheetView>
  </sheetViews>
  <sheetFormatPr defaultColWidth="8.85546875" defaultRowHeight="15" x14ac:dyDescent="0.25"/>
  <cols>
    <col min="1" max="1" width="18.5703125" style="3" customWidth="1"/>
    <col min="2" max="2" width="11.42578125" style="3" customWidth="1"/>
    <col min="3" max="3" width="9.42578125" style="3" customWidth="1"/>
    <col min="4" max="4" width="3.5703125" style="3" bestFit="1" customWidth="1"/>
    <col min="5" max="5" width="7.42578125" style="3" bestFit="1" customWidth="1"/>
    <col min="6" max="6" width="6.5703125" style="3" bestFit="1" customWidth="1"/>
    <col min="7" max="7" width="3.42578125" style="3" bestFit="1" customWidth="1"/>
    <col min="8" max="8" width="4" style="3" bestFit="1" customWidth="1"/>
    <col min="9" max="9" width="3.42578125" style="3" bestFit="1" customWidth="1"/>
    <col min="10" max="10" width="2.5703125" style="3" bestFit="1" customWidth="1"/>
    <col min="11" max="11" width="8" style="3" bestFit="1" customWidth="1"/>
    <col min="12" max="13" width="17.42578125" style="3" customWidth="1"/>
    <col min="14" max="14" width="5.42578125" style="3" customWidth="1"/>
    <col min="15" max="15" width="3.42578125" style="21" customWidth="1"/>
    <col min="16" max="16" width="2.85546875" style="21" customWidth="1"/>
    <col min="17" max="17" width="8.140625" style="2" customWidth="1"/>
    <col min="18" max="18" width="6.140625" style="21" customWidth="1"/>
    <col min="19" max="20" width="6.140625" style="3" customWidth="1"/>
    <col min="21" max="16384" width="8.85546875" style="3"/>
  </cols>
  <sheetData>
    <row r="1" spans="1:21" s="7" customFormat="1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29" t="s">
        <v>12</v>
      </c>
      <c r="O1" s="29" t="s">
        <v>210</v>
      </c>
      <c r="P1" s="29" t="s">
        <v>209</v>
      </c>
      <c r="Q1" s="29" t="s">
        <v>177</v>
      </c>
      <c r="R1" s="1" t="s">
        <v>178</v>
      </c>
      <c r="S1" s="1" t="s">
        <v>177</v>
      </c>
      <c r="T1" s="1" t="s">
        <v>178</v>
      </c>
    </row>
    <row r="2" spans="1:21" s="7" customFormat="1" ht="22.5" x14ac:dyDescent="0.2">
      <c r="A2" s="1" t="s">
        <v>128</v>
      </c>
      <c r="B2" s="1" t="s">
        <v>14</v>
      </c>
      <c r="C2" s="1" t="s">
        <v>305</v>
      </c>
      <c r="D2" s="1">
        <v>1</v>
      </c>
      <c r="E2" s="1">
        <v>2</v>
      </c>
      <c r="F2" s="1">
        <v>27</v>
      </c>
      <c r="G2" s="1"/>
      <c r="H2" s="1">
        <v>0</v>
      </c>
      <c r="I2" s="1">
        <v>1</v>
      </c>
      <c r="J2" s="1">
        <v>0</v>
      </c>
      <c r="K2" s="1">
        <v>0</v>
      </c>
      <c r="L2" s="1" t="s">
        <v>75</v>
      </c>
      <c r="M2" s="1">
        <v>3315</v>
      </c>
      <c r="N2" s="1" t="s">
        <v>223</v>
      </c>
      <c r="O2" s="1">
        <v>0</v>
      </c>
      <c r="P2" s="1">
        <v>0</v>
      </c>
      <c r="Q2" s="17" t="str">
        <f>L2</f>
        <v>Архипова Г.А.</v>
      </c>
      <c r="R2" s="19">
        <v>0</v>
      </c>
      <c r="S2" s="1"/>
      <c r="T2" s="1"/>
    </row>
    <row r="3" spans="1:21" s="7" customFormat="1" ht="33.75" x14ac:dyDescent="0.2">
      <c r="A3" s="1" t="s">
        <v>93</v>
      </c>
      <c r="B3" s="1" t="s">
        <v>14</v>
      </c>
      <c r="C3" s="1" t="s">
        <v>305</v>
      </c>
      <c r="D3" s="1">
        <v>1</v>
      </c>
      <c r="E3" s="1">
        <v>2</v>
      </c>
      <c r="F3" s="1">
        <v>27</v>
      </c>
      <c r="G3" s="1"/>
      <c r="H3" s="1">
        <v>0</v>
      </c>
      <c r="I3" s="1">
        <v>1</v>
      </c>
      <c r="J3" s="1">
        <v>0</v>
      </c>
      <c r="K3" s="1">
        <v>0</v>
      </c>
      <c r="L3" s="1" t="s">
        <v>95</v>
      </c>
      <c r="M3" s="1">
        <v>108</v>
      </c>
      <c r="N3" s="1" t="s">
        <v>223</v>
      </c>
      <c r="O3" s="1">
        <v>0</v>
      </c>
      <c r="P3" s="1">
        <v>0</v>
      </c>
      <c r="Q3" s="17" t="str">
        <f>L3</f>
        <v>Савинова М.А.</v>
      </c>
      <c r="R3" s="19">
        <v>0</v>
      </c>
      <c r="S3" s="1"/>
      <c r="T3" s="1"/>
    </row>
    <row r="4" spans="1:21" s="7" customFormat="1" ht="21" customHeight="1" x14ac:dyDescent="0.2">
      <c r="A4" s="1" t="s">
        <v>92</v>
      </c>
      <c r="B4" s="1" t="s">
        <v>50</v>
      </c>
      <c r="C4" s="1" t="s">
        <v>305</v>
      </c>
      <c r="D4" s="1">
        <v>1</v>
      </c>
      <c r="E4" s="1">
        <v>1</v>
      </c>
      <c r="F4" s="1">
        <v>27</v>
      </c>
      <c r="G4" s="1"/>
      <c r="H4" s="1"/>
      <c r="I4" s="1">
        <v>1</v>
      </c>
      <c r="J4" s="1">
        <v>0</v>
      </c>
      <c r="K4" s="1">
        <v>0</v>
      </c>
      <c r="L4" s="1" t="s">
        <v>67</v>
      </c>
      <c r="M4" s="1">
        <v>3312</v>
      </c>
      <c r="N4" s="1" t="s">
        <v>223</v>
      </c>
      <c r="O4" s="1">
        <v>0</v>
      </c>
      <c r="P4" s="1">
        <v>0</v>
      </c>
      <c r="Q4" s="17" t="str">
        <f>L4</f>
        <v>Эрштейн Л.Б.</v>
      </c>
      <c r="R4" s="19">
        <v>0</v>
      </c>
      <c r="S4" s="1"/>
      <c r="T4" s="1"/>
    </row>
    <row r="5" spans="1:21" s="7" customFormat="1" ht="25.35" customHeight="1" x14ac:dyDescent="0.25">
      <c r="A5" s="1" t="s">
        <v>83</v>
      </c>
      <c r="B5" s="1" t="s">
        <v>50</v>
      </c>
      <c r="C5" s="1" t="s">
        <v>305</v>
      </c>
      <c r="D5" s="1">
        <v>1</v>
      </c>
      <c r="E5" s="1">
        <v>1</v>
      </c>
      <c r="F5" s="1">
        <v>27</v>
      </c>
      <c r="G5" s="1" t="s">
        <v>25</v>
      </c>
      <c r="H5" s="1">
        <v>4</v>
      </c>
      <c r="I5" s="1">
        <v>8</v>
      </c>
      <c r="J5" s="1">
        <v>0</v>
      </c>
      <c r="K5" s="1">
        <f>8*3</f>
        <v>24</v>
      </c>
      <c r="L5" s="1" t="s">
        <v>67</v>
      </c>
      <c r="M5" s="1" t="s">
        <v>243</v>
      </c>
      <c r="N5" s="19" t="s">
        <v>202</v>
      </c>
      <c r="O5" s="19">
        <v>16.2</v>
      </c>
      <c r="P5" s="19">
        <v>0</v>
      </c>
      <c r="Q5" s="33" t="s">
        <v>67</v>
      </c>
      <c r="R5" s="19">
        <f>I5+J5+K5+O5+P5</f>
        <v>48.2</v>
      </c>
      <c r="S5" s="1"/>
      <c r="T5" s="1"/>
      <c r="U5" s="7" t="s">
        <v>328</v>
      </c>
    </row>
    <row r="6" spans="1:21" s="7" customFormat="1" ht="32.25" customHeight="1" x14ac:dyDescent="0.2">
      <c r="A6" s="1" t="s">
        <v>304</v>
      </c>
      <c r="B6" s="1" t="s">
        <v>50</v>
      </c>
      <c r="C6" s="1" t="s">
        <v>305</v>
      </c>
      <c r="D6" s="1">
        <v>1</v>
      </c>
      <c r="E6" s="1">
        <v>2</v>
      </c>
      <c r="F6" s="1">
        <v>27</v>
      </c>
      <c r="G6" s="1"/>
      <c r="H6" s="1">
        <v>0</v>
      </c>
      <c r="I6" s="1">
        <v>1</v>
      </c>
      <c r="J6" s="1">
        <v>0</v>
      </c>
      <c r="K6" s="1">
        <v>0</v>
      </c>
      <c r="L6" s="1" t="s">
        <v>75</v>
      </c>
      <c r="M6" s="1">
        <v>3315</v>
      </c>
      <c r="N6" s="1" t="s">
        <v>223</v>
      </c>
      <c r="O6" s="1">
        <v>0</v>
      </c>
      <c r="P6" s="1">
        <v>0</v>
      </c>
      <c r="Q6" s="17" t="str">
        <f t="shared" ref="Q6:Q12" si="0">L6</f>
        <v>Архипова Г.А.</v>
      </c>
      <c r="R6" s="19">
        <v>0</v>
      </c>
      <c r="S6" s="1"/>
      <c r="T6" s="1"/>
    </row>
    <row r="7" spans="1:21" s="1" customFormat="1" ht="4.3499999999999996" hidden="1" customHeight="1" x14ac:dyDescent="0.2">
      <c r="Q7" s="17">
        <f t="shared" si="0"/>
        <v>0</v>
      </c>
      <c r="R7" s="19">
        <f>I7+J7+K7+P7+O7</f>
        <v>0</v>
      </c>
      <c r="U7" s="16"/>
    </row>
    <row r="8" spans="1:21" ht="22.35" customHeight="1" x14ac:dyDescent="0.25">
      <c r="A8" s="1" t="s">
        <v>18</v>
      </c>
      <c r="B8" s="1" t="s">
        <v>50</v>
      </c>
      <c r="C8" s="1" t="s">
        <v>305</v>
      </c>
      <c r="D8" s="1">
        <v>2</v>
      </c>
      <c r="E8" s="1">
        <v>1</v>
      </c>
      <c r="F8" s="1">
        <v>27</v>
      </c>
      <c r="G8" s="1" t="s">
        <v>19</v>
      </c>
      <c r="H8" s="1">
        <v>3</v>
      </c>
      <c r="I8" s="1">
        <v>6</v>
      </c>
      <c r="J8" s="1">
        <v>0</v>
      </c>
      <c r="K8" s="1">
        <f>6*3</f>
        <v>18</v>
      </c>
      <c r="L8" s="1" t="s">
        <v>67</v>
      </c>
      <c r="M8" s="1" t="s">
        <v>243</v>
      </c>
      <c r="N8" s="19" t="s">
        <v>201</v>
      </c>
      <c r="O8" s="19">
        <v>12.2</v>
      </c>
      <c r="P8" s="19">
        <v>0</v>
      </c>
      <c r="Q8" s="17" t="str">
        <f t="shared" si="0"/>
        <v>Эрштейн Л.Б.</v>
      </c>
      <c r="R8" s="19">
        <f>I8+J8+K8+P8+O8</f>
        <v>36.200000000000003</v>
      </c>
      <c r="S8" s="18"/>
      <c r="T8" s="18"/>
    </row>
    <row r="9" spans="1:21" ht="21" customHeight="1" x14ac:dyDescent="0.25">
      <c r="A9" s="1" t="s">
        <v>20</v>
      </c>
      <c r="B9" s="1" t="s">
        <v>50</v>
      </c>
      <c r="C9" s="1" t="s">
        <v>305</v>
      </c>
      <c r="D9" s="1">
        <v>2</v>
      </c>
      <c r="E9" s="1">
        <v>1</v>
      </c>
      <c r="F9" s="1">
        <v>27</v>
      </c>
      <c r="G9" s="1" t="s">
        <v>19</v>
      </c>
      <c r="H9" s="1">
        <v>2</v>
      </c>
      <c r="I9" s="1">
        <v>4</v>
      </c>
      <c r="J9" s="1">
        <f>4*2</f>
        <v>8</v>
      </c>
      <c r="K9" s="1">
        <v>0</v>
      </c>
      <c r="L9" s="1" t="s">
        <v>75</v>
      </c>
      <c r="M9" s="1">
        <v>3300</v>
      </c>
      <c r="N9" s="19" t="s">
        <v>201</v>
      </c>
      <c r="O9" s="19">
        <v>8.1</v>
      </c>
      <c r="P9" s="19">
        <v>0</v>
      </c>
      <c r="Q9" s="17" t="str">
        <f t="shared" si="0"/>
        <v>Архипова Г.А.</v>
      </c>
      <c r="R9" s="19">
        <f>I9+J9+K9+P9+O9</f>
        <v>20.100000000000001</v>
      </c>
      <c r="S9" s="18"/>
      <c r="T9" s="18"/>
    </row>
    <row r="10" spans="1:21" ht="67.5" x14ac:dyDescent="0.25">
      <c r="A10" s="1" t="s">
        <v>51</v>
      </c>
      <c r="B10" s="1" t="s">
        <v>50</v>
      </c>
      <c r="C10" s="1" t="s">
        <v>305</v>
      </c>
      <c r="D10" s="1">
        <v>2</v>
      </c>
      <c r="E10" s="1">
        <v>1</v>
      </c>
      <c r="F10" s="1">
        <v>27</v>
      </c>
      <c r="G10" s="1"/>
      <c r="H10" s="1">
        <v>2</v>
      </c>
      <c r="I10" s="1">
        <v>0</v>
      </c>
      <c r="J10" s="1">
        <v>2</v>
      </c>
      <c r="K10" s="1">
        <v>0</v>
      </c>
      <c r="L10" s="1" t="s">
        <v>81</v>
      </c>
      <c r="M10" s="1">
        <v>3305.2406999999998</v>
      </c>
      <c r="N10" s="1" t="s">
        <v>223</v>
      </c>
      <c r="O10" s="1">
        <v>0</v>
      </c>
      <c r="P10" s="1">
        <v>0</v>
      </c>
      <c r="Q10" s="17" t="str">
        <f t="shared" si="0"/>
        <v>Кулаков И.Ю.</v>
      </c>
      <c r="R10" s="19">
        <v>0</v>
      </c>
      <c r="S10" s="18"/>
      <c r="T10" s="18"/>
    </row>
    <row r="11" spans="1:21" s="7" customFormat="1" ht="23.25" customHeight="1" x14ac:dyDescent="0.2">
      <c r="A11" s="1" t="s">
        <v>84</v>
      </c>
      <c r="B11" s="1" t="s">
        <v>50</v>
      </c>
      <c r="C11" s="1" t="s">
        <v>305</v>
      </c>
      <c r="D11" s="1">
        <v>2</v>
      </c>
      <c r="E11" s="1">
        <v>2</v>
      </c>
      <c r="F11" s="1">
        <v>27</v>
      </c>
      <c r="G11" s="1" t="s">
        <v>25</v>
      </c>
      <c r="H11" s="1">
        <v>3</v>
      </c>
      <c r="I11" s="1">
        <v>0</v>
      </c>
      <c r="J11" s="1">
        <v>2</v>
      </c>
      <c r="K11" s="1"/>
      <c r="L11" s="1" t="s">
        <v>75</v>
      </c>
      <c r="M11" s="1">
        <v>3300</v>
      </c>
      <c r="N11" s="1" t="s">
        <v>224</v>
      </c>
      <c r="O11" s="1">
        <v>24.3</v>
      </c>
      <c r="P11" s="1">
        <v>0</v>
      </c>
      <c r="Q11" s="17" t="str">
        <f t="shared" si="0"/>
        <v>Архипова Г.А.</v>
      </c>
      <c r="R11" s="19">
        <f>I11+K11+P11+O11</f>
        <v>24.3</v>
      </c>
      <c r="S11" s="1"/>
      <c r="T11" s="1"/>
      <c r="U11" s="7" t="s">
        <v>328</v>
      </c>
    </row>
    <row r="12" spans="1:21" ht="33.75" x14ac:dyDescent="0.25">
      <c r="A12" s="1" t="s">
        <v>306</v>
      </c>
      <c r="B12" s="1" t="s">
        <v>50</v>
      </c>
      <c r="C12" s="1" t="s">
        <v>305</v>
      </c>
      <c r="D12" s="1">
        <v>2</v>
      </c>
      <c r="E12" s="1">
        <v>2</v>
      </c>
      <c r="F12" s="1">
        <v>27</v>
      </c>
      <c r="G12" s="1"/>
      <c r="H12" s="1">
        <v>0</v>
      </c>
      <c r="I12" s="1">
        <v>2</v>
      </c>
      <c r="J12" s="1">
        <v>0</v>
      </c>
      <c r="K12" s="1">
        <v>0</v>
      </c>
      <c r="L12" s="1" t="s">
        <v>263</v>
      </c>
      <c r="M12" s="1">
        <v>4207</v>
      </c>
      <c r="N12" s="1" t="s">
        <v>223</v>
      </c>
      <c r="O12" s="1">
        <v>0</v>
      </c>
      <c r="P12" s="1">
        <v>0</v>
      </c>
      <c r="Q12" s="17" t="str">
        <f t="shared" si="0"/>
        <v>Гареева Т.Ю.</v>
      </c>
      <c r="R12" s="19">
        <v>0</v>
      </c>
      <c r="S12" s="18"/>
      <c r="T12" s="18"/>
    </row>
    <row r="13" spans="1:21" s="32" customFormat="1" ht="4.3499999999999996" hidden="1" customHeight="1" x14ac:dyDescent="0.2">
      <c r="Q13" s="17"/>
      <c r="R13" s="19">
        <f>I13+J13+K13+P13+O13</f>
        <v>0</v>
      </c>
      <c r="U13" s="52"/>
    </row>
    <row r="14" spans="1:21" ht="41.1" customHeight="1" x14ac:dyDescent="0.25">
      <c r="A14" s="1" t="s">
        <v>21</v>
      </c>
      <c r="B14" s="1" t="s">
        <v>143</v>
      </c>
      <c r="C14" s="1" t="s">
        <v>144</v>
      </c>
      <c r="D14" s="1">
        <v>3</v>
      </c>
      <c r="E14" s="1">
        <v>1</v>
      </c>
      <c r="F14" s="1">
        <v>15</v>
      </c>
      <c r="G14" s="1" t="s">
        <v>19</v>
      </c>
      <c r="H14" s="1">
        <v>1</v>
      </c>
      <c r="I14" s="1">
        <v>0</v>
      </c>
      <c r="J14" s="1">
        <v>4</v>
      </c>
      <c r="K14" s="1">
        <v>0</v>
      </c>
      <c r="L14" s="1" t="s">
        <v>67</v>
      </c>
      <c r="M14" s="1" t="s">
        <v>243</v>
      </c>
      <c r="N14" s="1" t="s">
        <v>224</v>
      </c>
      <c r="O14" s="19">
        <v>2.2999999999999998</v>
      </c>
      <c r="P14" s="19">
        <v>0</v>
      </c>
      <c r="Q14" s="17" t="str">
        <f t="shared" ref="Q14:Q48" si="1">L14</f>
        <v>Эрштейн Л.Б.</v>
      </c>
      <c r="R14" s="19">
        <f>I14+J14+K14+O14+P14</f>
        <v>6.3</v>
      </c>
      <c r="T14" s="18"/>
    </row>
    <row r="15" spans="1:21" ht="41.1" customHeight="1" x14ac:dyDescent="0.25">
      <c r="A15" s="1" t="s">
        <v>21</v>
      </c>
      <c r="B15" s="1" t="s">
        <v>145</v>
      </c>
      <c r="C15" s="1" t="s">
        <v>148</v>
      </c>
      <c r="D15" s="1">
        <v>5</v>
      </c>
      <c r="E15" s="1">
        <v>2</v>
      </c>
      <c r="F15" s="1">
        <v>23</v>
      </c>
      <c r="G15" s="1" t="s">
        <v>19</v>
      </c>
      <c r="H15" s="1">
        <v>1</v>
      </c>
      <c r="I15" s="1">
        <v>0</v>
      </c>
      <c r="J15" s="1">
        <v>4</v>
      </c>
      <c r="K15" s="1">
        <v>0</v>
      </c>
      <c r="L15" s="1" t="s">
        <v>67</v>
      </c>
      <c r="M15" s="1" t="s">
        <v>243</v>
      </c>
      <c r="N15" s="22" t="s">
        <v>224</v>
      </c>
      <c r="O15" s="19">
        <v>3.5</v>
      </c>
      <c r="P15" s="19">
        <v>0</v>
      </c>
      <c r="Q15" s="17" t="str">
        <f t="shared" si="1"/>
        <v>Эрштейн Л.Б.</v>
      </c>
      <c r="R15" s="19">
        <f t="shared" ref="R15:R48" si="2">I15+J15+K15+O15+P15</f>
        <v>7.5</v>
      </c>
      <c r="S15" s="19"/>
      <c r="T15" s="18"/>
    </row>
    <row r="16" spans="1:21" ht="23.25" x14ac:dyDescent="0.25">
      <c r="A16" s="1" t="s">
        <v>146</v>
      </c>
      <c r="B16" s="1" t="s">
        <v>50</v>
      </c>
      <c r="C16" s="1" t="s">
        <v>147</v>
      </c>
      <c r="D16" s="1">
        <v>7</v>
      </c>
      <c r="E16" s="1">
        <v>1</v>
      </c>
      <c r="F16" s="1">
        <v>22</v>
      </c>
      <c r="G16" s="1"/>
      <c r="H16" s="1"/>
      <c r="I16" s="1">
        <v>2</v>
      </c>
      <c r="J16" s="1">
        <v>0</v>
      </c>
      <c r="K16" s="1">
        <v>0</v>
      </c>
      <c r="L16" s="1" t="s">
        <v>95</v>
      </c>
      <c r="M16" s="22">
        <v>108</v>
      </c>
      <c r="N16" s="22" t="s">
        <v>244</v>
      </c>
      <c r="O16" s="19">
        <v>0</v>
      </c>
      <c r="P16" s="19">
        <v>0</v>
      </c>
      <c r="Q16" s="17" t="str">
        <f t="shared" si="1"/>
        <v>Савинова М.А.</v>
      </c>
      <c r="R16" s="19">
        <f t="shared" si="2"/>
        <v>2</v>
      </c>
      <c r="S16" s="19"/>
      <c r="T16" s="18"/>
    </row>
    <row r="17" spans="1:20" ht="23.25" x14ac:dyDescent="0.25">
      <c r="A17" s="1" t="s">
        <v>86</v>
      </c>
      <c r="B17" s="1" t="s">
        <v>50</v>
      </c>
      <c r="C17" s="1" t="s">
        <v>147</v>
      </c>
      <c r="D17" s="1">
        <v>7</v>
      </c>
      <c r="E17" s="1">
        <v>1</v>
      </c>
      <c r="F17" s="1">
        <v>22</v>
      </c>
      <c r="G17" s="1" t="s">
        <v>142</v>
      </c>
      <c r="H17" s="1">
        <v>6</v>
      </c>
      <c r="I17" s="1">
        <v>8</v>
      </c>
      <c r="J17" s="1">
        <v>0</v>
      </c>
      <c r="K17" s="1">
        <v>12</v>
      </c>
      <c r="L17" s="1" t="s">
        <v>72</v>
      </c>
      <c r="M17" s="22">
        <v>2309</v>
      </c>
      <c r="N17" s="22" t="s">
        <v>201</v>
      </c>
      <c r="O17" s="19">
        <v>19.8</v>
      </c>
      <c r="P17" s="19">
        <v>13.2</v>
      </c>
      <c r="Q17" s="17" t="str">
        <f t="shared" si="1"/>
        <v>Журавлева М.П.</v>
      </c>
      <c r="R17" s="19">
        <f t="shared" si="2"/>
        <v>53</v>
      </c>
      <c r="S17" s="19"/>
      <c r="T17" s="18"/>
    </row>
    <row r="18" spans="1:20" ht="20.45" customHeight="1" x14ac:dyDescent="0.25">
      <c r="A18" s="1" t="s">
        <v>149</v>
      </c>
      <c r="B18" s="1" t="s">
        <v>50</v>
      </c>
      <c r="C18" s="1" t="s">
        <v>147</v>
      </c>
      <c r="D18" s="1">
        <v>7</v>
      </c>
      <c r="E18" s="1">
        <v>1</v>
      </c>
      <c r="F18" s="1">
        <v>22</v>
      </c>
      <c r="G18" s="1"/>
      <c r="H18" s="1"/>
      <c r="I18" s="1">
        <v>2</v>
      </c>
      <c r="J18" s="1">
        <v>0</v>
      </c>
      <c r="K18" s="1">
        <v>0</v>
      </c>
      <c r="L18" s="1" t="s">
        <v>70</v>
      </c>
      <c r="M18" s="22">
        <v>3305</v>
      </c>
      <c r="N18" s="22" t="s">
        <v>244</v>
      </c>
      <c r="O18" s="19">
        <v>0</v>
      </c>
      <c r="P18" s="19">
        <v>0</v>
      </c>
      <c r="Q18" s="17" t="str">
        <f t="shared" si="1"/>
        <v>Михайлов Д.В.</v>
      </c>
      <c r="R18" s="19">
        <f t="shared" si="2"/>
        <v>2</v>
      </c>
      <c r="S18" s="19"/>
      <c r="T18" s="18"/>
    </row>
    <row r="19" spans="1:20" ht="23.25" x14ac:dyDescent="0.25">
      <c r="A19" s="1" t="s">
        <v>34</v>
      </c>
      <c r="B19" s="1" t="s">
        <v>50</v>
      </c>
      <c r="C19" s="1" t="s">
        <v>147</v>
      </c>
      <c r="D19" s="1">
        <v>7</v>
      </c>
      <c r="E19" s="1">
        <v>1</v>
      </c>
      <c r="F19" s="1">
        <v>22</v>
      </c>
      <c r="G19" s="1" t="s">
        <v>25</v>
      </c>
      <c r="H19" s="1">
        <v>4</v>
      </c>
      <c r="I19" s="1">
        <v>4</v>
      </c>
      <c r="J19" s="1">
        <v>0</v>
      </c>
      <c r="K19" s="1">
        <v>12</v>
      </c>
      <c r="L19" s="1" t="s">
        <v>68</v>
      </c>
      <c r="M19" s="22" t="s">
        <v>245</v>
      </c>
      <c r="N19" s="22" t="s">
        <v>201</v>
      </c>
      <c r="O19" s="19">
        <v>13.2</v>
      </c>
      <c r="P19" s="19">
        <v>0</v>
      </c>
      <c r="Q19" s="17" t="str">
        <f t="shared" si="1"/>
        <v>Эминов С.И.</v>
      </c>
      <c r="R19" s="19">
        <f t="shared" si="2"/>
        <v>29.2</v>
      </c>
      <c r="S19" s="19"/>
      <c r="T19" s="18"/>
    </row>
    <row r="20" spans="1:20" ht="22.5" x14ac:dyDescent="0.25">
      <c r="A20" s="1" t="s">
        <v>150</v>
      </c>
      <c r="B20" s="1" t="s">
        <v>50</v>
      </c>
      <c r="C20" s="1" t="s">
        <v>147</v>
      </c>
      <c r="D20" s="1">
        <v>7</v>
      </c>
      <c r="E20" s="1">
        <v>1</v>
      </c>
      <c r="F20" s="1">
        <v>22</v>
      </c>
      <c r="G20" s="1"/>
      <c r="H20" s="1"/>
      <c r="I20" s="1">
        <v>2</v>
      </c>
      <c r="J20" s="1">
        <v>0</v>
      </c>
      <c r="K20" s="1">
        <v>0</v>
      </c>
      <c r="L20" s="1" t="s">
        <v>151</v>
      </c>
      <c r="M20" s="22" t="s">
        <v>246</v>
      </c>
      <c r="N20" s="22" t="s">
        <v>244</v>
      </c>
      <c r="O20" s="19">
        <v>0</v>
      </c>
      <c r="P20" s="19">
        <v>0</v>
      </c>
      <c r="Q20" s="17" t="str">
        <f t="shared" si="1"/>
        <v>Жгун Т.</v>
      </c>
      <c r="R20" s="19">
        <f t="shared" si="2"/>
        <v>2</v>
      </c>
      <c r="S20" s="19"/>
      <c r="T20" s="18"/>
    </row>
    <row r="21" spans="1:20" ht="33.75" x14ac:dyDescent="0.25">
      <c r="A21" s="1" t="s">
        <v>152</v>
      </c>
      <c r="B21" s="1" t="s">
        <v>50</v>
      </c>
      <c r="C21" s="1" t="s">
        <v>147</v>
      </c>
      <c r="D21" s="1">
        <v>7</v>
      </c>
      <c r="E21" s="1">
        <v>1</v>
      </c>
      <c r="F21" s="1">
        <v>22</v>
      </c>
      <c r="G21" s="1"/>
      <c r="H21" s="1"/>
      <c r="I21" s="1">
        <v>2</v>
      </c>
      <c r="J21" s="1">
        <v>0</v>
      </c>
      <c r="K21" s="1">
        <v>0</v>
      </c>
      <c r="L21" s="1" t="s">
        <v>78</v>
      </c>
      <c r="M21" s="22">
        <v>124</v>
      </c>
      <c r="N21" s="22" t="s">
        <v>244</v>
      </c>
      <c r="O21" s="19">
        <v>0</v>
      </c>
      <c r="P21" s="19">
        <v>0</v>
      </c>
      <c r="Q21" s="17" t="str">
        <f t="shared" si="1"/>
        <v>Цымбалюк Л.Н.</v>
      </c>
      <c r="R21" s="19">
        <f t="shared" si="2"/>
        <v>2</v>
      </c>
      <c r="S21" s="19"/>
      <c r="T21" s="18"/>
    </row>
    <row r="22" spans="1:20" ht="33.75" x14ac:dyDescent="0.25">
      <c r="A22" s="1" t="s">
        <v>37</v>
      </c>
      <c r="B22" s="1" t="s">
        <v>50</v>
      </c>
      <c r="C22" s="1" t="s">
        <v>147</v>
      </c>
      <c r="D22" s="1">
        <v>7</v>
      </c>
      <c r="E22" s="1">
        <v>1</v>
      </c>
      <c r="F22" s="1">
        <v>22</v>
      </c>
      <c r="G22" s="1" t="s">
        <v>142</v>
      </c>
      <c r="H22" s="1">
        <v>4</v>
      </c>
      <c r="I22" s="1">
        <v>4</v>
      </c>
      <c r="J22" s="1">
        <v>4</v>
      </c>
      <c r="K22" s="1">
        <v>4</v>
      </c>
      <c r="L22" s="20" t="s">
        <v>408</v>
      </c>
      <c r="M22" s="22">
        <v>3312</v>
      </c>
      <c r="N22" s="22" t="s">
        <v>201</v>
      </c>
      <c r="O22" s="19">
        <v>13.2</v>
      </c>
      <c r="P22" s="19">
        <v>8.8000000000000007</v>
      </c>
      <c r="Q22" s="17" t="s">
        <v>408</v>
      </c>
      <c r="R22" s="19">
        <f t="shared" si="2"/>
        <v>34</v>
      </c>
      <c r="S22" s="19"/>
      <c r="T22" s="18"/>
    </row>
    <row r="23" spans="1:20" ht="45" x14ac:dyDescent="0.25">
      <c r="A23" s="1" t="s">
        <v>247</v>
      </c>
      <c r="B23" s="1" t="s">
        <v>50</v>
      </c>
      <c r="C23" s="1" t="s">
        <v>147</v>
      </c>
      <c r="D23" s="1">
        <v>7</v>
      </c>
      <c r="E23" s="1">
        <v>1</v>
      </c>
      <c r="F23" s="1">
        <v>22</v>
      </c>
      <c r="G23" s="1"/>
      <c r="H23" s="1"/>
      <c r="I23" s="1">
        <v>2</v>
      </c>
      <c r="J23" s="1">
        <v>0</v>
      </c>
      <c r="K23" s="1">
        <v>0</v>
      </c>
      <c r="L23" s="1" t="s">
        <v>78</v>
      </c>
      <c r="M23" s="22">
        <v>124</v>
      </c>
      <c r="N23" s="22" t="s">
        <v>244</v>
      </c>
      <c r="O23" s="19">
        <v>0</v>
      </c>
      <c r="P23" s="19">
        <v>0</v>
      </c>
      <c r="Q23" s="17" t="str">
        <f t="shared" si="1"/>
        <v>Цымбалюк Л.Н.</v>
      </c>
      <c r="R23" s="19">
        <f t="shared" si="2"/>
        <v>2</v>
      </c>
      <c r="S23" s="19"/>
      <c r="T23" s="18"/>
    </row>
    <row r="24" spans="1:20" ht="56.25" x14ac:dyDescent="0.25">
      <c r="A24" s="1" t="s">
        <v>153</v>
      </c>
      <c r="B24" s="1" t="s">
        <v>50</v>
      </c>
      <c r="C24" s="1" t="s">
        <v>147</v>
      </c>
      <c r="D24" s="1">
        <v>7</v>
      </c>
      <c r="E24" s="1">
        <v>1</v>
      </c>
      <c r="F24" s="1">
        <v>22</v>
      </c>
      <c r="G24" s="1" t="s">
        <v>25</v>
      </c>
      <c r="H24" s="1">
        <v>4</v>
      </c>
      <c r="I24" s="1">
        <v>4</v>
      </c>
      <c r="J24" s="1">
        <v>6</v>
      </c>
      <c r="K24" s="1">
        <v>6</v>
      </c>
      <c r="L24" s="1" t="s">
        <v>76</v>
      </c>
      <c r="M24" s="22">
        <v>3305</v>
      </c>
      <c r="N24" s="22" t="s">
        <v>201</v>
      </c>
      <c r="O24" s="19">
        <v>0</v>
      </c>
      <c r="P24" s="19">
        <v>13.2</v>
      </c>
      <c r="Q24" s="17" t="str">
        <f t="shared" si="1"/>
        <v>Килиба Ю.В.</v>
      </c>
      <c r="R24" s="19">
        <f t="shared" si="2"/>
        <v>29.2</v>
      </c>
      <c r="S24" s="19"/>
      <c r="T24" s="18"/>
    </row>
    <row r="25" spans="1:20" ht="23.25" x14ac:dyDescent="0.25">
      <c r="A25" s="1" t="s">
        <v>53</v>
      </c>
      <c r="B25" s="1" t="s">
        <v>50</v>
      </c>
      <c r="C25" s="1" t="s">
        <v>147</v>
      </c>
      <c r="D25" s="1">
        <v>7</v>
      </c>
      <c r="E25" s="1">
        <v>1</v>
      </c>
      <c r="F25" s="1">
        <v>22</v>
      </c>
      <c r="G25" s="1" t="s">
        <v>25</v>
      </c>
      <c r="H25" s="1">
        <v>1</v>
      </c>
      <c r="I25" s="1">
        <v>0</v>
      </c>
      <c r="J25" s="1">
        <v>4</v>
      </c>
      <c r="K25" s="1">
        <v>0</v>
      </c>
      <c r="L25" s="1" t="s">
        <v>95</v>
      </c>
      <c r="M25" s="22">
        <v>108</v>
      </c>
      <c r="N25" s="22" t="s">
        <v>224</v>
      </c>
      <c r="O25" s="19">
        <v>3.3</v>
      </c>
      <c r="P25" s="19">
        <v>0</v>
      </c>
      <c r="Q25" s="17" t="str">
        <f t="shared" si="1"/>
        <v>Савинова М.А.</v>
      </c>
      <c r="R25" s="19">
        <f t="shared" si="2"/>
        <v>7.3</v>
      </c>
      <c r="S25" s="19"/>
      <c r="T25" s="18"/>
    </row>
    <row r="26" spans="1:20" ht="45" x14ac:dyDescent="0.25">
      <c r="A26" s="1" t="s">
        <v>154</v>
      </c>
      <c r="B26" s="1" t="s">
        <v>50</v>
      </c>
      <c r="C26" s="1" t="s">
        <v>147</v>
      </c>
      <c r="D26" s="1">
        <v>7</v>
      </c>
      <c r="E26" s="1">
        <v>1</v>
      </c>
      <c r="F26" s="1">
        <v>22</v>
      </c>
      <c r="G26" s="1"/>
      <c r="H26" s="1"/>
      <c r="I26" s="1">
        <v>1</v>
      </c>
      <c r="J26" s="1">
        <v>0</v>
      </c>
      <c r="K26" s="1">
        <v>0</v>
      </c>
      <c r="L26" s="1" t="s">
        <v>54</v>
      </c>
      <c r="M26" s="22">
        <v>2407</v>
      </c>
      <c r="N26" s="22" t="s">
        <v>244</v>
      </c>
      <c r="O26" s="19">
        <v>0</v>
      </c>
      <c r="P26" s="19">
        <v>0</v>
      </c>
      <c r="Q26" s="17" t="str">
        <f t="shared" si="1"/>
        <v>Макевич П.В.</v>
      </c>
      <c r="R26" s="19">
        <f t="shared" si="2"/>
        <v>1</v>
      </c>
      <c r="S26" s="19"/>
      <c r="T26" s="18"/>
    </row>
    <row r="27" spans="1:20" ht="33.75" x14ac:dyDescent="0.25">
      <c r="A27" s="1" t="s">
        <v>28</v>
      </c>
      <c r="B27" s="1" t="s">
        <v>50</v>
      </c>
      <c r="C27" s="1" t="s">
        <v>147</v>
      </c>
      <c r="D27" s="1">
        <v>7</v>
      </c>
      <c r="E27" s="1">
        <v>1</v>
      </c>
      <c r="F27" s="1">
        <v>22</v>
      </c>
      <c r="G27" s="1" t="s">
        <v>25</v>
      </c>
      <c r="H27" s="1">
        <v>1</v>
      </c>
      <c r="I27" s="1">
        <v>0</v>
      </c>
      <c r="J27" s="1">
        <v>2</v>
      </c>
      <c r="K27" s="1">
        <v>0</v>
      </c>
      <c r="L27" s="1" t="s">
        <v>69</v>
      </c>
      <c r="M27" s="22">
        <v>3312.3305</v>
      </c>
      <c r="N27" s="22" t="s">
        <v>224</v>
      </c>
      <c r="O27" s="19">
        <v>6.6</v>
      </c>
      <c r="P27" s="19">
        <v>0</v>
      </c>
      <c r="Q27" s="17" t="str">
        <f t="shared" si="1"/>
        <v>Моркин С.А.</v>
      </c>
      <c r="R27" s="19">
        <f t="shared" si="2"/>
        <v>8.6</v>
      </c>
      <c r="S27" s="19"/>
      <c r="T27" s="18"/>
    </row>
    <row r="28" spans="1:20" ht="45" x14ac:dyDescent="0.25">
      <c r="A28" s="1" t="s">
        <v>155</v>
      </c>
      <c r="B28" s="1" t="s">
        <v>50</v>
      </c>
      <c r="C28" s="1" t="s">
        <v>147</v>
      </c>
      <c r="D28" s="1">
        <v>7</v>
      </c>
      <c r="E28" s="1">
        <v>1</v>
      </c>
      <c r="F28" s="1">
        <v>22</v>
      </c>
      <c r="G28" s="1"/>
      <c r="H28" s="1"/>
      <c r="I28" s="1">
        <v>1</v>
      </c>
      <c r="J28" s="1">
        <v>0</v>
      </c>
      <c r="K28" s="1">
        <v>0</v>
      </c>
      <c r="L28" s="1" t="s">
        <v>69</v>
      </c>
      <c r="M28" s="22">
        <v>2407</v>
      </c>
      <c r="N28" s="22" t="s">
        <v>244</v>
      </c>
      <c r="O28" s="19">
        <v>0</v>
      </c>
      <c r="P28" s="19">
        <v>0</v>
      </c>
      <c r="Q28" s="17" t="str">
        <f t="shared" si="1"/>
        <v>Моркин С.А.</v>
      </c>
      <c r="R28" s="19">
        <f t="shared" si="2"/>
        <v>1</v>
      </c>
      <c r="S28" s="19"/>
      <c r="T28" s="18"/>
    </row>
    <row r="29" spans="1:20" ht="37.35" customHeight="1" x14ac:dyDescent="0.25">
      <c r="A29" s="1" t="s">
        <v>21</v>
      </c>
      <c r="B29" s="1" t="s">
        <v>156</v>
      </c>
      <c r="C29" s="1" t="s">
        <v>148</v>
      </c>
      <c r="D29" s="1">
        <v>7</v>
      </c>
      <c r="E29" s="1">
        <v>3</v>
      </c>
      <c r="F29" s="1">
        <v>38</v>
      </c>
      <c r="G29" s="1" t="s">
        <v>19</v>
      </c>
      <c r="H29" s="1">
        <v>1</v>
      </c>
      <c r="I29" s="1">
        <v>0</v>
      </c>
      <c r="J29" s="1">
        <v>4</v>
      </c>
      <c r="K29" s="1">
        <v>0</v>
      </c>
      <c r="L29" s="1" t="s">
        <v>67</v>
      </c>
      <c r="M29" s="22" t="s">
        <v>243</v>
      </c>
      <c r="N29" s="22" t="s">
        <v>235</v>
      </c>
      <c r="O29" s="19">
        <v>5.7</v>
      </c>
      <c r="P29" s="19">
        <v>1.1000000000000001</v>
      </c>
      <c r="Q29" s="17" t="str">
        <f t="shared" si="1"/>
        <v>Эрштейн Л.Б.</v>
      </c>
      <c r="R29" s="19">
        <f t="shared" si="2"/>
        <v>10.799999999999999</v>
      </c>
      <c r="S29" s="19"/>
      <c r="T29" s="18"/>
    </row>
    <row r="30" spans="1:20" ht="23.25" x14ac:dyDescent="0.25">
      <c r="A30" s="1" t="s">
        <v>21</v>
      </c>
      <c r="B30" s="1" t="s">
        <v>143</v>
      </c>
      <c r="C30" s="1" t="s">
        <v>144</v>
      </c>
      <c r="D30" s="9">
        <v>4</v>
      </c>
      <c r="E30" s="9">
        <v>1</v>
      </c>
      <c r="F30" s="9">
        <v>15</v>
      </c>
      <c r="G30" s="9" t="s">
        <v>19</v>
      </c>
      <c r="H30" s="9">
        <v>1</v>
      </c>
      <c r="I30" s="9">
        <v>0</v>
      </c>
      <c r="J30" s="9">
        <v>4</v>
      </c>
      <c r="K30" s="9">
        <v>0</v>
      </c>
      <c r="L30" s="1" t="s">
        <v>67</v>
      </c>
      <c r="M30" s="22" t="s">
        <v>243</v>
      </c>
      <c r="N30" s="22" t="s">
        <v>224</v>
      </c>
      <c r="O30" s="19">
        <v>2.2999999999999998</v>
      </c>
      <c r="P30" s="19">
        <v>0</v>
      </c>
      <c r="Q30" s="17" t="str">
        <f t="shared" si="1"/>
        <v>Эрштейн Л.Б.</v>
      </c>
      <c r="R30" s="19">
        <f t="shared" si="2"/>
        <v>6.3</v>
      </c>
      <c r="S30" s="19"/>
      <c r="T30" s="18"/>
    </row>
    <row r="31" spans="1:20" ht="45" x14ac:dyDescent="0.25">
      <c r="A31" s="1" t="s">
        <v>21</v>
      </c>
      <c r="B31" s="1" t="s">
        <v>145</v>
      </c>
      <c r="C31" s="10" t="s">
        <v>148</v>
      </c>
      <c r="D31" s="9">
        <v>6</v>
      </c>
      <c r="E31" s="9">
        <v>2</v>
      </c>
      <c r="F31" s="9">
        <v>23</v>
      </c>
      <c r="G31" s="9" t="s">
        <v>19</v>
      </c>
      <c r="H31" s="9">
        <v>1</v>
      </c>
      <c r="I31" s="9">
        <v>0</v>
      </c>
      <c r="J31" s="9">
        <v>4</v>
      </c>
      <c r="K31" s="9">
        <v>0</v>
      </c>
      <c r="L31" s="1" t="s">
        <v>67</v>
      </c>
      <c r="M31" s="22" t="s">
        <v>243</v>
      </c>
      <c r="N31" s="22" t="s">
        <v>224</v>
      </c>
      <c r="O31" s="19">
        <v>3.5</v>
      </c>
      <c r="P31" s="19">
        <v>0</v>
      </c>
      <c r="Q31" s="17" t="str">
        <f t="shared" si="1"/>
        <v>Эрштейн Л.Б.</v>
      </c>
      <c r="R31" s="19">
        <f t="shared" si="2"/>
        <v>7.5</v>
      </c>
      <c r="S31" s="19"/>
      <c r="T31" s="18"/>
    </row>
    <row r="32" spans="1:20" ht="23.25" x14ac:dyDescent="0.25">
      <c r="A32" s="1" t="s">
        <v>146</v>
      </c>
      <c r="B32" s="1" t="s">
        <v>50</v>
      </c>
      <c r="C32" s="1" t="s">
        <v>147</v>
      </c>
      <c r="D32" s="1">
        <v>8</v>
      </c>
      <c r="E32" s="1">
        <v>1</v>
      </c>
      <c r="F32" s="1">
        <v>22</v>
      </c>
      <c r="G32" s="9" t="s">
        <v>25</v>
      </c>
      <c r="H32" s="9">
        <v>4</v>
      </c>
      <c r="I32" s="9">
        <v>8</v>
      </c>
      <c r="J32" s="9">
        <v>0</v>
      </c>
      <c r="K32" s="9">
        <v>8</v>
      </c>
      <c r="L32" s="1" t="s">
        <v>95</v>
      </c>
      <c r="M32" s="22">
        <v>108</v>
      </c>
      <c r="N32" s="22" t="s">
        <v>224</v>
      </c>
      <c r="O32" s="19">
        <v>13.2</v>
      </c>
      <c r="P32" s="19">
        <v>0</v>
      </c>
      <c r="Q32" s="17" t="str">
        <f t="shared" si="1"/>
        <v>Савинова М.А.</v>
      </c>
      <c r="R32" s="19">
        <f t="shared" si="2"/>
        <v>29.2</v>
      </c>
      <c r="S32" s="19"/>
      <c r="T32" s="18"/>
    </row>
    <row r="33" spans="1:20" ht="23.25" x14ac:dyDescent="0.25">
      <c r="A33" s="1" t="s">
        <v>33</v>
      </c>
      <c r="B33" s="1" t="s">
        <v>50</v>
      </c>
      <c r="C33" s="1" t="s">
        <v>147</v>
      </c>
      <c r="D33" s="1">
        <v>8</v>
      </c>
      <c r="E33" s="1">
        <v>1</v>
      </c>
      <c r="F33" s="1">
        <v>22</v>
      </c>
      <c r="G33" s="9" t="s">
        <v>17</v>
      </c>
      <c r="H33" s="9">
        <v>4</v>
      </c>
      <c r="I33" s="9">
        <v>4</v>
      </c>
      <c r="J33" s="9">
        <v>4</v>
      </c>
      <c r="K33" s="9">
        <v>4</v>
      </c>
      <c r="L33" s="1" t="s">
        <v>70</v>
      </c>
      <c r="M33" s="22">
        <v>3305</v>
      </c>
      <c r="N33" s="22" t="s">
        <v>224</v>
      </c>
      <c r="O33" s="19">
        <v>13.2</v>
      </c>
      <c r="P33" s="19">
        <v>8.8000000000000007</v>
      </c>
      <c r="Q33" s="17" t="str">
        <f t="shared" si="1"/>
        <v>Михайлов Д.В.</v>
      </c>
      <c r="R33" s="19">
        <f t="shared" si="2"/>
        <v>34</v>
      </c>
      <c r="S33" s="19"/>
      <c r="T33" s="18"/>
    </row>
    <row r="34" spans="1:20" x14ac:dyDescent="0.25">
      <c r="A34" s="1" t="s">
        <v>35</v>
      </c>
      <c r="B34" s="1" t="s">
        <v>50</v>
      </c>
      <c r="C34" s="1" t="s">
        <v>147</v>
      </c>
      <c r="D34" s="1">
        <v>8</v>
      </c>
      <c r="E34" s="1">
        <v>1</v>
      </c>
      <c r="F34" s="1">
        <v>22</v>
      </c>
      <c r="G34" s="9" t="s">
        <v>25</v>
      </c>
      <c r="H34" s="9">
        <v>4</v>
      </c>
      <c r="I34" s="9">
        <v>4</v>
      </c>
      <c r="J34" s="9">
        <v>0</v>
      </c>
      <c r="K34" s="9">
        <v>12</v>
      </c>
      <c r="L34" s="1" t="s">
        <v>151</v>
      </c>
      <c r="M34" s="22" t="s">
        <v>248</v>
      </c>
      <c r="N34" s="22" t="s">
        <v>224</v>
      </c>
      <c r="O34" s="19">
        <v>13.2</v>
      </c>
      <c r="P34" s="19">
        <v>0</v>
      </c>
      <c r="Q34" s="17" t="str">
        <f t="shared" si="1"/>
        <v>Жгун Т.</v>
      </c>
      <c r="R34" s="19">
        <f t="shared" si="2"/>
        <v>29.2</v>
      </c>
      <c r="S34" s="19"/>
      <c r="T34" s="18"/>
    </row>
    <row r="35" spans="1:20" ht="33.75" x14ac:dyDescent="0.25">
      <c r="A35" s="1" t="s">
        <v>36</v>
      </c>
      <c r="B35" s="1" t="s">
        <v>50</v>
      </c>
      <c r="C35" s="1" t="s">
        <v>147</v>
      </c>
      <c r="D35" s="1">
        <v>8</v>
      </c>
      <c r="E35" s="1">
        <v>1</v>
      </c>
      <c r="F35" s="1">
        <v>22</v>
      </c>
      <c r="G35" s="9" t="s">
        <v>17</v>
      </c>
      <c r="H35" s="9">
        <v>5</v>
      </c>
      <c r="I35" s="9">
        <v>4</v>
      </c>
      <c r="J35" s="9">
        <v>0</v>
      </c>
      <c r="K35" s="9">
        <v>12</v>
      </c>
      <c r="L35" s="1" t="s">
        <v>78</v>
      </c>
      <c r="M35" s="22">
        <v>124</v>
      </c>
      <c r="N35" s="22" t="s">
        <v>224</v>
      </c>
      <c r="O35" s="19">
        <v>16.5</v>
      </c>
      <c r="P35" s="19">
        <v>11</v>
      </c>
      <c r="Q35" s="17" t="str">
        <f t="shared" si="1"/>
        <v>Цымбалюк Л.Н.</v>
      </c>
      <c r="R35" s="19">
        <f t="shared" si="2"/>
        <v>43.5</v>
      </c>
      <c r="S35" s="19"/>
      <c r="T35" s="18"/>
    </row>
    <row r="36" spans="1:20" ht="33.75" x14ac:dyDescent="0.25">
      <c r="A36" s="1" t="s">
        <v>36</v>
      </c>
      <c r="B36" s="1" t="s">
        <v>50</v>
      </c>
      <c r="C36" s="1" t="s">
        <v>147</v>
      </c>
      <c r="D36" s="1">
        <v>8</v>
      </c>
      <c r="E36" s="1">
        <v>1</v>
      </c>
      <c r="F36" s="1">
        <v>22</v>
      </c>
      <c r="G36" s="1" t="s">
        <v>23</v>
      </c>
      <c r="H36" s="1">
        <v>1</v>
      </c>
      <c r="I36" s="1">
        <v>0</v>
      </c>
      <c r="J36" s="1">
        <v>0</v>
      </c>
      <c r="K36" s="1">
        <v>0</v>
      </c>
      <c r="L36" s="1" t="s">
        <v>78</v>
      </c>
      <c r="M36" s="22">
        <v>124</v>
      </c>
      <c r="N36" s="22" t="s">
        <v>213</v>
      </c>
      <c r="O36" s="19">
        <v>33</v>
      </c>
      <c r="P36" s="19">
        <v>0</v>
      </c>
      <c r="Q36" s="17" t="str">
        <f t="shared" si="1"/>
        <v>Цымбалюк Л.Н.</v>
      </c>
      <c r="R36" s="19">
        <f>I36+J36+K36+O36+P36</f>
        <v>33</v>
      </c>
      <c r="S36" s="19"/>
      <c r="T36" s="18"/>
    </row>
    <row r="37" spans="1:20" ht="33.75" x14ac:dyDescent="0.25">
      <c r="A37" s="1" t="s">
        <v>160</v>
      </c>
      <c r="B37" s="1" t="s">
        <v>50</v>
      </c>
      <c r="C37" s="1" t="s">
        <v>147</v>
      </c>
      <c r="D37" s="1">
        <v>8</v>
      </c>
      <c r="E37" s="1">
        <v>1</v>
      </c>
      <c r="F37" s="1">
        <v>22</v>
      </c>
      <c r="G37" s="1"/>
      <c r="H37" s="1"/>
      <c r="I37" s="1">
        <v>2</v>
      </c>
      <c r="J37" s="1">
        <v>0</v>
      </c>
      <c r="K37" s="1">
        <v>0</v>
      </c>
      <c r="L37" s="1" t="s">
        <v>105</v>
      </c>
      <c r="M37" s="22">
        <v>2407</v>
      </c>
      <c r="N37" s="22" t="s">
        <v>244</v>
      </c>
      <c r="O37" s="19">
        <v>0</v>
      </c>
      <c r="P37" s="19">
        <v>0</v>
      </c>
      <c r="Q37" s="17" t="str">
        <f t="shared" si="1"/>
        <v>Корнышев Н.П.</v>
      </c>
      <c r="R37" s="19">
        <f t="shared" si="2"/>
        <v>2</v>
      </c>
      <c r="S37" s="19"/>
      <c r="T37" s="18"/>
    </row>
    <row r="38" spans="1:20" ht="23.25" x14ac:dyDescent="0.25">
      <c r="A38" s="1" t="s">
        <v>161</v>
      </c>
      <c r="B38" s="1" t="s">
        <v>50</v>
      </c>
      <c r="C38" s="1" t="s">
        <v>147</v>
      </c>
      <c r="D38" s="1">
        <v>8</v>
      </c>
      <c r="E38" s="1">
        <v>1</v>
      </c>
      <c r="F38" s="1">
        <v>22</v>
      </c>
      <c r="G38" s="1"/>
      <c r="H38" s="1"/>
      <c r="I38" s="1">
        <v>2</v>
      </c>
      <c r="J38" s="1">
        <v>0</v>
      </c>
      <c r="K38" s="1">
        <v>0</v>
      </c>
      <c r="L38" s="1" t="s">
        <v>73</v>
      </c>
      <c r="M38" s="22" t="s">
        <v>226</v>
      </c>
      <c r="N38" s="22" t="s">
        <v>244</v>
      </c>
      <c r="O38" s="19">
        <v>0</v>
      </c>
      <c r="P38" s="19">
        <v>0</v>
      </c>
      <c r="Q38" s="17" t="str">
        <f t="shared" si="1"/>
        <v>Бритвина Л.Е.</v>
      </c>
      <c r="R38" s="19">
        <f t="shared" si="2"/>
        <v>2</v>
      </c>
      <c r="S38" s="19"/>
      <c r="T38" s="18"/>
    </row>
    <row r="39" spans="1:20" ht="45" x14ac:dyDescent="0.25">
      <c r="A39" s="1" t="s">
        <v>139</v>
      </c>
      <c r="B39" s="1" t="s">
        <v>50</v>
      </c>
      <c r="C39" s="1" t="s">
        <v>147</v>
      </c>
      <c r="D39" s="1">
        <v>8</v>
      </c>
      <c r="E39" s="1">
        <v>1</v>
      </c>
      <c r="F39" s="1">
        <v>22</v>
      </c>
      <c r="G39" s="1" t="s">
        <v>25</v>
      </c>
      <c r="H39" s="1">
        <v>3</v>
      </c>
      <c r="I39" s="1">
        <v>4</v>
      </c>
      <c r="J39" s="1">
        <v>0</v>
      </c>
      <c r="K39" s="1">
        <v>8</v>
      </c>
      <c r="L39" s="1" t="s">
        <v>78</v>
      </c>
      <c r="M39" s="22">
        <v>124</v>
      </c>
      <c r="N39" s="22" t="s">
        <v>224</v>
      </c>
      <c r="O39" s="19">
        <v>9.9</v>
      </c>
      <c r="P39" s="19">
        <v>0</v>
      </c>
      <c r="Q39" s="17" t="str">
        <f t="shared" si="1"/>
        <v>Цымбалюк Л.Н.</v>
      </c>
      <c r="R39" s="19">
        <f t="shared" si="2"/>
        <v>21.9</v>
      </c>
      <c r="S39" s="19"/>
      <c r="T39" s="18"/>
    </row>
    <row r="40" spans="1:20" ht="33.75" x14ac:dyDescent="0.25">
      <c r="A40" s="1" t="s">
        <v>162</v>
      </c>
      <c r="B40" s="1" t="s">
        <v>50</v>
      </c>
      <c r="C40" s="1" t="s">
        <v>147</v>
      </c>
      <c r="D40" s="1">
        <v>8</v>
      </c>
      <c r="E40" s="1">
        <v>1</v>
      </c>
      <c r="F40" s="1">
        <v>22</v>
      </c>
      <c r="G40" s="1"/>
      <c r="H40" s="1"/>
      <c r="I40" s="1">
        <v>2</v>
      </c>
      <c r="J40" s="1">
        <v>0</v>
      </c>
      <c r="K40" s="1">
        <v>0</v>
      </c>
      <c r="L40" s="1" t="s">
        <v>79</v>
      </c>
      <c r="M40" s="22">
        <v>3312</v>
      </c>
      <c r="N40" s="22" t="s">
        <v>244</v>
      </c>
      <c r="O40" s="19">
        <v>0</v>
      </c>
      <c r="P40" s="19">
        <v>0</v>
      </c>
      <c r="Q40" s="17" t="str">
        <f t="shared" si="1"/>
        <v>Телина И.С.</v>
      </c>
      <c r="R40" s="19">
        <f t="shared" si="2"/>
        <v>2</v>
      </c>
      <c r="S40" s="19"/>
      <c r="T40" s="18"/>
    </row>
    <row r="41" spans="1:20" ht="45" x14ac:dyDescent="0.25">
      <c r="A41" s="1" t="s">
        <v>163</v>
      </c>
      <c r="B41" s="1" t="s">
        <v>50</v>
      </c>
      <c r="C41" s="1" t="s">
        <v>147</v>
      </c>
      <c r="D41" s="1">
        <v>8</v>
      </c>
      <c r="E41" s="1">
        <v>1</v>
      </c>
      <c r="F41" s="1">
        <v>22</v>
      </c>
      <c r="G41" s="1"/>
      <c r="H41" s="1"/>
      <c r="I41" s="1">
        <v>2</v>
      </c>
      <c r="J41" s="1">
        <v>0</v>
      </c>
      <c r="K41" s="1">
        <v>0</v>
      </c>
      <c r="L41" s="1" t="s">
        <v>70</v>
      </c>
      <c r="M41" s="22">
        <v>3305</v>
      </c>
      <c r="N41" s="22" t="s">
        <v>244</v>
      </c>
      <c r="O41" s="19">
        <v>0</v>
      </c>
      <c r="P41" s="19">
        <v>0</v>
      </c>
      <c r="Q41" s="17" t="str">
        <f t="shared" si="1"/>
        <v>Михайлов Д.В.</v>
      </c>
      <c r="R41" s="19">
        <f t="shared" si="2"/>
        <v>2</v>
      </c>
      <c r="S41" s="19"/>
      <c r="T41" s="18"/>
    </row>
    <row r="42" spans="1:20" ht="56.25" x14ac:dyDescent="0.25">
      <c r="A42" s="1" t="s">
        <v>164</v>
      </c>
      <c r="B42" s="1" t="s">
        <v>50</v>
      </c>
      <c r="C42" s="1" t="s">
        <v>147</v>
      </c>
      <c r="D42" s="1">
        <v>8</v>
      </c>
      <c r="E42" s="1">
        <v>1</v>
      </c>
      <c r="F42" s="1">
        <v>22</v>
      </c>
      <c r="G42" s="1"/>
      <c r="H42" s="1"/>
      <c r="I42" s="1">
        <v>2</v>
      </c>
      <c r="J42" s="1">
        <v>0</v>
      </c>
      <c r="K42" s="1">
        <v>0</v>
      </c>
      <c r="L42" s="1" t="s">
        <v>74</v>
      </c>
      <c r="M42" s="22">
        <v>3300</v>
      </c>
      <c r="N42" s="22" t="s">
        <v>244</v>
      </c>
      <c r="O42" s="19">
        <v>0</v>
      </c>
      <c r="P42" s="19">
        <v>0</v>
      </c>
      <c r="Q42" s="17" t="str">
        <f t="shared" si="1"/>
        <v>Соколова Г.Ю.</v>
      </c>
      <c r="R42" s="19">
        <f t="shared" si="2"/>
        <v>2</v>
      </c>
      <c r="S42" s="19"/>
      <c r="T42" s="18"/>
    </row>
    <row r="43" spans="1:20" ht="23.25" x14ac:dyDescent="0.25">
      <c r="A43" s="1" t="s">
        <v>53</v>
      </c>
      <c r="B43" s="1" t="s">
        <v>50</v>
      </c>
      <c r="C43" s="1" t="s">
        <v>147</v>
      </c>
      <c r="D43" s="1">
        <v>8</v>
      </c>
      <c r="E43" s="1">
        <v>1</v>
      </c>
      <c r="F43" s="1">
        <v>22</v>
      </c>
      <c r="G43" s="1" t="s">
        <v>19</v>
      </c>
      <c r="H43" s="1">
        <v>1</v>
      </c>
      <c r="I43" s="1">
        <v>0</v>
      </c>
      <c r="J43" s="1">
        <v>4</v>
      </c>
      <c r="K43" s="1">
        <v>0</v>
      </c>
      <c r="L43" s="1" t="s">
        <v>95</v>
      </c>
      <c r="M43" s="22">
        <v>108</v>
      </c>
      <c r="N43" s="22" t="s">
        <v>224</v>
      </c>
      <c r="O43" s="19">
        <v>3.3</v>
      </c>
      <c r="P43" s="19">
        <v>0</v>
      </c>
      <c r="Q43" s="17" t="str">
        <f t="shared" si="1"/>
        <v>Савинова М.А.</v>
      </c>
      <c r="R43" s="19">
        <f t="shared" si="2"/>
        <v>7.3</v>
      </c>
      <c r="S43" s="19"/>
      <c r="T43" s="18"/>
    </row>
    <row r="44" spans="1:20" ht="33.75" x14ac:dyDescent="0.25">
      <c r="A44" s="1" t="s">
        <v>39</v>
      </c>
      <c r="B44" s="1" t="s">
        <v>50</v>
      </c>
      <c r="C44" s="1" t="s">
        <v>147</v>
      </c>
      <c r="D44" s="1">
        <v>8</v>
      </c>
      <c r="E44" s="1">
        <v>1</v>
      </c>
      <c r="F44" s="1">
        <v>22</v>
      </c>
      <c r="G44" s="1" t="s">
        <v>25</v>
      </c>
      <c r="H44" s="1">
        <v>3</v>
      </c>
      <c r="I44" s="1">
        <v>0</v>
      </c>
      <c r="J44" s="1">
        <v>2</v>
      </c>
      <c r="K44" s="1">
        <v>0</v>
      </c>
      <c r="L44" s="1" t="s">
        <v>54</v>
      </c>
      <c r="M44" s="22">
        <v>2407</v>
      </c>
      <c r="N44" s="22" t="s">
        <v>224</v>
      </c>
      <c r="O44" s="19">
        <v>19.8</v>
      </c>
      <c r="P44" s="19">
        <v>0</v>
      </c>
      <c r="Q44" s="17" t="str">
        <f t="shared" si="1"/>
        <v>Макевич П.В.</v>
      </c>
      <c r="R44" s="19">
        <f t="shared" si="2"/>
        <v>21.8</v>
      </c>
      <c r="S44" s="19"/>
      <c r="T44" s="18"/>
    </row>
    <row r="45" spans="1:20" ht="33.75" x14ac:dyDescent="0.25">
      <c r="A45" s="1" t="s">
        <v>28</v>
      </c>
      <c r="B45" s="1" t="s">
        <v>50</v>
      </c>
      <c r="C45" s="1" t="s">
        <v>147</v>
      </c>
      <c r="D45" s="1">
        <v>8</v>
      </c>
      <c r="E45" s="1">
        <v>1</v>
      </c>
      <c r="F45" s="1">
        <v>22</v>
      </c>
      <c r="G45" s="1" t="s">
        <v>25</v>
      </c>
      <c r="H45" s="1">
        <v>1</v>
      </c>
      <c r="I45" s="1">
        <v>0</v>
      </c>
      <c r="J45" s="1">
        <v>2</v>
      </c>
      <c r="K45" s="1">
        <v>0</v>
      </c>
      <c r="L45" s="1" t="s">
        <v>69</v>
      </c>
      <c r="M45" s="22">
        <v>3312.2406999999998</v>
      </c>
      <c r="N45" s="22" t="s">
        <v>224</v>
      </c>
      <c r="O45" s="19">
        <v>6.6</v>
      </c>
      <c r="P45" s="19">
        <v>0</v>
      </c>
      <c r="Q45" s="17" t="str">
        <f t="shared" si="1"/>
        <v>Моркин С.А.</v>
      </c>
      <c r="R45" s="19">
        <f t="shared" si="2"/>
        <v>8.6</v>
      </c>
      <c r="S45" s="19"/>
      <c r="T45" s="18"/>
    </row>
    <row r="46" spans="1:20" ht="56.25" x14ac:dyDescent="0.25">
      <c r="A46" s="1" t="s">
        <v>165</v>
      </c>
      <c r="B46" s="1" t="s">
        <v>50</v>
      </c>
      <c r="C46" s="1" t="s">
        <v>147</v>
      </c>
      <c r="D46" s="1">
        <v>8</v>
      </c>
      <c r="E46" s="1">
        <v>1</v>
      </c>
      <c r="F46" s="1">
        <v>22</v>
      </c>
      <c r="G46" s="1"/>
      <c r="H46" s="1">
        <v>0</v>
      </c>
      <c r="I46" s="1">
        <v>0</v>
      </c>
      <c r="J46" s="1">
        <v>1</v>
      </c>
      <c r="K46" s="1">
        <v>0</v>
      </c>
      <c r="L46" s="1" t="s">
        <v>74</v>
      </c>
      <c r="M46" s="22">
        <v>3300</v>
      </c>
      <c r="N46" s="22" t="s">
        <v>244</v>
      </c>
      <c r="O46" s="19">
        <v>0</v>
      </c>
      <c r="P46" s="19">
        <v>0</v>
      </c>
      <c r="Q46" s="17" t="str">
        <f t="shared" si="1"/>
        <v>Соколова Г.Ю.</v>
      </c>
      <c r="R46" s="19">
        <f t="shared" si="2"/>
        <v>1</v>
      </c>
      <c r="S46" s="19"/>
      <c r="T46" s="18"/>
    </row>
    <row r="47" spans="1:20" ht="56.25" x14ac:dyDescent="0.25">
      <c r="A47" s="1" t="s">
        <v>166</v>
      </c>
      <c r="B47" s="1" t="s">
        <v>50</v>
      </c>
      <c r="C47" s="1" t="s">
        <v>147</v>
      </c>
      <c r="D47" s="1">
        <v>8</v>
      </c>
      <c r="E47" s="1">
        <v>1</v>
      </c>
      <c r="F47" s="1">
        <v>22</v>
      </c>
      <c r="G47" s="1"/>
      <c r="H47" s="1">
        <v>0</v>
      </c>
      <c r="I47" s="1">
        <v>0</v>
      </c>
      <c r="J47" s="1">
        <v>1</v>
      </c>
      <c r="K47" s="1">
        <v>0</v>
      </c>
      <c r="L47" s="1" t="s">
        <v>74</v>
      </c>
      <c r="M47" s="22">
        <v>3300</v>
      </c>
      <c r="N47" s="22" t="s">
        <v>244</v>
      </c>
      <c r="O47" s="19">
        <v>0</v>
      </c>
      <c r="P47" s="19">
        <v>0</v>
      </c>
      <c r="Q47" s="17" t="str">
        <f t="shared" si="1"/>
        <v>Соколова Г.Ю.</v>
      </c>
      <c r="R47" s="19">
        <f t="shared" si="2"/>
        <v>1</v>
      </c>
      <c r="S47" s="19"/>
      <c r="T47" s="18"/>
    </row>
    <row r="48" spans="1:20" ht="29.25" x14ac:dyDescent="0.25">
      <c r="A48" s="1" t="s">
        <v>21</v>
      </c>
      <c r="B48" s="11" t="s">
        <v>156</v>
      </c>
      <c r="C48" s="10" t="s">
        <v>148</v>
      </c>
      <c r="D48" s="1">
        <v>8</v>
      </c>
      <c r="E48" s="1">
        <v>3</v>
      </c>
      <c r="F48" s="1">
        <v>38</v>
      </c>
      <c r="G48" s="1" t="s">
        <v>19</v>
      </c>
      <c r="H48" s="1">
        <v>1</v>
      </c>
      <c r="I48" s="1">
        <v>0</v>
      </c>
      <c r="J48" s="1">
        <v>4</v>
      </c>
      <c r="K48" s="1">
        <v>0</v>
      </c>
      <c r="L48" s="1" t="s">
        <v>67</v>
      </c>
      <c r="M48" s="22" t="s">
        <v>243</v>
      </c>
      <c r="N48" s="22" t="s">
        <v>234</v>
      </c>
      <c r="O48" s="19">
        <v>5.7</v>
      </c>
      <c r="P48" s="19">
        <v>1.1000000000000001</v>
      </c>
      <c r="Q48" s="17" t="str">
        <f t="shared" si="1"/>
        <v>Эрштейн Л.Б.</v>
      </c>
      <c r="R48" s="19">
        <f t="shared" si="2"/>
        <v>10.799999999999999</v>
      </c>
      <c r="S48" s="19"/>
      <c r="T48" s="18"/>
    </row>
  </sheetData>
  <autoFilter ref="A1:T48" xr:uid="{C6202F8B-0B37-4D8B-A587-EC23DEAC3E31}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
&amp;CИнститут электронных и информационных систем
Кафедра информационных технологий и систем</oddHeader>
    <oddFooter>&amp;C&amp;P&amp;RЛ.Н. Цымбалюк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25</vt:i4>
      </vt:variant>
    </vt:vector>
  </HeadingPairs>
  <TitlesOfParts>
    <vt:vector size="40" baseType="lpstr">
      <vt:lpstr>НагрузкаБюджет</vt:lpstr>
      <vt:lpstr>ОО-09</vt:lpstr>
      <vt:lpstr>ОО-09 (у)</vt:lpstr>
      <vt:lpstr>ОО-09 (м)</vt:lpstr>
      <vt:lpstr>ОО-ПТИ</vt:lpstr>
      <vt:lpstr>ООНЕ09</vt:lpstr>
      <vt:lpstr>ЗО-09</vt:lpstr>
      <vt:lpstr>ЗО-09 (с)</vt:lpstr>
      <vt:lpstr>ЗО-09 (у)</vt:lpstr>
      <vt:lpstr>ЗО-09 (м)</vt:lpstr>
      <vt:lpstr>ЗО</vt:lpstr>
      <vt:lpstr>ППС</vt:lpstr>
      <vt:lpstr>НагрузкаВнеБюджет</vt:lpstr>
      <vt:lpstr>В</vt:lpstr>
      <vt:lpstr>ЗО-ВБ</vt:lpstr>
      <vt:lpstr>'ЗО-09 (м)'!зо1</vt:lpstr>
      <vt:lpstr>'ЗО-09 (с)'!зо1</vt:lpstr>
      <vt:lpstr>'ЗО-09 (у)'!зо1</vt:lpstr>
      <vt:lpstr>зо1</vt:lpstr>
      <vt:lpstr>'ОО-09 (м)'!о1</vt:lpstr>
      <vt:lpstr>'ОО-09 (у)'!о1</vt:lpstr>
      <vt:lpstr>о1</vt:lpstr>
      <vt:lpstr>'ОО-09 (м)'!о2</vt:lpstr>
      <vt:lpstr>'ОО-09 (у)'!о2</vt:lpstr>
      <vt:lpstr>о2</vt:lpstr>
      <vt:lpstr>'ОО-09 (м)'!о3</vt:lpstr>
      <vt:lpstr>'ОО-09 (у)'!о3</vt:lpstr>
      <vt:lpstr>о3</vt:lpstr>
      <vt:lpstr>В!Область_печати</vt:lpstr>
      <vt:lpstr>'ЗО-09'!Область_печати</vt:lpstr>
      <vt:lpstr>'ЗО-09 (м)'!Область_печати</vt:lpstr>
      <vt:lpstr>'ЗО-09 (с)'!Область_печати</vt:lpstr>
      <vt:lpstr>'ЗО-09 (у)'!Область_печати</vt:lpstr>
      <vt:lpstr>'ЗО-ВБ'!Область_печати</vt:lpstr>
      <vt:lpstr>НагрузкаБюджет!Область_печати</vt:lpstr>
      <vt:lpstr>НагрузкаВнеБюджет!Область_печати</vt:lpstr>
      <vt:lpstr>'ОО-09 (м)'!Область_печати</vt:lpstr>
      <vt:lpstr>'ОО-09 (у)'!Область_печати</vt:lpstr>
      <vt:lpstr>ООНЕ09!Область_печати</vt:lpstr>
      <vt:lpstr>'ОО-ПТИ'!Область_печати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hahahaha</cp:lastModifiedBy>
  <cp:lastPrinted>2025-09-22T06:17:27Z</cp:lastPrinted>
  <dcterms:created xsi:type="dcterms:W3CDTF">2023-01-01T15:09:53Z</dcterms:created>
  <dcterms:modified xsi:type="dcterms:W3CDTF">2025-10-26T12:45:07Z</dcterms:modified>
</cp:coreProperties>
</file>